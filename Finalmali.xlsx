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faridborhanelmi/Desktop/Hekmat-Charity/"/>
    </mc:Choice>
  </mc:AlternateContent>
  <xr:revisionPtr revIDLastSave="0" documentId="13_ncr:1_{AB572B34-6084-C04C-84A4-AF8AFCB4764B}" xr6:coauthVersionLast="47" xr6:coauthVersionMax="47" xr10:uidLastSave="{00000000-0000-0000-0000-000000000000}"/>
  <bookViews>
    <workbookView xWindow="0" yWindow="0" windowWidth="51200" windowHeight="21600" tabRatio="893" activeTab="5" xr2:uid="{00000000-000D-0000-FFFF-FFFF00000000}"/>
  </bookViews>
  <sheets>
    <sheet name="جدول کلی مددجوها" sheetId="12" r:id="rId1"/>
    <sheet name=" اطلاعات ورودد مددجو" sheetId="3" r:id="rId2"/>
    <sheet name="ریزهزینه کرد مددجوها" sheetId="13" r:id="rId3"/>
    <sheet name="خلاصه هزینه کرد مددجوها" sheetId="14" r:id="rId4"/>
    <sheet name="لیست واریزی ماهیانه" sheetId="6" r:id="rId5"/>
    <sheet name="لیست واریزی کل خیرین" sheetId="7" r:id="rId6"/>
  </sheets>
  <externalReferences>
    <externalReference r:id="rId7"/>
    <externalReference r:id="rId8"/>
    <externalReference r:id="rId9"/>
  </externalReferences>
  <definedNames>
    <definedName name="_xlnm._FilterDatabase" localSheetId="0" hidden="1">'جدول کلی مددجوها'!$A$2:$V$40</definedName>
    <definedName name="_xlnm._FilterDatabase" localSheetId="2" hidden="1">'ریزهزینه کرد مددجوها'!$A$1:$K$776</definedName>
    <definedName name="aaaa">'جدول کلی مددجوها'!$1:$1048576</definedName>
    <definedName name="aaaq">'جدول کلی مددجوها'!$B$3:$H$7</definedName>
    <definedName name="etela" localSheetId="3">'[1] اطلاعات ورودد مددجو'!$1:$30</definedName>
    <definedName name="etela" localSheetId="2">'[2] اطلاعات ورودد مددجو'!$1:$30</definedName>
    <definedName name="etela">' اطلاعات ورودد مددجو'!$1:$30</definedName>
    <definedName name="kamel">' اطلاعات ورودد مددجو'!$1:$1048576</definedName>
    <definedName name="kha">'لیست واریزی کل خیرین'!$B:$E</definedName>
    <definedName name="kj" localSheetId="1">' اطلاعات ورودد مددجو'!$B$1</definedName>
    <definedName name="kj" localSheetId="0">#REF!</definedName>
    <definedName name="kj" localSheetId="3">#REF!</definedName>
    <definedName name="kj" localSheetId="2">#REF!</definedName>
    <definedName name="kj">#REF!</definedName>
    <definedName name="kod">'[3]2'!$J$5</definedName>
    <definedName name="koli">'جدول کلی مددجوها'!$B:$AZ</definedName>
    <definedName name="list">'لیست واریزی کل خیرین'!$D:$E</definedName>
    <definedName name="madad" localSheetId="0">#REF!</definedName>
    <definedName name="madad" localSheetId="3">#REF!</definedName>
    <definedName name="madad" localSheetId="2">#REF!</definedName>
    <definedName name="madad">#REF!</definedName>
    <definedName name="mah" localSheetId="3">'[1]لیست واریزی ماهیانه'!$Q$2:$R$13</definedName>
    <definedName name="mah" localSheetId="2">'[2]لیست واریزی ماهیانه'!$Q$2:$R$13</definedName>
    <definedName name="mah">'لیست واریزی ماهیانه'!$Q$2:$R$13</definedName>
    <definedName name="nam" localSheetId="3">'خلاصه هزینه کرد مددجوها'!$B:$D</definedName>
    <definedName name="nam">#REF!</definedName>
    <definedName name="qq" localSheetId="3">'[1]گزارش رداخت خیرین'!$T$1</definedName>
    <definedName name="qq" localSheetId="2">'[2]گزارش رداخت خیرین'!$T$1</definedName>
    <definedName name="qq">#REF!</definedName>
    <definedName name="ta" localSheetId="2">'ریزهزینه کرد مددجوها'!$T$1:$U$12</definedName>
    <definedName name="ta">#REF!</definedName>
    <definedName name="varizi" localSheetId="0">'لیست واریزی کل خیرین'!$J$3:$U$80</definedName>
    <definedName name="varizi" localSheetId="3">'[1]لیست واریزی کل خیرین'!$G$3:$R$93</definedName>
    <definedName name="varizi" localSheetId="2">'[2]لیست واریزی کل خیرین'!$G$3:$R$80</definedName>
    <definedName name="varizi">'لیست واریزی کل خیرین'!$J$3:$U$142</definedName>
    <definedName name="Z_4375E1BE_E0CA_47E2_B4BA_7AD66A4660B4_.wvu.FilterData" localSheetId="4" hidden="1">'لیست واریزی ماهیانه'!$A$1:$U$262</definedName>
  </definedNames>
  <calcPr calcId="191029"/>
  <customWorkbookViews>
    <customWorkbookView name="Filter 1" guid="{4375E1BE-E0CA-47E2-B4BA-7AD66A4660B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16" roundtripDataSignature="AMtx7mi7nTKz2sknq4ORxREXt83Icp9Xaw=="/>
    </ext>
  </extLst>
</workbook>
</file>

<file path=xl/calcChain.xml><?xml version="1.0" encoding="utf-8"?>
<calcChain xmlns="http://schemas.openxmlformats.org/spreadsheetml/2006/main">
  <c r="H779" i="6" l="1"/>
  <c r="H778" i="6" l="1"/>
  <c r="H777" i="6"/>
  <c r="H776" i="6" l="1"/>
  <c r="H775" i="6"/>
  <c r="H774" i="6"/>
  <c r="H773" i="6"/>
  <c r="B773" i="6"/>
  <c r="B774" i="6"/>
  <c r="B775" i="6"/>
  <c r="B776" i="6"/>
  <c r="B777" i="6"/>
  <c r="B778" i="6"/>
  <c r="B779" i="6"/>
  <c r="B780" i="6"/>
  <c r="H780" i="6"/>
  <c r="H772" i="6"/>
  <c r="H771" i="6"/>
  <c r="H770" i="6"/>
  <c r="H769" i="6"/>
  <c r="B770" i="6" l="1"/>
  <c r="B771" i="6"/>
  <c r="B772" i="6"/>
  <c r="B781" i="6"/>
  <c r="H781" i="6"/>
  <c r="B782" i="6"/>
  <c r="H782" i="6"/>
  <c r="B783" i="6"/>
  <c r="H783" i="6"/>
  <c r="B784" i="6"/>
  <c r="H784" i="6"/>
  <c r="B785" i="6"/>
  <c r="H785" i="6"/>
  <c r="B786" i="6"/>
  <c r="H786" i="6"/>
  <c r="B769" i="6"/>
  <c r="B787" i="6"/>
  <c r="H787" i="6"/>
  <c r="B788" i="6"/>
  <c r="H788" i="6"/>
  <c r="H763" i="6" l="1"/>
  <c r="F344" i="13" l="1"/>
  <c r="F345" i="13"/>
  <c r="F346" i="13"/>
  <c r="F347" i="13"/>
  <c r="F348" i="13"/>
  <c r="F349" i="13"/>
  <c r="F350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H752" i="6"/>
  <c r="H768" i="6"/>
  <c r="H767" i="6"/>
  <c r="H766" i="6"/>
  <c r="H765" i="6"/>
  <c r="H764" i="6"/>
  <c r="H762" i="6"/>
  <c r="H761" i="6"/>
  <c r="H760" i="6"/>
  <c r="H759" i="6"/>
  <c r="H758" i="6"/>
  <c r="H757" i="6"/>
  <c r="H756" i="6"/>
  <c r="H755" i="6"/>
  <c r="H754" i="6"/>
  <c r="H753" i="6"/>
  <c r="B758" i="6"/>
  <c r="B759" i="6"/>
  <c r="B760" i="6"/>
  <c r="B761" i="6"/>
  <c r="B762" i="6"/>
  <c r="B763" i="6"/>
  <c r="B764" i="6"/>
  <c r="B765" i="6"/>
  <c r="H751" i="6"/>
  <c r="H750" i="6"/>
  <c r="H749" i="6"/>
  <c r="H748" i="6"/>
  <c r="H747" i="6"/>
  <c r="H746" i="6"/>
  <c r="H745" i="6"/>
  <c r="H744" i="6"/>
  <c r="B745" i="6" l="1"/>
  <c r="B746" i="6"/>
  <c r="B747" i="6"/>
  <c r="B748" i="6"/>
  <c r="B749" i="6"/>
  <c r="B750" i="6"/>
  <c r="B751" i="6"/>
  <c r="B744" i="6"/>
  <c r="B752" i="6"/>
  <c r="B753" i="6"/>
  <c r="B754" i="6"/>
  <c r="B755" i="6"/>
  <c r="B295" i="6" l="1"/>
  <c r="H295" i="6"/>
  <c r="B294" i="6"/>
  <c r="H294" i="6"/>
  <c r="B296" i="6"/>
  <c r="H296" i="6"/>
  <c r="B668" i="6" l="1"/>
  <c r="H668" i="6"/>
  <c r="B669" i="6"/>
  <c r="H669" i="6"/>
  <c r="B732" i="6"/>
  <c r="H732" i="6"/>
  <c r="B733" i="6"/>
  <c r="H733" i="6"/>
  <c r="B734" i="6"/>
  <c r="H734" i="6"/>
  <c r="B735" i="6"/>
  <c r="H735" i="6"/>
  <c r="B604" i="6"/>
  <c r="H604" i="6"/>
  <c r="B712" i="6"/>
  <c r="H712" i="6"/>
  <c r="B713" i="6"/>
  <c r="H713" i="6"/>
  <c r="B646" i="6"/>
  <c r="H646" i="6"/>
  <c r="B647" i="6"/>
  <c r="H647" i="6"/>
  <c r="H743" i="6"/>
  <c r="H742" i="6"/>
  <c r="H741" i="6"/>
  <c r="H740" i="6"/>
  <c r="H739" i="6"/>
  <c r="H730" i="6"/>
  <c r="B739" i="6"/>
  <c r="B740" i="6"/>
  <c r="B741" i="6"/>
  <c r="B742" i="6"/>
  <c r="B743" i="6"/>
  <c r="B756" i="6"/>
  <c r="B757" i="6"/>
  <c r="B766" i="6"/>
  <c r="B767" i="6"/>
  <c r="B768" i="6"/>
  <c r="H725" i="6"/>
  <c r="B728" i="6" l="1"/>
  <c r="H728" i="6"/>
  <c r="B729" i="6"/>
  <c r="H729" i="6"/>
  <c r="B730" i="6"/>
  <c r="B731" i="6"/>
  <c r="H731" i="6"/>
  <c r="B736" i="6"/>
  <c r="H736" i="6"/>
  <c r="B727" i="6"/>
  <c r="H727" i="6"/>
  <c r="B726" i="6"/>
  <c r="H726" i="6"/>
  <c r="B737" i="6"/>
  <c r="H737" i="6"/>
  <c r="H724" i="6"/>
  <c r="H723" i="6"/>
  <c r="H722" i="6"/>
  <c r="H721" i="6"/>
  <c r="H709" i="6"/>
  <c r="H710" i="6"/>
  <c r="H711" i="6"/>
  <c r="H714" i="6"/>
  <c r="H715" i="6"/>
  <c r="H716" i="6"/>
  <c r="H717" i="6"/>
  <c r="H718" i="6"/>
  <c r="H719" i="6"/>
  <c r="H720" i="6"/>
  <c r="F145" i="13" l="1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4" i="13"/>
  <c r="F315" i="13"/>
  <c r="F316" i="13"/>
  <c r="F317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B714" i="6" l="1"/>
  <c r="B715" i="6"/>
  <c r="B716" i="6"/>
  <c r="B717" i="6"/>
  <c r="B718" i="6"/>
  <c r="B719" i="6"/>
  <c r="H704" i="6"/>
  <c r="H705" i="6"/>
  <c r="H706" i="6"/>
  <c r="H707" i="6"/>
  <c r="H708" i="6"/>
  <c r="H698" i="6"/>
  <c r="H699" i="6"/>
  <c r="H700" i="6"/>
  <c r="H701" i="6"/>
  <c r="H702" i="6"/>
  <c r="H703" i="6"/>
  <c r="H695" i="6"/>
  <c r="H696" i="6"/>
  <c r="H697" i="6"/>
  <c r="B698" i="6"/>
  <c r="B699" i="6"/>
  <c r="B700" i="6"/>
  <c r="B701" i="6"/>
  <c r="B702" i="6"/>
  <c r="B703" i="6"/>
  <c r="B704" i="6"/>
  <c r="B705" i="6"/>
  <c r="B706" i="6"/>
  <c r="B707" i="6"/>
  <c r="B708" i="6"/>
  <c r="B696" i="6"/>
  <c r="B697" i="6"/>
  <c r="B709" i="6"/>
  <c r="B710" i="6"/>
  <c r="B711" i="6"/>
  <c r="B720" i="6"/>
  <c r="B721" i="6"/>
  <c r="B722" i="6"/>
  <c r="B695" i="6"/>
  <c r="B724" i="6"/>
  <c r="B723" i="6"/>
  <c r="B725" i="6"/>
  <c r="B738" i="6"/>
  <c r="H738" i="6"/>
  <c r="H691" i="6"/>
  <c r="H692" i="6"/>
  <c r="H693" i="6"/>
  <c r="H694" i="6"/>
  <c r="B691" i="6"/>
  <c r="B692" i="6"/>
  <c r="B693" i="6"/>
  <c r="B694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67" i="6"/>
  <c r="H670" i="6"/>
  <c r="H671" i="6"/>
  <c r="H672" i="6"/>
  <c r="H673" i="6"/>
  <c r="H674" i="6"/>
  <c r="H675" i="6"/>
  <c r="H676" i="6"/>
  <c r="H677" i="6"/>
  <c r="H678" i="6"/>
  <c r="B671" i="6"/>
  <c r="B672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67" i="6"/>
  <c r="B670" i="6"/>
  <c r="B673" i="6"/>
  <c r="B686" i="6"/>
  <c r="B687" i="6"/>
  <c r="H664" i="6"/>
  <c r="H665" i="6"/>
  <c r="H666" i="6"/>
  <c r="H657" i="6"/>
  <c r="H658" i="6"/>
  <c r="H659" i="6"/>
  <c r="H660" i="6"/>
  <c r="H661" i="6"/>
  <c r="H662" i="6"/>
  <c r="H663" i="6"/>
  <c r="B651" i="6"/>
  <c r="H651" i="6"/>
  <c r="B653" i="6"/>
  <c r="H653" i="6"/>
  <c r="B654" i="6"/>
  <c r="H654" i="6"/>
  <c r="B655" i="6"/>
  <c r="H655" i="6"/>
  <c r="B656" i="6"/>
  <c r="H656" i="6"/>
  <c r="B657" i="6"/>
  <c r="B658" i="6"/>
  <c r="B659" i="6"/>
  <c r="B650" i="6"/>
  <c r="H650" i="6"/>
  <c r="B652" i="6"/>
  <c r="H652" i="6"/>
  <c r="B660" i="6"/>
  <c r="B661" i="6"/>
  <c r="B663" i="6"/>
  <c r="B649" i="6" l="1"/>
  <c r="H649" i="6"/>
  <c r="B662" i="6"/>
  <c r="B648" i="6"/>
  <c r="H648" i="6"/>
  <c r="B665" i="6"/>
  <c r="B666" i="6"/>
  <c r="B688" i="6"/>
  <c r="B689" i="6"/>
  <c r="B645" i="6"/>
  <c r="H645" i="6"/>
  <c r="B664" i="6"/>
  <c r="B690" i="6"/>
  <c r="B631" i="6" l="1"/>
  <c r="H631" i="6"/>
  <c r="B632" i="6"/>
  <c r="H632" i="6"/>
  <c r="B633" i="6"/>
  <c r="H633" i="6"/>
  <c r="B634" i="6"/>
  <c r="H634" i="6"/>
  <c r="B635" i="6"/>
  <c r="H635" i="6"/>
  <c r="B630" i="6"/>
  <c r="H630" i="6"/>
  <c r="B623" i="6"/>
  <c r="H623" i="6"/>
  <c r="B624" i="6"/>
  <c r="H624" i="6"/>
  <c r="B625" i="6"/>
  <c r="H625" i="6"/>
  <c r="B626" i="6"/>
  <c r="H626" i="6"/>
  <c r="B627" i="6"/>
  <c r="H627" i="6"/>
  <c r="B628" i="6"/>
  <c r="H628" i="6"/>
  <c r="B629" i="6"/>
  <c r="H629" i="6"/>
  <c r="B636" i="6"/>
  <c r="F144" i="13" l="1"/>
  <c r="C40" i="14"/>
  <c r="B608" i="6"/>
  <c r="H608" i="6"/>
  <c r="B609" i="6"/>
  <c r="H609" i="6"/>
  <c r="B641" i="6"/>
  <c r="H641" i="6"/>
  <c r="B639" i="6"/>
  <c r="H639" i="6"/>
  <c r="B640" i="6"/>
  <c r="H640" i="6"/>
  <c r="H606" i="6"/>
  <c r="B606" i="6"/>
  <c r="H580" i="6" l="1"/>
  <c r="B580" i="6"/>
  <c r="B571" i="6"/>
  <c r="H571" i="6"/>
  <c r="B572" i="6"/>
  <c r="H572" i="6"/>
  <c r="B573" i="6"/>
  <c r="H573" i="6"/>
  <c r="B574" i="6"/>
  <c r="H574" i="6"/>
  <c r="H617" i="6"/>
  <c r="H619" i="6"/>
  <c r="B618" i="6"/>
  <c r="H618" i="6"/>
  <c r="B619" i="6"/>
  <c r="B616" i="6"/>
  <c r="H616" i="6"/>
  <c r="H644" i="6"/>
  <c r="H643" i="6"/>
  <c r="H642" i="6"/>
  <c r="H638" i="6"/>
  <c r="H637" i="6"/>
  <c r="H622" i="6"/>
  <c r="H621" i="6"/>
  <c r="H620" i="6"/>
  <c r="H615" i="6"/>
  <c r="H614" i="6"/>
  <c r="H613" i="6"/>
  <c r="H612" i="6"/>
  <c r="H611" i="6"/>
  <c r="B613" i="6"/>
  <c r="B614" i="6"/>
  <c r="B615" i="6"/>
  <c r="B617" i="6"/>
  <c r="B620" i="6"/>
  <c r="B621" i="6"/>
  <c r="B622" i="6"/>
  <c r="B637" i="6"/>
  <c r="H607" i="6"/>
  <c r="H605" i="6"/>
  <c r="H603" i="6"/>
  <c r="H602" i="6"/>
  <c r="H601" i="6"/>
  <c r="H600" i="6"/>
  <c r="B602" i="6"/>
  <c r="B603" i="6"/>
  <c r="B605" i="6"/>
  <c r="B607" i="6"/>
  <c r="B610" i="6"/>
  <c r="H610" i="6"/>
  <c r="B611" i="6"/>
  <c r="B612" i="6"/>
  <c r="B638" i="6"/>
  <c r="B642" i="6"/>
  <c r="B643" i="6"/>
  <c r="B600" i="6"/>
  <c r="B601" i="6"/>
  <c r="B644" i="6"/>
  <c r="H597" i="6"/>
  <c r="H596" i="6"/>
  <c r="H595" i="6"/>
  <c r="H594" i="6"/>
  <c r="H593" i="6"/>
  <c r="H592" i="6"/>
  <c r="H591" i="6" l="1"/>
  <c r="H590" i="6"/>
  <c r="H589" i="6"/>
  <c r="H588" i="6"/>
  <c r="H587" i="6"/>
  <c r="H586" i="6"/>
  <c r="H585" i="6"/>
  <c r="B586" i="6"/>
  <c r="B587" i="6"/>
  <c r="B588" i="6"/>
  <c r="B589" i="6"/>
  <c r="B590" i="6"/>
  <c r="B591" i="6"/>
  <c r="B592" i="6"/>
  <c r="B593" i="6"/>
  <c r="B594" i="6"/>
  <c r="B585" i="6"/>
  <c r="B595" i="6"/>
  <c r="B596" i="6"/>
  <c r="B597" i="6"/>
  <c r="H578" i="6"/>
  <c r="H579" i="6"/>
  <c r="H581" i="6"/>
  <c r="H582" i="6"/>
  <c r="H583" i="6"/>
  <c r="H584" i="6"/>
  <c r="H598" i="6"/>
  <c r="H599" i="6"/>
  <c r="B577" i="6"/>
  <c r="H577" i="6"/>
  <c r="B578" i="6"/>
  <c r="B579" i="6"/>
  <c r="B581" i="6"/>
  <c r="B576" i="6"/>
  <c r="H576" i="6"/>
  <c r="B582" i="6" l="1"/>
  <c r="B583" i="6"/>
  <c r="B584" i="6"/>
  <c r="B598" i="6"/>
  <c r="B599" i="6"/>
  <c r="B548" i="6" l="1"/>
  <c r="H548" i="6"/>
  <c r="B549" i="6"/>
  <c r="H549" i="6"/>
  <c r="B550" i="6"/>
  <c r="H550" i="6"/>
  <c r="B560" i="6"/>
  <c r="H560" i="6"/>
  <c r="B557" i="6"/>
  <c r="B558" i="6"/>
  <c r="H558" i="6"/>
  <c r="B559" i="6"/>
  <c r="H559" i="6"/>
  <c r="B561" i="6"/>
  <c r="H561" i="6"/>
  <c r="H566" i="6" l="1"/>
  <c r="H564" i="6"/>
  <c r="B564" i="6"/>
  <c r="H556" i="6" l="1"/>
  <c r="B556" i="6"/>
  <c r="H555" i="6"/>
  <c r="B555" i="6"/>
  <c r="H554" i="6"/>
  <c r="B554" i="6"/>
  <c r="H553" i="6"/>
  <c r="B553" i="6"/>
  <c r="H552" i="6"/>
  <c r="B552" i="6"/>
  <c r="H551" i="6"/>
  <c r="B551" i="6"/>
  <c r="H547" i="6"/>
  <c r="H546" i="6"/>
  <c r="B547" i="6"/>
  <c r="B546" i="6"/>
  <c r="H545" i="6"/>
  <c r="B545" i="6"/>
  <c r="B544" i="6"/>
  <c r="H544" i="6"/>
  <c r="B543" i="6"/>
  <c r="H543" i="6"/>
  <c r="H540" i="6"/>
  <c r="B540" i="6"/>
  <c r="H539" i="6"/>
  <c r="B539" i="6"/>
  <c r="H538" i="6"/>
  <c r="B538" i="6"/>
  <c r="H522" i="6"/>
  <c r="B522" i="6"/>
  <c r="H563" i="6"/>
  <c r="H562" i="6"/>
  <c r="H542" i="6"/>
  <c r="H541" i="6"/>
  <c r="H533" i="6" l="1"/>
  <c r="H532" i="6"/>
  <c r="H531" i="6"/>
  <c r="H530" i="6"/>
  <c r="B530" i="6"/>
  <c r="B531" i="6"/>
  <c r="B532" i="6"/>
  <c r="B533" i="6"/>
  <c r="H525" i="6"/>
  <c r="H524" i="6"/>
  <c r="B524" i="6"/>
  <c r="B525" i="6"/>
  <c r="B565" i="6"/>
  <c r="B566" i="6"/>
  <c r="B567" i="6"/>
  <c r="B563" i="6"/>
  <c r="B562" i="6"/>
  <c r="B568" i="6"/>
  <c r="B569" i="6"/>
  <c r="B542" i="6"/>
  <c r="B570" i="6"/>
  <c r="B575" i="6"/>
  <c r="B541" i="6"/>
  <c r="B789" i="6"/>
  <c r="H789" i="6"/>
  <c r="H537" i="6" l="1"/>
  <c r="H536" i="6"/>
  <c r="H535" i="6"/>
  <c r="H534" i="6"/>
  <c r="H529" i="6"/>
  <c r="H528" i="6"/>
  <c r="H527" i="6"/>
  <c r="H526" i="6"/>
  <c r="B503" i="6" l="1"/>
  <c r="H503" i="6"/>
  <c r="B504" i="6"/>
  <c r="H504" i="6"/>
  <c r="H523" i="6" l="1"/>
  <c r="H521" i="6"/>
  <c r="H520" i="6"/>
  <c r="H519" i="6"/>
  <c r="H518" i="6"/>
  <c r="H517" i="6"/>
  <c r="H516" i="6"/>
  <c r="H515" i="6"/>
  <c r="H514" i="6"/>
  <c r="H513" i="6"/>
  <c r="H511" i="6" l="1"/>
  <c r="H510" i="6"/>
  <c r="H509" i="6"/>
  <c r="H508" i="6"/>
  <c r="H507" i="6"/>
  <c r="H506" i="6"/>
  <c r="H505" i="6"/>
  <c r="B527" i="6"/>
  <c r="B528" i="6"/>
  <c r="B529" i="6"/>
  <c r="B534" i="6"/>
  <c r="B535" i="6"/>
  <c r="B536" i="6"/>
  <c r="B537" i="6"/>
  <c r="B790" i="6"/>
  <c r="B502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3" i="6"/>
  <c r="B526" i="6"/>
  <c r="H512" i="6"/>
  <c r="B479" i="6" l="1"/>
  <c r="H479" i="6"/>
  <c r="B407" i="6"/>
  <c r="H407" i="6"/>
  <c r="B406" i="6"/>
  <c r="H406" i="6"/>
  <c r="B398" i="6"/>
  <c r="H398" i="6"/>
  <c r="H496" i="6"/>
  <c r="B497" i="6"/>
  <c r="H497" i="6"/>
  <c r="B496" i="6"/>
  <c r="B498" i="6"/>
  <c r="H498" i="6"/>
  <c r="B499" i="6"/>
  <c r="H499" i="6"/>
  <c r="B500" i="6"/>
  <c r="H500" i="6"/>
  <c r="H501" i="6"/>
  <c r="H502" i="6"/>
  <c r="H487" i="6"/>
  <c r="H488" i="6"/>
  <c r="H489" i="6"/>
  <c r="H490" i="6"/>
  <c r="H491" i="6"/>
  <c r="H492" i="6"/>
  <c r="H493" i="6"/>
  <c r="H494" i="6"/>
  <c r="H495" i="6"/>
  <c r="H473" i="6" l="1"/>
  <c r="H474" i="6"/>
  <c r="H475" i="6"/>
  <c r="H476" i="6"/>
  <c r="H477" i="6"/>
  <c r="H478" i="6"/>
  <c r="H480" i="6"/>
  <c r="H481" i="6"/>
  <c r="H482" i="6"/>
  <c r="H483" i="6"/>
  <c r="H484" i="6"/>
  <c r="H485" i="6"/>
  <c r="H486" i="6"/>
  <c r="B378" i="6" l="1"/>
  <c r="H378" i="6"/>
  <c r="B411" i="6"/>
  <c r="H411" i="6"/>
  <c r="B436" i="6"/>
  <c r="H436" i="6"/>
  <c r="B468" i="6"/>
  <c r="H468" i="6"/>
  <c r="H314" i="6"/>
  <c r="B314" i="6"/>
  <c r="H270" i="6"/>
  <c r="B270" i="6"/>
  <c r="H229" i="6"/>
  <c r="B229" i="6"/>
  <c r="H191" i="6"/>
  <c r="B191" i="6"/>
  <c r="H140" i="6"/>
  <c r="B140" i="6"/>
  <c r="H361" i="6"/>
  <c r="B361" i="6"/>
  <c r="B445" i="6" l="1"/>
  <c r="H445" i="6"/>
  <c r="B446" i="6"/>
  <c r="H446" i="6"/>
  <c r="B447" i="6"/>
  <c r="H447" i="6"/>
  <c r="B448" i="6"/>
  <c r="H448" i="6"/>
  <c r="B449" i="6"/>
  <c r="H449" i="6"/>
  <c r="B442" i="6"/>
  <c r="H442" i="6"/>
  <c r="B444" i="6"/>
  <c r="H444" i="6"/>
  <c r="B443" i="6"/>
  <c r="H443" i="6"/>
  <c r="B441" i="6"/>
  <c r="H441" i="6"/>
  <c r="B440" i="6"/>
  <c r="H440" i="6"/>
  <c r="B450" i="6"/>
  <c r="H450" i="6"/>
  <c r="H418" i="6" l="1"/>
  <c r="B418" i="6"/>
  <c r="H459" i="6"/>
  <c r="B459" i="6"/>
  <c r="B455" i="6" l="1"/>
  <c r="H455" i="6"/>
  <c r="B456" i="6"/>
  <c r="H456" i="6"/>
  <c r="H413" i="6"/>
  <c r="H414" i="6"/>
  <c r="H415" i="6"/>
  <c r="H416" i="6"/>
  <c r="H417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7" i="6"/>
  <c r="H438" i="6"/>
  <c r="H439" i="6"/>
  <c r="H451" i="6"/>
  <c r="H452" i="6"/>
  <c r="H453" i="6"/>
  <c r="H454" i="6"/>
  <c r="H457" i="6"/>
  <c r="H458" i="6"/>
  <c r="H460" i="6"/>
  <c r="H461" i="6"/>
  <c r="H462" i="6"/>
  <c r="H463" i="6"/>
  <c r="H464" i="6"/>
  <c r="H465" i="6"/>
  <c r="H466" i="6"/>
  <c r="H467" i="6"/>
  <c r="H469" i="6"/>
  <c r="H470" i="6"/>
  <c r="H471" i="6"/>
  <c r="H472" i="6"/>
  <c r="B476" i="6" l="1"/>
  <c r="B475" i="6"/>
  <c r="B474" i="6"/>
  <c r="B478" i="6"/>
  <c r="B477" i="6"/>
  <c r="B473" i="6"/>
  <c r="B481" i="6"/>
  <c r="B483" i="6"/>
  <c r="B485" i="6"/>
  <c r="B484" i="6"/>
  <c r="B482" i="6"/>
  <c r="B486" i="6"/>
  <c r="B487" i="6"/>
  <c r="B488" i="6"/>
  <c r="B490" i="6"/>
  <c r="B480" i="6"/>
  <c r="B489" i="6"/>
  <c r="B492" i="6"/>
  <c r="B491" i="6"/>
  <c r="B494" i="6"/>
  <c r="B493" i="6"/>
  <c r="B472" i="6"/>
  <c r="B471" i="6"/>
  <c r="B495" i="6"/>
  <c r="H790" i="6" l="1"/>
  <c r="B466" i="6"/>
  <c r="B467" i="6"/>
  <c r="B469" i="6"/>
  <c r="B470" i="6"/>
  <c r="B458" i="6"/>
  <c r="B460" i="6"/>
  <c r="B461" i="6"/>
  <c r="B462" i="6"/>
  <c r="B463" i="6"/>
  <c r="B464" i="6"/>
  <c r="B465" i="6"/>
  <c r="B426" i="6"/>
  <c r="B427" i="6"/>
  <c r="B428" i="6"/>
  <c r="B429" i="6"/>
  <c r="B430" i="6"/>
  <c r="B431" i="6"/>
  <c r="B432" i="6"/>
  <c r="B433" i="6"/>
  <c r="B434" i="6"/>
  <c r="B435" i="6"/>
  <c r="B437" i="6"/>
  <c r="B438" i="6"/>
  <c r="B439" i="6"/>
  <c r="B451" i="6"/>
  <c r="B452" i="6"/>
  <c r="B453" i="6"/>
  <c r="B454" i="6"/>
  <c r="B457" i="6"/>
  <c r="H405" i="6"/>
  <c r="H408" i="6"/>
  <c r="H409" i="6"/>
  <c r="H410" i="6"/>
  <c r="H412" i="6"/>
  <c r="B404" i="6"/>
  <c r="B405" i="6"/>
  <c r="B408" i="6"/>
  <c r="B409" i="6"/>
  <c r="B410" i="6"/>
  <c r="B412" i="6"/>
  <c r="B413" i="6"/>
  <c r="B414" i="6"/>
  <c r="B415" i="6"/>
  <c r="B416" i="6"/>
  <c r="B417" i="6"/>
  <c r="B419" i="6"/>
  <c r="B420" i="6"/>
  <c r="B421" i="6"/>
  <c r="B422" i="6"/>
  <c r="B423" i="6"/>
  <c r="B424" i="6"/>
  <c r="B425" i="6"/>
  <c r="K792" i="6"/>
  <c r="D5" i="14" l="1"/>
  <c r="H190" i="6"/>
  <c r="B190" i="6"/>
  <c r="H402" i="6"/>
  <c r="B402" i="6"/>
  <c r="B401" i="6"/>
  <c r="B139" i="6"/>
  <c r="H401" i="6"/>
  <c r="H139" i="6"/>
  <c r="H404" i="6"/>
  <c r="H143" i="7"/>
  <c r="B400" i="6"/>
  <c r="H400" i="6"/>
  <c r="W132" i="7" l="1"/>
  <c r="W136" i="7"/>
  <c r="W121" i="7"/>
  <c r="W125" i="7"/>
  <c r="W129" i="7"/>
  <c r="W119" i="7"/>
  <c r="K126" i="7"/>
  <c r="K134" i="7"/>
  <c r="K138" i="7"/>
  <c r="K123" i="7"/>
  <c r="K127" i="7"/>
  <c r="K131" i="7"/>
  <c r="W135" i="7"/>
  <c r="W120" i="7"/>
  <c r="W124" i="7"/>
  <c r="W128" i="7"/>
  <c r="K122" i="7"/>
  <c r="K130" i="7"/>
  <c r="K133" i="7"/>
  <c r="K137" i="7"/>
  <c r="W134" i="7"/>
  <c r="W138" i="7"/>
  <c r="W123" i="7"/>
  <c r="W127" i="7"/>
  <c r="W131" i="7"/>
  <c r="W130" i="7"/>
  <c r="K132" i="7"/>
  <c r="K136" i="7"/>
  <c r="K121" i="7"/>
  <c r="K125" i="7"/>
  <c r="K129" i="7"/>
  <c r="W118" i="7"/>
  <c r="K119" i="7"/>
  <c r="W133" i="7"/>
  <c r="W137" i="7"/>
  <c r="W122" i="7"/>
  <c r="W126" i="7"/>
  <c r="K135" i="7"/>
  <c r="K120" i="7"/>
  <c r="K124" i="7"/>
  <c r="K128" i="7"/>
  <c r="K103" i="7"/>
  <c r="K107" i="7"/>
  <c r="K111" i="7"/>
  <c r="K115" i="7"/>
  <c r="K106" i="7"/>
  <c r="K100" i="7"/>
  <c r="K104" i="7"/>
  <c r="K108" i="7"/>
  <c r="K112" i="7"/>
  <c r="K116" i="7"/>
  <c r="K118" i="7"/>
  <c r="K110" i="7"/>
  <c r="K101" i="7"/>
  <c r="K105" i="7"/>
  <c r="K109" i="7"/>
  <c r="K113" i="7"/>
  <c r="K117" i="7"/>
  <c r="K102" i="7"/>
  <c r="K114" i="7"/>
  <c r="K5" i="7"/>
  <c r="K6" i="7"/>
  <c r="K7" i="7"/>
  <c r="K8" i="7"/>
  <c r="K9" i="7"/>
  <c r="K10" i="7"/>
  <c r="K11" i="7"/>
  <c r="K12" i="7"/>
  <c r="W5" i="7"/>
  <c r="W6" i="7"/>
  <c r="W7" i="7"/>
  <c r="W8" i="7"/>
  <c r="W9" i="7"/>
  <c r="W10" i="7"/>
  <c r="W11" i="7"/>
  <c r="W12" i="7"/>
  <c r="K13" i="7"/>
  <c r="K14" i="7"/>
  <c r="K15" i="7"/>
  <c r="K16" i="7"/>
  <c r="K17" i="7"/>
  <c r="K18" i="7"/>
  <c r="K19" i="7"/>
  <c r="K20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K140" i="7"/>
  <c r="K4" i="7"/>
  <c r="W115" i="7"/>
  <c r="W116" i="7"/>
  <c r="W117" i="7"/>
  <c r="W140" i="7"/>
  <c r="W4" i="7"/>
  <c r="B399" i="6"/>
  <c r="H399" i="6"/>
  <c r="B397" i="6"/>
  <c r="H397" i="6"/>
  <c r="B394" i="6"/>
  <c r="H394" i="6"/>
  <c r="B396" i="6"/>
  <c r="H396" i="6"/>
  <c r="H395" i="6"/>
  <c r="B395" i="6"/>
  <c r="B389" i="6"/>
  <c r="H389" i="6"/>
  <c r="B388" i="6"/>
  <c r="H388" i="6"/>
  <c r="B387" i="6"/>
  <c r="H387" i="6"/>
  <c r="B386" i="6"/>
  <c r="H386" i="6"/>
  <c r="B381" i="6"/>
  <c r="H381" i="6"/>
  <c r="H380" i="6"/>
  <c r="B380" i="6"/>
  <c r="B379" i="6"/>
  <c r="H379" i="6"/>
  <c r="B377" i="6"/>
  <c r="H377" i="6"/>
  <c r="B376" i="6"/>
  <c r="H376" i="6"/>
  <c r="B371" i="6"/>
  <c r="H371" i="6"/>
  <c r="B370" i="6"/>
  <c r="H370" i="6"/>
  <c r="J134" i="7" l="1"/>
  <c r="J138" i="7"/>
  <c r="J123" i="7"/>
  <c r="J127" i="7"/>
  <c r="J131" i="7"/>
  <c r="V119" i="7"/>
  <c r="V131" i="7"/>
  <c r="V135" i="7"/>
  <c r="V120" i="7"/>
  <c r="V124" i="7"/>
  <c r="V128" i="7"/>
  <c r="V123" i="7"/>
  <c r="J133" i="7"/>
  <c r="J137" i="7"/>
  <c r="J122" i="7"/>
  <c r="J126" i="7"/>
  <c r="J130" i="7"/>
  <c r="V138" i="7"/>
  <c r="V134" i="7"/>
  <c r="J132" i="7"/>
  <c r="J136" i="7"/>
  <c r="J121" i="7"/>
  <c r="J125" i="7"/>
  <c r="J129" i="7"/>
  <c r="V118" i="7"/>
  <c r="J119" i="7"/>
  <c r="J128" i="7"/>
  <c r="V133" i="7"/>
  <c r="V137" i="7"/>
  <c r="V122" i="7"/>
  <c r="V126" i="7"/>
  <c r="V130" i="7"/>
  <c r="J135" i="7"/>
  <c r="J120" i="7"/>
  <c r="J124" i="7"/>
  <c r="V132" i="7"/>
  <c r="V136" i="7"/>
  <c r="V121" i="7"/>
  <c r="V125" i="7"/>
  <c r="V129" i="7"/>
  <c r="V127" i="7"/>
  <c r="J103" i="7"/>
  <c r="J107" i="7"/>
  <c r="J111" i="7"/>
  <c r="J100" i="7"/>
  <c r="J104" i="7"/>
  <c r="J108" i="7"/>
  <c r="J112" i="7"/>
  <c r="J116" i="7"/>
  <c r="J115" i="7"/>
  <c r="J101" i="7"/>
  <c r="J105" i="7"/>
  <c r="J109" i="7"/>
  <c r="J113" i="7"/>
  <c r="J117" i="7"/>
  <c r="J102" i="7"/>
  <c r="J106" i="7"/>
  <c r="J110" i="7"/>
  <c r="J114" i="7"/>
  <c r="J118" i="7"/>
  <c r="W142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40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40" i="7"/>
  <c r="V4" i="7"/>
  <c r="K142" i="7"/>
  <c r="J4" i="7"/>
  <c r="B393" i="6"/>
  <c r="H393" i="6"/>
  <c r="B392" i="6"/>
  <c r="H392" i="6"/>
  <c r="B391" i="6"/>
  <c r="H391" i="6"/>
  <c r="B390" i="6"/>
  <c r="H390" i="6"/>
  <c r="B385" i="6"/>
  <c r="H385" i="6"/>
  <c r="B384" i="6"/>
  <c r="H384" i="6"/>
  <c r="V142" i="7" l="1"/>
  <c r="J142" i="7"/>
  <c r="H373" i="6"/>
  <c r="B374" i="6" l="1"/>
  <c r="B375" i="6"/>
  <c r="B382" i="6"/>
  <c r="B383" i="6"/>
  <c r="H374" i="6"/>
  <c r="H375" i="6"/>
  <c r="H382" i="6"/>
  <c r="H383" i="6"/>
  <c r="H369" i="6"/>
  <c r="B369" i="6"/>
  <c r="H364" i="6"/>
  <c r="H334" i="6"/>
  <c r="B334" i="6"/>
  <c r="H360" i="6"/>
  <c r="H344" i="6"/>
  <c r="H313" i="6"/>
  <c r="H269" i="6"/>
  <c r="H366" i="6"/>
  <c r="H367" i="6"/>
  <c r="H368" i="6"/>
  <c r="H372" i="6"/>
  <c r="B358" i="6"/>
  <c r="B359" i="6"/>
  <c r="B228" i="6"/>
  <c r="B269" i="6"/>
  <c r="B313" i="6"/>
  <c r="B344" i="6"/>
  <c r="B360" i="6"/>
  <c r="B362" i="6"/>
  <c r="B363" i="6"/>
  <c r="B364" i="6"/>
  <c r="B365" i="6"/>
  <c r="B366" i="6"/>
  <c r="B367" i="6"/>
  <c r="B368" i="6"/>
  <c r="B372" i="6"/>
  <c r="B373" i="6"/>
  <c r="H358" i="6"/>
  <c r="H362" i="6" l="1"/>
  <c r="H363" i="6"/>
  <c r="H365" i="6"/>
  <c r="H343" i="6" l="1"/>
  <c r="H357" i="6"/>
  <c r="B357" i="6"/>
  <c r="B343" i="6"/>
  <c r="H359" i="6"/>
  <c r="H228" i="6"/>
  <c r="B356" i="6"/>
  <c r="H356" i="6"/>
  <c r="B342" i="6"/>
  <c r="H342" i="6"/>
  <c r="H312" i="6"/>
  <c r="H403" i="6"/>
  <c r="H355" i="6"/>
  <c r="H354" i="6"/>
  <c r="H353" i="6"/>
  <c r="H186" i="6"/>
  <c r="B186" i="6"/>
  <c r="H308" i="6"/>
  <c r="B308" i="6"/>
  <c r="B265" i="6"/>
  <c r="B353" i="6"/>
  <c r="B354" i="6"/>
  <c r="B355" i="6"/>
  <c r="B403" i="6"/>
  <c r="B312" i="6"/>
  <c r="H265" i="6"/>
  <c r="B346" i="6"/>
  <c r="H346" i="6"/>
  <c r="D36" i="14" l="1"/>
  <c r="D37" i="14"/>
  <c r="D38" i="14"/>
  <c r="D39" i="14"/>
  <c r="D40" i="14"/>
  <c r="D41" i="14"/>
  <c r="D42" i="14"/>
  <c r="D43" i="14"/>
  <c r="D44" i="14"/>
  <c r="D45" i="14"/>
  <c r="D46" i="14"/>
  <c r="D47" i="14"/>
  <c r="D48" i="14"/>
  <c r="C32" i="14"/>
  <c r="C33" i="14"/>
  <c r="C34" i="14"/>
  <c r="C35" i="14"/>
  <c r="C36" i="14"/>
  <c r="C37" i="14"/>
  <c r="C38" i="14"/>
  <c r="C39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31" i="14"/>
  <c r="D4" i="14" l="1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3" i="14"/>
  <c r="C123" i="14" l="1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4" i="14"/>
  <c r="D124" i="14"/>
  <c r="C3" i="14"/>
  <c r="J14" i="13"/>
  <c r="J776" i="13" s="1"/>
  <c r="F40" i="13"/>
  <c r="F32" i="13"/>
  <c r="F38" i="13"/>
  <c r="F37" i="13"/>
  <c r="F36" i="13"/>
  <c r="F35" i="13"/>
  <c r="F34" i="13"/>
  <c r="F33" i="13"/>
  <c r="F31" i="13"/>
  <c r="F30" i="13"/>
  <c r="F29" i="13"/>
  <c r="F28" i="13"/>
  <c r="F27" i="13"/>
  <c r="F26" i="13"/>
  <c r="F25" i="13"/>
  <c r="F24" i="13"/>
  <c r="F23" i="13"/>
  <c r="F22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D114" i="13"/>
  <c r="C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D61" i="13"/>
  <c r="C61" i="13"/>
  <c r="F60" i="13"/>
  <c r="D60" i="13"/>
  <c r="C60" i="13"/>
  <c r="F59" i="13"/>
  <c r="D59" i="13"/>
  <c r="C59" i="13"/>
  <c r="F58" i="13"/>
  <c r="D58" i="13"/>
  <c r="C58" i="13"/>
  <c r="F57" i="13"/>
  <c r="D57" i="13"/>
  <c r="C57" i="13"/>
  <c r="F56" i="13"/>
  <c r="D56" i="13"/>
  <c r="C56" i="13"/>
  <c r="F55" i="13"/>
  <c r="D55" i="13"/>
  <c r="C55" i="13"/>
  <c r="F54" i="13"/>
  <c r="D54" i="13"/>
  <c r="C54" i="13"/>
  <c r="F53" i="13"/>
  <c r="D53" i="13"/>
  <c r="C53" i="13"/>
  <c r="F52" i="13"/>
  <c r="D52" i="13"/>
  <c r="C52" i="13"/>
  <c r="F51" i="13"/>
  <c r="D51" i="13"/>
  <c r="C51" i="13"/>
  <c r="F50" i="13"/>
  <c r="D50" i="13"/>
  <c r="C50" i="13"/>
  <c r="F49" i="13"/>
  <c r="D49" i="13"/>
  <c r="C49" i="13"/>
  <c r="F48" i="13"/>
  <c r="D48" i="13"/>
  <c r="C48" i="13"/>
  <c r="F47" i="13"/>
  <c r="D47" i="13"/>
  <c r="C47" i="13"/>
  <c r="F46" i="13"/>
  <c r="D46" i="13"/>
  <c r="C46" i="13"/>
  <c r="F45" i="13"/>
  <c r="D45" i="13"/>
  <c r="C45" i="13"/>
  <c r="F44" i="13"/>
  <c r="D44" i="13"/>
  <c r="C44" i="13"/>
  <c r="F43" i="13"/>
  <c r="D43" i="13"/>
  <c r="C43" i="13"/>
  <c r="F42" i="13"/>
  <c r="D42" i="13"/>
  <c r="C42" i="13"/>
  <c r="F41" i="13"/>
  <c r="D41" i="13"/>
  <c r="C41" i="13"/>
  <c r="D34" i="13"/>
  <c r="C34" i="13"/>
  <c r="F39" i="13"/>
  <c r="D39" i="13"/>
  <c r="C39" i="13"/>
  <c r="D31" i="13"/>
  <c r="C31" i="13"/>
  <c r="D30" i="13"/>
  <c r="C30" i="13"/>
  <c r="D29" i="13"/>
  <c r="C29" i="13"/>
  <c r="D26" i="13"/>
  <c r="C26" i="13"/>
  <c r="D25" i="13"/>
  <c r="C25" i="13"/>
  <c r="D24" i="13"/>
  <c r="C24" i="13"/>
  <c r="D23" i="13"/>
  <c r="C23" i="13"/>
  <c r="F21" i="13"/>
  <c r="F20" i="13"/>
  <c r="F19" i="13"/>
  <c r="F18" i="13"/>
  <c r="F17" i="13"/>
  <c r="F16" i="13"/>
  <c r="F13" i="13"/>
  <c r="F12" i="13"/>
  <c r="F11" i="13"/>
  <c r="F10" i="13"/>
  <c r="F9" i="13"/>
  <c r="F8" i="13"/>
  <c r="F7" i="13"/>
  <c r="F6" i="13"/>
  <c r="F5" i="13"/>
  <c r="F4" i="13"/>
  <c r="F3" i="13"/>
  <c r="F2" i="13"/>
  <c r="B319" i="6"/>
  <c r="H319" i="6"/>
  <c r="B278" i="6"/>
  <c r="H278" i="6"/>
  <c r="H347" i="6"/>
  <c r="H317" i="6"/>
  <c r="H274" i="6"/>
  <c r="H320" i="6"/>
  <c r="H352" i="6"/>
  <c r="H322" i="6"/>
  <c r="H351" i="6"/>
  <c r="B348" i="6"/>
  <c r="B283" i="6"/>
  <c r="B350" i="6"/>
  <c r="B347" i="6"/>
  <c r="H348" i="6"/>
  <c r="H283" i="6"/>
  <c r="H350" i="6"/>
  <c r="B329" i="6"/>
  <c r="B316" i="6"/>
  <c r="B351" i="6"/>
  <c r="B322" i="6"/>
  <c r="B345" i="6"/>
  <c r="B352" i="6"/>
  <c r="B320" i="6"/>
  <c r="B274" i="6"/>
  <c r="B317" i="6"/>
  <c r="H329" i="6"/>
  <c r="H316" i="6"/>
  <c r="H345" i="6"/>
  <c r="H321" i="6"/>
  <c r="H242" i="6"/>
  <c r="B339" i="6"/>
  <c r="B333" i="6"/>
  <c r="B73" i="6"/>
  <c r="B242" i="6"/>
  <c r="B321" i="6"/>
  <c r="B325" i="6"/>
  <c r="B338" i="6"/>
  <c r="B341" i="6"/>
  <c r="H339" i="6"/>
  <c r="H333" i="6"/>
  <c r="H73" i="6"/>
  <c r="H325" i="6"/>
  <c r="H338" i="6"/>
  <c r="H341" i="6"/>
  <c r="H277" i="6"/>
  <c r="B277" i="6"/>
  <c r="B323" i="6"/>
  <c r="B326" i="6"/>
  <c r="B336" i="6"/>
  <c r="B335" i="6"/>
  <c r="B340" i="6"/>
  <c r="B330" i="6"/>
  <c r="B327" i="6"/>
  <c r="H323" i="6"/>
  <c r="H326" i="6"/>
  <c r="H336" i="6"/>
  <c r="H335" i="6"/>
  <c r="H340" i="6"/>
  <c r="H330" i="6"/>
  <c r="H327" i="6"/>
  <c r="B300" i="6"/>
  <c r="B311" i="6"/>
  <c r="B290" i="6"/>
  <c r="B279" i="6"/>
  <c r="B331" i="6"/>
  <c r="B135" i="6"/>
  <c r="B332" i="6"/>
  <c r="B246" i="6"/>
  <c r="B324" i="6"/>
  <c r="B315" i="6"/>
  <c r="B318" i="6"/>
  <c r="H300" i="6"/>
  <c r="H311" i="6"/>
  <c r="H290" i="6"/>
  <c r="H279" i="6"/>
  <c r="H331" i="6"/>
  <c r="H135" i="6"/>
  <c r="H332" i="6"/>
  <c r="H246" i="6"/>
  <c r="H324" i="6"/>
  <c r="H315" i="6"/>
  <c r="H318" i="6"/>
  <c r="H212" i="6"/>
  <c r="B273" i="6"/>
  <c r="H273" i="6"/>
  <c r="B310" i="6"/>
  <c r="H310" i="6"/>
  <c r="B306" i="6"/>
  <c r="H306" i="6"/>
  <c r="B285" i="6"/>
  <c r="H285" i="6"/>
  <c r="B288" i="6"/>
  <c r="H288" i="6"/>
  <c r="B291" i="6"/>
  <c r="H291" i="6"/>
  <c r="B281" i="6"/>
  <c r="H281" i="6"/>
  <c r="B212" i="6"/>
  <c r="B293" i="6"/>
  <c r="H293" i="6"/>
  <c r="B286" i="6"/>
  <c r="B266" i="6"/>
  <c r="B298" i="6"/>
  <c r="H286" i="6"/>
  <c r="H266" i="6"/>
  <c r="H298" i="6"/>
  <c r="B328" i="6"/>
  <c r="B280" i="6"/>
  <c r="B284" i="6"/>
  <c r="B307" i="6"/>
  <c r="H328" i="6"/>
  <c r="H280" i="6"/>
  <c r="H284" i="6"/>
  <c r="H307" i="6"/>
  <c r="H267" i="6"/>
  <c r="H225" i="6"/>
  <c r="B267" i="6"/>
  <c r="B303" i="6"/>
  <c r="B299" i="6"/>
  <c r="B234" i="6"/>
  <c r="H303" i="6"/>
  <c r="H299" i="6"/>
  <c r="H234" i="6"/>
  <c r="B304" i="6"/>
  <c r="B276" i="6"/>
  <c r="B309" i="6"/>
  <c r="B225" i="6"/>
  <c r="H272" i="6"/>
  <c r="H297" i="6"/>
  <c r="H292" i="6"/>
  <c r="H275" i="6"/>
  <c r="H287" i="6"/>
  <c r="H302" i="6"/>
  <c r="H304" i="6"/>
  <c r="H276" i="6"/>
  <c r="H309" i="6"/>
  <c r="B302" i="6"/>
  <c r="H271" i="6"/>
  <c r="H301" i="6"/>
  <c r="H282" i="6"/>
  <c r="B287" i="6"/>
  <c r="H251" i="6"/>
  <c r="B251" i="6"/>
  <c r="H255" i="6"/>
  <c r="B255" i="6"/>
  <c r="B262" i="6"/>
  <c r="B282" i="6"/>
  <c r="B272" i="6"/>
  <c r="B297" i="6"/>
  <c r="B292" i="6"/>
  <c r="B275" i="6"/>
  <c r="H240" i="6"/>
  <c r="B240" i="6"/>
  <c r="H238" i="6"/>
  <c r="B238" i="6"/>
  <c r="B268" i="6"/>
  <c r="H268" i="6"/>
  <c r="B254" i="6"/>
  <c r="B271" i="6"/>
  <c r="B301" i="6"/>
  <c r="H254" i="6"/>
  <c r="H243" i="6"/>
  <c r="B243" i="6"/>
  <c r="H239" i="6"/>
  <c r="B239" i="6"/>
  <c r="H233" i="6"/>
  <c r="H263" i="6"/>
  <c r="B263" i="6"/>
  <c r="H252" i="6"/>
  <c r="B252" i="6"/>
  <c r="H264" i="6"/>
  <c r="B264" i="6"/>
  <c r="H205" i="6"/>
  <c r="B205" i="6"/>
  <c r="H256" i="6"/>
  <c r="B256" i="6"/>
  <c r="H289" i="6"/>
  <c r="B289" i="6"/>
  <c r="H247" i="6"/>
  <c r="B247" i="6"/>
  <c r="H236" i="6"/>
  <c r="B236" i="6"/>
  <c r="H208" i="6"/>
  <c r="B208" i="6"/>
  <c r="H262" i="6"/>
  <c r="H241" i="6"/>
  <c r="B241" i="6"/>
  <c r="H259" i="6"/>
  <c r="B20" i="6"/>
  <c r="B7" i="6"/>
  <c r="B6" i="6"/>
  <c r="B8" i="6"/>
  <c r="B24" i="6"/>
  <c r="B18" i="6"/>
  <c r="B11" i="6"/>
  <c r="B3" i="6"/>
  <c r="B9" i="6"/>
  <c r="B19" i="6"/>
  <c r="B10" i="6"/>
  <c r="B14" i="6"/>
  <c r="B23" i="6"/>
  <c r="B15" i="6"/>
  <c r="B21" i="6"/>
  <c r="B17" i="6"/>
  <c r="B16" i="6"/>
  <c r="B13" i="6"/>
  <c r="B22" i="6"/>
  <c r="B5" i="6"/>
  <c r="B12" i="6"/>
  <c r="B25" i="6"/>
  <c r="B2" i="6"/>
  <c r="B26" i="6"/>
  <c r="B4" i="6"/>
  <c r="B39" i="6"/>
  <c r="B49" i="6"/>
  <c r="B44" i="6"/>
  <c r="B40" i="6"/>
  <c r="B38" i="6"/>
  <c r="B37" i="6"/>
  <c r="B42" i="6"/>
  <c r="B34" i="6"/>
  <c r="B36" i="6"/>
  <c r="B57" i="6"/>
  <c r="B30" i="6"/>
  <c r="B43" i="6"/>
  <c r="B41" i="6"/>
  <c r="B51" i="6"/>
  <c r="B50" i="6"/>
  <c r="B60" i="6"/>
  <c r="B33" i="6"/>
  <c r="B27" i="6"/>
  <c r="B56" i="6"/>
  <c r="B52" i="6"/>
  <c r="B29" i="6"/>
  <c r="B35" i="6"/>
  <c r="B48" i="6"/>
  <c r="B45" i="6"/>
  <c r="B58" i="6"/>
  <c r="B32" i="6"/>
  <c r="B28" i="6"/>
  <c r="B53" i="6"/>
  <c r="B54" i="6"/>
  <c r="B59" i="6"/>
  <c r="B47" i="6"/>
  <c r="B55" i="6"/>
  <c r="B46" i="6"/>
  <c r="B31" i="6"/>
  <c r="B83" i="6"/>
  <c r="B75" i="6"/>
  <c r="B88" i="6"/>
  <c r="B77" i="6"/>
  <c r="B79" i="6"/>
  <c r="B67" i="6"/>
  <c r="B74" i="6"/>
  <c r="B80" i="6"/>
  <c r="B61" i="6"/>
  <c r="B91" i="6"/>
  <c r="B99" i="6"/>
  <c r="B65" i="6"/>
  <c r="B62" i="6"/>
  <c r="B72" i="6"/>
  <c r="B63" i="6"/>
  <c r="B78" i="6"/>
  <c r="B95" i="6"/>
  <c r="B68" i="6"/>
  <c r="B84" i="6"/>
  <c r="B85" i="6"/>
  <c r="B81" i="6"/>
  <c r="B82" i="6"/>
  <c r="B64" i="6"/>
  <c r="B93" i="6"/>
  <c r="B66" i="6"/>
  <c r="B105" i="6"/>
  <c r="B86" i="6"/>
  <c r="B70" i="6"/>
  <c r="B92" i="6"/>
  <c r="B71" i="6"/>
  <c r="B90" i="6"/>
  <c r="B97" i="6"/>
  <c r="B89" i="6"/>
  <c r="B96" i="6"/>
  <c r="B98" i="6"/>
  <c r="B87" i="6"/>
  <c r="B94" i="6"/>
  <c r="B76" i="6"/>
  <c r="B69" i="6"/>
  <c r="B101" i="6"/>
  <c r="B121" i="6"/>
  <c r="B110" i="6"/>
  <c r="B111" i="6"/>
  <c r="B116" i="6"/>
  <c r="B126" i="6"/>
  <c r="B112" i="6"/>
  <c r="B137" i="6"/>
  <c r="B104" i="6"/>
  <c r="B109" i="6"/>
  <c r="B134" i="6"/>
  <c r="B103" i="6"/>
  <c r="B113" i="6"/>
  <c r="B124" i="6"/>
  <c r="B131" i="6"/>
  <c r="B127" i="6"/>
  <c r="B128" i="6"/>
  <c r="B106" i="6"/>
  <c r="B123" i="6"/>
  <c r="B136" i="6"/>
  <c r="B133" i="6"/>
  <c r="B117" i="6"/>
  <c r="B122" i="6"/>
  <c r="B100" i="6"/>
  <c r="B130" i="6"/>
  <c r="B119" i="6"/>
  <c r="B120" i="6"/>
  <c r="B118" i="6"/>
  <c r="B115" i="6"/>
  <c r="B108" i="6"/>
  <c r="B102" i="6"/>
  <c r="B129" i="6"/>
  <c r="B125" i="6"/>
  <c r="B138" i="6"/>
  <c r="B132" i="6"/>
  <c r="B114" i="6"/>
  <c r="B107" i="6"/>
  <c r="B178" i="6"/>
  <c r="B168" i="6"/>
  <c r="B172" i="6"/>
  <c r="B154" i="6"/>
  <c r="B141" i="6"/>
  <c r="B147" i="6"/>
  <c r="B153" i="6"/>
  <c r="B162" i="6"/>
  <c r="B146" i="6"/>
  <c r="B182" i="6"/>
  <c r="B164" i="6"/>
  <c r="B145" i="6"/>
  <c r="B142" i="6"/>
  <c r="B161" i="6"/>
  <c r="B148" i="6"/>
  <c r="B185" i="6"/>
  <c r="B171" i="6"/>
  <c r="B169" i="6"/>
  <c r="B156" i="6"/>
  <c r="B152" i="6"/>
  <c r="B149" i="6"/>
  <c r="B167" i="6"/>
  <c r="B177" i="6"/>
  <c r="B144" i="6"/>
  <c r="B158" i="6"/>
  <c r="B155" i="6"/>
  <c r="B173" i="6"/>
  <c r="B165" i="6"/>
  <c r="B160" i="6"/>
  <c r="B174" i="6"/>
  <c r="B175" i="6"/>
  <c r="B151" i="6"/>
  <c r="B163" i="6"/>
  <c r="B180" i="6"/>
  <c r="B157" i="6"/>
  <c r="B170" i="6"/>
  <c r="B166" i="6"/>
  <c r="B179" i="6"/>
  <c r="B189" i="6"/>
  <c r="B176" i="6"/>
  <c r="B184" i="6"/>
  <c r="B143" i="6"/>
  <c r="B150" i="6"/>
  <c r="B196" i="6"/>
  <c r="B188" i="6"/>
  <c r="B183" i="6"/>
  <c r="B187" i="6"/>
  <c r="B159" i="6"/>
  <c r="B207" i="6"/>
  <c r="B214" i="6"/>
  <c r="B199" i="6"/>
  <c r="B198" i="6"/>
  <c r="B211" i="6"/>
  <c r="B197" i="6"/>
  <c r="B192" i="6"/>
  <c r="B209" i="6"/>
  <c r="B222" i="6"/>
  <c r="B223" i="6"/>
  <c r="B227" i="6"/>
  <c r="B217" i="6"/>
  <c r="B218" i="6"/>
  <c r="B219" i="6"/>
  <c r="B226" i="6"/>
  <c r="B216" i="6"/>
  <c r="B215" i="6"/>
  <c r="B206" i="6"/>
  <c r="B193" i="6"/>
  <c r="B202" i="6"/>
  <c r="B203" i="6"/>
  <c r="B204" i="6"/>
  <c r="B200" i="6"/>
  <c r="B210" i="6"/>
  <c r="B220" i="6"/>
  <c r="B201" i="6"/>
  <c r="B221" i="6"/>
  <c r="B195" i="6"/>
  <c r="B259" i="6"/>
  <c r="B224" i="6"/>
  <c r="B213" i="6"/>
  <c r="B232" i="6"/>
  <c r="B250" i="6"/>
  <c r="B261" i="6"/>
  <c r="B245" i="6"/>
  <c r="B231" i="6"/>
  <c r="B230" i="6"/>
  <c r="B260" i="6"/>
  <c r="B248" i="6"/>
  <c r="B244" i="6"/>
  <c r="B181" i="6"/>
  <c r="B253" i="6"/>
  <c r="B249" i="6"/>
  <c r="B305" i="6"/>
  <c r="B257" i="6"/>
  <c r="B258" i="6"/>
  <c r="B337" i="6"/>
  <c r="B237" i="6"/>
  <c r="B349" i="6"/>
  <c r="B235" i="6"/>
  <c r="H235" i="6"/>
  <c r="H349" i="6"/>
  <c r="H237" i="6"/>
  <c r="H337" i="6"/>
  <c r="H258" i="6"/>
  <c r="H257" i="6"/>
  <c r="H305" i="6"/>
  <c r="H249" i="6"/>
  <c r="H253" i="6"/>
  <c r="H181" i="6"/>
  <c r="H244" i="6"/>
  <c r="H248" i="6"/>
  <c r="H260" i="6"/>
  <c r="H230" i="6"/>
  <c r="H231" i="6"/>
  <c r="H245" i="6"/>
  <c r="H261" i="6"/>
  <c r="H250" i="6"/>
  <c r="H232" i="6"/>
  <c r="H213" i="6"/>
  <c r="H224" i="6"/>
  <c r="H195" i="6"/>
  <c r="H221" i="6"/>
  <c r="H201" i="6"/>
  <c r="H220" i="6"/>
  <c r="H210" i="6"/>
  <c r="H200" i="6"/>
  <c r="H204" i="6"/>
  <c r="H203" i="6"/>
  <c r="H202" i="6"/>
  <c r="H193" i="6"/>
  <c r="H194" i="6"/>
  <c r="H206" i="6"/>
  <c r="H215" i="6"/>
  <c r="H216" i="6"/>
  <c r="H226" i="6"/>
  <c r="H219" i="6"/>
  <c r="H218" i="6"/>
  <c r="H217" i="6"/>
  <c r="H227" i="6"/>
  <c r="H223" i="6"/>
  <c r="H222" i="6"/>
  <c r="H209" i="6"/>
  <c r="H192" i="6"/>
  <c r="H197" i="6"/>
  <c r="H211" i="6"/>
  <c r="H198" i="6"/>
  <c r="H199" i="6"/>
  <c r="H214" i="6"/>
  <c r="H207" i="6"/>
  <c r="H159" i="6"/>
  <c r="H187" i="6"/>
  <c r="T183" i="6"/>
  <c r="H183" i="6"/>
  <c r="H188" i="6"/>
  <c r="H196" i="6"/>
  <c r="H150" i="6"/>
  <c r="H143" i="6"/>
  <c r="H184" i="6"/>
  <c r="H176" i="6"/>
  <c r="H189" i="6"/>
  <c r="H179" i="6"/>
  <c r="H166" i="6"/>
  <c r="H170" i="6"/>
  <c r="H157" i="6"/>
  <c r="H180" i="6"/>
  <c r="H163" i="6"/>
  <c r="H151" i="6"/>
  <c r="H175" i="6"/>
  <c r="H174" i="6"/>
  <c r="H160" i="6"/>
  <c r="H165" i="6"/>
  <c r="H173" i="6"/>
  <c r="H155" i="6"/>
  <c r="H158" i="6"/>
  <c r="H144" i="6"/>
  <c r="H177" i="6"/>
  <c r="H167" i="6"/>
  <c r="H149" i="6"/>
  <c r="H152" i="6"/>
  <c r="H156" i="6"/>
  <c r="H169" i="6"/>
  <c r="H171" i="6"/>
  <c r="H185" i="6"/>
  <c r="H148" i="6"/>
  <c r="H161" i="6"/>
  <c r="H142" i="6"/>
  <c r="H145" i="6"/>
  <c r="H164" i="6"/>
  <c r="H182" i="6"/>
  <c r="H146" i="6"/>
  <c r="H162" i="6"/>
  <c r="H153" i="6"/>
  <c r="H147" i="6"/>
  <c r="H141" i="6"/>
  <c r="H154" i="6"/>
  <c r="H172" i="6"/>
  <c r="H168" i="6"/>
  <c r="H178" i="6"/>
  <c r="H107" i="6"/>
  <c r="H114" i="6"/>
  <c r="H132" i="6"/>
  <c r="H138" i="6"/>
  <c r="H125" i="6"/>
  <c r="H129" i="6"/>
  <c r="H102" i="6"/>
  <c r="H108" i="6"/>
  <c r="H115" i="6"/>
  <c r="H118" i="6"/>
  <c r="H120" i="6"/>
  <c r="H119" i="6"/>
  <c r="H130" i="6"/>
  <c r="H100" i="6"/>
  <c r="H122" i="6"/>
  <c r="H117" i="6"/>
  <c r="H133" i="6"/>
  <c r="H136" i="6"/>
  <c r="H123" i="6"/>
  <c r="H106" i="6"/>
  <c r="H128" i="6"/>
  <c r="H127" i="6"/>
  <c r="H131" i="6"/>
  <c r="H124" i="6"/>
  <c r="H113" i="6"/>
  <c r="H103" i="6"/>
  <c r="H134" i="6"/>
  <c r="H109" i="6"/>
  <c r="H104" i="6"/>
  <c r="H137" i="6"/>
  <c r="H112" i="6"/>
  <c r="H126" i="6"/>
  <c r="H116" i="6"/>
  <c r="H111" i="6"/>
  <c r="H110" i="6"/>
  <c r="H121" i="6"/>
  <c r="H101" i="6"/>
  <c r="H69" i="6"/>
  <c r="H76" i="6"/>
  <c r="H94" i="6"/>
  <c r="H87" i="6"/>
  <c r="H98" i="6"/>
  <c r="H96" i="6"/>
  <c r="H89" i="6"/>
  <c r="H97" i="6"/>
  <c r="H90" i="6"/>
  <c r="H71" i="6"/>
  <c r="H92" i="6"/>
  <c r="H70" i="6"/>
  <c r="H86" i="6"/>
  <c r="H105" i="6"/>
  <c r="H66" i="6"/>
  <c r="H93" i="6"/>
  <c r="H64" i="6"/>
  <c r="H82" i="6"/>
  <c r="H81" i="6"/>
  <c r="H85" i="6"/>
  <c r="H84" i="6"/>
  <c r="H68" i="6"/>
  <c r="H95" i="6"/>
  <c r="H78" i="6"/>
  <c r="H63" i="6"/>
  <c r="H72" i="6"/>
  <c r="H62" i="6"/>
  <c r="H65" i="6"/>
  <c r="H99" i="6"/>
  <c r="H91" i="6"/>
  <c r="H61" i="6"/>
  <c r="H80" i="6"/>
  <c r="H74" i="6"/>
  <c r="H67" i="6"/>
  <c r="H79" i="6"/>
  <c r="H77" i="6"/>
  <c r="H88" i="6"/>
  <c r="H75" i="6"/>
  <c r="H83" i="6"/>
  <c r="H31" i="6"/>
  <c r="H46" i="6"/>
  <c r="H55" i="6"/>
  <c r="H47" i="6"/>
  <c r="H59" i="6"/>
  <c r="H54" i="6"/>
  <c r="H53" i="6"/>
  <c r="H28" i="6"/>
  <c r="H32" i="6"/>
  <c r="H58" i="6"/>
  <c r="H45" i="6"/>
  <c r="H48" i="6"/>
  <c r="H35" i="6"/>
  <c r="H29" i="6"/>
  <c r="H52" i="6"/>
  <c r="H56" i="6"/>
  <c r="H27" i="6"/>
  <c r="H33" i="6"/>
  <c r="H60" i="6"/>
  <c r="H50" i="6"/>
  <c r="H51" i="6"/>
  <c r="H41" i="6"/>
  <c r="H43" i="6"/>
  <c r="H30" i="6"/>
  <c r="H57" i="6"/>
  <c r="H36" i="6"/>
  <c r="H34" i="6"/>
  <c r="H42" i="6"/>
  <c r="H37" i="6"/>
  <c r="H38" i="6"/>
  <c r="H40" i="6"/>
  <c r="H44" i="6"/>
  <c r="H49" i="6"/>
  <c r="H39" i="6"/>
  <c r="H4" i="6"/>
  <c r="H26" i="6"/>
  <c r="H2" i="6"/>
  <c r="H25" i="6"/>
  <c r="H12" i="6"/>
  <c r="H5" i="6"/>
  <c r="H22" i="6"/>
  <c r="H13" i="6"/>
  <c r="H16" i="6"/>
  <c r="H17" i="6"/>
  <c r="H21" i="6"/>
  <c r="H15" i="6"/>
  <c r="H23" i="6"/>
  <c r="H14" i="6"/>
  <c r="H10" i="6"/>
  <c r="H19" i="6"/>
  <c r="H9" i="6"/>
  <c r="H3" i="6"/>
  <c r="H11" i="6"/>
  <c r="H18" i="6"/>
  <c r="H24" i="6"/>
  <c r="H8" i="6"/>
  <c r="H6" i="6"/>
  <c r="H7" i="6"/>
  <c r="H20" i="6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K795" i="6"/>
  <c r="K797" i="6" s="1"/>
  <c r="R137" i="7" l="1"/>
  <c r="AD127" i="7"/>
  <c r="AD122" i="7"/>
  <c r="AD132" i="7"/>
  <c r="R127" i="7"/>
  <c r="R122" i="7"/>
  <c r="AD131" i="7"/>
  <c r="AD126" i="7"/>
  <c r="AD136" i="7"/>
  <c r="R131" i="7"/>
  <c r="AD134" i="7"/>
  <c r="R134" i="7"/>
  <c r="AD135" i="7"/>
  <c r="R126" i="7"/>
  <c r="R121" i="7"/>
  <c r="AD130" i="7"/>
  <c r="AD121" i="7"/>
  <c r="AD119" i="7"/>
  <c r="R120" i="7"/>
  <c r="AD120" i="7"/>
  <c r="R130" i="7"/>
  <c r="R125" i="7"/>
  <c r="R119" i="7"/>
  <c r="AD125" i="7"/>
  <c r="R118" i="7"/>
  <c r="R136" i="7"/>
  <c r="AD124" i="7"/>
  <c r="AD118" i="7"/>
  <c r="R132" i="7"/>
  <c r="R135" i="7"/>
  <c r="AD129" i="7"/>
  <c r="AD128" i="7"/>
  <c r="R129" i="7"/>
  <c r="AD138" i="7"/>
  <c r="AD133" i="7"/>
  <c r="R124" i="7"/>
  <c r="R138" i="7"/>
  <c r="R133" i="7"/>
  <c r="AD123" i="7"/>
  <c r="AD137" i="7"/>
  <c r="R128" i="7"/>
  <c r="R123" i="7"/>
  <c r="P132" i="7"/>
  <c r="AB125" i="7"/>
  <c r="P126" i="7"/>
  <c r="P136" i="7"/>
  <c r="P135" i="7"/>
  <c r="AB129" i="7"/>
  <c r="AB120" i="7"/>
  <c r="AB118" i="7"/>
  <c r="P130" i="7"/>
  <c r="P121" i="7"/>
  <c r="P120" i="7"/>
  <c r="P131" i="7"/>
  <c r="AB124" i="7"/>
  <c r="AB123" i="7"/>
  <c r="AB132" i="7"/>
  <c r="AB134" i="7"/>
  <c r="P125" i="7"/>
  <c r="P124" i="7"/>
  <c r="P134" i="7"/>
  <c r="AB128" i="7"/>
  <c r="AB131" i="7"/>
  <c r="AB138" i="7"/>
  <c r="P129" i="7"/>
  <c r="P128" i="7"/>
  <c r="P138" i="7"/>
  <c r="P118" i="7"/>
  <c r="P123" i="7"/>
  <c r="P133" i="7"/>
  <c r="AB127" i="7"/>
  <c r="AB126" i="7"/>
  <c r="AB136" i="7"/>
  <c r="P127" i="7"/>
  <c r="AB122" i="7"/>
  <c r="P137" i="7"/>
  <c r="P119" i="7"/>
  <c r="AB133" i="7"/>
  <c r="AB121" i="7"/>
  <c r="AB119" i="7"/>
  <c r="AB130" i="7"/>
  <c r="P122" i="7"/>
  <c r="AB137" i="7"/>
  <c r="AB135" i="7"/>
  <c r="N132" i="7"/>
  <c r="N136" i="7"/>
  <c r="N121" i="7"/>
  <c r="N125" i="7"/>
  <c r="N129" i="7"/>
  <c r="Z118" i="7"/>
  <c r="N119" i="7"/>
  <c r="Z133" i="7"/>
  <c r="Z137" i="7"/>
  <c r="Z122" i="7"/>
  <c r="Z126" i="7"/>
  <c r="Z130" i="7"/>
  <c r="N135" i="7"/>
  <c r="N120" i="7"/>
  <c r="N124" i="7"/>
  <c r="N128" i="7"/>
  <c r="Z121" i="7"/>
  <c r="Z132" i="7"/>
  <c r="Z136" i="7"/>
  <c r="Z125" i="7"/>
  <c r="N134" i="7"/>
  <c r="N138" i="7"/>
  <c r="N123" i="7"/>
  <c r="N127" i="7"/>
  <c r="N131" i="7"/>
  <c r="Z119" i="7"/>
  <c r="N130" i="7"/>
  <c r="Z135" i="7"/>
  <c r="Z120" i="7"/>
  <c r="Z124" i="7"/>
  <c r="Z128" i="7"/>
  <c r="N118" i="7"/>
  <c r="N133" i="7"/>
  <c r="N137" i="7"/>
  <c r="N122" i="7"/>
  <c r="N126" i="7"/>
  <c r="Z134" i="7"/>
  <c r="Z138" i="7"/>
  <c r="Z123" i="7"/>
  <c r="Z127" i="7"/>
  <c r="Z131" i="7"/>
  <c r="Z129" i="7"/>
  <c r="Y133" i="7"/>
  <c r="Y137" i="7"/>
  <c r="Y122" i="7"/>
  <c r="Y126" i="7"/>
  <c r="Y130" i="7"/>
  <c r="M119" i="7"/>
  <c r="M131" i="7"/>
  <c r="M135" i="7"/>
  <c r="M120" i="7"/>
  <c r="M124" i="7"/>
  <c r="M128" i="7"/>
  <c r="M123" i="7"/>
  <c r="Y132" i="7"/>
  <c r="Y136" i="7"/>
  <c r="Y121" i="7"/>
  <c r="Y125" i="7"/>
  <c r="Y129" i="7"/>
  <c r="M134" i="7"/>
  <c r="M138" i="7"/>
  <c r="M127" i="7"/>
  <c r="Y119" i="7"/>
  <c r="Y135" i="7"/>
  <c r="Y120" i="7"/>
  <c r="Y124" i="7"/>
  <c r="Y128" i="7"/>
  <c r="M118" i="7"/>
  <c r="M133" i="7"/>
  <c r="M137" i="7"/>
  <c r="M122" i="7"/>
  <c r="M126" i="7"/>
  <c r="M130" i="7"/>
  <c r="Y131" i="7"/>
  <c r="Y134" i="7"/>
  <c r="Y138" i="7"/>
  <c r="Y123" i="7"/>
  <c r="Y127" i="7"/>
  <c r="M132" i="7"/>
  <c r="M136" i="7"/>
  <c r="M121" i="7"/>
  <c r="M125" i="7"/>
  <c r="M129" i="7"/>
  <c r="Y118" i="7"/>
  <c r="S131" i="7"/>
  <c r="S122" i="7"/>
  <c r="S121" i="7"/>
  <c r="AE130" i="7"/>
  <c r="AE123" i="7"/>
  <c r="S126" i="7"/>
  <c r="S125" i="7"/>
  <c r="S119" i="7"/>
  <c r="AE125" i="7"/>
  <c r="AE137" i="7"/>
  <c r="AE135" i="7"/>
  <c r="S130" i="7"/>
  <c r="S129" i="7"/>
  <c r="S135" i="7"/>
  <c r="AE129" i="7"/>
  <c r="AE138" i="7"/>
  <c r="AE120" i="7"/>
  <c r="AE127" i="7"/>
  <c r="AE118" i="7"/>
  <c r="S120" i="7"/>
  <c r="AE119" i="7"/>
  <c r="AE128" i="7"/>
  <c r="AE131" i="7"/>
  <c r="S134" i="7"/>
  <c r="AE124" i="7"/>
  <c r="AE134" i="7"/>
  <c r="AE133" i="7"/>
  <c r="S124" i="7"/>
  <c r="S118" i="7"/>
  <c r="S138" i="7"/>
  <c r="S128" i="7"/>
  <c r="S123" i="7"/>
  <c r="S133" i="7"/>
  <c r="S132" i="7"/>
  <c r="AE122" i="7"/>
  <c r="AE132" i="7"/>
  <c r="S127" i="7"/>
  <c r="S137" i="7"/>
  <c r="S136" i="7"/>
  <c r="AE126" i="7"/>
  <c r="AE136" i="7"/>
  <c r="AE121" i="7"/>
  <c r="AA134" i="7"/>
  <c r="AA138" i="7"/>
  <c r="AA123" i="7"/>
  <c r="AA127" i="7"/>
  <c r="AA131" i="7"/>
  <c r="O132" i="7"/>
  <c r="O136" i="7"/>
  <c r="O121" i="7"/>
  <c r="O125" i="7"/>
  <c r="O129" i="7"/>
  <c r="AA118" i="7"/>
  <c r="O128" i="7"/>
  <c r="AA133" i="7"/>
  <c r="AA137" i="7"/>
  <c r="AA122" i="7"/>
  <c r="AA126" i="7"/>
  <c r="AA130" i="7"/>
  <c r="O119" i="7"/>
  <c r="O120" i="7"/>
  <c r="O135" i="7"/>
  <c r="AA132" i="7"/>
  <c r="AA136" i="7"/>
  <c r="AA121" i="7"/>
  <c r="AA125" i="7"/>
  <c r="AA129" i="7"/>
  <c r="O134" i="7"/>
  <c r="O138" i="7"/>
  <c r="O123" i="7"/>
  <c r="O127" i="7"/>
  <c r="O131" i="7"/>
  <c r="AA119" i="7"/>
  <c r="AA128" i="7"/>
  <c r="AA135" i="7"/>
  <c r="AA120" i="7"/>
  <c r="AA124" i="7"/>
  <c r="O118" i="7"/>
  <c r="O133" i="7"/>
  <c r="O137" i="7"/>
  <c r="O122" i="7"/>
  <c r="O126" i="7"/>
  <c r="O130" i="7"/>
  <c r="O124" i="7"/>
  <c r="AF132" i="7"/>
  <c r="T118" i="7"/>
  <c r="AF133" i="7"/>
  <c r="AF136" i="7"/>
  <c r="T131" i="7"/>
  <c r="T133" i="7"/>
  <c r="AF131" i="7"/>
  <c r="AF137" i="7"/>
  <c r="T134" i="7"/>
  <c r="AF121" i="7"/>
  <c r="AF119" i="7"/>
  <c r="T137" i="7"/>
  <c r="T119" i="7"/>
  <c r="AF122" i="7"/>
  <c r="T122" i="7"/>
  <c r="AF126" i="7"/>
  <c r="AF120" i="7"/>
  <c r="AF125" i="7"/>
  <c r="T126" i="7"/>
  <c r="T132" i="7"/>
  <c r="AF134" i="7"/>
  <c r="AF129" i="7"/>
  <c r="AF135" i="7"/>
  <c r="T130" i="7"/>
  <c r="T136" i="7"/>
  <c r="AF130" i="7"/>
  <c r="T121" i="7"/>
  <c r="T138" i="7"/>
  <c r="AF124" i="7"/>
  <c r="AF138" i="7"/>
  <c r="T125" i="7"/>
  <c r="T120" i="7"/>
  <c r="T123" i="7"/>
  <c r="AF128" i="7"/>
  <c r="AF123" i="7"/>
  <c r="T129" i="7"/>
  <c r="T124" i="7"/>
  <c r="T127" i="7"/>
  <c r="AF127" i="7"/>
  <c r="T128" i="7"/>
  <c r="T135" i="7"/>
  <c r="U135" i="7"/>
  <c r="U120" i="7"/>
  <c r="U124" i="7"/>
  <c r="U128" i="7"/>
  <c r="AG132" i="7"/>
  <c r="AG136" i="7"/>
  <c r="AG121" i="7"/>
  <c r="AG125" i="7"/>
  <c r="AG129" i="7"/>
  <c r="AG128" i="7"/>
  <c r="U134" i="7"/>
  <c r="U138" i="7"/>
  <c r="U123" i="7"/>
  <c r="U127" i="7"/>
  <c r="U131" i="7"/>
  <c r="AG119" i="7"/>
  <c r="AG135" i="7"/>
  <c r="AG120" i="7"/>
  <c r="U118" i="7"/>
  <c r="U133" i="7"/>
  <c r="U137" i="7"/>
  <c r="U122" i="7"/>
  <c r="U126" i="7"/>
  <c r="U130" i="7"/>
  <c r="AG134" i="7"/>
  <c r="AG138" i="7"/>
  <c r="AG123" i="7"/>
  <c r="AG127" i="7"/>
  <c r="AG131" i="7"/>
  <c r="U129" i="7"/>
  <c r="U132" i="7"/>
  <c r="U136" i="7"/>
  <c r="U121" i="7"/>
  <c r="U125" i="7"/>
  <c r="AG133" i="7"/>
  <c r="AG137" i="7"/>
  <c r="AG122" i="7"/>
  <c r="AG126" i="7"/>
  <c r="AG130" i="7"/>
  <c r="U119" i="7"/>
  <c r="AG124" i="7"/>
  <c r="L135" i="7"/>
  <c r="L120" i="7"/>
  <c r="L124" i="7"/>
  <c r="L128" i="7"/>
  <c r="X128" i="7"/>
  <c r="X118" i="7"/>
  <c r="X132" i="7"/>
  <c r="X136" i="7"/>
  <c r="X121" i="7"/>
  <c r="X125" i="7"/>
  <c r="X129" i="7"/>
  <c r="L134" i="7"/>
  <c r="L138" i="7"/>
  <c r="L123" i="7"/>
  <c r="L127" i="7"/>
  <c r="L131" i="7"/>
  <c r="X119" i="7"/>
  <c r="X135" i="7"/>
  <c r="X120" i="7"/>
  <c r="L118" i="7"/>
  <c r="L133" i="7"/>
  <c r="L137" i="7"/>
  <c r="L122" i="7"/>
  <c r="L126" i="7"/>
  <c r="L130" i="7"/>
  <c r="X134" i="7"/>
  <c r="X138" i="7"/>
  <c r="X123" i="7"/>
  <c r="X127" i="7"/>
  <c r="X131" i="7"/>
  <c r="L129" i="7"/>
  <c r="L132" i="7"/>
  <c r="L136" i="7"/>
  <c r="L121" i="7"/>
  <c r="L125" i="7"/>
  <c r="X133" i="7"/>
  <c r="X137" i="7"/>
  <c r="X122" i="7"/>
  <c r="X126" i="7"/>
  <c r="X130" i="7"/>
  <c r="L119" i="7"/>
  <c r="X124" i="7"/>
  <c r="AC121" i="7"/>
  <c r="AC129" i="7"/>
  <c r="AC138" i="7"/>
  <c r="AC126" i="7"/>
  <c r="AC122" i="7"/>
  <c r="AC125" i="7"/>
  <c r="AC120" i="7"/>
  <c r="AC118" i="7"/>
  <c r="Q132" i="7"/>
  <c r="AC119" i="7"/>
  <c r="Q128" i="7"/>
  <c r="Q131" i="7"/>
  <c r="Q119" i="7"/>
  <c r="AC134" i="7"/>
  <c r="Q133" i="7"/>
  <c r="AC137" i="7"/>
  <c r="Q118" i="7"/>
  <c r="Q138" i="7"/>
  <c r="Q136" i="7"/>
  <c r="AC133" i="7"/>
  <c r="AC124" i="7"/>
  <c r="Q124" i="7"/>
  <c r="Q120" i="7"/>
  <c r="AC136" i="7"/>
  <c r="Q129" i="7"/>
  <c r="AC132" i="7"/>
  <c r="Q130" i="7"/>
  <c r="Q126" i="7"/>
  <c r="Q125" i="7"/>
  <c r="Q123" i="7"/>
  <c r="AC135" i="7"/>
  <c r="Q135" i="7"/>
  <c r="Q122" i="7"/>
  <c r="Q137" i="7"/>
  <c r="AC131" i="7"/>
  <c r="Q134" i="7"/>
  <c r="AC130" i="7"/>
  <c r="AC127" i="7"/>
  <c r="AC123" i="7"/>
  <c r="Q121" i="7"/>
  <c r="AC128" i="7"/>
  <c r="Q127" i="7"/>
  <c r="H129" i="7"/>
  <c r="G130" i="7"/>
  <c r="F131" i="7"/>
  <c r="F132" i="7"/>
  <c r="H130" i="7"/>
  <c r="G131" i="7"/>
  <c r="H131" i="7"/>
  <c r="G132" i="7"/>
  <c r="F133" i="7"/>
  <c r="H132" i="7"/>
  <c r="G133" i="7"/>
  <c r="F134" i="7"/>
  <c r="G135" i="7"/>
  <c r="H133" i="7"/>
  <c r="G134" i="7"/>
  <c r="F135" i="7"/>
  <c r="H134" i="7"/>
  <c r="H135" i="7"/>
  <c r="F129" i="7"/>
  <c r="G129" i="7"/>
  <c r="F130" i="7"/>
  <c r="H136" i="7"/>
  <c r="H137" i="7"/>
  <c r="H139" i="7"/>
  <c r="G139" i="7"/>
  <c r="G136" i="7"/>
  <c r="H138" i="7"/>
  <c r="G137" i="7"/>
  <c r="F136" i="7"/>
  <c r="F139" i="7"/>
  <c r="G138" i="7"/>
  <c r="F137" i="7"/>
  <c r="F138" i="7"/>
  <c r="R100" i="7"/>
  <c r="R113" i="7"/>
  <c r="R104" i="7"/>
  <c r="R108" i="7"/>
  <c r="R111" i="7"/>
  <c r="R112" i="7"/>
  <c r="R115" i="7"/>
  <c r="R116" i="7"/>
  <c r="R102" i="7"/>
  <c r="R101" i="7"/>
  <c r="R106" i="7"/>
  <c r="R103" i="7"/>
  <c r="R105" i="7"/>
  <c r="R110" i="7"/>
  <c r="R117" i="7"/>
  <c r="R107" i="7"/>
  <c r="R109" i="7"/>
  <c r="R114" i="7"/>
  <c r="P100" i="7"/>
  <c r="P102" i="7"/>
  <c r="P111" i="7"/>
  <c r="P104" i="7"/>
  <c r="P106" i="7"/>
  <c r="P115" i="7"/>
  <c r="P108" i="7"/>
  <c r="P110" i="7"/>
  <c r="P116" i="7"/>
  <c r="P101" i="7"/>
  <c r="P114" i="7"/>
  <c r="P105" i="7"/>
  <c r="P109" i="7"/>
  <c r="P112" i="7"/>
  <c r="P113" i="7"/>
  <c r="P103" i="7"/>
  <c r="P117" i="7"/>
  <c r="P107" i="7"/>
  <c r="N101" i="7"/>
  <c r="N105" i="7"/>
  <c r="N109" i="7"/>
  <c r="N102" i="7"/>
  <c r="N106" i="7"/>
  <c r="N110" i="7"/>
  <c r="N114" i="7"/>
  <c r="N113" i="7"/>
  <c r="N103" i="7"/>
  <c r="N107" i="7"/>
  <c r="N111" i="7"/>
  <c r="N115" i="7"/>
  <c r="N117" i="7"/>
  <c r="N100" i="7"/>
  <c r="N104" i="7"/>
  <c r="N108" i="7"/>
  <c r="N112" i="7"/>
  <c r="N116" i="7"/>
  <c r="M102" i="7"/>
  <c r="M106" i="7"/>
  <c r="M110" i="7"/>
  <c r="M114" i="7"/>
  <c r="M105" i="7"/>
  <c r="M103" i="7"/>
  <c r="M107" i="7"/>
  <c r="M111" i="7"/>
  <c r="M115" i="7"/>
  <c r="M117" i="7"/>
  <c r="M109" i="7"/>
  <c r="M100" i="7"/>
  <c r="M104" i="7"/>
  <c r="M108" i="7"/>
  <c r="M112" i="7"/>
  <c r="M116" i="7"/>
  <c r="M101" i="7"/>
  <c r="M113" i="7"/>
  <c r="S100" i="7"/>
  <c r="S103" i="7"/>
  <c r="S104" i="7"/>
  <c r="S107" i="7"/>
  <c r="S108" i="7"/>
  <c r="S102" i="7"/>
  <c r="S111" i="7"/>
  <c r="S112" i="7"/>
  <c r="S106" i="7"/>
  <c r="S113" i="7"/>
  <c r="S115" i="7"/>
  <c r="S110" i="7"/>
  <c r="S117" i="7"/>
  <c r="S116" i="7"/>
  <c r="S101" i="7"/>
  <c r="S114" i="7"/>
  <c r="S105" i="7"/>
  <c r="S109" i="7"/>
  <c r="O101" i="7"/>
  <c r="O105" i="7"/>
  <c r="O109" i="7"/>
  <c r="O113" i="7"/>
  <c r="O117" i="7"/>
  <c r="O116" i="7"/>
  <c r="O112" i="7"/>
  <c r="O102" i="7"/>
  <c r="O106" i="7"/>
  <c r="O110" i="7"/>
  <c r="O114" i="7"/>
  <c r="O104" i="7"/>
  <c r="O108" i="7"/>
  <c r="O103" i="7"/>
  <c r="O107" i="7"/>
  <c r="O111" i="7"/>
  <c r="O115" i="7"/>
  <c r="O100" i="7"/>
  <c r="H128" i="7"/>
  <c r="H124" i="7"/>
  <c r="L102" i="7"/>
  <c r="L106" i="7"/>
  <c r="L110" i="7"/>
  <c r="H140" i="7"/>
  <c r="H125" i="7"/>
  <c r="H108" i="7"/>
  <c r="H116" i="7"/>
  <c r="H105" i="7"/>
  <c r="F107" i="7"/>
  <c r="F115" i="7"/>
  <c r="F123" i="7"/>
  <c r="H107" i="7"/>
  <c r="H115" i="7"/>
  <c r="H104" i="7"/>
  <c r="F106" i="7"/>
  <c r="F114" i="7"/>
  <c r="F122" i="7"/>
  <c r="H126" i="7"/>
  <c r="L103" i="7"/>
  <c r="L107" i="7"/>
  <c r="L111" i="7"/>
  <c r="L115" i="7"/>
  <c r="H109" i="7"/>
  <c r="H117" i="7"/>
  <c r="H106" i="7"/>
  <c r="F108" i="7"/>
  <c r="F116" i="7"/>
  <c r="F124" i="7"/>
  <c r="L114" i="7"/>
  <c r="H127" i="7"/>
  <c r="H110" i="7"/>
  <c r="H118" i="7"/>
  <c r="F101" i="7"/>
  <c r="F109" i="7"/>
  <c r="F117" i="7"/>
  <c r="F125" i="7"/>
  <c r="H120" i="7"/>
  <c r="L100" i="7"/>
  <c r="L104" i="7"/>
  <c r="L108" i="7"/>
  <c r="L112" i="7"/>
  <c r="L116" i="7"/>
  <c r="H111" i="7"/>
  <c r="H119" i="7"/>
  <c r="F102" i="7"/>
  <c r="F110" i="7"/>
  <c r="F118" i="7"/>
  <c r="F126" i="7"/>
  <c r="H114" i="7"/>
  <c r="H103" i="7"/>
  <c r="F105" i="7"/>
  <c r="F113" i="7"/>
  <c r="F121" i="7"/>
  <c r="H121" i="7"/>
  <c r="H112" i="7"/>
  <c r="H101" i="7"/>
  <c r="F103" i="7"/>
  <c r="F111" i="7"/>
  <c r="F119" i="7"/>
  <c r="F127" i="7"/>
  <c r="F140" i="7"/>
  <c r="H122" i="7"/>
  <c r="L101" i="7"/>
  <c r="L105" i="7"/>
  <c r="L109" i="7"/>
  <c r="L113" i="7"/>
  <c r="L117" i="7"/>
  <c r="H113" i="7"/>
  <c r="H102" i="7"/>
  <c r="F104" i="7"/>
  <c r="F112" i="7"/>
  <c r="F120" i="7"/>
  <c r="F128" i="7"/>
  <c r="H123" i="7"/>
  <c r="Q117" i="7"/>
  <c r="Q102" i="7"/>
  <c r="Q107" i="7"/>
  <c r="Q106" i="7"/>
  <c r="Q101" i="7"/>
  <c r="Q110" i="7"/>
  <c r="Q100" i="7"/>
  <c r="Q105" i="7"/>
  <c r="Q114" i="7"/>
  <c r="Q104" i="7"/>
  <c r="Q109" i="7"/>
  <c r="Q111" i="7"/>
  <c r="Q108" i="7"/>
  <c r="Q113" i="7"/>
  <c r="Q115" i="7"/>
  <c r="Q112" i="7"/>
  <c r="Q116" i="7"/>
  <c r="Q103" i="7"/>
  <c r="G119" i="7"/>
  <c r="G121" i="7"/>
  <c r="G123" i="7"/>
  <c r="G125" i="7"/>
  <c r="G127" i="7"/>
  <c r="G140" i="7"/>
  <c r="G120" i="7"/>
  <c r="G122" i="7"/>
  <c r="G124" i="7"/>
  <c r="G126" i="7"/>
  <c r="G128" i="7"/>
  <c r="G104" i="7"/>
  <c r="G112" i="7"/>
  <c r="G113" i="7"/>
  <c r="G105" i="7"/>
  <c r="G106" i="7"/>
  <c r="G114" i="7"/>
  <c r="G107" i="7"/>
  <c r="G108" i="7"/>
  <c r="G116" i="7"/>
  <c r="G109" i="7"/>
  <c r="G117" i="7"/>
  <c r="G111" i="7"/>
  <c r="G115" i="7"/>
  <c r="G110" i="7"/>
  <c r="G118" i="7"/>
  <c r="AG14" i="7"/>
  <c r="X43" i="7"/>
  <c r="M5" i="7"/>
  <c r="M6" i="7"/>
  <c r="M7" i="7"/>
  <c r="M8" i="7"/>
  <c r="M9" i="7"/>
  <c r="M10" i="7"/>
  <c r="M11" i="7"/>
  <c r="M12" i="7"/>
  <c r="Y5" i="7"/>
  <c r="Y6" i="7"/>
  <c r="Y7" i="7"/>
  <c r="Y8" i="7"/>
  <c r="Y9" i="7"/>
  <c r="Y10" i="7"/>
  <c r="Y11" i="7"/>
  <c r="Y12" i="7"/>
  <c r="M13" i="7"/>
  <c r="M14" i="7"/>
  <c r="M15" i="7"/>
  <c r="M16" i="7"/>
  <c r="M17" i="7"/>
  <c r="M18" i="7"/>
  <c r="M19" i="7"/>
  <c r="Y13" i="7"/>
  <c r="Y14" i="7"/>
  <c r="Y15" i="7"/>
  <c r="Y16" i="7"/>
  <c r="Y17" i="7"/>
  <c r="Y18" i="7"/>
  <c r="Y19" i="7"/>
  <c r="M20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Y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M140" i="7"/>
  <c r="M4" i="7"/>
  <c r="Y115" i="7"/>
  <c r="Y116" i="7"/>
  <c r="Y117" i="7"/>
  <c r="Y140" i="7"/>
  <c r="Y4" i="7"/>
  <c r="X5" i="7"/>
  <c r="X6" i="7"/>
  <c r="X7" i="7"/>
  <c r="X8" i="7"/>
  <c r="X9" i="7"/>
  <c r="X10" i="7"/>
  <c r="X11" i="7"/>
  <c r="X12" i="7"/>
  <c r="L5" i="7"/>
  <c r="L6" i="7"/>
  <c r="L7" i="7"/>
  <c r="L8" i="7"/>
  <c r="L9" i="7"/>
  <c r="L10" i="7"/>
  <c r="L11" i="7"/>
  <c r="L12" i="7"/>
  <c r="X13" i="7"/>
  <c r="X14" i="7"/>
  <c r="X15" i="7"/>
  <c r="X16" i="7"/>
  <c r="X17" i="7"/>
  <c r="X18" i="7"/>
  <c r="X19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4" i="7"/>
  <c r="X45" i="7"/>
  <c r="X46" i="7"/>
  <c r="X47" i="7"/>
  <c r="X48" i="7"/>
  <c r="X49" i="7"/>
  <c r="X50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X113" i="7"/>
  <c r="X115" i="7"/>
  <c r="X116" i="7"/>
  <c r="X117" i="7"/>
  <c r="X140" i="7"/>
  <c r="X4" i="7"/>
  <c r="X114" i="7"/>
  <c r="L140" i="7"/>
  <c r="L4" i="7"/>
  <c r="G51" i="7"/>
  <c r="F16" i="7"/>
  <c r="F12" i="7"/>
  <c r="F8" i="7"/>
  <c r="F4" i="7"/>
  <c r="G47" i="7"/>
  <c r="G43" i="7"/>
  <c r="G39" i="7"/>
  <c r="G35" i="7"/>
  <c r="G31" i="7"/>
  <c r="G27" i="7"/>
  <c r="G23" i="7"/>
  <c r="G19" i="7"/>
  <c r="G15" i="7"/>
  <c r="G11" i="7"/>
  <c r="G7" i="7"/>
  <c r="G102" i="7"/>
  <c r="G98" i="7"/>
  <c r="G94" i="7"/>
  <c r="G90" i="7"/>
  <c r="G86" i="7"/>
  <c r="G82" i="7"/>
  <c r="G78" i="7"/>
  <c r="G74" i="7"/>
  <c r="G70" i="7"/>
  <c r="G66" i="7"/>
  <c r="G62" i="7"/>
  <c r="G58" i="7"/>
  <c r="G54" i="7"/>
  <c r="G50" i="7"/>
  <c r="F13" i="7"/>
  <c r="F9" i="7"/>
  <c r="F5" i="7"/>
  <c r="G48" i="7"/>
  <c r="G44" i="7"/>
  <c r="G40" i="7"/>
  <c r="G36" i="7"/>
  <c r="G32" i="7"/>
  <c r="G28" i="7"/>
  <c r="G24" i="7"/>
  <c r="G20" i="7"/>
  <c r="G16" i="7"/>
  <c r="G12" i="7"/>
  <c r="G8" i="7"/>
  <c r="G103" i="7"/>
  <c r="G99" i="7"/>
  <c r="G95" i="7"/>
  <c r="G91" i="7"/>
  <c r="G87" i="7"/>
  <c r="G83" i="7"/>
  <c r="G79" i="7"/>
  <c r="G75" i="7"/>
  <c r="G71" i="7"/>
  <c r="G67" i="7"/>
  <c r="G63" i="7"/>
  <c r="G59" i="7"/>
  <c r="G55" i="7"/>
  <c r="F14" i="7"/>
  <c r="F10" i="7"/>
  <c r="F6" i="7"/>
  <c r="G49" i="7"/>
  <c r="G45" i="7"/>
  <c r="G41" i="7"/>
  <c r="G37" i="7"/>
  <c r="G33" i="7"/>
  <c r="G29" i="7"/>
  <c r="G25" i="7"/>
  <c r="G21" i="7"/>
  <c r="G17" i="7"/>
  <c r="G13" i="7"/>
  <c r="G9" i="7"/>
  <c r="G5" i="7"/>
  <c r="G100" i="7"/>
  <c r="G96" i="7"/>
  <c r="G92" i="7"/>
  <c r="G88" i="7"/>
  <c r="G84" i="7"/>
  <c r="G80" i="7"/>
  <c r="G76" i="7"/>
  <c r="G72" i="7"/>
  <c r="G68" i="7"/>
  <c r="G64" i="7"/>
  <c r="G60" i="7"/>
  <c r="G56" i="7"/>
  <c r="G52" i="7"/>
  <c r="F15" i="7"/>
  <c r="F11" i="7"/>
  <c r="F7" i="7"/>
  <c r="G4" i="7"/>
  <c r="G46" i="7"/>
  <c r="G42" i="7"/>
  <c r="G38" i="7"/>
  <c r="G34" i="7"/>
  <c r="G30" i="7"/>
  <c r="G26" i="7"/>
  <c r="G22" i="7"/>
  <c r="G18" i="7"/>
  <c r="G14" i="7"/>
  <c r="G10" i="7"/>
  <c r="G6" i="7"/>
  <c r="G101" i="7"/>
  <c r="G97" i="7"/>
  <c r="G93" i="7"/>
  <c r="G89" i="7"/>
  <c r="G85" i="7"/>
  <c r="G81" i="7"/>
  <c r="G77" i="7"/>
  <c r="G73" i="7"/>
  <c r="G69" i="7"/>
  <c r="G65" i="7"/>
  <c r="G61" i="7"/>
  <c r="G57" i="7"/>
  <c r="G53" i="7"/>
  <c r="S5" i="7"/>
  <c r="S6" i="7"/>
  <c r="S7" i="7"/>
  <c r="S8" i="7"/>
  <c r="S9" i="7"/>
  <c r="S10" i="7"/>
  <c r="S11" i="7"/>
  <c r="S12" i="7"/>
  <c r="AE5" i="7"/>
  <c r="AE6" i="7"/>
  <c r="AE7" i="7"/>
  <c r="AE8" i="7"/>
  <c r="AE9" i="7"/>
  <c r="AE10" i="7"/>
  <c r="AE11" i="7"/>
  <c r="S13" i="7"/>
  <c r="S14" i="7"/>
  <c r="S15" i="7"/>
  <c r="S16" i="7"/>
  <c r="S17" i="7"/>
  <c r="S18" i="7"/>
  <c r="S19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S140" i="7"/>
  <c r="S4" i="7"/>
  <c r="AE115" i="7"/>
  <c r="AE116" i="7"/>
  <c r="AE117" i="7"/>
  <c r="AE140" i="7"/>
  <c r="AE4" i="7"/>
  <c r="U5" i="7"/>
  <c r="U6" i="7"/>
  <c r="U7" i="7"/>
  <c r="U8" i="7"/>
  <c r="U9" i="7"/>
  <c r="U10" i="7"/>
  <c r="U11" i="7"/>
  <c r="U12" i="7"/>
  <c r="AG5" i="7"/>
  <c r="AG6" i="7"/>
  <c r="AG7" i="7"/>
  <c r="AG8" i="7"/>
  <c r="AG9" i="7"/>
  <c r="AG10" i="7"/>
  <c r="AG11" i="7"/>
  <c r="U13" i="7"/>
  <c r="U14" i="7"/>
  <c r="U15" i="7"/>
  <c r="U16" i="7"/>
  <c r="U17" i="7"/>
  <c r="U18" i="7"/>
  <c r="U19" i="7"/>
  <c r="AG12" i="7"/>
  <c r="AG13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AG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U114" i="7"/>
  <c r="U115" i="7"/>
  <c r="U116" i="7"/>
  <c r="U117" i="7"/>
  <c r="U140" i="7"/>
  <c r="U4" i="7"/>
  <c r="U113" i="7"/>
  <c r="AG115" i="7"/>
  <c r="AG116" i="7"/>
  <c r="AG117" i="7"/>
  <c r="AG118" i="7"/>
  <c r="AG140" i="7"/>
  <c r="AG4" i="7"/>
  <c r="AD5" i="7"/>
  <c r="AD6" i="7"/>
  <c r="AD7" i="7"/>
  <c r="AD8" i="7"/>
  <c r="AD9" i="7"/>
  <c r="AD10" i="7"/>
  <c r="AD11" i="7"/>
  <c r="R5" i="7"/>
  <c r="R6" i="7"/>
  <c r="R7" i="7"/>
  <c r="R8" i="7"/>
  <c r="R9" i="7"/>
  <c r="R10" i="7"/>
  <c r="R11" i="7"/>
  <c r="R12" i="7"/>
  <c r="AD12" i="7"/>
  <c r="AD13" i="7"/>
  <c r="AD14" i="7"/>
  <c r="AD15" i="7"/>
  <c r="AD16" i="7"/>
  <c r="AD17" i="7"/>
  <c r="AD18" i="7"/>
  <c r="AD19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AD114" i="7"/>
  <c r="AD115" i="7"/>
  <c r="AD116" i="7"/>
  <c r="AD117" i="7"/>
  <c r="AD140" i="7"/>
  <c r="AD4" i="7"/>
  <c r="AD113" i="7"/>
  <c r="R140" i="7"/>
  <c r="R4" i="7"/>
  <c r="Q5" i="7"/>
  <c r="Q6" i="7"/>
  <c r="Q7" i="7"/>
  <c r="Q8" i="7"/>
  <c r="Q9" i="7"/>
  <c r="Q10" i="7"/>
  <c r="Q11" i="7"/>
  <c r="Q12" i="7"/>
  <c r="AC5" i="7"/>
  <c r="AC6" i="7"/>
  <c r="AC7" i="7"/>
  <c r="AC8" i="7"/>
  <c r="AC9" i="7"/>
  <c r="AC10" i="7"/>
  <c r="AC11" i="7"/>
  <c r="Q13" i="7"/>
  <c r="Q14" i="7"/>
  <c r="Q15" i="7"/>
  <c r="Q16" i="7"/>
  <c r="Q17" i="7"/>
  <c r="Q18" i="7"/>
  <c r="Q19" i="7"/>
  <c r="AC12" i="7"/>
  <c r="AC13" i="7"/>
  <c r="AC14" i="7"/>
  <c r="AC15" i="7"/>
  <c r="AC16" i="7"/>
  <c r="AC17" i="7"/>
  <c r="AC18" i="7"/>
  <c r="AC19" i="7"/>
  <c r="Q20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Q140" i="7"/>
  <c r="Q4" i="7"/>
  <c r="AC115" i="7"/>
  <c r="AC116" i="7"/>
  <c r="AC117" i="7"/>
  <c r="AC140" i="7"/>
  <c r="AC4" i="7"/>
  <c r="AB5" i="7"/>
  <c r="AB6" i="7"/>
  <c r="AB7" i="7"/>
  <c r="AB8" i="7"/>
  <c r="AB9" i="7"/>
  <c r="AB10" i="7"/>
  <c r="AB11" i="7"/>
  <c r="P5" i="7"/>
  <c r="P6" i="7"/>
  <c r="P7" i="7"/>
  <c r="P8" i="7"/>
  <c r="P9" i="7"/>
  <c r="P10" i="7"/>
  <c r="P11" i="7"/>
  <c r="P12" i="7"/>
  <c r="AB12" i="7"/>
  <c r="AB13" i="7"/>
  <c r="AB14" i="7"/>
  <c r="AB15" i="7"/>
  <c r="AB16" i="7"/>
  <c r="AB17" i="7"/>
  <c r="AB18" i="7"/>
  <c r="AB19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AB113" i="7"/>
  <c r="AB115" i="7"/>
  <c r="AB116" i="7"/>
  <c r="AB117" i="7"/>
  <c r="AB140" i="7"/>
  <c r="AB4" i="7"/>
  <c r="AB114" i="7"/>
  <c r="P140" i="7"/>
  <c r="P4" i="7"/>
  <c r="O5" i="7"/>
  <c r="O6" i="7"/>
  <c r="O7" i="7"/>
  <c r="O8" i="7"/>
  <c r="O9" i="7"/>
  <c r="O10" i="7"/>
  <c r="O11" i="7"/>
  <c r="O12" i="7"/>
  <c r="AA5" i="7"/>
  <c r="AA6" i="7"/>
  <c r="AA7" i="7"/>
  <c r="AA8" i="7"/>
  <c r="AA9" i="7"/>
  <c r="AA10" i="7"/>
  <c r="AA11" i="7"/>
  <c r="O13" i="7"/>
  <c r="O14" i="7"/>
  <c r="O15" i="7"/>
  <c r="O16" i="7"/>
  <c r="O17" i="7"/>
  <c r="O18" i="7"/>
  <c r="O19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O140" i="7"/>
  <c r="O4" i="7"/>
  <c r="AA115" i="7"/>
  <c r="AA116" i="7"/>
  <c r="AA117" i="7"/>
  <c r="AA140" i="7"/>
  <c r="AA4" i="7"/>
  <c r="Z5" i="7"/>
  <c r="Z6" i="7"/>
  <c r="Z7" i="7"/>
  <c r="Z8" i="7"/>
  <c r="Z9" i="7"/>
  <c r="Z10" i="7"/>
  <c r="Z11" i="7"/>
  <c r="Z12" i="7"/>
  <c r="N5" i="7"/>
  <c r="N6" i="7"/>
  <c r="N7" i="7"/>
  <c r="N8" i="7"/>
  <c r="N9" i="7"/>
  <c r="N10" i="7"/>
  <c r="N11" i="7"/>
  <c r="N12" i="7"/>
  <c r="Z13" i="7"/>
  <c r="Z14" i="7"/>
  <c r="Z15" i="7"/>
  <c r="Z16" i="7"/>
  <c r="Z17" i="7"/>
  <c r="Z18" i="7"/>
  <c r="Z19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Z114" i="7"/>
  <c r="Z115" i="7"/>
  <c r="Z116" i="7"/>
  <c r="Z117" i="7"/>
  <c r="Z140" i="7"/>
  <c r="Z4" i="7"/>
  <c r="Z113" i="7"/>
  <c r="N140" i="7"/>
  <c r="N4" i="7"/>
  <c r="AF5" i="7"/>
  <c r="AF6" i="7"/>
  <c r="AF7" i="7"/>
  <c r="AF8" i="7"/>
  <c r="AF9" i="7"/>
  <c r="AF10" i="7"/>
  <c r="AF11" i="7"/>
  <c r="T5" i="7"/>
  <c r="T6" i="7"/>
  <c r="T7" i="7"/>
  <c r="T8" i="7"/>
  <c r="T9" i="7"/>
  <c r="T10" i="7"/>
  <c r="T11" i="7"/>
  <c r="T12" i="7"/>
  <c r="AF12" i="7"/>
  <c r="AF13" i="7"/>
  <c r="AF14" i="7"/>
  <c r="AF15" i="7"/>
  <c r="AF16" i="7"/>
  <c r="AF17" i="7"/>
  <c r="AF18" i="7"/>
  <c r="AF19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AF113" i="7"/>
  <c r="AF115" i="7"/>
  <c r="AF116" i="7"/>
  <c r="AF117" i="7"/>
  <c r="AF118" i="7"/>
  <c r="AF140" i="7"/>
  <c r="AF4" i="7"/>
  <c r="AF114" i="7"/>
  <c r="T115" i="7"/>
  <c r="T116" i="7"/>
  <c r="T117" i="7"/>
  <c r="T140" i="7"/>
  <c r="T4" i="7"/>
  <c r="F18" i="7"/>
  <c r="F22" i="7"/>
  <c r="F26" i="7"/>
  <c r="F30" i="7"/>
  <c r="F34" i="7"/>
  <c r="F17" i="7"/>
  <c r="F31" i="7"/>
  <c r="F27" i="7"/>
  <c r="F36" i="7"/>
  <c r="F40" i="7"/>
  <c r="F44" i="7"/>
  <c r="F48" i="7"/>
  <c r="F52" i="7"/>
  <c r="F56" i="7"/>
  <c r="F60" i="7"/>
  <c r="F64" i="7"/>
  <c r="F68" i="7"/>
  <c r="F72" i="7"/>
  <c r="F76" i="7"/>
  <c r="F80" i="7"/>
  <c r="F84" i="7"/>
  <c r="F88" i="7"/>
  <c r="F92" i="7"/>
  <c r="F96" i="7"/>
  <c r="F100" i="7"/>
  <c r="F73" i="7"/>
  <c r="F85" i="7"/>
  <c r="F97" i="7"/>
  <c r="F33" i="7"/>
  <c r="F20" i="7"/>
  <c r="F42" i="7"/>
  <c r="F54" i="7"/>
  <c r="F66" i="7"/>
  <c r="F78" i="7"/>
  <c r="F90" i="7"/>
  <c r="F23" i="7"/>
  <c r="F32" i="7"/>
  <c r="F28" i="7"/>
  <c r="F41" i="7"/>
  <c r="F49" i="7"/>
  <c r="F57" i="7"/>
  <c r="F65" i="7"/>
  <c r="F77" i="7"/>
  <c r="F89" i="7"/>
  <c r="F24" i="7"/>
  <c r="F29" i="7"/>
  <c r="F46" i="7"/>
  <c r="F58" i="7"/>
  <c r="F70" i="7"/>
  <c r="F82" i="7"/>
  <c r="F94" i="7"/>
  <c r="F43" i="7"/>
  <c r="F55" i="7"/>
  <c r="F63" i="7"/>
  <c r="F71" i="7"/>
  <c r="F75" i="7"/>
  <c r="F83" i="7"/>
  <c r="F91" i="7"/>
  <c r="F99" i="7"/>
  <c r="F19" i="7"/>
  <c r="F37" i="7"/>
  <c r="F45" i="7"/>
  <c r="F53" i="7"/>
  <c r="F61" i="7"/>
  <c r="F69" i="7"/>
  <c r="F81" i="7"/>
  <c r="F93" i="7"/>
  <c r="F38" i="7"/>
  <c r="F50" i="7"/>
  <c r="F62" i="7"/>
  <c r="F74" i="7"/>
  <c r="F86" i="7"/>
  <c r="F98" i="7"/>
  <c r="F25" i="7"/>
  <c r="F21" i="7"/>
  <c r="F35" i="7"/>
  <c r="F39" i="7"/>
  <c r="F47" i="7"/>
  <c r="F51" i="7"/>
  <c r="F59" i="7"/>
  <c r="F67" i="7"/>
  <c r="F79" i="7"/>
  <c r="F87" i="7"/>
  <c r="F95" i="7"/>
  <c r="H100" i="7"/>
  <c r="H11" i="7"/>
  <c r="H19" i="7"/>
  <c r="H27" i="7"/>
  <c r="H35" i="7"/>
  <c r="H43" i="7"/>
  <c r="H51" i="7"/>
  <c r="H59" i="7"/>
  <c r="H67" i="7"/>
  <c r="H75" i="7"/>
  <c r="H91" i="7"/>
  <c r="H36" i="7"/>
  <c r="H60" i="7"/>
  <c r="H84" i="7"/>
  <c r="H53" i="7"/>
  <c r="H85" i="7"/>
  <c r="H12" i="7"/>
  <c r="H20" i="7"/>
  <c r="H28" i="7"/>
  <c r="H52" i="7"/>
  <c r="H76" i="7"/>
  <c r="H69" i="7"/>
  <c r="H5" i="7"/>
  <c r="H13" i="7"/>
  <c r="H21" i="7"/>
  <c r="H29" i="7"/>
  <c r="H37" i="7"/>
  <c r="H45" i="7"/>
  <c r="H77" i="7"/>
  <c r="H6" i="7"/>
  <c r="H14" i="7"/>
  <c r="H22" i="7"/>
  <c r="H30" i="7"/>
  <c r="H38" i="7"/>
  <c r="H46" i="7"/>
  <c r="H54" i="7"/>
  <c r="H62" i="7"/>
  <c r="H70" i="7"/>
  <c r="H78" i="7"/>
  <c r="H86" i="7"/>
  <c r="H94" i="7"/>
  <c r="H79" i="7"/>
  <c r="H95" i="7"/>
  <c r="H40" i="7"/>
  <c r="H64" i="7"/>
  <c r="H88" i="7"/>
  <c r="H49" i="7"/>
  <c r="H81" i="7"/>
  <c r="H7" i="7"/>
  <c r="H15" i="7"/>
  <c r="H23" i="7"/>
  <c r="H31" i="7"/>
  <c r="H39" i="7"/>
  <c r="H47" i="7"/>
  <c r="H55" i="7"/>
  <c r="H63" i="7"/>
  <c r="H71" i="7"/>
  <c r="H87" i="7"/>
  <c r="H32" i="7"/>
  <c r="H56" i="7"/>
  <c r="H80" i="7"/>
  <c r="H65" i="7"/>
  <c r="H97" i="7"/>
  <c r="H8" i="7"/>
  <c r="H16" i="7"/>
  <c r="H24" i="7"/>
  <c r="H48" i="7"/>
  <c r="H72" i="7"/>
  <c r="H96" i="7"/>
  <c r="H73" i="7"/>
  <c r="H9" i="7"/>
  <c r="H17" i="7"/>
  <c r="H25" i="7"/>
  <c r="H33" i="7"/>
  <c r="H41" i="7"/>
  <c r="H57" i="7"/>
  <c r="H89" i="7"/>
  <c r="H10" i="7"/>
  <c r="H18" i="7"/>
  <c r="H26" i="7"/>
  <c r="H34" i="7"/>
  <c r="H42" i="7"/>
  <c r="H50" i="7"/>
  <c r="H58" i="7"/>
  <c r="H66" i="7"/>
  <c r="H74" i="7"/>
  <c r="H82" i="7"/>
  <c r="H90" i="7"/>
  <c r="H98" i="7"/>
  <c r="H83" i="7"/>
  <c r="H99" i="7"/>
  <c r="H44" i="7"/>
  <c r="H68" i="7"/>
  <c r="H92" i="7"/>
  <c r="H61" i="7"/>
  <c r="H93" i="7"/>
  <c r="H4" i="7"/>
  <c r="R142" i="7" l="1"/>
  <c r="N183" i="6" s="1"/>
  <c r="AC142" i="7"/>
  <c r="T142" i="7"/>
  <c r="N142" i="7"/>
  <c r="AA142" i="7"/>
  <c r="P142" i="7"/>
  <c r="AG142" i="7"/>
  <c r="AE142" i="7"/>
  <c r="L142" i="7"/>
  <c r="Y142" i="7"/>
  <c r="O142" i="7"/>
  <c r="AB142" i="7"/>
  <c r="Q142" i="7"/>
  <c r="AD142" i="7"/>
  <c r="S142" i="7"/>
  <c r="X142" i="7"/>
  <c r="M142" i="7"/>
  <c r="AF142" i="7"/>
  <c r="Z142" i="7"/>
  <c r="U142" i="7"/>
  <c r="H142" i="7"/>
  <c r="D1" i="14" l="1"/>
  <c r="H144" i="7"/>
</calcChain>
</file>

<file path=xl/sharedStrings.xml><?xml version="1.0" encoding="utf-8"?>
<sst xmlns="http://schemas.openxmlformats.org/spreadsheetml/2006/main" count="6968" uniqueCount="1726">
  <si>
    <t>تاریخ بررسی :</t>
  </si>
  <si>
    <t>تاریخ تولد :</t>
  </si>
  <si>
    <t>دختر</t>
  </si>
  <si>
    <t>محل صدور:</t>
  </si>
  <si>
    <t>تلفن :</t>
  </si>
  <si>
    <t>پست الکترونیکی :</t>
  </si>
  <si>
    <t>سوابق بیماری</t>
  </si>
  <si>
    <t>آزمایشات یا چکاپ پزشکی</t>
  </si>
  <si>
    <t>رشته تحصیلی :</t>
  </si>
  <si>
    <t>دهم</t>
  </si>
  <si>
    <t>یازدهم</t>
  </si>
  <si>
    <t>دوازدهم</t>
  </si>
  <si>
    <t>استعداد :</t>
  </si>
  <si>
    <t>علاقه مندی :</t>
  </si>
  <si>
    <t>k1</t>
  </si>
  <si>
    <t>m1</t>
  </si>
  <si>
    <t>کد مددجو</t>
  </si>
  <si>
    <t>هزینه کلی موسسه</t>
  </si>
  <si>
    <t>هزینه کلی به مددجویان</t>
  </si>
  <si>
    <t>نام  و نام خانوادگی</t>
  </si>
  <si>
    <t>ریحانه نوری شفیق</t>
  </si>
  <si>
    <t>ریحانه طراقی فرد</t>
  </si>
  <si>
    <t>زهرا قهستانی</t>
  </si>
  <si>
    <t>مهلا قهستانی</t>
  </si>
  <si>
    <t>رقیه رضاپور</t>
  </si>
  <si>
    <t>راضیه رضاپور</t>
  </si>
  <si>
    <t>ربابه رضاپور</t>
  </si>
  <si>
    <t>پریسا اعتمادمنش</t>
  </si>
  <si>
    <t>فاطمه موسوی</t>
  </si>
  <si>
    <t>مریم رحمانی</t>
  </si>
  <si>
    <t>ناهید کمالی گروی</t>
  </si>
  <si>
    <t>الهام صمدی</t>
  </si>
  <si>
    <t>کوثر مولایی</t>
  </si>
  <si>
    <t>زهرا تاتاری</t>
  </si>
  <si>
    <t>یگانه رجایی سمرا</t>
  </si>
  <si>
    <t>یگانه خرمند سنجدبوری</t>
  </si>
  <si>
    <t>کوثر فارقی</t>
  </si>
  <si>
    <t>ریحانه نجفی</t>
  </si>
  <si>
    <t>نادیا احمدی</t>
  </si>
  <si>
    <t>پری زارع</t>
  </si>
  <si>
    <t>ملبکا نماز</t>
  </si>
  <si>
    <t>مهدبار نماز</t>
  </si>
  <si>
    <t>محمدرضا سروری</t>
  </si>
  <si>
    <t>کمیل سروری</t>
  </si>
  <si>
    <t>مبینا عباسی</t>
  </si>
  <si>
    <t>1385/05/06</t>
  </si>
  <si>
    <t>1386/05/13</t>
  </si>
  <si>
    <t>1386/01/04</t>
  </si>
  <si>
    <t>1386/05/30</t>
  </si>
  <si>
    <t>1386/01/18</t>
  </si>
  <si>
    <t>1385/06/28</t>
  </si>
  <si>
    <t>1384/02/04</t>
  </si>
  <si>
    <t>1383/09/14</t>
  </si>
  <si>
    <t>1385/09/18</t>
  </si>
  <si>
    <t>1385/02/06</t>
  </si>
  <si>
    <t>1385/12/15</t>
  </si>
  <si>
    <t>1384/10/21</t>
  </si>
  <si>
    <t>1385/11/02</t>
  </si>
  <si>
    <t>1384/09/09</t>
  </si>
  <si>
    <t>1395/03/29</t>
  </si>
  <si>
    <t>1390/09/24</t>
  </si>
  <si>
    <t>محل تولد</t>
  </si>
  <si>
    <t>مشهد</t>
  </si>
  <si>
    <t>افغانستان</t>
  </si>
  <si>
    <t>تهران</t>
  </si>
  <si>
    <t>شیروان</t>
  </si>
  <si>
    <t>تربت حیدریه</t>
  </si>
  <si>
    <t>نام پدر</t>
  </si>
  <si>
    <t>عبدالحکیم</t>
  </si>
  <si>
    <t>علی اکبر</t>
  </si>
  <si>
    <t>مجتبی</t>
  </si>
  <si>
    <t>حسین</t>
  </si>
  <si>
    <t>محمدرضا</t>
  </si>
  <si>
    <t>محمد</t>
  </si>
  <si>
    <t>میرحسین</t>
  </si>
  <si>
    <t>نعمت الله</t>
  </si>
  <si>
    <t>مهدی</t>
  </si>
  <si>
    <t>حسين</t>
  </si>
  <si>
    <t>سید حسين</t>
  </si>
  <si>
    <t>احمد</t>
  </si>
  <si>
    <t>غلامعلی</t>
  </si>
  <si>
    <t>جواد</t>
  </si>
  <si>
    <t>نام مادر</t>
  </si>
  <si>
    <t>آمنه قابمی</t>
  </si>
  <si>
    <t>فرزانه صدیقی</t>
  </si>
  <si>
    <t>عصمت قربانی</t>
  </si>
  <si>
    <t>زهرا مختاری</t>
  </si>
  <si>
    <t>-</t>
  </si>
  <si>
    <t>مرجان عمرانی</t>
  </si>
  <si>
    <t>جنسیت</t>
  </si>
  <si>
    <t>پسر</t>
  </si>
  <si>
    <t>شماره ملی / شماره شناسنامه</t>
  </si>
  <si>
    <t>0927335204-</t>
  </si>
  <si>
    <t>0928394174-</t>
  </si>
  <si>
    <t>0025909738-</t>
  </si>
  <si>
    <t>0928551113-</t>
  </si>
  <si>
    <t>0927912678-</t>
  </si>
  <si>
    <t>0928729826-</t>
  </si>
  <si>
    <t>0950047384-</t>
  </si>
  <si>
    <t>0929731451-</t>
  </si>
  <si>
    <t>0820611743-</t>
  </si>
  <si>
    <t>0970439210-</t>
  </si>
  <si>
    <t>معرف</t>
  </si>
  <si>
    <t>مدرسه حضرت خدیجه</t>
  </si>
  <si>
    <t>مدرسه آرمیتا مصلی نژاد- ناحیه تباتکان</t>
  </si>
  <si>
    <t>دبیرستان شاهد</t>
  </si>
  <si>
    <t>خانم سمییعی</t>
  </si>
  <si>
    <t>دبیرستان رستگارمقدم</t>
  </si>
  <si>
    <t>دبیرستان خدیجه</t>
  </si>
  <si>
    <t>مسعود خازنی</t>
  </si>
  <si>
    <t>خانم اورلی</t>
  </si>
  <si>
    <t>تاریخ شروع خدمات</t>
  </si>
  <si>
    <t>آدرس محل سکونت</t>
  </si>
  <si>
    <t>رسالت 136- خیابان امام خمینی- امام خمینی 2 پلاک 36</t>
  </si>
  <si>
    <t>رسالت 136- خیابان امام خمینی- امام خمینی 21- شهریار 4- پلاک 27</t>
  </si>
  <si>
    <t>رسالت 136- خیابان امام خمینی- امام خمینی 3- رخش بهار 8- پلاک 37</t>
  </si>
  <si>
    <t>رسالت 136- خیابان امام خمینی- امام خمینی 12- پلاک 6</t>
  </si>
  <si>
    <t>رسالت 134- خیابان شهید غلامی-کنار مسجد سیداشهدا</t>
  </si>
  <si>
    <t>توس 33- شکری 2- وسط کوچه- سمت راست- منزل نیمه کاره</t>
  </si>
  <si>
    <t>کشمیری 36- بعد از چهارراه اول پلاک 39</t>
  </si>
  <si>
    <t>رسالت 120- رجایی 6- پلاک 45</t>
  </si>
  <si>
    <t>غلامی 18- پلاک 21</t>
  </si>
  <si>
    <t>توس 97- الزهرا 10- ... 17- پلاک 38</t>
  </si>
  <si>
    <t>تربت حیدریه - روستای قلعه حسن خان</t>
  </si>
  <si>
    <t>توس 43 - غلامی 6- رادمرد 7 - انتهای کوچه سمت راست</t>
  </si>
  <si>
    <t>حر 13- کوچه 54- سردرب منزل(دعای کمیل)</t>
  </si>
  <si>
    <t>پنجتن 3- سلمان 6- پلاک 43</t>
  </si>
  <si>
    <t>حر 56</t>
  </si>
  <si>
    <t>رسالت 71 - درب قهوه ای - پلاک 23</t>
  </si>
  <si>
    <t>چهارراه مقدم - پروین اعتصامی 8- سلیمانی منش 10- پلاک 405</t>
  </si>
  <si>
    <t>کد پستی محل سکونت :</t>
  </si>
  <si>
    <t>معرفی توسط :</t>
  </si>
  <si>
    <t>خانم توکلی</t>
  </si>
  <si>
    <t>خانم ارمغان</t>
  </si>
  <si>
    <t>آقای نقیبی</t>
  </si>
  <si>
    <t>9228665372- 09357415452-09302849676</t>
  </si>
  <si>
    <t>9229983735- 09017614576-09157171782-09333752599</t>
  </si>
  <si>
    <t>03978969874-</t>
  </si>
  <si>
    <t>09380617293-09397976616-09057403341</t>
  </si>
  <si>
    <t>09152067310-09908878616</t>
  </si>
  <si>
    <t>09150090658-09156484356-09159095701</t>
  </si>
  <si>
    <t>09053110021-09398957719</t>
  </si>
  <si>
    <t>09945192457-0998177165</t>
  </si>
  <si>
    <t>09397686036-09353218951</t>
  </si>
  <si>
    <t>09046651101-09156286174</t>
  </si>
  <si>
    <t>09305985396-09360554032-09300610960</t>
  </si>
  <si>
    <t>09352584850-09156019826-09152548041</t>
  </si>
  <si>
    <t>09915317983-09352523868</t>
  </si>
  <si>
    <t>09159140096-09945583303</t>
  </si>
  <si>
    <t>09051762599-</t>
  </si>
  <si>
    <t xml:space="preserve">مقطع تحصیلی : </t>
  </si>
  <si>
    <t>دبیرستان سال یازدهم</t>
  </si>
  <si>
    <t>دبیرستان سال دهم</t>
  </si>
  <si>
    <t>دبیرستان سال دوازدهم</t>
  </si>
  <si>
    <t>دبستان کلاس اول</t>
  </si>
  <si>
    <t>دبستان کلاس پنجم</t>
  </si>
  <si>
    <t>دبستان کلاس چهارم</t>
  </si>
  <si>
    <t>ریاضی</t>
  </si>
  <si>
    <t>انسانی</t>
  </si>
  <si>
    <t>تجربی</t>
  </si>
  <si>
    <t xml:space="preserve">معدل : </t>
  </si>
  <si>
    <t>18/22</t>
  </si>
  <si>
    <t>19/62</t>
  </si>
  <si>
    <t>19/48</t>
  </si>
  <si>
    <t>19/24</t>
  </si>
  <si>
    <t>19/05</t>
  </si>
  <si>
    <t>17/99</t>
  </si>
  <si>
    <t>18/99</t>
  </si>
  <si>
    <t>18/68</t>
  </si>
  <si>
    <t>18/74</t>
  </si>
  <si>
    <t>18/47</t>
  </si>
  <si>
    <t>19/88</t>
  </si>
  <si>
    <t>18/10</t>
  </si>
  <si>
    <t>18/55</t>
  </si>
  <si>
    <t>19/02</t>
  </si>
  <si>
    <t>19/83</t>
  </si>
  <si>
    <t>خیلی خوب</t>
  </si>
  <si>
    <t>آدرس  محل تحصیل:</t>
  </si>
  <si>
    <t>مدرسه حضرت خدیجه- ناحیه تباتکان</t>
  </si>
  <si>
    <t>دبیرستان نرجس دولت آباد</t>
  </si>
  <si>
    <t>دبیرستان رستگار مقدم</t>
  </si>
  <si>
    <t>مدرسه بعثت</t>
  </si>
  <si>
    <t>مدرسه بهادرزاده</t>
  </si>
  <si>
    <t>تلفن محل تحصیل:</t>
  </si>
  <si>
    <t>زبان انگلیسی و کره ای</t>
  </si>
  <si>
    <t>کارآفرینی</t>
  </si>
  <si>
    <t>علاقمند به دبیری</t>
  </si>
  <si>
    <t>تحصیل در دانشگاه فرهنگیان</t>
  </si>
  <si>
    <t>علاقمند به رشته پزشکی</t>
  </si>
  <si>
    <t>علاقمند به رشته مهندسی کامپیوتر</t>
  </si>
  <si>
    <t>علاقمند به رشته وکالت</t>
  </si>
  <si>
    <t xml:space="preserve">علاقمند به </t>
  </si>
  <si>
    <t>علاقمند به پزشکی</t>
  </si>
  <si>
    <t>علاقمندی ندارد</t>
  </si>
  <si>
    <t>علاقمندی به پزشکی</t>
  </si>
  <si>
    <t>علاقمندی به گرافیک</t>
  </si>
  <si>
    <t>1401/06/15</t>
  </si>
  <si>
    <t>افسردگی و ناامیدی شدید</t>
  </si>
  <si>
    <t>توضیحات بیماری:</t>
  </si>
  <si>
    <t>ندارد</t>
  </si>
  <si>
    <t>افسردگی شدید</t>
  </si>
  <si>
    <t>دندانهایش توسط دکتر محسنیان عصب کشی گردید</t>
  </si>
  <si>
    <t>توضیحات آزمایش یا چکاپ :</t>
  </si>
  <si>
    <t>نیاز به خدمات خاصی</t>
  </si>
  <si>
    <t>در درس ریاضی احتیاج به کمک دارد.</t>
  </si>
  <si>
    <t>کتابهای کمک آموزشی لازم دارد</t>
  </si>
  <si>
    <t>سمعک لازم دارد</t>
  </si>
  <si>
    <t>توضیحات خدمات :</t>
  </si>
  <si>
    <t>نداد</t>
  </si>
  <si>
    <t>‍‍</t>
  </si>
  <si>
    <t>ردیف</t>
  </si>
  <si>
    <t>kkkk</t>
  </si>
  <si>
    <t>Column1</t>
  </si>
  <si>
    <t>کد</t>
  </si>
  <si>
    <t>نام ونام خانوادگی</t>
  </si>
  <si>
    <t>شرح هزینه</t>
  </si>
  <si>
    <t>تاریخ  هزینه</t>
  </si>
  <si>
    <t>شماره فیش</t>
  </si>
  <si>
    <t>مبلغ هزینه کرد</t>
  </si>
  <si>
    <t>1401/03/25</t>
  </si>
  <si>
    <t>1401/03/28</t>
  </si>
  <si>
    <t>خرید لباس فرم مدرسه</t>
  </si>
  <si>
    <t>1401/04/01</t>
  </si>
  <si>
    <t xml:space="preserve">خرید لباس فرم مدرسه </t>
  </si>
  <si>
    <t xml:space="preserve"> ثبت نام مدرسه</t>
  </si>
  <si>
    <t>کارمزد پیامک بانک</t>
  </si>
  <si>
    <t>1401/04/07</t>
  </si>
  <si>
    <t>خرید شیرینی برای بازدید از منازل</t>
  </si>
  <si>
    <t>1401/05/10</t>
  </si>
  <si>
    <t>خرید پنکه پایه دار</t>
  </si>
  <si>
    <t>1401/05/12</t>
  </si>
  <si>
    <t>هزینه پیک موتوری</t>
  </si>
  <si>
    <t xml:space="preserve">هزینه خرید گوشت و مرغ </t>
  </si>
  <si>
    <t>هزینه تعمیر گازمدرسه رستگار مقدم</t>
  </si>
  <si>
    <t>1401/06/14</t>
  </si>
  <si>
    <t>هزینه خرید گل آرمین متقی(توسط فرید برهان علمی)</t>
  </si>
  <si>
    <t>1401/06/12</t>
  </si>
  <si>
    <t>بابت پرینت تراکنشهای بانکی</t>
  </si>
  <si>
    <t>هزینه ثبت نام مدرسه مصلی نژاد</t>
  </si>
  <si>
    <t>1401/06/17</t>
  </si>
  <si>
    <t>خرید آذوقه برای 5 خانواده از مددجوها</t>
  </si>
  <si>
    <t>1401/06/23</t>
  </si>
  <si>
    <t>هزینه کرایه وانت جهت حمل به انبار(توسط بهنام بهرمن)</t>
  </si>
  <si>
    <t>1401/05/15</t>
  </si>
  <si>
    <t>تسویه هزینه تعمیر گازمدرسه رستگار مقدم</t>
  </si>
  <si>
    <t>خریدلوازم تحریر کودکان خیریه مهبد(ضرابی)</t>
  </si>
  <si>
    <t>خریدلوازم تحریر کودکان</t>
  </si>
  <si>
    <t>خرید کوله پشتی بچه ها</t>
  </si>
  <si>
    <t>سرویس ماشین لباسشویی مدرسه رستگارمقدم</t>
  </si>
  <si>
    <t>1401/06/24</t>
  </si>
  <si>
    <t xml:space="preserve">خرید کفش </t>
  </si>
  <si>
    <t>1401/06/29</t>
  </si>
  <si>
    <t>هزینه تعمیر جاروبرقی مدرسه رستگار مقدم(از کارت خودم پرداخت کرده بودم و جابجا کردم)</t>
  </si>
  <si>
    <t>1401/06/30</t>
  </si>
  <si>
    <t>خرید کارت تبریک و ....</t>
  </si>
  <si>
    <t>خرید لوازم التحریر برای خواهرش</t>
  </si>
  <si>
    <t>1401/06/31</t>
  </si>
  <si>
    <t>1401/07/02</t>
  </si>
  <si>
    <t xml:space="preserve">هزینه شنوایی سنجی </t>
  </si>
  <si>
    <t>1401/07/04</t>
  </si>
  <si>
    <t xml:space="preserve">الباقی هزینه شنوایی سنجی </t>
  </si>
  <si>
    <t>دارو</t>
  </si>
  <si>
    <t>هزینه مشاور تحصیلی آقای سرگلزایی</t>
  </si>
  <si>
    <t>1401/07/07</t>
  </si>
  <si>
    <t xml:space="preserve">خرید پاسخ برگ </t>
  </si>
  <si>
    <t>هزینه کلاس کنکور</t>
  </si>
  <si>
    <t>1401/07/11</t>
  </si>
  <si>
    <t>واریز بابت مابع التفاوت کلاس کنکور به کارت مادرش</t>
  </si>
  <si>
    <t>هزینه کتاب کمک درسی</t>
  </si>
  <si>
    <t>هزینه ایاب و ذهاب کلاس کنکور</t>
  </si>
  <si>
    <t>کتابهای کمک درسی</t>
  </si>
  <si>
    <t>1401/07/13</t>
  </si>
  <si>
    <t>کتابهای کمک درسی متعلق به خانم اورلی</t>
  </si>
  <si>
    <t>هزینه رادیولوژی دندان</t>
  </si>
  <si>
    <t>1401/07/10</t>
  </si>
  <si>
    <t>واریز بدهی خانم اورلی به بنیاد</t>
  </si>
  <si>
    <t>خرید لباس فرم مدرسه(به حساب پدرش واریز شد)</t>
  </si>
  <si>
    <t>1401/07/19</t>
  </si>
  <si>
    <t>هزینه ایاب و ذهاب به دندان پزشکی</t>
  </si>
  <si>
    <t>1401/07/21</t>
  </si>
  <si>
    <t>هزینه کتاب کمک درسی مدرسه خدیجه</t>
  </si>
  <si>
    <t>1401/07/22</t>
  </si>
  <si>
    <t xml:space="preserve">هزینه کتاب کمک درسی </t>
  </si>
  <si>
    <t>1401/07/26</t>
  </si>
  <si>
    <t>1401/08/04</t>
  </si>
  <si>
    <t>1401/08/09</t>
  </si>
  <si>
    <t>هزینه انتقال پول به کارتهای فروشگاهها</t>
  </si>
  <si>
    <t>1401/08/14</t>
  </si>
  <si>
    <t>1401/08/15</t>
  </si>
  <si>
    <t>ایاب و ذهاب به مدرسه</t>
  </si>
  <si>
    <t>1401/08/16</t>
  </si>
  <si>
    <t xml:space="preserve">هزینه کتاب متفرقه </t>
  </si>
  <si>
    <t>1401/08/19</t>
  </si>
  <si>
    <t>هزینه نهار(از کارت فریدبرهان علمی)</t>
  </si>
  <si>
    <t>1401/08/20</t>
  </si>
  <si>
    <t>1401/08/21</t>
  </si>
  <si>
    <t>هزینه کارگر روزمزد جهت مرتب کردن انبار(از کارت فریدبرهان علمی)</t>
  </si>
  <si>
    <t>1401/08/13</t>
  </si>
  <si>
    <t>فتوکپی</t>
  </si>
  <si>
    <t>1401/08/24</t>
  </si>
  <si>
    <t>هزینه شنوایی سنجی محمدطاها حسینی</t>
  </si>
  <si>
    <t>هزینه شنوایی سنجی عدنان ریگی</t>
  </si>
  <si>
    <t>قطره گوش عدنان ریگی (از کارت فریدبرهان علمی)</t>
  </si>
  <si>
    <t>هزینه بانکداری</t>
  </si>
  <si>
    <t>هزینه شنوایی سنجی کمند کامرانی(مدرسه رستگار)</t>
  </si>
  <si>
    <t>1401/09/03</t>
  </si>
  <si>
    <t>هزینه کتاب کمک درسی مدرسه خدیجه(به توصیه خانم قوامی مشاور تحصیلی)</t>
  </si>
  <si>
    <t>1401/09/09</t>
  </si>
  <si>
    <t xml:space="preserve">هزینه کتاب نجوم </t>
  </si>
  <si>
    <t>هزینه ثبت نام مدرسه مصلی نژاد و کلاس تقویتی</t>
  </si>
  <si>
    <t>1401/08/25</t>
  </si>
  <si>
    <t>هزینه شنوایی سنجی نیایش موسوی</t>
  </si>
  <si>
    <t>1401/08/30</t>
  </si>
  <si>
    <t>کمک به بابای مدرسه خدیجه</t>
  </si>
  <si>
    <t>جمع کل</t>
  </si>
  <si>
    <t>کل مانده</t>
  </si>
  <si>
    <t>نام و نام خانوادگی</t>
  </si>
  <si>
    <t>`</t>
  </si>
  <si>
    <t>نام</t>
  </si>
  <si>
    <t>نام خانوادگی</t>
  </si>
  <si>
    <t>تاریخ  واریزی</t>
  </si>
  <si>
    <t>شماره کارت</t>
  </si>
  <si>
    <t>ماه</t>
  </si>
  <si>
    <t>Column2</t>
  </si>
  <si>
    <t>سال</t>
  </si>
  <si>
    <t>مبلغ واریزی</t>
  </si>
  <si>
    <t>توضیحات ‍‍‍‍</t>
  </si>
  <si>
    <t>ok</t>
  </si>
  <si>
    <t>اکبر</t>
  </si>
  <si>
    <t>قدس روحانی</t>
  </si>
  <si>
    <t>1401/03/21</t>
  </si>
  <si>
    <t>خرداد</t>
  </si>
  <si>
    <t>فروردین</t>
  </si>
  <si>
    <t xml:space="preserve">بهنام </t>
  </si>
  <si>
    <t>بهرمن</t>
  </si>
  <si>
    <t>1401/03/23</t>
  </si>
  <si>
    <t>خاتم عطیه نادری</t>
  </si>
  <si>
    <t>اردیبهشت</t>
  </si>
  <si>
    <t>فرید</t>
  </si>
  <si>
    <t>برهان علمی</t>
  </si>
  <si>
    <t>فرهنگ</t>
  </si>
  <si>
    <t>بهلول</t>
  </si>
  <si>
    <t>1401/03/24</t>
  </si>
  <si>
    <t>تیر</t>
  </si>
  <si>
    <t>مسعود</t>
  </si>
  <si>
    <t>مهدیزاده</t>
  </si>
  <si>
    <t>مرداد</t>
  </si>
  <si>
    <t>صنوبری</t>
  </si>
  <si>
    <t>شهریور</t>
  </si>
  <si>
    <t xml:space="preserve">احسان </t>
  </si>
  <si>
    <t>خدیوی</t>
  </si>
  <si>
    <t>مهر</t>
  </si>
  <si>
    <t>داوود</t>
  </si>
  <si>
    <t>بامیری</t>
  </si>
  <si>
    <t>آبان</t>
  </si>
  <si>
    <t xml:space="preserve">مجتبی </t>
  </si>
  <si>
    <t>حسن آبادی</t>
  </si>
  <si>
    <t>آذر</t>
  </si>
  <si>
    <t xml:space="preserve">فرزاد </t>
  </si>
  <si>
    <t>فرشید</t>
  </si>
  <si>
    <t>1401/03/26</t>
  </si>
  <si>
    <t>-------</t>
  </si>
  <si>
    <t>دی</t>
  </si>
  <si>
    <t>رضا</t>
  </si>
  <si>
    <t>حسینی</t>
  </si>
  <si>
    <t>بهمن</t>
  </si>
  <si>
    <t xml:space="preserve">محمد </t>
  </si>
  <si>
    <t>رکن</t>
  </si>
  <si>
    <t>اسفند</t>
  </si>
  <si>
    <t>معدنی</t>
  </si>
  <si>
    <t>گل واریزی یک میلیون تومن برای 4 ماه</t>
  </si>
  <si>
    <t>زرنگیان</t>
  </si>
  <si>
    <t>حمید</t>
  </si>
  <si>
    <t>قربانی</t>
  </si>
  <si>
    <t>صاحبکار</t>
  </si>
  <si>
    <t>1401/03/29</t>
  </si>
  <si>
    <t>حمیدرضا</t>
  </si>
  <si>
    <t>شکوهی زاده</t>
  </si>
  <si>
    <t>آرش</t>
  </si>
  <si>
    <t>رجب پور</t>
  </si>
  <si>
    <t>کهلایی</t>
  </si>
  <si>
    <t>--------------</t>
  </si>
  <si>
    <t>برجسته</t>
  </si>
  <si>
    <t>1401/03/30</t>
  </si>
  <si>
    <t>واریز دوم</t>
  </si>
  <si>
    <t>موسوی</t>
  </si>
  <si>
    <t>1401/03/31</t>
  </si>
  <si>
    <t>عطا</t>
  </si>
  <si>
    <t>امیدوار</t>
  </si>
  <si>
    <t>علی</t>
  </si>
  <si>
    <t>مولایی</t>
  </si>
  <si>
    <t>سود</t>
  </si>
  <si>
    <t>بانکی</t>
  </si>
  <si>
    <t>----------------</t>
  </si>
  <si>
    <t>تولیت</t>
  </si>
  <si>
    <t>1401/04/30</t>
  </si>
  <si>
    <t>اصل واریزی 3/2 میلیون بوده که برای مرداد و تیر لحاظ شده است</t>
  </si>
  <si>
    <t>1401/04/06</t>
  </si>
  <si>
    <t/>
  </si>
  <si>
    <t>جعفری آزاد</t>
  </si>
  <si>
    <t xml:space="preserve"> </t>
  </si>
  <si>
    <t>محمد رضا</t>
  </si>
  <si>
    <t>پوررضایی</t>
  </si>
  <si>
    <t>پرواز</t>
  </si>
  <si>
    <t>1401/04/08</t>
  </si>
  <si>
    <t>1401/04/10</t>
  </si>
  <si>
    <t>1401/04/18</t>
  </si>
  <si>
    <t>عفت هروی(بهرمن)</t>
  </si>
  <si>
    <t>1401/04/14</t>
  </si>
  <si>
    <t>1401/04/16</t>
  </si>
  <si>
    <t>1401/04/19</t>
  </si>
  <si>
    <t>1401/04/21</t>
  </si>
  <si>
    <t>مهندس</t>
  </si>
  <si>
    <t>میربلوک</t>
  </si>
  <si>
    <t>عماد</t>
  </si>
  <si>
    <t>احتشام</t>
  </si>
  <si>
    <t>1401/04/23</t>
  </si>
  <si>
    <t>(900+100)</t>
  </si>
  <si>
    <t>مادر</t>
  </si>
  <si>
    <t>مهدی صنوبری</t>
  </si>
  <si>
    <t>1401/04/24</t>
  </si>
  <si>
    <t>خانم</t>
  </si>
  <si>
    <t>امین آقایی</t>
  </si>
  <si>
    <t>1401/04/25</t>
  </si>
  <si>
    <t>عطیه نادری</t>
  </si>
  <si>
    <t>دکتر</t>
  </si>
  <si>
    <t>صفایی</t>
  </si>
  <si>
    <t>1401/04/27</t>
  </si>
  <si>
    <t>1401/04/29</t>
  </si>
  <si>
    <t>فرخ</t>
  </si>
  <si>
    <t>قزلی</t>
  </si>
  <si>
    <t>1401/05/01</t>
  </si>
  <si>
    <t>از کارت فرزاد واریز شده است</t>
  </si>
  <si>
    <t>6219861902605756</t>
  </si>
  <si>
    <t>1401/07/27</t>
  </si>
  <si>
    <t>1401/06/01</t>
  </si>
  <si>
    <t>اصل فیش 3 میلیون بوده که 1/5 میلیون برای مرداد و تیر لحاظ شده</t>
  </si>
  <si>
    <t>1401/04/22</t>
  </si>
  <si>
    <t>6037997248149008</t>
  </si>
  <si>
    <t>6104338944218458</t>
  </si>
  <si>
    <t>5022291304273111</t>
  </si>
  <si>
    <t>1401/05/06</t>
  </si>
  <si>
    <t>6063731028949882</t>
  </si>
  <si>
    <t>امیر</t>
  </si>
  <si>
    <t>آقازاده</t>
  </si>
  <si>
    <t>1401/05/07</t>
  </si>
  <si>
    <t>6219861024434416</t>
  </si>
  <si>
    <t>1401/05/11</t>
  </si>
  <si>
    <t>6037991947370221</t>
  </si>
  <si>
    <t>6037997170998604</t>
  </si>
  <si>
    <t>1401/05/14</t>
  </si>
  <si>
    <t>6104338934864444</t>
  </si>
  <si>
    <t>بهرام</t>
  </si>
  <si>
    <t>هجرانی</t>
  </si>
  <si>
    <t>1401/05/18</t>
  </si>
  <si>
    <t>6362141126305029</t>
  </si>
  <si>
    <t>فیش واریزی 6 میلیون بوده که  برای ماههای مرداد و شهریور و مهر می باشد.</t>
  </si>
  <si>
    <t>علیرضا</t>
  </si>
  <si>
    <t>اعتضادی</t>
  </si>
  <si>
    <t>1401/05/17</t>
  </si>
  <si>
    <t>فیش واریزی 1 میلیون بوده که  برای ماههای شهریور و مرداد می باشد.</t>
  </si>
  <si>
    <t>بابت کرایه وانت  حمل اجناس به انبار خیریه</t>
  </si>
  <si>
    <t>1401/05/22</t>
  </si>
  <si>
    <t>1401/05/21</t>
  </si>
  <si>
    <t>6037691526531223</t>
  </si>
  <si>
    <t>احسان</t>
  </si>
  <si>
    <t>مهاجری</t>
  </si>
  <si>
    <t>6037697561226116</t>
  </si>
  <si>
    <t>6104337871897409</t>
  </si>
  <si>
    <t>1401/05/23</t>
  </si>
  <si>
    <t>5022291026904175</t>
  </si>
  <si>
    <t>نازنین</t>
  </si>
  <si>
    <t>سیستار</t>
  </si>
  <si>
    <t>1401/05/24</t>
  </si>
  <si>
    <t>1401/05/25</t>
  </si>
  <si>
    <t>1401/05/27</t>
  </si>
  <si>
    <t>5054161011779166</t>
  </si>
  <si>
    <t>1401/05/28</t>
  </si>
  <si>
    <t>1401/05/29</t>
  </si>
  <si>
    <t>1401/05/31</t>
  </si>
  <si>
    <t>5029081026862942</t>
  </si>
  <si>
    <t>مبین</t>
  </si>
  <si>
    <t>ایمانیان</t>
  </si>
  <si>
    <t>1401/06/04</t>
  </si>
  <si>
    <t>6037701530883187</t>
  </si>
  <si>
    <t>بابت تاج گل مسجد آرمین متقی</t>
  </si>
  <si>
    <t>6037697647873782</t>
  </si>
  <si>
    <t>1401/06/07</t>
  </si>
  <si>
    <t>5022291029404082</t>
  </si>
  <si>
    <t>-----------</t>
  </si>
  <si>
    <t>1401/05/03</t>
  </si>
  <si>
    <t>1401/06/21</t>
  </si>
  <si>
    <t>5022291500410806</t>
  </si>
  <si>
    <t>1401/06/02</t>
  </si>
  <si>
    <t>1401/06/03</t>
  </si>
  <si>
    <t>1401/06/05</t>
  </si>
  <si>
    <t>1401/06/08</t>
  </si>
  <si>
    <t>امینی</t>
  </si>
  <si>
    <t>1401/06/13</t>
  </si>
  <si>
    <t>بابک</t>
  </si>
  <si>
    <t>امیری</t>
  </si>
  <si>
    <t>50 دلار کانادا که به حساب فرید برهان علمی واریز کرده و من باید به حساب واریز کنم(11,500,000)</t>
  </si>
  <si>
    <t>پوستی</t>
  </si>
  <si>
    <t>1401/06/16</t>
  </si>
  <si>
    <t>شایا</t>
  </si>
  <si>
    <t>شاهرضایی</t>
  </si>
  <si>
    <t>محرابی</t>
  </si>
  <si>
    <t>589463*****8954</t>
  </si>
  <si>
    <t>فرزاد واریز  کرد(اصل واریزی 2 میلیون بوده که برای مهر و شهریور لحاظ شده است.)</t>
  </si>
  <si>
    <t>1401/06/20</t>
  </si>
  <si>
    <t>دوست</t>
  </si>
  <si>
    <t>خانم فرشید</t>
  </si>
  <si>
    <t>1401/06/25</t>
  </si>
  <si>
    <t>--</t>
  </si>
  <si>
    <t>دانشمند</t>
  </si>
  <si>
    <t>1401/06/26</t>
  </si>
  <si>
    <t>1401/06/27</t>
  </si>
  <si>
    <t>اصل فیش 1 میلیون بوده که 500 هزار برای شهریور و 500 هزار برای گلریزان لحاظ شده</t>
  </si>
  <si>
    <t>اصل فیش 2 میلیون بوده که 1 میلیون برای شهریور و 1 میلیون برای گلریزان لحاظ شده</t>
  </si>
  <si>
    <t xml:space="preserve">علی </t>
  </si>
  <si>
    <t>کارآموز</t>
  </si>
  <si>
    <t>خیر ناشناس؟؟؟؟</t>
  </si>
  <si>
    <t>1401/06/22</t>
  </si>
  <si>
    <t>1401/07/06</t>
  </si>
  <si>
    <t>1401/07/01</t>
  </si>
  <si>
    <t>1401/07/05</t>
  </si>
  <si>
    <t>1401/07/12</t>
  </si>
  <si>
    <t>نوید</t>
  </si>
  <si>
    <t>محراب زاده</t>
  </si>
  <si>
    <t>1401/07/14</t>
  </si>
  <si>
    <t>-----------------</t>
  </si>
  <si>
    <t>50 دلار کانادا که به حساب فرید برهان علمی واریز کرده و من باید به حساب واریز کنم(12,250,000)</t>
  </si>
  <si>
    <t>1401/07/28</t>
  </si>
  <si>
    <t>شاه حسینی</t>
  </si>
  <si>
    <t>1401/07/30</t>
  </si>
  <si>
    <t>1401/08/02</t>
  </si>
  <si>
    <t>6037697598049572</t>
  </si>
  <si>
    <t>اصل فیش 1 میلیون بوده که 500 هزار برای مهرو 500 هزار برای آبان لحاظ شده</t>
  </si>
  <si>
    <t>1401/08/03</t>
  </si>
  <si>
    <t>فیروزه</t>
  </si>
  <si>
    <t>آقای</t>
  </si>
  <si>
    <t>تجددیان</t>
  </si>
  <si>
    <t>گلریزان</t>
  </si>
  <si>
    <t>قدسی</t>
  </si>
  <si>
    <t>پناهی نژاد</t>
  </si>
  <si>
    <t>داراب منش</t>
  </si>
  <si>
    <t>1401/08/05</t>
  </si>
  <si>
    <t>زمانی سقازاده</t>
  </si>
  <si>
    <t>1401/07/29</t>
  </si>
  <si>
    <t>1401/07/20</t>
  </si>
  <si>
    <t>1401/08/18</t>
  </si>
  <si>
    <t>فیش واریزی 1 میلیون بوده که  برای ماههای مهر و آبان می باشد.</t>
  </si>
  <si>
    <t>1401/08/28</t>
  </si>
  <si>
    <t>1401/08/27</t>
  </si>
  <si>
    <t>6219861052116018</t>
  </si>
  <si>
    <t>گل واریزی یک میلیون و پانصد هزارتومن برای 6 ماه</t>
  </si>
  <si>
    <t>6219861917039199</t>
  </si>
  <si>
    <t>1401/09/02</t>
  </si>
  <si>
    <t>5022291044919304</t>
  </si>
  <si>
    <t>1401/08/01</t>
  </si>
  <si>
    <t>1401/08/08</t>
  </si>
  <si>
    <t>1401/08/12</t>
  </si>
  <si>
    <t>--------------------</t>
  </si>
  <si>
    <t>6104337849315005</t>
  </si>
  <si>
    <t>مجید</t>
  </si>
  <si>
    <t>عظیمی</t>
  </si>
  <si>
    <t>6037691525113759</t>
  </si>
  <si>
    <t>میمندی</t>
  </si>
  <si>
    <t>6037997582756426</t>
  </si>
  <si>
    <t>1401/08/22</t>
  </si>
  <si>
    <t>5057851003297345</t>
  </si>
  <si>
    <t>محمود</t>
  </si>
  <si>
    <t>زارعیان</t>
  </si>
  <si>
    <t>6037997228805629</t>
  </si>
  <si>
    <t>اکبرزاده</t>
  </si>
  <si>
    <t>6037997164591035</t>
  </si>
  <si>
    <t>هزینه انجام شده بابت کارگر روزمزد جهت تمیز کردن و مرتب کردن انبار</t>
  </si>
  <si>
    <t>هزینه انجام شده بابت نهار ریحانه نوری</t>
  </si>
  <si>
    <t>هزینه انجام شده بابت  قطره گوش عدنان ریگی</t>
  </si>
  <si>
    <t>1401/09/07</t>
  </si>
  <si>
    <t>5041721093267111</t>
  </si>
  <si>
    <t>1401/09/01</t>
  </si>
  <si>
    <t>ماموریان</t>
  </si>
  <si>
    <t>1401/09/05</t>
  </si>
  <si>
    <t>6274121194079877</t>
  </si>
  <si>
    <t>1401/09/06</t>
  </si>
  <si>
    <t>افشین</t>
  </si>
  <si>
    <t>پاکزادنیا</t>
  </si>
  <si>
    <t>کل واریزی</t>
  </si>
  <si>
    <t>جمع کل واریزی</t>
  </si>
  <si>
    <t>جمع واریزی های ماهیانه</t>
  </si>
  <si>
    <t>1401/09/12</t>
  </si>
  <si>
    <t>1401/04/17</t>
  </si>
  <si>
    <t>1401/04/31</t>
  </si>
  <si>
    <t>1401/05/02</t>
  </si>
  <si>
    <t xml:space="preserve">واریزیهای  </t>
  </si>
  <si>
    <t>متفرقه</t>
  </si>
  <si>
    <t>شهرام</t>
  </si>
  <si>
    <t>تجلیلی</t>
  </si>
  <si>
    <t>50 دلار کانادا که به حساب فرید برهان علمی واریز کرده و من باید به حساب واریز کنم(13,800,000)</t>
  </si>
  <si>
    <t>50 دلار کانادا که به حساب فرید برهان علمی واریز کرده و من باید به حساب واریز کنم(13,625,000)</t>
  </si>
  <si>
    <t>1401/09/25</t>
  </si>
  <si>
    <t>بابت تسویه حساب تا تاریخ آخر آذرماه</t>
  </si>
  <si>
    <t>1401/09/24</t>
  </si>
  <si>
    <t>E- Transfer</t>
  </si>
  <si>
    <t>1401/09/13</t>
  </si>
  <si>
    <t>صدیقی</t>
  </si>
  <si>
    <t>1401/09/15</t>
  </si>
  <si>
    <t>1401/09/16</t>
  </si>
  <si>
    <t>1401/09/19</t>
  </si>
  <si>
    <t>1401/09/20</t>
  </si>
  <si>
    <t>1401/09/21</t>
  </si>
  <si>
    <t xml:space="preserve">مجید </t>
  </si>
  <si>
    <t>فرهمند</t>
  </si>
  <si>
    <t>1401/09/22</t>
  </si>
  <si>
    <t>قاسمی</t>
  </si>
  <si>
    <t>محمدمهدی</t>
  </si>
  <si>
    <t>1401/09/23</t>
  </si>
  <si>
    <t>امینیان حیدری</t>
  </si>
  <si>
    <t>منیری</t>
  </si>
  <si>
    <t>زهرا</t>
  </si>
  <si>
    <t>عین علی</t>
  </si>
  <si>
    <t>1401/09/26</t>
  </si>
  <si>
    <t>بابت هزینه در مدارس مشهد و خراسان معرفی شده از طرف سیدمحمد هاشمی</t>
  </si>
  <si>
    <t>خرید دختر برنامه ریزی جهت دختران مدرسه خدیجه(به توصیه خانم قوامی مشاور تحصیلی)</t>
  </si>
  <si>
    <t>1401/09/11</t>
  </si>
  <si>
    <t>هزینه شام بچه های مدرسه رستگارمقدم در بازدید نجوم</t>
  </si>
  <si>
    <t>هزینه شنوایی سنجی دو فرزند سوختانلو</t>
  </si>
  <si>
    <t>هزینه شنوایی سنجی و ساخت قالب گوش سالاری</t>
  </si>
  <si>
    <t>هزینه رفت و آمد آقای محمد امینی</t>
  </si>
  <si>
    <t>هزینه کلاس کنکور آوا راشدی</t>
  </si>
  <si>
    <t>هزینه رفت و آمد  بچه های مدرسه رستگارمقدم در بازدید نجوم(به آقای رستمی)</t>
  </si>
  <si>
    <t>هزینه رفت و آمد خانم مهدیار</t>
  </si>
  <si>
    <t>هزینه شنوایی سنجی زرنوخی</t>
  </si>
  <si>
    <t>هزینه شنوایی سنجی مهشید حوری سالاری</t>
  </si>
  <si>
    <t>هزینه رفت و آمد ماههای آبان و آذر به مدرسه مصلی نژاد</t>
  </si>
  <si>
    <t>1401/09/30</t>
  </si>
  <si>
    <t>شبا</t>
  </si>
  <si>
    <t>1401/10/01</t>
  </si>
  <si>
    <t>5859831018931567</t>
  </si>
  <si>
    <t>سمیه</t>
  </si>
  <si>
    <t>طاهرآبادی</t>
  </si>
  <si>
    <t>1401/10/02</t>
  </si>
  <si>
    <t>6221061208001216</t>
  </si>
  <si>
    <t>1401/10/03</t>
  </si>
  <si>
    <t>امید</t>
  </si>
  <si>
    <t>امینیان</t>
  </si>
  <si>
    <t>6037991940830221</t>
  </si>
  <si>
    <t>1401/10/05</t>
  </si>
  <si>
    <t>1401/10/06</t>
  </si>
  <si>
    <t>6104337549982278</t>
  </si>
  <si>
    <t>مرتضی</t>
  </si>
  <si>
    <t>مرزبان</t>
  </si>
  <si>
    <t>6037697431969390</t>
  </si>
  <si>
    <t>1401/10/07</t>
  </si>
  <si>
    <t>نذر مهشید برهان علمی بابت بسته های معیشتی شب یلدا</t>
  </si>
  <si>
    <t>1401/10/08</t>
  </si>
  <si>
    <t>اصل واریزی 1/5 میلیون بوده که برای ماههای آبان،آذر و دی 1401 می باشد.</t>
  </si>
  <si>
    <t>6104337758811143</t>
  </si>
  <si>
    <t>1401/10/11</t>
  </si>
  <si>
    <t>اصل واریزی 12 میلیون بوده که 2 میلیون آن بابت فرزاد فرشید می باشد.</t>
  </si>
  <si>
    <t>1401/10/14</t>
  </si>
  <si>
    <t>6104337496131275</t>
  </si>
  <si>
    <t>1401/10/17</t>
  </si>
  <si>
    <t>6037997136517738</t>
  </si>
  <si>
    <t>1401/10/18</t>
  </si>
  <si>
    <t>سروش</t>
  </si>
  <si>
    <t>ثقفی</t>
  </si>
  <si>
    <t>6037697664583868</t>
  </si>
  <si>
    <t>5859831202663190</t>
  </si>
  <si>
    <t>1401/10/19</t>
  </si>
  <si>
    <t>1401/10/20</t>
  </si>
  <si>
    <t>عربیان</t>
  </si>
  <si>
    <t>6037997395549448</t>
  </si>
  <si>
    <t>6219861021865570</t>
  </si>
  <si>
    <t>1401/10/21</t>
  </si>
  <si>
    <t>1401/10/22</t>
  </si>
  <si>
    <t>1401/10/23</t>
  </si>
  <si>
    <t>سالاری</t>
  </si>
  <si>
    <t>سمن</t>
  </si>
  <si>
    <t>6219861044023017</t>
  </si>
  <si>
    <t>1401/10/25</t>
  </si>
  <si>
    <t>اصل واریزی 2 میلیون بوده برای ماههای آبان و دی</t>
  </si>
  <si>
    <t>6104337886949674</t>
  </si>
  <si>
    <t>1401/10/26</t>
  </si>
  <si>
    <t>6037697540254171</t>
  </si>
  <si>
    <t>سیما</t>
  </si>
  <si>
    <t>نیک مان</t>
  </si>
  <si>
    <t>1401/10/28</t>
  </si>
  <si>
    <t>1401/10/29</t>
  </si>
  <si>
    <t>1401/10/30</t>
  </si>
  <si>
    <t>6037691584581045</t>
  </si>
  <si>
    <t>ربابه</t>
  </si>
  <si>
    <t>طاهریان</t>
  </si>
  <si>
    <t>1401/11/01</t>
  </si>
  <si>
    <t>6037691597381441</t>
  </si>
  <si>
    <t>6037697548464764</t>
  </si>
  <si>
    <t>5022291038702393</t>
  </si>
  <si>
    <t>1401/11/02</t>
  </si>
  <si>
    <t>اصل واریزی 1 میلیون بوده برای ماههای بهمن و دی</t>
  </si>
  <si>
    <t>رجب</t>
  </si>
  <si>
    <t>پوربوشهری</t>
  </si>
  <si>
    <t>1401/11/05</t>
  </si>
  <si>
    <t>6274881118543874</t>
  </si>
  <si>
    <t>1401/11/06</t>
  </si>
  <si>
    <t>1401/11/10</t>
  </si>
  <si>
    <t>وحدتی</t>
  </si>
  <si>
    <t>1401/11/12</t>
  </si>
  <si>
    <t>5022291013490113</t>
  </si>
  <si>
    <t>محمدعلی</t>
  </si>
  <si>
    <t>شکروی</t>
  </si>
  <si>
    <t>5859831160162011</t>
  </si>
  <si>
    <t>1401/11/15</t>
  </si>
  <si>
    <t>1401/11/18</t>
  </si>
  <si>
    <t>1401/11/19</t>
  </si>
  <si>
    <t xml:space="preserve">اصل واریزی 5/6 بوده که 600 هزار جهت مرداد، 2 میلبون جهت آذر و 3 میلیون بهمن </t>
  </si>
  <si>
    <t>1401/11/20</t>
  </si>
  <si>
    <t>1401/11/21</t>
  </si>
  <si>
    <t>عباس</t>
  </si>
  <si>
    <t>یزدانی</t>
  </si>
  <si>
    <t>1401/11/22</t>
  </si>
  <si>
    <t>6037997560050867</t>
  </si>
  <si>
    <t>1401/11/23</t>
  </si>
  <si>
    <t>1401/11/29</t>
  </si>
  <si>
    <t>1401/11/30</t>
  </si>
  <si>
    <t>1401/12/01</t>
  </si>
  <si>
    <t>اصل واریزی 400 هزار بوده که برای دوماه بهمن و اسفند</t>
  </si>
  <si>
    <t>1401/12/03</t>
  </si>
  <si>
    <t>6037691560457632</t>
  </si>
  <si>
    <t>1401/12/04</t>
  </si>
  <si>
    <t>تاریخ تولد</t>
  </si>
  <si>
    <t>کد ملی</t>
  </si>
  <si>
    <t>پایه تحصیلی</t>
  </si>
  <si>
    <t>رشته</t>
  </si>
  <si>
    <t>مدرسه</t>
  </si>
  <si>
    <t>آدرس</t>
  </si>
  <si>
    <t>شماره تلفن</t>
  </si>
  <si>
    <t>کتاب کمک درسی/غیردرسی</t>
  </si>
  <si>
    <t>کلاس کنکور</t>
  </si>
  <si>
    <t>مشاور تحصیلی</t>
  </si>
  <si>
    <t>معلم خصوصی</t>
  </si>
  <si>
    <t>خدمات درمانی</t>
  </si>
  <si>
    <t>توضیحات</t>
  </si>
  <si>
    <t>آدرس مدرسه</t>
  </si>
  <si>
    <t>ریحانه</t>
  </si>
  <si>
    <t>نوری شفیق</t>
  </si>
  <si>
    <t>لیلی ظهوریان شفیق</t>
  </si>
  <si>
    <t>0928177246</t>
  </si>
  <si>
    <t>حضرت خدیجه</t>
  </si>
  <si>
    <t>رسالت 136- خیابان امام خمینی- امام خمینی 2- پلاک 36</t>
  </si>
  <si>
    <t>09381233298/ 09398771647 خواهر</t>
  </si>
  <si>
    <t>سه عدد کتاب اقتصاد و فلسفه(شهر کتاب)-تست فیزیک
ریاضیات آمارواحتمال(جزوه)-شیمی-جزوه حرکت شناسی-جزوه هندسه-جزوه فیزیک(الکتریسیته جاری)-عربی-فیزیک-حسابان1</t>
  </si>
  <si>
    <t>ــــــــــــــ</t>
  </si>
  <si>
    <t>خانم قوامی</t>
  </si>
  <si>
    <t xml:space="preserve">نیاز شدید به مشاوره دارد و در حال حاضر همکاری نمی کند. </t>
  </si>
  <si>
    <t xml:space="preserve">ریحانه </t>
  </si>
  <si>
    <t>طراقی فرد</t>
  </si>
  <si>
    <t>سکینه رنجبر</t>
  </si>
  <si>
    <t>0928744272</t>
  </si>
  <si>
    <t>علوم انسانی</t>
  </si>
  <si>
    <t>رسالت 136-خیابان امام خمینی21-شهریار 4 پلاک 27</t>
  </si>
  <si>
    <t>09392569929
09025734904
مادر</t>
  </si>
  <si>
    <t xml:space="preserve">دروس طلایی*- منطق10* -ریاضی1 منودرسام*- عربی* -
اقتصاد- اقتصاد*- جامعه*- منطق10*- ریاضی-فنون دهم-
منطق*-
</t>
  </si>
  <si>
    <t>علاقمند به رشته دبیری است</t>
  </si>
  <si>
    <t xml:space="preserve">زهرا </t>
  </si>
  <si>
    <t>قهستانی</t>
  </si>
  <si>
    <t>نرگس قوی</t>
  </si>
  <si>
    <t>0928539733</t>
  </si>
  <si>
    <t>رسالت 138-امام خمینی 3-رخش بهار 8-پلاک 37</t>
  </si>
  <si>
    <t>09373250328
09363307472 پ
09360772378 م</t>
  </si>
  <si>
    <t>دروس طلایی تجربی*-منو درسام(انگلیسی)*</t>
  </si>
  <si>
    <t>علاقمند به تحصیل در دانشگاه فرهنگیان</t>
  </si>
  <si>
    <t>مهلا</t>
  </si>
  <si>
    <t>فاطمه ابراهیم پور</t>
  </si>
  <si>
    <t>0928779262</t>
  </si>
  <si>
    <t>رسالت 136-امام خمینی 12-پلاک 6</t>
  </si>
  <si>
    <t>09228665372
09357415452 پ
09302849676 م</t>
  </si>
  <si>
    <t>رقیه</t>
  </si>
  <si>
    <t>رضاپور</t>
  </si>
  <si>
    <t>بسته گل احمدی</t>
  </si>
  <si>
    <t>0671175866</t>
  </si>
  <si>
    <t>بجنورد</t>
  </si>
  <si>
    <t>رسالت 134-خیابان شهید غلامی-کنار مسجد سید الشهدا</t>
  </si>
  <si>
    <t>09929983735
09017614576 م
09157171782 م
09333752599 پ</t>
  </si>
  <si>
    <t>راضیه</t>
  </si>
  <si>
    <t>0671175841</t>
  </si>
  <si>
    <t>آرمیتا مصلی نژاد</t>
  </si>
  <si>
    <t>09157171782
09017614576 م
09333752599 پ</t>
  </si>
  <si>
    <t>09929568872
09017614576 م
09333752599 پ</t>
  </si>
  <si>
    <t xml:space="preserve">منطق10* -ر یاضی1 (منو درسام)* - اقتصاد-جامعه*-منطق*
</t>
  </si>
  <si>
    <t>علاقمند به وکالت</t>
  </si>
  <si>
    <t>پریسا</t>
  </si>
  <si>
    <t>اعتماد منش</t>
  </si>
  <si>
    <t>زهره عامری</t>
  </si>
  <si>
    <t>0928280098</t>
  </si>
  <si>
    <t>آرمیتا مصلی نزاد</t>
  </si>
  <si>
    <t>توس 33- شکری2-سه قطعه مانده به چهارراه اوت-سمت راست-طبقه 4</t>
  </si>
  <si>
    <t>09900785044
09035063996 پ</t>
  </si>
  <si>
    <t>سلامت و بهداشت-سه سطحی زبان3-سه سطحی فارسی3
موج آزمون عربی-زبان انگلیسی جامع کنکور*-جزوه عربی-زیست شناسی جامع-جزوه فیزیک پایه(10و11)ریاضیات تجربی جامع-دروس طلایی(کلیه دروس)</t>
  </si>
  <si>
    <t>فاطمه</t>
  </si>
  <si>
    <t>091020180399</t>
  </si>
  <si>
    <t>آخر خیابان رسالت-روستای قرقی سفلا-خیابان کشمیری 36-بعد از چهارراه اول-پلاک 39</t>
  </si>
  <si>
    <t>09378969874 م
09379706423 پ</t>
  </si>
  <si>
    <t>عربی جامع*-زبان انگلیسی جامع کنکور*-شیمی3(کنکور99)-حسابان2تست فیزیک-ریاضیات گسسته-کتاب نوروز ریاضی ج1-فیزیک پایه(10و11)فیزیک3(12)- جزوه زیست شناسی-زیست شناسی و آزمایشگاه2-زیست شناسی جامع-شیمی پایه(10و11)ریاضیات جامع-</t>
  </si>
  <si>
    <t>علاقمند به رشته پزشکی(متخصص مغز و اعصاب)</t>
  </si>
  <si>
    <t>مریم</t>
  </si>
  <si>
    <t>رحمانی</t>
  </si>
  <si>
    <t>طاهره شاه نقی</t>
  </si>
  <si>
    <t>0928335204</t>
  </si>
  <si>
    <t>رسالت 120-رجایی 6- پلاک 45(داخل میلان-کنار مدرسه غیرانتفاعی پسرانه-زنگ سوم</t>
  </si>
  <si>
    <t>09380617293
09057403341 م
09397976616 پ</t>
  </si>
  <si>
    <t xml:space="preserve">مجموعه کتابهای عطارد(دستور زبان فارسی)-جزوه عربی
سه سطحی شیمی پایه-3سطحی فیزیک-3سطحی ریاضیات گسسته و آمار-3سطحی هندسه-فیزیک دوازدهم(بانک تست)هندسه جامع-جامع ریاضیات گسسته و احتمال-جزوه آمارواحتمال-جزوه هندسه3-جزوه کنکور هندسه(10و11)-حسابان وریاضیات پایه ج1و2-موج آزمون هندسه-موج آزمون ریاضی-موج آزمون ریاضیات گسسته و..-شیمی جامع-فیزیک موج آزمون
</t>
  </si>
  <si>
    <t>ناهید</t>
  </si>
  <si>
    <t>کمالی گروی</t>
  </si>
  <si>
    <t>زینب مهربان رزگی</t>
  </si>
  <si>
    <t>0928394174</t>
  </si>
  <si>
    <t>رسالت 130-غلامی 18-پلاک 21</t>
  </si>
  <si>
    <t>09059908418
09152067310 م
09908878616 پ</t>
  </si>
  <si>
    <t xml:space="preserve"> واژگان ضروری انگلیسی-اقتصاد ویژه کنکور-علوم و فنون ادبی
عربی*-جامعه*-منطق*- 
</t>
  </si>
  <si>
    <t>الهام</t>
  </si>
  <si>
    <t>صمدی سعادت
 آباد</t>
  </si>
  <si>
    <t>هاشم</t>
  </si>
  <si>
    <t>فاطمه بخشی</t>
  </si>
  <si>
    <t>1385/07/22</t>
  </si>
  <si>
    <t>0721083781</t>
  </si>
  <si>
    <t>تربت جام</t>
  </si>
  <si>
    <t>توس 97-الزهرای 10-چهل حجره 17- پلاک 38</t>
  </si>
  <si>
    <t>09150090658
09940117245
09156484356 م
09159095701 پ</t>
  </si>
  <si>
    <t>با مادربزرگش زندگی میکند-مشکل گوش و چشم دارد-مادرش جدا شده است</t>
  </si>
  <si>
    <t>کوثر</t>
  </si>
  <si>
    <t>ستار</t>
  </si>
  <si>
    <t>فاطمه دارابی
شلم زار</t>
  </si>
  <si>
    <t>1383/12/14</t>
  </si>
  <si>
    <t>0927602172</t>
  </si>
  <si>
    <t>بلوار دوم طبرسی-طبرسی 4-نظام دوست 24-غفاری 30-پلاک 1-طبقه همکف</t>
  </si>
  <si>
    <t>09053110021
09398957719 م</t>
  </si>
  <si>
    <t>دور دنیا در 4ساعت(کل دروس تجربی)-سلامت و بهداشت
عربی جامع*-ادبیات جامع-حفظیات شیمی کنکور-دور دنیا در 4ساعت(12 دوره)
زیست شناسی پایه(10و11)-شیمی جامع-زیست شناسی پایه دهم و یازدهم</t>
  </si>
  <si>
    <t>تاتاری</t>
  </si>
  <si>
    <t>آمنه قایمی</t>
  </si>
  <si>
    <t>0025909738</t>
  </si>
  <si>
    <t>دبیرستان نرجس
(شهرستان زاوه-
شهر دولت آباد)</t>
  </si>
  <si>
    <t>خراسان رضوی-شهرستان زاوه-قلعه حسن خان</t>
  </si>
  <si>
    <t>09945192457
09908177165 م</t>
  </si>
  <si>
    <t>دروس طلایی-زیست</t>
  </si>
  <si>
    <t>معرف خانم سمیعی</t>
  </si>
  <si>
    <t>یگانه</t>
  </si>
  <si>
    <t>رجایی سمرا</t>
  </si>
  <si>
    <t>فرزانه صدیقی
(زبرخان)</t>
  </si>
  <si>
    <t>0928551113</t>
  </si>
  <si>
    <t>رستگار مقدم</t>
  </si>
  <si>
    <t>توس 43-غلامی6-رادمرد 7-انتهای کوچه-سمت راست</t>
  </si>
  <si>
    <t>09397686036
09353218951 م</t>
  </si>
  <si>
    <t>ناپدری نامرد-اختلافات شدید خانوادگی-معرف آقای نقیبی</t>
  </si>
  <si>
    <t>خردمند سنجد
بوری</t>
  </si>
  <si>
    <t>سید حسین</t>
  </si>
  <si>
    <t>0927912678</t>
  </si>
  <si>
    <t>حر13- کوچه 54-(سر درب منزل نوشته دعای کمیل)</t>
  </si>
  <si>
    <t>فیزیک(سیرتاپیاز)-دروس طلایی</t>
  </si>
  <si>
    <t>افسردگی شدید-(از دخترهای آقای نقیبی هستند)</t>
  </si>
  <si>
    <t>فارقی</t>
  </si>
  <si>
    <t>0928729826</t>
  </si>
  <si>
    <t>بابانظر 18-حسینی محراب 93-خادمی 6 پلاک 160 (پنجتن 3-سلمان 6-پلاک 160)</t>
  </si>
  <si>
    <t xml:space="preserve">09305985342
09360554032 خواهر
09300610960 م
09305985396
</t>
  </si>
  <si>
    <t>دو گربه</t>
  </si>
  <si>
    <t>نجفی</t>
  </si>
  <si>
    <t>0950047384</t>
  </si>
  <si>
    <t>شهرک شهید رجایی-حر 54/24- پلاک 108- طبقه دوم</t>
  </si>
  <si>
    <t>09152548041
09352584850
09156019826 خواهر</t>
  </si>
  <si>
    <t>سرخس بوده-پدر و مادر فوت کردن-شوهر خواهر در زندان-شرایط بسیار بدب دارد-از دادگاه حکم رشد گرفته است</t>
  </si>
  <si>
    <t>اروند 21</t>
  </si>
  <si>
    <t xml:space="preserve">نادیا </t>
  </si>
  <si>
    <t>احمدی</t>
  </si>
  <si>
    <t>عبدالرحمن</t>
  </si>
  <si>
    <t>رحیمه احمدی</t>
  </si>
  <si>
    <t>1383/01/15</t>
  </si>
  <si>
    <t>P03085763</t>
  </si>
  <si>
    <t>هرات</t>
  </si>
  <si>
    <t>جاده سیمان-رسالت 136-امام خمینی 21-شهریار 2- پلاک 26</t>
  </si>
  <si>
    <t>09159230957 م
09306154558 پ</t>
  </si>
  <si>
    <t>در طراحی و گرافیک بسیار بااستعداد-مشکل شنوایی دارد و نیاز به سمعک دارد-از نظر مکالمه و صحبت کردن مشکل دارد-علاقمند به کامپیوتر-برنامه نویس-طراحی پوستر و اینفو گرافی</t>
  </si>
  <si>
    <t>پری</t>
  </si>
  <si>
    <t>زارع</t>
  </si>
  <si>
    <t>شهناز دلدار</t>
  </si>
  <si>
    <t>0820611743</t>
  </si>
  <si>
    <t>09915317983
09352523868 م</t>
  </si>
  <si>
    <t>ملیکا</t>
  </si>
  <si>
    <t>نماز</t>
  </si>
  <si>
    <t>6500294351</t>
  </si>
  <si>
    <t>اول دبستان</t>
  </si>
  <si>
    <t>دبستان بعثت</t>
  </si>
  <si>
    <t>نخریسی-احزاب 9- پتاک 405 (چهارراه مقدم-پروین اعتصامی 8-سلیمانیمنش 10-پلاک 405)</t>
  </si>
  <si>
    <t>09159140096 م
09945583303 م</t>
  </si>
  <si>
    <t>معرف مسعود خازنی</t>
  </si>
  <si>
    <t>مهدیار</t>
  </si>
  <si>
    <t>0970439210</t>
  </si>
  <si>
    <t>پنجم دبستان</t>
  </si>
  <si>
    <t>دبستان بهادر
زاده</t>
  </si>
  <si>
    <t>معرف مسعود خازنی
پدر معتاد</t>
  </si>
  <si>
    <t>سروری</t>
  </si>
  <si>
    <t>نخریسی -احزاب 4-پلاک 471</t>
  </si>
  <si>
    <t>09051762599 م</t>
  </si>
  <si>
    <t>کمیل</t>
  </si>
  <si>
    <t>سوم دبستان</t>
  </si>
  <si>
    <t>نخریسی ا-حزاب 4-پلاک 471</t>
  </si>
  <si>
    <t>مبینا</t>
  </si>
  <si>
    <t>عباسی</t>
  </si>
  <si>
    <t>الناز</t>
  </si>
  <si>
    <t>حبیب زاده</t>
  </si>
  <si>
    <t>1383/11/06</t>
  </si>
  <si>
    <t>0927429055</t>
  </si>
  <si>
    <t>مصلی نزاد</t>
  </si>
  <si>
    <t>سه راه فردوسی-شاهنامه 35-شهید شعبانی 22</t>
  </si>
  <si>
    <t>09362939144
الناز و مادر
09353547499 پ</t>
  </si>
  <si>
    <t>منزل نیمه کاره در روستا</t>
  </si>
  <si>
    <t>نرگس</t>
  </si>
  <si>
    <t>علی نژاد یادگار</t>
  </si>
  <si>
    <t>تیمور</t>
  </si>
  <si>
    <t>1386/06/04</t>
  </si>
  <si>
    <t>0928807916</t>
  </si>
  <si>
    <t>توس 91-خالقی9-پلاک 47</t>
  </si>
  <si>
    <t>09376893476
09362616810 م</t>
  </si>
  <si>
    <t>نیاز به کلاسهای تقویتی دارد-علاقمند به پزشکی</t>
  </si>
  <si>
    <t>زینب</t>
  </si>
  <si>
    <t>ادبی یکه باغی</t>
  </si>
  <si>
    <t>شعبان</t>
  </si>
  <si>
    <t>1384/12/27</t>
  </si>
  <si>
    <t>0770332455</t>
  </si>
  <si>
    <t>توس 159-قبل از جاده خاکی-سمت چپ</t>
  </si>
  <si>
    <t>09932666021
09156920446 م</t>
  </si>
  <si>
    <t>علاقمکد به پزشکی-نیاز به مشاوره دارد-کتابهای خیلی سبز میخواند-علاقه به موسیقی و ورزش</t>
  </si>
  <si>
    <t>آتنا</t>
  </si>
  <si>
    <t>جر</t>
  </si>
  <si>
    <t>1384/07/25</t>
  </si>
  <si>
    <t>0927858983</t>
  </si>
  <si>
    <t>توس 117-اسماعیل آباد-روبروی مدرسه جواد المه-پلاک 17</t>
  </si>
  <si>
    <t>09020882279 م
05136655064 مدرسه</t>
  </si>
  <si>
    <t>تحت پوشش بهزیستی</t>
  </si>
  <si>
    <t>علیزاده</t>
  </si>
  <si>
    <t>09309861852</t>
  </si>
  <si>
    <t xml:space="preserve">یگانه </t>
  </si>
  <si>
    <t>محمد دوست</t>
  </si>
  <si>
    <t>حضرت زینب</t>
  </si>
  <si>
    <t>الزوینی</t>
  </si>
  <si>
    <t>1386/05/09</t>
  </si>
  <si>
    <t>9162124328</t>
  </si>
  <si>
    <t>جاده سیمان-همت آباد-رسالت 129-خیابان طالقانی دو-کوچه قبل دبیرستان-شهید مطهری-(بوستان) یک-بمبست اول-پلاک 1</t>
  </si>
  <si>
    <t>09368865778
09156969665 پ
09156468517 م</t>
  </si>
  <si>
    <t>دانش آموز زرنگ-مهاجر عراقی</t>
  </si>
  <si>
    <t>عارفه</t>
  </si>
  <si>
    <t>آذرنگ</t>
  </si>
  <si>
    <t>عفت</t>
  </si>
  <si>
    <t>1386/04/09</t>
  </si>
  <si>
    <t>0928708411</t>
  </si>
  <si>
    <t>جاده سیمان-رسالت 168-رسالت 168/9-پلاک 9</t>
  </si>
  <si>
    <t>09045886491
09358851503 پ</t>
  </si>
  <si>
    <t>عبدالله زاده</t>
  </si>
  <si>
    <t>09920748929</t>
  </si>
  <si>
    <t>یاور</t>
  </si>
  <si>
    <t>خیرالنسا</t>
  </si>
  <si>
    <t>1385/12/22</t>
  </si>
  <si>
    <t>0928635236</t>
  </si>
  <si>
    <t>شهرک شهید رجایی-روستای کنه بیست-تربیت 2</t>
  </si>
  <si>
    <t>علاقمند به دندانپزشکی-جراح فک و دهان</t>
  </si>
  <si>
    <t>1401/03/22</t>
  </si>
  <si>
    <t>کارمزد مانده گیری</t>
  </si>
  <si>
    <t>خرید آذوقه برای خانواده سروری</t>
  </si>
  <si>
    <t>خرید نان برای خانواده سروری</t>
  </si>
  <si>
    <t>تمبر بانکداری</t>
  </si>
  <si>
    <t>خرید بگ های پلاستیکی جهت بسته بندی هدایای شب یلدا</t>
  </si>
  <si>
    <t>1401/09/29</t>
  </si>
  <si>
    <t>هزینه ثبت نام در کارگاه زیست شناسی</t>
  </si>
  <si>
    <t>هزینه شنوایی سنجی زرنوخی (تسویه حساب)</t>
  </si>
  <si>
    <t>هزینه خرید مرغ جهت هدایای شب یلدا(2 میلیون توسط آقای بامیری پرداخت شده )</t>
  </si>
  <si>
    <t xml:space="preserve">پرداخت حق الزحمه خانم قوامی طبق توافق(ماه آذر 5/4 که در 3 قسط پرداخت خواهد شد) </t>
  </si>
  <si>
    <t>خرید ساندویچ و کیک برای دختران در کلاس تقویتی</t>
  </si>
  <si>
    <t>هزینه چاپ و تکثیر جزوات ریاضی برای دختران پایه دهم تجربی</t>
  </si>
  <si>
    <t>1401/10/10</t>
  </si>
  <si>
    <t>پرداخت حق الزحمه خانم قوامی طبق توافق(ماه آذر 5/4 که در 3 قسط پرداخت خواهد شد) قسط دوم</t>
  </si>
  <si>
    <t>هزینه اسنپ برگشت از کلاس تقویتی</t>
  </si>
  <si>
    <t>یادم نمیاد</t>
  </si>
  <si>
    <t>1401/10/12</t>
  </si>
  <si>
    <t>هزینه اسنپ برای برگشت سمعکها</t>
  </si>
  <si>
    <t>هزینه کلاس تقویتی مهدیار نماز</t>
  </si>
  <si>
    <t>پرداخت هزینه کلاسهای تقویتی مریم رحمانی که به کارت خانم توکلی واریز گردیده است.</t>
  </si>
  <si>
    <t>خرید کتاب زیست شناسی مبینا علیزاده</t>
  </si>
  <si>
    <t>هزینه کارگر نظافتی و نهار او برای دفتر بنیاد</t>
  </si>
  <si>
    <t>1401/10/15</t>
  </si>
  <si>
    <t>هزینه خرید ریموت و کلید یدک دفتر بنیاد</t>
  </si>
  <si>
    <t>هزینه اسنپ برای کلاس تقویتی  ریاضی منزل خانم یاسمن ثانی</t>
  </si>
  <si>
    <t>1401/10/16</t>
  </si>
  <si>
    <t>هزینه چاپ و تکثیر جزوات فیزیک برای دختران پایه دهم تجربی</t>
  </si>
  <si>
    <t>هزینه تعمیر سیستم تصفیه آب مدرسه خدیجه</t>
  </si>
  <si>
    <t>هزینه خرید کافی و چایی برای دفتر از قشم</t>
  </si>
  <si>
    <t>هزینه خرید لوازم آشپزخانه و پذیرایی دفتر</t>
  </si>
  <si>
    <t>1401/10/24</t>
  </si>
  <si>
    <t>هزینه دوسر پیک برای گرفتن جزوات فیزیک از مداد مشکی</t>
  </si>
  <si>
    <t>هزینه تهیه و ارسال کادوی تولد یگانه خردمند</t>
  </si>
  <si>
    <t>خرید مایع ظرفشویی و اسکاچ جهت دفتر</t>
  </si>
  <si>
    <t>خرید USB مودم جهت کامپیوتر دفتر</t>
  </si>
  <si>
    <t>خرید آبمعدنی جهت دفتر</t>
  </si>
  <si>
    <t>خرید مواد شوینده جهت دفتر(که توسط خانم مهدیار خرید شده که به کارت ایشان واریز گردید)</t>
  </si>
  <si>
    <t>خرید لوازم دفتری جهت دفتر(که توسط خانم مهدیار خرید شده که به کارت ایشان واریز گردید)</t>
  </si>
  <si>
    <t>خرید قند جهت دفتر(که توسط خانم مهدیار خرید شده که به کارت ایشان واریز گردید)</t>
  </si>
  <si>
    <t>خرید تعمیر کامپیوتر دفتر(که توسط آقای صتوبری انجام شده که به کارت ایشان واریز گردید)</t>
  </si>
  <si>
    <t>خرید هارد کامپیوتر دفتر(که توسط آقای صتوبری انجام شده که به کارت ایشان واریز گردید)</t>
  </si>
  <si>
    <t>خرید سرویس پرینتر دفتر(که توسط آقای صتوبری انجام شده که به کارت ایشان واریز گردید)</t>
  </si>
  <si>
    <t>هزینه کارگر نظافتی و نهار او برای دفتر بنیاد (که توسط آقای علمی انجام شده که به کارت ایشان واریز گردید)</t>
  </si>
  <si>
    <t>هزینه ثبت نام آزمون گزینه 2 دانش آموزان پایه دهم تجربی که توسط خانم قوامی انجام شد که به کارت ایشان واریز گردید.</t>
  </si>
  <si>
    <t>پرداخت قرض الحسنه به خانم سروری توسط خانم فرشید که به کارت ابشان واریز گردید</t>
  </si>
  <si>
    <t>خرید کیک و شیر برای آزمون 7 بهمن</t>
  </si>
  <si>
    <t>هزینه رفت و آمد الهام صمدی و نرگس علینژاد برای آزمون(اصل پرداختی 1/306/000 ریال بوده)</t>
  </si>
  <si>
    <t>1401/11/07</t>
  </si>
  <si>
    <t>هزینه رفت و آمد الهام صمدی و نرگس علینژاد برای آزمون</t>
  </si>
  <si>
    <t>هزینه پرینت پرسشنامه های آزمون</t>
  </si>
  <si>
    <t>پرداخت حق الزحمه خانم قوامی بابت دیماه 1401</t>
  </si>
  <si>
    <t>هزینه ویزیت دکتر مهران بیرقی برای زهرا مروی (دختر فلج مغزی)</t>
  </si>
  <si>
    <t>1401/11/08</t>
  </si>
  <si>
    <t>هزینه رفت و آمد یگانه رجایی برای آزمون</t>
  </si>
  <si>
    <t>پرداخت هزینه شارژ دفتر بنیاد دیماه 1401</t>
  </si>
  <si>
    <t>1401/11/09</t>
  </si>
  <si>
    <t>خرید باطری سمعک برای نادیا احمدی</t>
  </si>
  <si>
    <t>خرید مواد غذایی برای 15 خانوار یتیم روز پدر توسط مهدی صنوبری</t>
  </si>
  <si>
    <t>1401/11/13</t>
  </si>
  <si>
    <t>پرداخت قرض الحسنه به خانم سروری که به کارت ابشان واریز گردید</t>
  </si>
  <si>
    <t>1401/11/14</t>
  </si>
  <si>
    <t>خرید کیک و شیر برای آزمون 15بهمن پایه یازدهم</t>
  </si>
  <si>
    <t>هزینه اسنپ یگانه خردمند برای آزمون</t>
  </si>
  <si>
    <t>هزینه رفت و آمد زینب ادبی و آتنا جر برای آزمون(اصل پرداختی 520/000 ریال بوده)</t>
  </si>
  <si>
    <t>پرداخت حقوق و تسویه حساب کامل خانم مهدیار بابت 43 روز کارکرد</t>
  </si>
  <si>
    <t>1401/11/16</t>
  </si>
  <si>
    <t>خرید کتاب ماجرای شیمی دوازدهم</t>
  </si>
  <si>
    <t>هزینه رفت و آمد خانم مهدیار تسویه حساب کامل</t>
  </si>
  <si>
    <t>خرید جهت دفتر؟؟؟؟؟ توسط خانم مهدیار که به کارت ایشان واریز گردید</t>
  </si>
  <si>
    <t>خرید پلاستیک براق توسط آقای صنوبری که به کارت ایشان واریز گردید</t>
  </si>
  <si>
    <t>خرید کابل VGA توسط آقای صنوبری که به کارت ایشان واریز گردید</t>
  </si>
  <si>
    <t>پرداخت اجاره ماه اول مرکز مشاوره آموزش و پرورش ناحیه 5 مشهد</t>
  </si>
  <si>
    <t>پرداخت الباقی هزینه ثبت نام مدرسه مصلی نژاد</t>
  </si>
  <si>
    <t>1401/11/26</t>
  </si>
  <si>
    <t>خرید صبحانه برای ریحانه نجفی، پری زارع و آوا راشدی( آموزشگاه آرابشگری)</t>
  </si>
  <si>
    <t>1401/11/27</t>
  </si>
  <si>
    <t>خرید هدیه توسط مهشید  که به کارت ایشان واریز گردید(اصل واریز 7/000/000 ریال بوده)</t>
  </si>
  <si>
    <t>1401/11/28</t>
  </si>
  <si>
    <t>پرداخت هزینه شارژ دفتر بنیاد بهمن ماه 1401</t>
  </si>
  <si>
    <t>خرید چای جهت دفتر</t>
  </si>
  <si>
    <t>1401/12/06</t>
  </si>
  <si>
    <t>شارژ اکانت اسنپ برای رفت و آمد دختران</t>
  </si>
  <si>
    <t>یگانه عبدالله زاده</t>
  </si>
  <si>
    <t>نرگس علینژاد</t>
  </si>
  <si>
    <t>آتنا جر</t>
  </si>
  <si>
    <t>مبینا علیزاده</t>
  </si>
  <si>
    <t>الناز حبیب زاده</t>
  </si>
  <si>
    <t>زینب ادبی یکه باغی</t>
  </si>
  <si>
    <t>یگانه محمددوست</t>
  </si>
  <si>
    <t>رقیه الزوینی</t>
  </si>
  <si>
    <t>عارفه آذرنگ</t>
  </si>
  <si>
    <t>شماره تلفن ولی</t>
  </si>
  <si>
    <t>09309935285</t>
  </si>
  <si>
    <t>09152364032</t>
  </si>
  <si>
    <t xml:space="preserve">
09156286174 م</t>
  </si>
  <si>
    <t>09045235720</t>
  </si>
  <si>
    <t>1401/12/07</t>
  </si>
  <si>
    <t xml:space="preserve">اصل واریزی1 میلیون بوده که برای دوماه آذر و دی ماه بوده است </t>
  </si>
  <si>
    <t xml:space="preserve">اصل واریزی1 میلیون بوده که برای دوماه شهریور و مهرماه بوده است </t>
  </si>
  <si>
    <t>1401/12/09</t>
  </si>
  <si>
    <t>1401/12/11</t>
  </si>
  <si>
    <t>1401/12/14</t>
  </si>
  <si>
    <t>مربوط به فروردین سال 1402 می باشد</t>
  </si>
  <si>
    <t>1401/12/15</t>
  </si>
  <si>
    <t>فیش واریزی 2 میلیون بوده که  برای ماههای دی و بهمن می باشد.</t>
  </si>
  <si>
    <t>رجبی</t>
  </si>
  <si>
    <t>1401/12/16</t>
  </si>
  <si>
    <t>5041721022897285</t>
  </si>
  <si>
    <t xml:space="preserve">توسط مادر ایشان بابت هزینه جراحی دست آتنا جر واریز گردید. </t>
  </si>
  <si>
    <t xml:space="preserve">خرید سیم کارت تلفن همراه جهت بنیاد </t>
  </si>
  <si>
    <t>1401/12/08</t>
  </si>
  <si>
    <t>هزینه شارژ اینترنت شاتل دفتر</t>
  </si>
  <si>
    <t>خرید آبمعدنی و قندجهت دفتر</t>
  </si>
  <si>
    <t>هزینه رفت و آمد دانش آموزان برای جلسه مشاوره در دفتر</t>
  </si>
  <si>
    <t>هزینه شارژ خط تلفن موبایل دفتر</t>
  </si>
  <si>
    <t>1401/12/13</t>
  </si>
  <si>
    <t>خرید کتاب کمک درسی</t>
  </si>
  <si>
    <t>پرداخت حق الزحمه بهمن ماه خانم قوامی</t>
  </si>
  <si>
    <t>پرداخت الباقی حق الزحمه آذر ماه خانم قوامی( تسویه حساب)</t>
  </si>
  <si>
    <t xml:space="preserve">هزینه رفت و آمد دانش آموزان برای جلسه مشاوره در مدرسه مصلی </t>
  </si>
  <si>
    <t>فیش واریزی 1 میلیون بوده که  برای ماههای اسفند و بهمن می باشد.</t>
  </si>
  <si>
    <t>1401/12/17</t>
  </si>
  <si>
    <t>احمدزاده</t>
  </si>
  <si>
    <t>5859831152823182</t>
  </si>
  <si>
    <t>بابت گلریزان آخر سال</t>
  </si>
  <si>
    <t>6104337300978655</t>
  </si>
  <si>
    <t>1401/12/18</t>
  </si>
  <si>
    <t>5892101379050863</t>
  </si>
  <si>
    <t>اصل فیش 1 میلیون بوده که برای ماههای آذر وئ بهمن بوده است</t>
  </si>
  <si>
    <t>6221061079430403</t>
  </si>
  <si>
    <t>گلریزان آخر سال</t>
  </si>
  <si>
    <t>مهندس فرشید</t>
  </si>
  <si>
    <t>6104337301600241</t>
  </si>
  <si>
    <t>1401/12/19</t>
  </si>
  <si>
    <t>6221061202867851</t>
  </si>
  <si>
    <t>اسفند و گلریزان</t>
  </si>
  <si>
    <t>فیش واریزی 6 میلیون بوده که  برای ماههای آبان، آذر، دی، بهمن و اسفند  می باشد.</t>
  </si>
  <si>
    <t xml:space="preserve">  برای ماههای اسفند و گلریزان  می باشد.</t>
  </si>
  <si>
    <t>1401/12/20</t>
  </si>
  <si>
    <t>فیش واریزی 1300 میلیون بوده که  برای ماه اسفند و گلریزان می باشد.</t>
  </si>
  <si>
    <t>1401/12/21</t>
  </si>
  <si>
    <t>1401/12/22</t>
  </si>
  <si>
    <t>1401/12/23</t>
  </si>
  <si>
    <t xml:space="preserve">اسفند </t>
  </si>
  <si>
    <t>1401/12/24</t>
  </si>
  <si>
    <t>1401/12/26</t>
  </si>
  <si>
    <t>1401/12/28</t>
  </si>
  <si>
    <t>1401/12/29</t>
  </si>
  <si>
    <t>6274121171324601</t>
  </si>
  <si>
    <t>5029081015337955</t>
  </si>
  <si>
    <t>5022291086970116</t>
  </si>
  <si>
    <t>ارزانیان</t>
  </si>
  <si>
    <t>6037691628442139</t>
  </si>
  <si>
    <t xml:space="preserve">معصومه </t>
  </si>
  <si>
    <t>شخصی خازنی</t>
  </si>
  <si>
    <t xml:space="preserve">پگاه </t>
  </si>
  <si>
    <t>پیروز</t>
  </si>
  <si>
    <t>6274881118942647</t>
  </si>
  <si>
    <t>بهروز</t>
  </si>
  <si>
    <t>جلیلی ضمیری</t>
  </si>
  <si>
    <t>5041721081102924</t>
  </si>
  <si>
    <t>6037697574168529</t>
  </si>
  <si>
    <t>شمسی</t>
  </si>
  <si>
    <t>زیوری</t>
  </si>
  <si>
    <t>6037997482783603</t>
  </si>
  <si>
    <t>جلیلی خادم</t>
  </si>
  <si>
    <t>6280231381931087</t>
  </si>
  <si>
    <t>1401/12/25</t>
  </si>
  <si>
    <t>فیش واریزی 6 میلیون بوده که  4 میلیون برای ماه فروردین 1402 و  2 میلیون گلریزان می باشد.</t>
  </si>
  <si>
    <t>5892101403730944</t>
  </si>
  <si>
    <t>1402/01/01</t>
  </si>
  <si>
    <t>1402/01/04</t>
  </si>
  <si>
    <t>1402/01/03</t>
  </si>
  <si>
    <t>مرضیه</t>
  </si>
  <si>
    <t>یزدان مقدم</t>
  </si>
  <si>
    <t>1402/01/06</t>
  </si>
  <si>
    <t>6274121178917472</t>
  </si>
  <si>
    <t>پرداخت خرید لوله و لوله کشی برای مدرسه در روستای شرشر خانم راغبی</t>
  </si>
  <si>
    <t>اجاره موسسه مشاوره</t>
  </si>
  <si>
    <t>پرداخت هزینه سالن مطالعه کوثر مولایی</t>
  </si>
  <si>
    <t>فیش واریزی 20 میلیون بوده که برای ماه فروردین و اردیبهشت 1402  می باشد.</t>
  </si>
  <si>
    <t>1402/01/0/10</t>
  </si>
  <si>
    <t>6104337516205190</t>
  </si>
  <si>
    <t>فیش واریزی 600 هزار تومن بوده که برای ماه شهریور ومهر 1401  می باشد.</t>
  </si>
  <si>
    <t>ثبت نام آزمون گزینه 2 تاریخ 19 اسفند 1401</t>
  </si>
  <si>
    <t xml:space="preserve">خرید صبحانه </t>
  </si>
  <si>
    <t>هزینه شارژ اکانت اسنپ بنیاد</t>
  </si>
  <si>
    <t>هزینه چاپ پرسشنامه های آزمون 19 اسفند گزینه 2</t>
  </si>
  <si>
    <t>هزینه خرید صبحانه برای آزمون 19 اسفند گزینه 2</t>
  </si>
  <si>
    <t>S</t>
  </si>
  <si>
    <t>هزینه مربوط به تعمیرات مدارس از واریزی خانم عین علی</t>
  </si>
  <si>
    <t>هزینه  اسنپ جهت شرکت در آزمون آزمون 19 اسفند گزینه 2</t>
  </si>
  <si>
    <t>هزینه الباقی اسنپ جهت شرکت در آزمون آزمون 19 اسفند گزینه 2</t>
  </si>
  <si>
    <t>پرداخت از اکانت اسنپ بنیاد</t>
  </si>
  <si>
    <t>هزینه پیک جهت آوردن کامپیوتر از دفتر اقوام فرزاد فرشید</t>
  </si>
  <si>
    <t>برای پسر خانم مروی</t>
  </si>
  <si>
    <t>هزینه ئانت جهت بردن رادیاتورها از منزل آقای ارزانیان به انبار بنیاد</t>
  </si>
  <si>
    <t>هزینه خرید پلاستیک جهت توزیع بسته های معیشتی شب عید</t>
  </si>
  <si>
    <t>خرید 60 عدد مرغ جهت بسته های معیشتی شب عید</t>
  </si>
  <si>
    <t>خرید سه راهی برق جهت کامپیوتر پسر خانم مروری</t>
  </si>
  <si>
    <t>هزینه نظافت دفتر</t>
  </si>
  <si>
    <t>هزینه خرید کتاب کمک درسی</t>
  </si>
  <si>
    <t>هزینه  اسنپ جهت شرکت در کلاس مشاوره که به حساب خانم عباسی واریز کردم</t>
  </si>
  <si>
    <t>دو نوبت</t>
  </si>
  <si>
    <t>1402/01/08</t>
  </si>
  <si>
    <t>1402/01/14</t>
  </si>
  <si>
    <t>سه نوبت</t>
  </si>
  <si>
    <t>هزینه شارژ دفتر مربوط به اسفند ماه 1401</t>
  </si>
  <si>
    <t>پرداخت حقوق اسفند ماه خانم پروانه عباسی</t>
  </si>
  <si>
    <t xml:space="preserve">شارژ اینترنت موبایل بنیاد </t>
  </si>
  <si>
    <t xml:space="preserve">شارژ اعتبار موبایل بنیاد </t>
  </si>
  <si>
    <t>کل واریزی 1401</t>
  </si>
  <si>
    <t>کل واریزی 1402</t>
  </si>
  <si>
    <t>1402/01/10</t>
  </si>
  <si>
    <t>1402/01/15</t>
  </si>
  <si>
    <t>6104337649628052</t>
  </si>
  <si>
    <t>1402/01/20</t>
  </si>
  <si>
    <t xml:space="preserve">هدیه </t>
  </si>
  <si>
    <t>شجری ایزدی</t>
  </si>
  <si>
    <t>6104337678153295</t>
  </si>
  <si>
    <t>1402/01/21</t>
  </si>
  <si>
    <t>1402/01/26</t>
  </si>
  <si>
    <t>1402/01/27</t>
  </si>
  <si>
    <t>5054161014166601</t>
  </si>
  <si>
    <t>1402/01/30</t>
  </si>
  <si>
    <t>هزینه خرید کتاب کمک درسی و دفتر برنامه ریزی</t>
  </si>
  <si>
    <t>1402/02/04</t>
  </si>
  <si>
    <t>پرداخت حقوق فروردین ماه خانم پروانه عباسی</t>
  </si>
  <si>
    <t>1402/02/05</t>
  </si>
  <si>
    <t>1402/02/17</t>
  </si>
  <si>
    <t>1402/02/18</t>
  </si>
  <si>
    <t>1402/02/19</t>
  </si>
  <si>
    <t>1402/02/20</t>
  </si>
  <si>
    <t>1402/02/24</t>
  </si>
  <si>
    <t>1402/02/27</t>
  </si>
  <si>
    <t>1402/03/01</t>
  </si>
  <si>
    <t>پرداخت حقوق اردیبهشت ماه خانم پروانه عباسی</t>
  </si>
  <si>
    <t>ایاب و ذهاب خانم عباسی</t>
  </si>
  <si>
    <t>1402/03/04</t>
  </si>
  <si>
    <t>1402/03/09</t>
  </si>
  <si>
    <t>1402/03/23</t>
  </si>
  <si>
    <t>1402/02/01</t>
  </si>
  <si>
    <t>1402/02/02</t>
  </si>
  <si>
    <t xml:space="preserve">هدی </t>
  </si>
  <si>
    <t>کاشی</t>
  </si>
  <si>
    <t>6362141044496454</t>
  </si>
  <si>
    <t>1402/02/06</t>
  </si>
  <si>
    <t>1402/02/07</t>
  </si>
  <si>
    <t>6037697552572106</t>
  </si>
  <si>
    <t>6037991930237312</t>
  </si>
  <si>
    <t>واعظی</t>
  </si>
  <si>
    <t>6037691260323928</t>
  </si>
  <si>
    <t>1402/02/09</t>
  </si>
  <si>
    <t>6219861750538539</t>
  </si>
  <si>
    <t>فرامرز</t>
  </si>
  <si>
    <t>پور اصفهانی</t>
  </si>
  <si>
    <t>6219861022276942</t>
  </si>
  <si>
    <t>1402/02/10</t>
  </si>
  <si>
    <t>5022291038702293</t>
  </si>
  <si>
    <t>1402/02/13</t>
  </si>
  <si>
    <t>اینترنت بانک</t>
  </si>
  <si>
    <t>1402/02/15</t>
  </si>
  <si>
    <t>1402/02/21</t>
  </si>
  <si>
    <t>5894631593018294</t>
  </si>
  <si>
    <t>1402/02/22</t>
  </si>
  <si>
    <t>موبایل بانک</t>
  </si>
  <si>
    <t>1402/02/29</t>
  </si>
  <si>
    <t>1402/02/31</t>
  </si>
  <si>
    <t>1402/03/03</t>
  </si>
  <si>
    <t>1402/03/06</t>
  </si>
  <si>
    <t>1402/03/08</t>
  </si>
  <si>
    <t>1402/03/12</t>
  </si>
  <si>
    <t>1402/03/17</t>
  </si>
  <si>
    <t>1402/03/18</t>
  </si>
  <si>
    <t>6280231503124413</t>
  </si>
  <si>
    <t>1402/03/20</t>
  </si>
  <si>
    <t>5894631830633582</t>
  </si>
  <si>
    <t>1402/03/24</t>
  </si>
  <si>
    <t>5892101068229984</t>
  </si>
  <si>
    <t>اصل واریزی 1500000 تومان بوده که برای ماه های بهمن و اسفند 1401 و فروردین 1402 لحاظ شد</t>
  </si>
  <si>
    <t>هزینه ثبت نام آزمون گزینه 2 دانش آموزان اردیبهشت 1402</t>
  </si>
  <si>
    <t>خرید آب معدنی برای دفتر (به صورت کلی مبلغ 1153040 برای خانم عباسی واریز گردید)</t>
  </si>
  <si>
    <t>پرداخت قبض تلفن دفتر (به صورت کلی مبلغ 1153040 برای خانم عباسی واریز گردید)</t>
  </si>
  <si>
    <t>هزینه شارژ دفتر مربوط به فروردین ماه 1402 (به صورت کلی مبلغ 1153040 برای خانم عباسی واریز گردید)</t>
  </si>
  <si>
    <t>هزینه ثبت نام کتاب های درسی ملیکا نماز (به صورت کلی مبلغ 1153040 برای خانم عباسی واریز گردید)</t>
  </si>
  <si>
    <t>1402/02/12</t>
  </si>
  <si>
    <t>هزینه اسنپ دانش آموزان جهت کلاس مشاوره تحصیلی (به صورت کلی مبلغ 1153040 برای خانم عباسی واریز گردید)</t>
  </si>
  <si>
    <t>هزینه ثبت نام کتاب های درسی الهام صمدی (به صورت کلی مبلغ 1153040 برای خانم عباسی واریز گردید)</t>
  </si>
  <si>
    <t>هزینه ثبت نام کتاب های درسی مهدیار نماز (به صورت کلی مبلغ 1153040 برای خانم عباسی واریز گردید)</t>
  </si>
  <si>
    <t>هزینه اسنپ دانش آموزان جهت کلاس مشاوره تحصیلی  (به صورت کلی مبلغ 1153040 برای خانم عباسی واریز گردید)</t>
  </si>
  <si>
    <t>هزینه خرید آب معدنی برای دفتر (به صورت کلی مبلغ 1153040 برای خانم عباسی واریز گردید)</t>
  </si>
  <si>
    <t>هزینه پرینت و کپی پرسشنامه ها (به صورت کلی مبلغ 7676000 برای خانم عباسی واریز گردید)</t>
  </si>
  <si>
    <t>هزینه خرید کیک و شیر کاکائو برای آزمون گزینه 2 اردیبهشت 1402 (به صورت کلی مبلغ 7676000 برای خانم عباسی واریز گردید)</t>
  </si>
  <si>
    <t>هزینه اسنپ دانش آموزان جهت کلاس مشاوره تحصیلی (به صورت کلی مبلغ 7676000 برای خانم عباسی واریز گردید)</t>
  </si>
  <si>
    <t>هزینه اسنپ دانش آموزان جهت آزمون گزینه 2 (به صورت کلی مبلغ 7676000 برای خانم عباسی واریز گردید)</t>
  </si>
  <si>
    <t>پرداخت برای خانم نماز جهت شکستگی دست مهدیار نماز</t>
  </si>
  <si>
    <t>هزینه شارژ دفتر مربوط به اردیبهشت ماه 1402</t>
  </si>
  <si>
    <t>خرید آب معدنی و شوینده برای دفتر (به صورت کلی مبلغ 8706000 برای خانم عباسی واریز گردید)</t>
  </si>
  <si>
    <t>هزینه ثبت نام کلاس تقویتی الهام صمدی  (به صورت کلی مبلغ 8706000 برای خانم عباسی واریز گردید)</t>
  </si>
  <si>
    <t>پرداختی برای خانم عباسی جهت موارد ذکر شده</t>
  </si>
  <si>
    <t>اصل واریزی 3000000 تومان بوده که برای ماه های اردیبهشت و خرداد و تیر 1402 لحاظ شد</t>
  </si>
  <si>
    <t>دادخواه</t>
  </si>
  <si>
    <t>اصل واریزی 1500000 تومان بوده که برای ماه های فروردین و  اردیبهشت و خرداد 1402 لحاظ شد</t>
  </si>
  <si>
    <t>اصل واریزی 1000000 تومان بوده که برای ماه های اردیبهشت و خرداد 1402 لحاظ شد</t>
  </si>
  <si>
    <t>اصل واریزی 2000000 تومان بوده که برای ماه های فروردین و  اردیبهشت 1402 لحاظ شد</t>
  </si>
  <si>
    <t>اصل واریزی 5000000 تومان بوده که برای ماه های فروردین و اردیبهشت و خرداد و تیر و مرداد و شهریور و مهر و آبان و آذر و دی و بهمن و اسفند 1402 لحاظ شد</t>
  </si>
  <si>
    <t>Column3</t>
  </si>
  <si>
    <t>اصل فیش واریزی 500 هزار تومان بوده است که 200 هزار تومان برای تیرماه لحاظ میشود</t>
  </si>
  <si>
    <r>
      <rPr>
        <sz val="11"/>
        <color theme="1"/>
        <rFont val="B Nazanin"/>
        <charset val="178"/>
      </rPr>
      <t xml:space="preserve">مبلغ 200 هزار تومان از فیش خرداد و 100 هزار تومان از </t>
    </r>
    <r>
      <rPr>
        <sz val="11"/>
        <color theme="1"/>
        <rFont val="Calibri"/>
        <family val="2"/>
      </rPr>
      <t xml:space="preserve"> فیش 1/5میلیون بوده که برای تیر و مرداد و شهریور و مهر و آبان لحاظ شده و 200 هزار تومان برای آذر</t>
    </r>
  </si>
  <si>
    <t xml:space="preserve"> فیش 1/5میلیون بوده که برای تیر و مرداد و شهریور و مهر و آبان لحاظ شده و 200 هزار تومان برای آذر</t>
  </si>
  <si>
    <t xml:space="preserve"> فیش 1میلیون بوده که 100 هزار تومان برای آذر و مابقی برای دی و بهمن و اسفند لحاظ شد</t>
  </si>
  <si>
    <t>1402/03/22</t>
  </si>
  <si>
    <t>000000000000000</t>
  </si>
  <si>
    <t>1402/01/22</t>
  </si>
  <si>
    <t>0000000000000000</t>
  </si>
  <si>
    <t>00000000000000</t>
  </si>
  <si>
    <t>1402/03/30</t>
  </si>
  <si>
    <t>6219861064508566</t>
  </si>
  <si>
    <t>اصل واریزی 3000000 تومان بوده که برای ماه های اسفند 1401 و فروردین و اردیبهشت و خرداد 1402 لحاظ شد</t>
  </si>
  <si>
    <t>1402/03/31</t>
  </si>
  <si>
    <t>1402/04/01</t>
  </si>
  <si>
    <t>1402/04/03</t>
  </si>
  <si>
    <t>1402/04/04</t>
  </si>
  <si>
    <t>اصل واریزی 600000 تومان بوده که برای ماه های فروردین و اردیبهشت و خرداد 1402 لحاظ شد</t>
  </si>
  <si>
    <t>1402/04/05</t>
  </si>
  <si>
    <t>هزینه ثبتنام مدرسه مهدیار نماز</t>
  </si>
  <si>
    <t>هزینه شارژ دفتر مربوط به خرداد ماه 1402</t>
  </si>
  <si>
    <t>خرید میوه سالگرد تاسیس بنیاد (به صورت کلی مبلغ 1745400 تومان برای خانم عباسی واریز گردید)</t>
  </si>
  <si>
    <t>خرید آب معدنی و دو بسته قند برای دفتر (به صورت کلی مبلغ 1745400 تومان برای خانم عباسی واریز گردید)</t>
  </si>
  <si>
    <t>خرید شیرینی سالگرد تاسیس بنیاد (به صورت کلی مبلغ 1745400 تومان برای خانم عباسی واریز گردید)</t>
  </si>
  <si>
    <t>خرید آب معدنی سالگرد تاسیس بنیاد (به صورت کلی مبلغ 1745400 تومان برای خانم عباسی واریز گردید)</t>
  </si>
  <si>
    <t>خرید موز سالگرد تاسیس بنیاد (به صورت کلی مبلغ 1745400 تومان برای خانم عباسی واریز گردید)</t>
  </si>
  <si>
    <t>خرید کیک سالگرد تاسیس بنیاد (به صورت کلی مبلغ 1745400 تومان برای خانم عباسی واریز گردید)</t>
  </si>
  <si>
    <t>1402/04/06</t>
  </si>
  <si>
    <t>هزینه ثبتنام مدرسه ملیکا نماز</t>
  </si>
  <si>
    <t>پرداخت حقوق خرداد ماه خانم پروانه عباسی</t>
  </si>
  <si>
    <t>هزینه شارژ اینترنت موبایل</t>
  </si>
  <si>
    <t>هزینه پست سمعک به سیستان بلوچستان که برای خانم مهدیار واریز شد</t>
  </si>
  <si>
    <t>اصل واریزی 5000000 تومان بوده که برای بهمن و اسفند 1401 فروردین و اردیبهشت و خرداد 1402 لحاظ شد</t>
  </si>
  <si>
    <t>اصل واریزی 1میلیون تومان بوده که برای فروردین و اردیبهشت و خرداد 1402 لحاظ شد</t>
  </si>
  <si>
    <t>کارمزد تمدید پیامک برداشت از حساب</t>
  </si>
  <si>
    <t>واریز برای خانم سروری قرض الحسنه که در تاریخ 04/04/1402 برگردانده شد</t>
  </si>
  <si>
    <t>برگشت قرض الحسنه خانم سروری به حساب بنیاد</t>
  </si>
  <si>
    <t>باقیمانده واریزی آقای صاحبکار</t>
  </si>
  <si>
    <t>1000000-</t>
  </si>
  <si>
    <t>اصل واریزی 1 میلیون بوده که برای ماه های اسفند 1401 و فروردین 1402 لحاظ شد</t>
  </si>
  <si>
    <t>اصل واریزی مبلغ 3 میلیون تومان بوده که برای ماه های دی و بهمن و اسفند 1401 لحاظ شد</t>
  </si>
  <si>
    <t>اصل واریزی 800 هزار تومان بوده که برای ماه های خرداد و تیر 1402 لحاظ شد</t>
  </si>
  <si>
    <t>1402/04/07</t>
  </si>
  <si>
    <t>اصل واریزی 4 میلیون تومان بوده که برای ماه های فروردین و اردیبهشت و خرداد و تیر 1402 لحاظ شد</t>
  </si>
  <si>
    <t>1402/04/08</t>
  </si>
  <si>
    <t>1402/04/13</t>
  </si>
  <si>
    <t>علی اصغر</t>
  </si>
  <si>
    <t>1402/04/14</t>
  </si>
  <si>
    <t>6037997380534397</t>
  </si>
  <si>
    <t>1402/04/19</t>
  </si>
  <si>
    <t>1402/04/21</t>
  </si>
  <si>
    <t>610437886949674</t>
  </si>
  <si>
    <t>1402/04/22</t>
  </si>
  <si>
    <t>1402/04/25</t>
  </si>
  <si>
    <t>1402/04/10</t>
  </si>
  <si>
    <t>15010000-</t>
  </si>
  <si>
    <t>1402/04/11</t>
  </si>
  <si>
    <t>باز کردن حساب قرض الحسنه برای بنیاد</t>
  </si>
  <si>
    <t>1402/04/17</t>
  </si>
  <si>
    <t>1402/04/18</t>
  </si>
  <si>
    <t>واریز برای خانم عباسی جهت لوح تقدیر</t>
  </si>
  <si>
    <t>واریز هزینه برای خانم معصومیان</t>
  </si>
  <si>
    <t>واریز هزینه برای خانم نیرومند</t>
  </si>
  <si>
    <t>پرداخت هزینه بیمارستان یگانه عبدالله زاده به آقای فرشید</t>
  </si>
  <si>
    <t>هزینه اسنپ آتنا جر</t>
  </si>
  <si>
    <t>1402/04/27</t>
  </si>
  <si>
    <t>1402/04/28</t>
  </si>
  <si>
    <t>6221061219707819</t>
  </si>
  <si>
    <t>امیر مرادی</t>
  </si>
  <si>
    <t>1402/04/29</t>
  </si>
  <si>
    <t>6037997312916712</t>
  </si>
  <si>
    <t>1402/04/31</t>
  </si>
  <si>
    <t>5894631563315035</t>
  </si>
  <si>
    <t>1402/05/01</t>
  </si>
  <si>
    <t>پیام</t>
  </si>
  <si>
    <t>شاه رضائی</t>
  </si>
  <si>
    <t>5022291511398297</t>
  </si>
  <si>
    <t>6104337811368024</t>
  </si>
  <si>
    <t>تست های روانشناسی جهت بنیاد</t>
  </si>
  <si>
    <t>چاپ پوستر</t>
  </si>
  <si>
    <t>شیرینی برای بازدید</t>
  </si>
  <si>
    <t>اصل واریزی 1500000 تومان بوده است که برای ماه های اردیبهشت خرداد و تیر لحاظ گردید</t>
  </si>
  <si>
    <t>هزینه تعمیر تبلت اهدائی از کانادا</t>
  </si>
  <si>
    <t>1402/05/02</t>
  </si>
  <si>
    <t>1402/05/06</t>
  </si>
  <si>
    <t>1402/05/07</t>
  </si>
  <si>
    <t>1402/05/09</t>
  </si>
  <si>
    <t>6362141117350588</t>
  </si>
  <si>
    <t>1402/05/11</t>
  </si>
  <si>
    <t>1402/05/12</t>
  </si>
  <si>
    <t>61043389934864444</t>
  </si>
  <si>
    <t>5894631848058954</t>
  </si>
  <si>
    <t>6219861066703819</t>
  </si>
  <si>
    <t>1402/05/15</t>
  </si>
  <si>
    <t>1402/05/03</t>
  </si>
  <si>
    <t>1402/05/04</t>
  </si>
  <si>
    <t>1402/05/18</t>
  </si>
  <si>
    <t>پرداخت حقوق تیر ماه خانم پروانه عباسی</t>
  </si>
  <si>
    <t>هزینه ساخت مهر بنیاد</t>
  </si>
  <si>
    <t>افتتاح حساب پارسیان بنیاد</t>
  </si>
  <si>
    <t xml:space="preserve">خرید برنج بسته های معیشتی </t>
  </si>
  <si>
    <t>پرینت سربرگ رنگی بنیاد</t>
  </si>
  <si>
    <t>1402/05/13</t>
  </si>
  <si>
    <t>کارمزد بانک</t>
  </si>
  <si>
    <t>هزینه ثبت نام گزینه 2 زینب ادبی که برای خانم عباسی واریز شد</t>
  </si>
  <si>
    <t>هزینه کتاب کمک درسی نرگس علینژاد</t>
  </si>
  <si>
    <t>محمد امین</t>
  </si>
  <si>
    <t>حسین زاده</t>
  </si>
  <si>
    <t>1402/05/21</t>
  </si>
  <si>
    <t>6274121193079712</t>
  </si>
  <si>
    <t>1402/05/22</t>
  </si>
  <si>
    <t>1402/05/23</t>
  </si>
  <si>
    <t>1402/05/30</t>
  </si>
  <si>
    <t>1402/05/31</t>
  </si>
  <si>
    <t>1402/06/03</t>
  </si>
  <si>
    <t>افتتاح حساب</t>
  </si>
  <si>
    <t>جدید</t>
  </si>
  <si>
    <t>1402/05/17</t>
  </si>
  <si>
    <t>6274121169263647</t>
  </si>
  <si>
    <t>مهسا</t>
  </si>
  <si>
    <t>قربانزاده</t>
  </si>
  <si>
    <t>5859831100566818</t>
  </si>
  <si>
    <t>1402/05/19</t>
  </si>
  <si>
    <t>اشکان</t>
  </si>
  <si>
    <t>قریب</t>
  </si>
  <si>
    <t>6104337845440534</t>
  </si>
  <si>
    <t>1402/05/24</t>
  </si>
  <si>
    <t>1402/05/26</t>
  </si>
  <si>
    <t>**********</t>
  </si>
  <si>
    <t>1402/05/27</t>
  </si>
  <si>
    <t>6037997416809813</t>
  </si>
  <si>
    <t>6104337402601130</t>
  </si>
  <si>
    <t>1402/05/28</t>
  </si>
  <si>
    <t>1402/05/29</t>
  </si>
  <si>
    <t>6104337956006173</t>
  </si>
  <si>
    <t>1402/06/01</t>
  </si>
  <si>
    <t>1402/06/02</t>
  </si>
  <si>
    <t>6104337831398944</t>
  </si>
  <si>
    <t xml:space="preserve">سپیده </t>
  </si>
  <si>
    <t>میری حصاری</t>
  </si>
  <si>
    <t>6104337858714536</t>
  </si>
  <si>
    <t>کارمزد صدور کارت</t>
  </si>
  <si>
    <t>تمبر کارت مجازی</t>
  </si>
  <si>
    <t>تمبر مالیاتی انتقالی افتتاح حساب</t>
  </si>
  <si>
    <t>تمبر کارت حقوقی</t>
  </si>
  <si>
    <t>1402/06/04</t>
  </si>
  <si>
    <t>انتقال به کارت تنخواه</t>
  </si>
  <si>
    <t>کارمزد انتقال وجه</t>
  </si>
  <si>
    <t>**************</t>
  </si>
  <si>
    <t>شارژ دفتر</t>
  </si>
  <si>
    <t>اصل واریزی 5 میلیون تومان بوده که برای ماه های فروردین و اردیبهشت و خرداد و تیر و مرداد 1402 لحاظ شد</t>
  </si>
  <si>
    <t>1402/06/07</t>
  </si>
  <si>
    <t>1402/06/10</t>
  </si>
  <si>
    <t>سیدحسین</t>
  </si>
  <si>
    <t>میرسلیمی</t>
  </si>
  <si>
    <t>1402/06/12</t>
  </si>
  <si>
    <t>میرزایی</t>
  </si>
  <si>
    <t>یاسین</t>
  </si>
  <si>
    <t>1402/06/14</t>
  </si>
  <si>
    <t>1402/06/19</t>
  </si>
  <si>
    <t>1402/06/20</t>
  </si>
  <si>
    <t>فرانک</t>
  </si>
  <si>
    <t>فیضی</t>
  </si>
  <si>
    <t>1402/06/21</t>
  </si>
  <si>
    <t>6037997250314227</t>
  </si>
  <si>
    <t>1402/06/22</t>
  </si>
  <si>
    <t>1402/06/23</t>
  </si>
  <si>
    <t>1402/06/25</t>
  </si>
  <si>
    <t>فردین</t>
  </si>
  <si>
    <t>مقدم</t>
  </si>
  <si>
    <t>1402/06/26</t>
  </si>
  <si>
    <t>6219861935226554</t>
  </si>
  <si>
    <t>طاهره</t>
  </si>
  <si>
    <t>افشارپور</t>
  </si>
  <si>
    <t>6037691532810819</t>
  </si>
  <si>
    <t>تیموری</t>
  </si>
  <si>
    <t>6219861902829745</t>
  </si>
  <si>
    <t>نیما</t>
  </si>
  <si>
    <t>بلوکیان</t>
  </si>
  <si>
    <t>5022291073893347</t>
  </si>
  <si>
    <t>کیانا</t>
  </si>
  <si>
    <t>مولاپناه</t>
  </si>
  <si>
    <t>6219861932967333</t>
  </si>
  <si>
    <t>رخشی</t>
  </si>
  <si>
    <t>6362141056213326</t>
  </si>
  <si>
    <t>مظلوم</t>
  </si>
  <si>
    <t>سیده زهرا</t>
  </si>
  <si>
    <t>6104337512352806</t>
  </si>
  <si>
    <t>هلیا</t>
  </si>
  <si>
    <t>ارشادی راد</t>
  </si>
  <si>
    <t>5859831131402439</t>
  </si>
  <si>
    <t>1402/06/27</t>
  </si>
  <si>
    <t>سلیمانی</t>
  </si>
  <si>
    <t>6037997277895331</t>
  </si>
  <si>
    <t>1402/06/28</t>
  </si>
  <si>
    <t>1402/06/30</t>
  </si>
  <si>
    <t>6221061239336342</t>
  </si>
  <si>
    <t>1402/06/31</t>
  </si>
  <si>
    <t>1402/07/01</t>
  </si>
  <si>
    <t>6219861928717775</t>
  </si>
  <si>
    <t>مطهره</t>
  </si>
  <si>
    <t>یزدان طلب</t>
  </si>
  <si>
    <t>1402/07/03</t>
  </si>
  <si>
    <t>1402/07/04</t>
  </si>
  <si>
    <t>حسن</t>
  </si>
  <si>
    <t>گلستانی</t>
  </si>
  <si>
    <t>1402/07/05</t>
  </si>
  <si>
    <t>5022291308274941</t>
  </si>
  <si>
    <t>1402/07/06</t>
  </si>
  <si>
    <t>5022291029404083</t>
  </si>
  <si>
    <t>1402/07/08</t>
  </si>
  <si>
    <t>چک</t>
  </si>
  <si>
    <t>1402/07/10</t>
  </si>
  <si>
    <t>1402/07/19</t>
  </si>
  <si>
    <t>1402/07/22</t>
  </si>
  <si>
    <t>6104338642496927</t>
  </si>
  <si>
    <t>1402/07/24</t>
  </si>
  <si>
    <t>1402/07/25</t>
  </si>
  <si>
    <t>اصل واریزی 1 میلیون تومان بوده که برای ماه های تیر و مرداد و شهریور ومهر 1402 لحاظ شد</t>
  </si>
  <si>
    <t>اصل واریزی 2 میلیون تومان بوده که برای ماه های مرداد و شهریور 1402 لحاظ شد</t>
  </si>
  <si>
    <t>اصل واریزی 600 هزار تومان بوده که برای ماه های تیر و مرداد و شهریور 1402 لحاظ شد</t>
  </si>
  <si>
    <t>حقوق مرداد ماه خانم عباسی</t>
  </si>
  <si>
    <t>1402/06/08</t>
  </si>
  <si>
    <t>خرید لوازم تحریر ثنا پور دوران تربت جام</t>
  </si>
  <si>
    <t>بابت لوازم تحریر الهام صمدی</t>
  </si>
  <si>
    <t>خریدهای دفتر و ایاب ذهاب خانم عباسی</t>
  </si>
  <si>
    <t>بانک کسر کرده</t>
  </si>
  <si>
    <t>حقوق شهریور ماه خانم عباسی</t>
  </si>
  <si>
    <t>لباس فرم و لوازم هنر ثنا پور دوران تربت جام</t>
  </si>
  <si>
    <t>بابت خرید کیف و لوازم تحریر به اقای بامیری</t>
  </si>
  <si>
    <t>بابت خرید کارت هدیه دانش اموزان بورس حکمت به خانم عباسی</t>
  </si>
  <si>
    <t>بورس حکمت فرخنده خوش گفتار</t>
  </si>
  <si>
    <t>بورس حکمت فرزانه خوش گفتار</t>
  </si>
  <si>
    <t>بورس حکمت مائده وفای</t>
  </si>
  <si>
    <t>بورس حکمت کوثر صفری</t>
  </si>
  <si>
    <t>بورس حکمت هدیه محمدپور</t>
  </si>
  <si>
    <t>بورس حکمت سحر خادم حقیقی</t>
  </si>
  <si>
    <t>بورس حکت فاطمه سادات سلطانی</t>
  </si>
  <si>
    <t>بورس حکت محمد امین تاتاری</t>
  </si>
  <si>
    <t>بورس حکمت متین شاملی</t>
  </si>
  <si>
    <t>بورس حکمت امیرحسین محمدزاده</t>
  </si>
  <si>
    <t>خرید کتاب های اتنا جر واریز به کتابفروشی</t>
  </si>
  <si>
    <t>بورس حکمت صادق نجمی</t>
  </si>
  <si>
    <t>بورس حکمت امیرحسین مودب</t>
  </si>
  <si>
    <t>1402/07/12</t>
  </si>
  <si>
    <t>1402/07/17</t>
  </si>
  <si>
    <t>بابت هزینه نظافت دفتر و شارژ دفتر و لباس فرم بچه های خانم سروری به آقای مهندس فرشید که برای خانم عباسی واریز کردن</t>
  </si>
  <si>
    <t>هزینه چاپ رول اپ استند برای همایش</t>
  </si>
  <si>
    <t>بابت هزینه کتاب های الهام صمدی</t>
  </si>
  <si>
    <t>بابت هزینه کتاب های نرگس علینژاد</t>
  </si>
  <si>
    <t>ثبتنام سالن مطالعه الهام صمدی</t>
  </si>
  <si>
    <t>بابت خریدهای دفتر به خانم عباسی</t>
  </si>
  <si>
    <t>بابت هزینه کارت ویزیت و بروشور</t>
  </si>
  <si>
    <t>هزینه اگهی ترحیم</t>
  </si>
  <si>
    <t>1402/07/26</t>
  </si>
  <si>
    <t>بورس حکمت امیرپارسا قویدل</t>
  </si>
  <si>
    <t>بورس حکمت محمد امین تاتاری</t>
  </si>
  <si>
    <t>بورس حکمت احمد خاوری عدل</t>
  </si>
  <si>
    <t>بورس حکمت ریحانه منفردی</t>
  </si>
  <si>
    <t>ثنا پور دوران</t>
  </si>
  <si>
    <t>هدیه محمد پور جاغرق</t>
  </si>
  <si>
    <t>کوثر صفری</t>
  </si>
  <si>
    <t>حانیه دشتبانی</t>
  </si>
  <si>
    <t>فاطمه حیدرزاده</t>
  </si>
  <si>
    <t>سیده شقایق محمودی زاده</t>
  </si>
  <si>
    <t>مائده وفای فرخانی</t>
  </si>
  <si>
    <t>فرزانه خوشگفتار</t>
  </si>
  <si>
    <t>فرخنده خوشگفتار</t>
  </si>
  <si>
    <t>ریحانه منفردی</t>
  </si>
  <si>
    <t>احمد خاوری عدل</t>
  </si>
  <si>
    <t>صادق نجمی</t>
  </si>
  <si>
    <t>امیرحسین محمدزاده</t>
  </si>
  <si>
    <t>امیرحسین مودب</t>
  </si>
  <si>
    <t>متین شاملی</t>
  </si>
  <si>
    <t>امیر پارسا قویدل</t>
  </si>
  <si>
    <t>محمدسجاد طوسی گروهی</t>
  </si>
  <si>
    <t>امیرحسین بنا زاده</t>
  </si>
  <si>
    <t>محمد امین تاتاری</t>
  </si>
  <si>
    <t>فاطمه سادات سلطانی</t>
  </si>
  <si>
    <t>سحر خادم حقیقی</t>
  </si>
  <si>
    <t>سارینا داوری</t>
  </si>
  <si>
    <t>ثمین اکبری شاندیز</t>
  </si>
  <si>
    <t>ماهیانه</t>
  </si>
  <si>
    <t>موردی</t>
  </si>
  <si>
    <t>مرحمی</t>
  </si>
  <si>
    <t>بابت گل ریزان لوازم تحریر اول مهر</t>
  </si>
  <si>
    <t>1402/07/28</t>
  </si>
  <si>
    <t>1402/07/30</t>
  </si>
  <si>
    <t>1402/08/01</t>
  </si>
  <si>
    <t>1402/08/02</t>
  </si>
  <si>
    <t>1402/08/03</t>
  </si>
  <si>
    <t>5894631118200740</t>
  </si>
  <si>
    <t>1402/08/04</t>
  </si>
  <si>
    <t>0000</t>
  </si>
  <si>
    <t>1402/08/06</t>
  </si>
  <si>
    <t>1402/08/07</t>
  </si>
  <si>
    <t>1402/08/10</t>
  </si>
  <si>
    <t>6037991771590159</t>
  </si>
  <si>
    <t>1402/08/14</t>
  </si>
  <si>
    <t>1402/08/15</t>
  </si>
  <si>
    <t>1402/08/16</t>
  </si>
  <si>
    <t>1402/08/17</t>
  </si>
  <si>
    <t>1402/08/19</t>
  </si>
  <si>
    <t>1402/08/20</t>
  </si>
  <si>
    <t>1402/08/21</t>
  </si>
  <si>
    <t>1402/08/22</t>
  </si>
  <si>
    <t>1402/08/24</t>
  </si>
  <si>
    <t>1402/08/26</t>
  </si>
  <si>
    <t>1402/08/29</t>
  </si>
  <si>
    <t>6037697598049573</t>
  </si>
  <si>
    <t>6104337614201166</t>
  </si>
  <si>
    <t>نهال</t>
  </si>
  <si>
    <t>نفر</t>
  </si>
  <si>
    <t>1402/09/01</t>
  </si>
  <si>
    <t>1402/09/04</t>
  </si>
  <si>
    <t>0000000</t>
  </si>
  <si>
    <t>1402/09/05</t>
  </si>
  <si>
    <t>چکامک</t>
  </si>
  <si>
    <t>کریمی</t>
  </si>
  <si>
    <t>پایا</t>
  </si>
  <si>
    <t>6221061226893693</t>
  </si>
  <si>
    <t>1402/09/06</t>
  </si>
  <si>
    <t>1402/09/11</t>
  </si>
  <si>
    <t>6037998216845387</t>
  </si>
  <si>
    <t>1402/09/15</t>
  </si>
  <si>
    <t>1402/09/18</t>
  </si>
  <si>
    <t>1402/09/19</t>
  </si>
  <si>
    <t>1402/09/21</t>
  </si>
  <si>
    <t>1402/09/28</t>
  </si>
  <si>
    <t>1402/09/29</t>
  </si>
  <si>
    <t>1402/09/30</t>
  </si>
  <si>
    <t>5894631134330836</t>
  </si>
  <si>
    <t>شارژ ماهانه دفتر</t>
  </si>
  <si>
    <t>بسته معیشتی ماهانه ثنا پور دوران</t>
  </si>
  <si>
    <t>حقوق خانم عباسی</t>
  </si>
  <si>
    <t>بابت خرید کتاب های الهام صمدی و سحر محمدعلی نژاد</t>
  </si>
  <si>
    <t xml:space="preserve">خرید کارت هدیه </t>
  </si>
  <si>
    <t xml:space="preserve">هزینه جزوه الهام صمدی </t>
  </si>
  <si>
    <t>ماتفاوت هزینه تعویض کتابهای الهام صمدی</t>
  </si>
  <si>
    <t>1402/09/25</t>
  </si>
  <si>
    <t>هزینه پیک و خریدهای شرکت</t>
  </si>
  <si>
    <t>بابت هزینه ثبت نام المپیاد الهام صمدی</t>
  </si>
  <si>
    <t>1402/09/27</t>
  </si>
  <si>
    <t>بورس حکمت ثمین اکبری شاندیز</t>
  </si>
  <si>
    <t>1402/10/03</t>
  </si>
  <si>
    <t>1402/10/09</t>
  </si>
  <si>
    <t>1402/10/10</t>
  </si>
  <si>
    <t>1402/10/16</t>
  </si>
  <si>
    <t>ایاب و ذهاب و خرید و شارژ سیم کارت خانم عباسی</t>
  </si>
  <si>
    <t>خرید کتاب ها و لوازم ثنا پور دوران</t>
  </si>
  <si>
    <t>کسر بانک</t>
  </si>
  <si>
    <t>1402/10/01</t>
  </si>
  <si>
    <t>1402/10/02</t>
  </si>
  <si>
    <t>1402/10/04</t>
  </si>
  <si>
    <t>1402/10/06</t>
  </si>
  <si>
    <t>1402/10/11</t>
  </si>
  <si>
    <t>5029381036136646</t>
  </si>
  <si>
    <t>1402/10/12</t>
  </si>
  <si>
    <t>1402/10/15</t>
  </si>
  <si>
    <t>6362141808896493</t>
  </si>
  <si>
    <t>1402/10/18</t>
  </si>
  <si>
    <t>5859831225218022</t>
  </si>
  <si>
    <t>1402/10/19</t>
  </si>
  <si>
    <t>1402/10/20</t>
  </si>
  <si>
    <t>1402/10/22</t>
  </si>
  <si>
    <t>1402/10/23</t>
  </si>
  <si>
    <t>5892101388379188</t>
  </si>
  <si>
    <t>1402/10/24</t>
  </si>
  <si>
    <t>1402/10/29</t>
  </si>
  <si>
    <t>هومن</t>
  </si>
  <si>
    <t>طهرانی</t>
  </si>
  <si>
    <t>5859831219339842</t>
  </si>
  <si>
    <t>1402/11/01</t>
  </si>
  <si>
    <t>1402/11/03</t>
  </si>
  <si>
    <t>1402/11/04</t>
  </si>
  <si>
    <t>1402/11/05</t>
  </si>
  <si>
    <t>1402/11/08</t>
  </si>
  <si>
    <t>1402/11/10</t>
  </si>
  <si>
    <t>1402/11/15</t>
  </si>
  <si>
    <t>1402/11/17</t>
  </si>
  <si>
    <t>1402/11/18</t>
  </si>
  <si>
    <t>5029381037672045</t>
  </si>
  <si>
    <t>1402/11/22</t>
  </si>
  <si>
    <t>اصل واریزی 1500 هزار تومان بوده که برای ماه های دی و بهمن و اسفند لحاظ گردید.</t>
  </si>
  <si>
    <t>اصل واریزی 1500 هزار تومان بوده که برای ماه های مهر و ابان و اذر لحاظ گردید.</t>
  </si>
  <si>
    <t>اصل واریزی10  میلیون تومان بوده که برای ماه های مهر و شهریور 1402 لحاظ شد</t>
  </si>
  <si>
    <t>اصل واریزی 2500 بوده که برای ماه های آبان و اذر و دی و بهمن و اسفند لحاظ گردید.</t>
  </si>
  <si>
    <t>اصل واریزی 1500 بوده که برای ماه های شهریور و مهر و ابان لحاظ گردید</t>
  </si>
  <si>
    <t>اصل واریزی 2 میلیون بوده برای ماههای آبان و آذر و دی و بهمن</t>
  </si>
  <si>
    <t xml:space="preserve">. </t>
  </si>
  <si>
    <t xml:space="preserve">کمک هزینه ماهانه ثنا پور دوران </t>
  </si>
  <si>
    <t xml:space="preserve">پاداش خانم عباسی </t>
  </si>
  <si>
    <t>بابت هزینه کلاس های تقویتی دانش اموزان به مدرسه حضرت خدیجه</t>
  </si>
  <si>
    <t>1402/08/13</t>
  </si>
  <si>
    <t>خرید مرغ برای خانم مروی و پرینت معرفی نامه های جلسه و چای دفتر</t>
  </si>
  <si>
    <t>بابت هزینه کتاب و درس کار و فناوری ثنا پور دوران</t>
  </si>
  <si>
    <t>نظافت دفتر</t>
  </si>
  <si>
    <t>بسته معبشتی خانواده مروی به حساب خانم عباسی</t>
  </si>
  <si>
    <t>1402/08/27</t>
  </si>
  <si>
    <t>1402/08/30</t>
  </si>
  <si>
    <t>خرید پوشک برای خانواده مروی</t>
  </si>
  <si>
    <t>پماد سوختگی برای بچه خانواده مروی</t>
  </si>
  <si>
    <t xml:space="preserve">خرید کارت هدیه بورس حکمت </t>
  </si>
  <si>
    <t>کمک هزینه تحصیلی ماهانه ثنا پور دوران</t>
  </si>
  <si>
    <t>خرید اب معدنی و چای به حساب خانم عباسی</t>
  </si>
  <si>
    <t>1402/10/26</t>
  </si>
  <si>
    <t>خرید بسته معیشتی خانواده مروی و ایاب ذهاب خانم عباسی</t>
  </si>
  <si>
    <t>بورس حکمت سارینا داوری</t>
  </si>
  <si>
    <t xml:space="preserve">بورس حکمت حانیه دشتبانی </t>
  </si>
  <si>
    <t>بورس حکمت فاطمه حیدرزاده</t>
  </si>
  <si>
    <t>بورس حکمت بهروز خباز ترشیزی</t>
  </si>
  <si>
    <t>بورس حکمت امیرحسین بنا زاده</t>
  </si>
  <si>
    <t>1402/11/11</t>
  </si>
  <si>
    <t>ایاب ذهاب خانم عباسی</t>
  </si>
  <si>
    <t>1402/11/24</t>
  </si>
  <si>
    <t>هزینه سالن مطالعه الهام صمدی</t>
  </si>
  <si>
    <t>1402/11/28</t>
  </si>
  <si>
    <t>شارژ سیم کارت و خرید اینترنت</t>
  </si>
  <si>
    <t>خرید اب معدنی و قند به حساب خانم عباسی</t>
  </si>
  <si>
    <t>محمدپور</t>
  </si>
  <si>
    <t>1402/11/23</t>
  </si>
  <si>
    <t>6104337592048191</t>
  </si>
  <si>
    <t>5029381043451491</t>
  </si>
  <si>
    <t>1402/11/25</t>
  </si>
  <si>
    <t>احمدرضا</t>
  </si>
  <si>
    <t>بختیاری</t>
  </si>
  <si>
    <t>1402/11/26</t>
  </si>
  <si>
    <t>1402/11/27</t>
  </si>
  <si>
    <t>1402/11/29</t>
  </si>
  <si>
    <t>1402/11/30</t>
  </si>
  <si>
    <t>1402/12/01</t>
  </si>
  <si>
    <t>5022291041739010</t>
  </si>
  <si>
    <t xml:space="preserve">پوریا </t>
  </si>
  <si>
    <t>شایگان</t>
  </si>
  <si>
    <t>1402/12/02</t>
  </si>
  <si>
    <t>1402/12/03</t>
  </si>
  <si>
    <t>1402/12/04</t>
  </si>
  <si>
    <t>1402/12/05</t>
  </si>
  <si>
    <t>6274881117792746</t>
  </si>
  <si>
    <t>1402/12/09</t>
  </si>
  <si>
    <t>1402/12/10</t>
  </si>
  <si>
    <t>1402/12/11</t>
  </si>
  <si>
    <t>1402/12/12</t>
  </si>
  <si>
    <t>1402/12/13</t>
  </si>
  <si>
    <t>1402/12/15</t>
  </si>
  <si>
    <t>صدیقی مهری</t>
  </si>
  <si>
    <t>1402/12/17</t>
  </si>
  <si>
    <t>1402/12/19</t>
  </si>
  <si>
    <t>شکلات برای خانم مومنی</t>
  </si>
  <si>
    <t>اصل مبلغ 2 میلیون بوده که برای تسویه بنگاه مرکز مشاوره شماره 2 پرداخت شده</t>
  </si>
  <si>
    <t>اصل مبلغ 8 میلیون بوده که برای ماه های مرداد تا اسفند لحاظ شد</t>
  </si>
  <si>
    <t>1402/12/23</t>
  </si>
  <si>
    <t>1402/12/24</t>
  </si>
  <si>
    <t>بسته معیشتی خانواده مروی به حساب خانم عباسی</t>
  </si>
  <si>
    <t>1402/12/26</t>
  </si>
  <si>
    <t>1402/12/27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</si>
</sst>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B Nazanin"/>
      <charset val="178"/>
    </font>
    <font>
      <b/>
      <sz val="10"/>
      <color theme="1"/>
      <name val="B Nazanin"/>
      <charset val="178"/>
    </font>
    <font>
      <sz val="11"/>
      <color theme="1"/>
      <name val="Calibri"/>
      <family val="2"/>
    </font>
    <font>
      <sz val="11"/>
      <color theme="1"/>
      <name val="B Nazanin"/>
      <charset val="178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Lobster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</font>
    <font>
      <sz val="2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0000"/>
      </patternFill>
    </fill>
    <fill>
      <patternFill patternType="solid">
        <fgColor rgb="FF00B050"/>
        <bgColor rgb="FFFF0000"/>
      </patternFill>
    </fill>
    <fill>
      <patternFill patternType="solid">
        <fgColor rgb="FF66FF33"/>
        <bgColor indexed="64"/>
      </patternFill>
    </fill>
    <fill>
      <patternFill patternType="solid">
        <fgColor rgb="FF66FF33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E2EFD9"/>
      </patternFill>
    </fill>
    <fill>
      <patternFill patternType="solid">
        <fgColor theme="8" tint="0.59999389629810485"/>
        <bgColor rgb="FF00FFFF"/>
      </patternFill>
    </fill>
    <fill>
      <patternFill patternType="solid">
        <fgColor rgb="FFFF0000"/>
        <bgColor rgb="FFFFE599"/>
      </patternFill>
    </fill>
    <fill>
      <patternFill patternType="solid">
        <fgColor rgb="FFFF0000"/>
        <bgColor rgb="FFE2EFD9"/>
      </patternFill>
    </fill>
    <fill>
      <patternFill patternType="solid">
        <fgColor rgb="FFFF0000"/>
        <bgColor rgb="FF00FF0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FCE5CD"/>
      </patternFill>
    </fill>
    <fill>
      <patternFill patternType="solid">
        <fgColor theme="7" tint="0.59999389629810485"/>
        <bgColor rgb="FFFFE599"/>
      </patternFill>
    </fill>
    <fill>
      <patternFill patternType="solid">
        <fgColor theme="7" tint="0.79998168889431442"/>
        <bgColor rgb="FFFFE599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rgb="FFE2EFD9"/>
      </patternFill>
    </fill>
    <fill>
      <patternFill patternType="solid">
        <fgColor rgb="FFFFFF00"/>
        <bgColor rgb="FF00FF00"/>
      </patternFill>
    </fill>
  </fills>
  <borders count="4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30" fillId="0" borderId="5"/>
    <xf numFmtId="0" fontId="32" fillId="0" borderId="5" applyNumberFormat="0" applyFill="0" applyBorder="0" applyAlignment="0" applyProtection="0"/>
    <xf numFmtId="0" fontId="5" fillId="0" borderId="5"/>
  </cellStyleXfs>
  <cellXfs count="314">
    <xf numFmtId="0" fontId="0" fillId="0" borderId="0" xfId="0"/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shrinkToFit="1"/>
    </xf>
    <xf numFmtId="0" fontId="11" fillId="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5" borderId="3" xfId="0" applyFont="1" applyFill="1" applyBorder="1"/>
    <xf numFmtId="0" fontId="11" fillId="5" borderId="5" xfId="0" applyFont="1" applyFill="1" applyBorder="1"/>
    <xf numFmtId="0" fontId="16" fillId="0" borderId="0" xfId="0" applyFont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4" fontId="11" fillId="9" borderId="3" xfId="0" applyNumberFormat="1" applyFont="1" applyFill="1" applyBorder="1" applyAlignment="1">
      <alignment horizontal="center" vertical="center"/>
    </xf>
    <xf numFmtId="1" fontId="17" fillId="9" borderId="3" xfId="0" applyNumberFormat="1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3" fontId="18" fillId="9" borderId="3" xfId="0" applyNumberFormat="1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3" xfId="0" applyFont="1" applyBorder="1" applyAlignment="1">
      <alignment horizontal="center"/>
    </xf>
    <xf numFmtId="0" fontId="8" fillId="5" borderId="0" xfId="0" applyFont="1" applyFill="1"/>
    <xf numFmtId="0" fontId="16" fillId="7" borderId="10" xfId="0" applyFont="1" applyFill="1" applyBorder="1" applyAlignment="1">
      <alignment horizontal="center" vertical="center"/>
    </xf>
    <xf numFmtId="3" fontId="18" fillId="5" borderId="3" xfId="0" applyNumberFormat="1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/>
    </xf>
    <xf numFmtId="3" fontId="20" fillId="0" borderId="3" xfId="0" applyNumberFormat="1" applyFont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3" fontId="0" fillId="0" borderId="0" xfId="0" applyNumberFormat="1"/>
    <xf numFmtId="0" fontId="11" fillId="8" borderId="8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 shrinkToFit="1"/>
    </xf>
    <xf numFmtId="3" fontId="11" fillId="0" borderId="3" xfId="0" applyNumberFormat="1" applyFont="1" applyBorder="1" applyAlignment="1">
      <alignment horizontal="center" vertical="center" shrinkToFit="1"/>
    </xf>
    <xf numFmtId="3" fontId="18" fillId="0" borderId="3" xfId="0" applyNumberFormat="1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11" fillId="0" borderId="7" xfId="0" applyFont="1" applyBorder="1"/>
    <xf numFmtId="0" fontId="11" fillId="8" borderId="3" xfId="0" applyFont="1" applyFill="1" applyBorder="1" applyAlignment="1">
      <alignment horizontal="center"/>
    </xf>
    <xf numFmtId="14" fontId="11" fillId="9" borderId="3" xfId="0" applyNumberFormat="1" applyFont="1" applyFill="1" applyBorder="1" applyAlignment="1">
      <alignment horizontal="center"/>
    </xf>
    <xf numFmtId="14" fontId="11" fillId="9" borderId="8" xfId="0" applyNumberFormat="1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 vertical="center"/>
    </xf>
    <xf numFmtId="3" fontId="18" fillId="9" borderId="3" xfId="0" applyNumberFormat="1" applyFont="1" applyFill="1" applyBorder="1" applyAlignment="1">
      <alignment horizontal="center"/>
    </xf>
    <xf numFmtId="3" fontId="18" fillId="9" borderId="8" xfId="0" applyNumberFormat="1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/>
    </xf>
    <xf numFmtId="0" fontId="19" fillId="5" borderId="3" xfId="0" applyFont="1" applyFill="1" applyBorder="1" applyAlignment="1">
      <alignment horizontal="center"/>
    </xf>
    <xf numFmtId="14" fontId="22" fillId="9" borderId="3" xfId="0" applyNumberFormat="1" applyFont="1" applyFill="1" applyBorder="1" applyAlignment="1">
      <alignment horizontal="center" vertical="center"/>
    </xf>
    <xf numFmtId="3" fontId="23" fillId="0" borderId="0" xfId="0" applyNumberFormat="1" applyFont="1"/>
    <xf numFmtId="0" fontId="11" fillId="11" borderId="0" xfId="0" applyFont="1" applyFill="1"/>
    <xf numFmtId="0" fontId="0" fillId="0" borderId="0" xfId="0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3" fontId="25" fillId="9" borderId="3" xfId="0" applyNumberFormat="1" applyFont="1" applyFill="1" applyBorder="1" applyAlignment="1">
      <alignment horizontal="center" vertical="center"/>
    </xf>
    <xf numFmtId="0" fontId="11" fillId="0" borderId="5" xfId="0" applyFont="1" applyBorder="1"/>
    <xf numFmtId="0" fontId="11" fillId="8" borderId="11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0" fontId="8" fillId="13" borderId="0" xfId="0" applyFont="1" applyFill="1"/>
    <xf numFmtId="0" fontId="27" fillId="8" borderId="3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3" fontId="29" fillId="9" borderId="3" xfId="0" applyNumberFormat="1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49" fontId="16" fillId="7" borderId="3" xfId="0" applyNumberFormat="1" applyFont="1" applyFill="1" applyBorder="1" applyAlignment="1">
      <alignment horizontal="center"/>
    </xf>
    <xf numFmtId="49" fontId="17" fillId="9" borderId="3" xfId="0" applyNumberFormat="1" applyFont="1" applyFill="1" applyBorder="1" applyAlignment="1">
      <alignment horizontal="center" vertical="center"/>
    </xf>
    <xf numFmtId="49" fontId="17" fillId="9" borderId="8" xfId="0" applyNumberFormat="1" applyFont="1" applyFill="1" applyBorder="1" applyAlignment="1">
      <alignment horizontal="center" vertical="center"/>
    </xf>
    <xf numFmtId="49" fontId="24" fillId="9" borderId="3" xfId="0" applyNumberFormat="1" applyFont="1" applyFill="1" applyBorder="1" applyAlignment="1">
      <alignment horizontal="center" vertical="center"/>
    </xf>
    <xf numFmtId="49" fontId="11" fillId="9" borderId="3" xfId="0" applyNumberFormat="1" applyFont="1" applyFill="1" applyBorder="1" applyAlignment="1">
      <alignment horizontal="center" vertical="center"/>
    </xf>
    <xf numFmtId="49" fontId="17" fillId="9" borderId="3" xfId="0" applyNumberFormat="1" applyFont="1" applyFill="1" applyBorder="1" applyAlignment="1">
      <alignment horizontal="center"/>
    </xf>
    <xf numFmtId="49" fontId="17" fillId="9" borderId="11" xfId="0" applyNumberFormat="1" applyFont="1" applyFill="1" applyBorder="1" applyAlignment="1">
      <alignment horizontal="center" vertical="center"/>
    </xf>
    <xf numFmtId="49" fontId="28" fillId="9" borderId="3" xfId="0" applyNumberFormat="1" applyFont="1" applyFill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/>
    </xf>
    <xf numFmtId="49" fontId="11" fillId="0" borderId="0" xfId="0" applyNumberFormat="1" applyFont="1"/>
    <xf numFmtId="49" fontId="0" fillId="0" borderId="0" xfId="0" applyNumberFormat="1"/>
    <xf numFmtId="0" fontId="11" fillId="10" borderId="9" xfId="0" applyFont="1" applyFill="1" applyBorder="1" applyAlignment="1">
      <alignment horizontal="center" vertical="center"/>
    </xf>
    <xf numFmtId="14" fontId="11" fillId="9" borderId="11" xfId="0" applyNumberFormat="1" applyFont="1" applyFill="1" applyBorder="1" applyAlignment="1">
      <alignment horizontal="center" vertical="center"/>
    </xf>
    <xf numFmtId="3" fontId="18" fillId="9" borderId="11" xfId="0" applyNumberFormat="1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0" fillId="0" borderId="5" xfId="1" applyFont="1"/>
    <xf numFmtId="0" fontId="33" fillId="14" borderId="14" xfId="1" applyFont="1" applyFill="1" applyBorder="1" applyAlignment="1">
      <alignment horizontal="center" vertical="center"/>
    </xf>
    <xf numFmtId="0" fontId="33" fillId="6" borderId="15" xfId="1" applyFont="1" applyFill="1" applyBorder="1" applyAlignment="1">
      <alignment horizontal="center" vertical="center"/>
    </xf>
    <xf numFmtId="49" fontId="33" fillId="15" borderId="15" xfId="1" applyNumberFormat="1" applyFont="1" applyFill="1" applyBorder="1" applyAlignment="1">
      <alignment horizontal="center" vertical="center" wrapText="1"/>
    </xf>
    <xf numFmtId="0" fontId="33" fillId="15" borderId="15" xfId="1" applyFont="1" applyFill="1" applyBorder="1" applyAlignment="1">
      <alignment horizontal="center" vertical="center"/>
    </xf>
    <xf numFmtId="0" fontId="27" fillId="15" borderId="15" xfId="1" applyFont="1" applyFill="1" applyBorder="1" applyAlignment="1">
      <alignment horizontal="center" vertical="center"/>
    </xf>
    <xf numFmtId="0" fontId="33" fillId="15" borderId="15" xfId="1" applyFont="1" applyFill="1" applyBorder="1" applyAlignment="1">
      <alignment horizontal="center" vertical="center" wrapText="1"/>
    </xf>
    <xf numFmtId="0" fontId="27" fillId="15" borderId="22" xfId="1" applyFont="1" applyFill="1" applyBorder="1" applyAlignment="1">
      <alignment horizontal="center" vertical="center"/>
    </xf>
    <xf numFmtId="0" fontId="27" fillId="0" borderId="16" xfId="1" applyFont="1" applyBorder="1" applyAlignment="1">
      <alignment horizontal="center" vertical="center"/>
    </xf>
    <xf numFmtId="0" fontId="32" fillId="0" borderId="17" xfId="2" applyBorder="1" applyAlignment="1">
      <alignment horizontal="center" vertical="center"/>
    </xf>
    <xf numFmtId="0" fontId="29" fillId="0" borderId="17" xfId="1" applyFont="1" applyBorder="1" applyAlignment="1">
      <alignment horizontal="center" vertical="center"/>
    </xf>
    <xf numFmtId="0" fontId="27" fillId="0" borderId="17" xfId="1" applyFont="1" applyBorder="1" applyAlignment="1">
      <alignment horizontal="center" vertical="center"/>
    </xf>
    <xf numFmtId="49" fontId="27" fillId="0" borderId="17" xfId="1" applyNumberFormat="1" applyFont="1" applyBorder="1" applyAlignment="1">
      <alignment horizontal="center" vertical="center"/>
    </xf>
    <xf numFmtId="0" fontId="29" fillId="0" borderId="17" xfId="1" applyFont="1" applyBorder="1" applyAlignment="1">
      <alignment horizontal="center" vertical="center" wrapText="1"/>
    </xf>
    <xf numFmtId="49" fontId="29" fillId="0" borderId="17" xfId="1" applyNumberFormat="1" applyFont="1" applyBorder="1" applyAlignment="1">
      <alignment horizontal="center" vertical="center" wrapText="1"/>
    </xf>
    <xf numFmtId="0" fontId="27" fillId="0" borderId="17" xfId="1" applyFont="1" applyBorder="1" applyAlignment="1">
      <alignment horizontal="center" vertical="center" wrapText="1"/>
    </xf>
    <xf numFmtId="0" fontId="27" fillId="0" borderId="18" xfId="1" applyFont="1" applyBorder="1" applyAlignment="1">
      <alignment horizontal="center" vertical="center"/>
    </xf>
    <xf numFmtId="0" fontId="34" fillId="0" borderId="5" xfId="1" quotePrefix="1" applyFont="1" applyAlignment="1">
      <alignment horizontal="center" vertical="center"/>
    </xf>
    <xf numFmtId="0" fontId="27" fillId="0" borderId="19" xfId="1" applyFont="1" applyBorder="1" applyAlignment="1">
      <alignment horizontal="center" vertical="center"/>
    </xf>
    <xf numFmtId="0" fontId="27" fillId="0" borderId="20" xfId="1" applyFont="1" applyBorder="1" applyAlignment="1">
      <alignment horizontal="center" vertical="center"/>
    </xf>
    <xf numFmtId="0" fontId="29" fillId="0" borderId="20" xfId="1" applyFont="1" applyBorder="1" applyAlignment="1">
      <alignment horizontal="center" vertical="center"/>
    </xf>
    <xf numFmtId="49" fontId="27" fillId="0" borderId="20" xfId="1" applyNumberFormat="1" applyFont="1" applyBorder="1" applyAlignment="1">
      <alignment horizontal="center" vertical="center"/>
    </xf>
    <xf numFmtId="0" fontId="29" fillId="0" borderId="20" xfId="1" applyFont="1" applyBorder="1" applyAlignment="1">
      <alignment horizontal="center" vertical="center" wrapText="1"/>
    </xf>
    <xf numFmtId="49" fontId="29" fillId="0" borderId="20" xfId="1" applyNumberFormat="1" applyFont="1" applyBorder="1" applyAlignment="1">
      <alignment horizontal="center" vertical="center" wrapText="1"/>
    </xf>
    <xf numFmtId="0" fontId="27" fillId="0" borderId="20" xfId="1" applyFont="1" applyBorder="1" applyAlignment="1">
      <alignment horizontal="center" vertical="center" wrapText="1"/>
    </xf>
    <xf numFmtId="0" fontId="27" fillId="0" borderId="21" xfId="1" applyFont="1" applyBorder="1" applyAlignment="1">
      <alignment horizontal="center" vertical="center"/>
    </xf>
    <xf numFmtId="0" fontId="27" fillId="0" borderId="5" xfId="1" applyFont="1" applyAlignment="1">
      <alignment horizontal="center" vertical="center"/>
    </xf>
    <xf numFmtId="0" fontId="29" fillId="0" borderId="5" xfId="1" applyFont="1" applyAlignment="1">
      <alignment horizontal="center" vertical="center"/>
    </xf>
    <xf numFmtId="49" fontId="27" fillId="0" borderId="5" xfId="1" applyNumberFormat="1" applyFont="1" applyAlignment="1">
      <alignment horizontal="center" vertical="center"/>
    </xf>
    <xf numFmtId="0" fontId="29" fillId="0" borderId="5" xfId="1" applyFont="1" applyAlignment="1">
      <alignment horizontal="center" vertical="center" wrapText="1"/>
    </xf>
    <xf numFmtId="49" fontId="29" fillId="0" borderId="5" xfId="1" applyNumberFormat="1" applyFont="1" applyAlignment="1">
      <alignment horizontal="center" vertical="center" wrapText="1"/>
    </xf>
    <xf numFmtId="0" fontId="27" fillId="0" borderId="5" xfId="1" applyFont="1" applyAlignment="1">
      <alignment horizontal="center" vertical="center" wrapText="1"/>
    </xf>
    <xf numFmtId="0" fontId="29" fillId="0" borderId="5" xfId="1" applyFont="1"/>
    <xf numFmtId="49" fontId="27" fillId="0" borderId="5" xfId="1" applyNumberFormat="1" applyFont="1"/>
    <xf numFmtId="0" fontId="26" fillId="11" borderId="23" xfId="1" applyFont="1" applyFill="1" applyBorder="1" applyAlignment="1">
      <alignment horizontal="center" vertical="center"/>
    </xf>
    <xf numFmtId="0" fontId="26" fillId="11" borderId="5" xfId="1" applyFont="1" applyFill="1"/>
    <xf numFmtId="0" fontId="18" fillId="0" borderId="17" xfId="1" applyFont="1" applyBorder="1" applyAlignment="1">
      <alignment horizontal="center"/>
    </xf>
    <xf numFmtId="0" fontId="31" fillId="11" borderId="17" xfId="1" applyFont="1" applyFill="1" applyBorder="1" applyAlignment="1">
      <alignment wrapText="1"/>
    </xf>
    <xf numFmtId="0" fontId="18" fillId="5" borderId="17" xfId="1" applyFont="1" applyFill="1" applyBorder="1" applyAlignment="1">
      <alignment horizontal="right"/>
    </xf>
    <xf numFmtId="0" fontId="31" fillId="11" borderId="17" xfId="1" applyFont="1" applyFill="1" applyBorder="1" applyAlignment="1">
      <alignment horizontal="right" vertical="center" wrapText="1"/>
    </xf>
    <xf numFmtId="0" fontId="31" fillId="11" borderId="17" xfId="1" applyFont="1" applyFill="1" applyBorder="1" applyAlignment="1">
      <alignment horizontal="center" vertical="center"/>
    </xf>
    <xf numFmtId="0" fontId="31" fillId="0" borderId="17" xfId="1" applyFont="1" applyBorder="1"/>
    <xf numFmtId="0" fontId="31" fillId="0" borderId="17" xfId="1" applyFont="1" applyBorder="1" applyAlignment="1">
      <alignment horizontal="right" vertical="center" wrapText="1"/>
    </xf>
    <xf numFmtId="0" fontId="31" fillId="0" borderId="17" xfId="1" applyFont="1" applyBorder="1" applyAlignment="1">
      <alignment horizontal="center" vertical="center"/>
    </xf>
    <xf numFmtId="0" fontId="11" fillId="0" borderId="5" xfId="1" applyFont="1"/>
    <xf numFmtId="0" fontId="18" fillId="0" borderId="17" xfId="1" applyFont="1" applyBorder="1" applyAlignment="1">
      <alignment horizontal="center" vertical="center"/>
    </xf>
    <xf numFmtId="0" fontId="18" fillId="5" borderId="17" xfId="1" applyFont="1" applyFill="1" applyBorder="1"/>
    <xf numFmtId="0" fontId="18" fillId="0" borderId="17" xfId="1" applyFont="1" applyBorder="1" applyAlignment="1">
      <alignment horizontal="right" vertical="center" wrapText="1"/>
    </xf>
    <xf numFmtId="0" fontId="0" fillId="0" borderId="23" xfId="1" applyFont="1" applyBorder="1"/>
    <xf numFmtId="0" fontId="18" fillId="12" borderId="17" xfId="1" applyFont="1" applyFill="1" applyBorder="1" applyAlignment="1">
      <alignment horizontal="center" vertical="center"/>
    </xf>
    <xf numFmtId="0" fontId="18" fillId="12" borderId="17" xfId="1" applyFont="1" applyFill="1" applyBorder="1" applyAlignment="1">
      <alignment horizontal="right" vertical="center" wrapText="1"/>
    </xf>
    <xf numFmtId="0" fontId="14" fillId="0" borderId="24" xfId="1" applyFont="1" applyBorder="1" applyAlignment="1">
      <alignment horizontal="center" vertical="center"/>
    </xf>
    <xf numFmtId="0" fontId="14" fillId="0" borderId="5" xfId="1" applyFont="1"/>
    <xf numFmtId="0" fontId="0" fillId="0" borderId="5" xfId="1" applyFont="1" applyAlignment="1">
      <alignment horizontal="center"/>
    </xf>
    <xf numFmtId="0" fontId="6" fillId="0" borderId="5" xfId="1" applyFont="1" applyAlignment="1">
      <alignment horizontal="center"/>
    </xf>
    <xf numFmtId="0" fontId="6" fillId="0" borderId="5" xfId="1" applyFont="1" applyAlignment="1">
      <alignment horizontal="right"/>
    </xf>
    <xf numFmtId="0" fontId="0" fillId="0" borderId="5" xfId="1" applyFont="1" applyAlignment="1">
      <alignment horizontal="right" vertical="center" wrapText="1"/>
    </xf>
    <xf numFmtId="0" fontId="6" fillId="0" borderId="5" xfId="1" applyFont="1" applyAlignment="1">
      <alignment horizontal="center" vertical="center"/>
    </xf>
    <xf numFmtId="0" fontId="0" fillId="0" borderId="5" xfId="1" applyFont="1" applyAlignment="1">
      <alignment horizontal="center" vertical="center"/>
    </xf>
    <xf numFmtId="14" fontId="18" fillId="0" borderId="17" xfId="1" applyNumberFormat="1" applyFont="1" applyBorder="1" applyAlignment="1">
      <alignment horizontal="center"/>
    </xf>
    <xf numFmtId="0" fontId="18" fillId="5" borderId="17" xfId="1" applyFont="1" applyFill="1" applyBorder="1" applyAlignment="1">
      <alignment horizontal="center"/>
    </xf>
    <xf numFmtId="14" fontId="18" fillId="12" borderId="17" xfId="1" applyNumberFormat="1" applyFont="1" applyFill="1" applyBorder="1" applyAlignment="1">
      <alignment horizontal="center"/>
    </xf>
    <xf numFmtId="0" fontId="31" fillId="11" borderId="17" xfId="1" applyFont="1" applyFill="1" applyBorder="1" applyAlignment="1">
      <alignment horizontal="center" vertical="center" wrapText="1"/>
    </xf>
    <xf numFmtId="0" fontId="18" fillId="5" borderId="17" xfId="1" applyFont="1" applyFill="1" applyBorder="1" applyAlignment="1">
      <alignment horizontal="center" vertical="center"/>
    </xf>
    <xf numFmtId="0" fontId="26" fillId="18" borderId="23" xfId="1" applyFont="1" applyFill="1" applyBorder="1" applyAlignment="1">
      <alignment horizontal="center" vertical="center"/>
    </xf>
    <xf numFmtId="0" fontId="18" fillId="18" borderId="17" xfId="1" applyFont="1" applyFill="1" applyBorder="1" applyAlignment="1">
      <alignment horizontal="center"/>
    </xf>
    <xf numFmtId="0" fontId="31" fillId="18" borderId="17" xfId="1" applyFont="1" applyFill="1" applyBorder="1"/>
    <xf numFmtId="0" fontId="31" fillId="18" borderId="17" xfId="1" applyFont="1" applyFill="1" applyBorder="1" applyAlignment="1">
      <alignment horizontal="center" vertical="center"/>
    </xf>
    <xf numFmtId="0" fontId="18" fillId="19" borderId="17" xfId="1" applyFont="1" applyFill="1" applyBorder="1" applyAlignment="1">
      <alignment horizontal="right"/>
    </xf>
    <xf numFmtId="0" fontId="31" fillId="18" borderId="17" xfId="1" applyFont="1" applyFill="1" applyBorder="1" applyAlignment="1">
      <alignment horizontal="right" vertical="center" wrapText="1"/>
    </xf>
    <xf numFmtId="14" fontId="18" fillId="18" borderId="17" xfId="1" applyNumberFormat="1" applyFont="1" applyFill="1" applyBorder="1" applyAlignment="1">
      <alignment horizontal="center"/>
    </xf>
    <xf numFmtId="3" fontId="6" fillId="0" borderId="5" xfId="1" applyNumberFormat="1" applyFont="1" applyAlignment="1">
      <alignment horizontal="center"/>
    </xf>
    <xf numFmtId="3" fontId="0" fillId="0" borderId="5" xfId="1" applyNumberFormat="1" applyFont="1" applyAlignment="1">
      <alignment horizontal="center"/>
    </xf>
    <xf numFmtId="0" fontId="11" fillId="0" borderId="5" xfId="3" applyFont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3" fontId="15" fillId="5" borderId="3" xfId="3" applyNumberFormat="1" applyFont="1" applyFill="1" applyBorder="1" applyAlignment="1">
      <alignment horizontal="center" vertical="center"/>
    </xf>
    <xf numFmtId="0" fontId="5" fillId="0" borderId="5" xfId="3"/>
    <xf numFmtId="3" fontId="11" fillId="5" borderId="3" xfId="3" applyNumberFormat="1" applyFont="1" applyFill="1" applyBorder="1" applyAlignment="1">
      <alignment horizontal="center" vertical="center"/>
    </xf>
    <xf numFmtId="3" fontId="11" fillId="0" borderId="5" xfId="3" applyNumberFormat="1" applyFont="1" applyAlignment="1">
      <alignment horizontal="center" vertical="center"/>
    </xf>
    <xf numFmtId="0" fontId="26" fillId="16" borderId="24" xfId="1" applyFont="1" applyFill="1" applyBorder="1" applyAlignment="1">
      <alignment horizontal="center" vertical="center"/>
    </xf>
    <xf numFmtId="0" fontId="31" fillId="11" borderId="24" xfId="1" applyFont="1" applyFill="1" applyBorder="1" applyAlignment="1">
      <alignment horizontal="center" vertical="center"/>
    </xf>
    <xf numFmtId="0" fontId="31" fillId="0" borderId="24" xfId="1" applyFont="1" applyBorder="1" applyAlignment="1">
      <alignment horizontal="center" vertical="center"/>
    </xf>
    <xf numFmtId="0" fontId="0" fillId="0" borderId="25" xfId="1" applyFont="1" applyBorder="1"/>
    <xf numFmtId="0" fontId="26" fillId="11" borderId="26" xfId="1" applyFont="1" applyFill="1" applyBorder="1" applyAlignment="1">
      <alignment horizontal="center" vertical="center"/>
    </xf>
    <xf numFmtId="0" fontId="15" fillId="16" borderId="15" xfId="1" applyFont="1" applyFill="1" applyBorder="1" applyAlignment="1">
      <alignment horizontal="center"/>
    </xf>
    <xf numFmtId="0" fontId="15" fillId="17" borderId="15" xfId="1" applyFont="1" applyFill="1" applyBorder="1"/>
    <xf numFmtId="0" fontId="15" fillId="16" borderId="15" xfId="1" applyFont="1" applyFill="1" applyBorder="1" applyAlignment="1">
      <alignment horizontal="center" vertical="center"/>
    </xf>
    <xf numFmtId="0" fontId="15" fillId="16" borderId="15" xfId="1" applyFont="1" applyFill="1" applyBorder="1" applyAlignment="1">
      <alignment horizontal="right"/>
    </xf>
    <xf numFmtId="0" fontId="15" fillId="16" borderId="15" xfId="1" applyFont="1" applyFill="1" applyBorder="1" applyAlignment="1">
      <alignment horizontal="right" vertical="center" wrapText="1"/>
    </xf>
    <xf numFmtId="3" fontId="15" fillId="16" borderId="22" xfId="1" applyNumberFormat="1" applyFont="1" applyFill="1" applyBorder="1" applyAlignment="1">
      <alignment horizontal="center"/>
    </xf>
    <xf numFmtId="3" fontId="31" fillId="11" borderId="18" xfId="1" applyNumberFormat="1" applyFont="1" applyFill="1" applyBorder="1" applyAlignment="1">
      <alignment horizontal="center"/>
    </xf>
    <xf numFmtId="3" fontId="31" fillId="0" borderId="18" xfId="1" applyNumberFormat="1" applyFont="1" applyBorder="1" applyAlignment="1">
      <alignment horizontal="center"/>
    </xf>
    <xf numFmtId="3" fontId="31" fillId="18" borderId="18" xfId="1" applyNumberFormat="1" applyFont="1" applyFill="1" applyBorder="1" applyAlignment="1">
      <alignment horizontal="center"/>
    </xf>
    <xf numFmtId="3" fontId="18" fillId="5" borderId="18" xfId="1" applyNumberFormat="1" applyFont="1" applyFill="1" applyBorder="1" applyAlignment="1">
      <alignment horizontal="center"/>
    </xf>
    <xf numFmtId="3" fontId="18" fillId="0" borderId="18" xfId="1" applyNumberFormat="1" applyFont="1" applyBorder="1" applyAlignment="1">
      <alignment horizontal="center"/>
    </xf>
    <xf numFmtId="3" fontId="18" fillId="12" borderId="18" xfId="1" applyNumberFormat="1" applyFont="1" applyFill="1" applyBorder="1" applyAlignment="1">
      <alignment horizontal="center"/>
    </xf>
    <xf numFmtId="0" fontId="14" fillId="0" borderId="27" xfId="1" applyFont="1" applyBorder="1"/>
    <xf numFmtId="0" fontId="31" fillId="0" borderId="20" xfId="1" applyFont="1" applyBorder="1"/>
    <xf numFmtId="0" fontId="14" fillId="0" borderId="20" xfId="1" applyFont="1" applyBorder="1" applyAlignment="1">
      <alignment horizontal="right" vertical="center" wrapText="1"/>
    </xf>
    <xf numFmtId="0" fontId="14" fillId="0" borderId="20" xfId="1" applyFont="1" applyBorder="1" applyAlignment="1">
      <alignment horizontal="center"/>
    </xf>
    <xf numFmtId="0" fontId="14" fillId="0" borderId="20" xfId="1" applyFont="1" applyBorder="1" applyAlignment="1">
      <alignment horizontal="center" vertical="center"/>
    </xf>
    <xf numFmtId="3" fontId="14" fillId="0" borderId="21" xfId="1" applyNumberFormat="1" applyFont="1" applyBorder="1" applyAlignment="1">
      <alignment horizontal="center"/>
    </xf>
    <xf numFmtId="0" fontId="8" fillId="0" borderId="5" xfId="0" applyFont="1" applyBorder="1"/>
    <xf numFmtId="0" fontId="8" fillId="0" borderId="7" xfId="0" applyFont="1" applyBorder="1"/>
    <xf numFmtId="0" fontId="27" fillId="5" borderId="3" xfId="0" applyFont="1" applyFill="1" applyBorder="1" applyAlignment="1">
      <alignment horizontal="center" vertical="center"/>
    </xf>
    <xf numFmtId="0" fontId="27" fillId="10" borderId="9" xfId="0" applyFont="1" applyFill="1" applyBorder="1" applyAlignment="1">
      <alignment horizontal="center" vertical="center"/>
    </xf>
    <xf numFmtId="0" fontId="27" fillId="0" borderId="31" xfId="1" applyFont="1" applyBorder="1" applyAlignment="1">
      <alignment horizontal="center" vertical="center"/>
    </xf>
    <xf numFmtId="0" fontId="29" fillId="0" borderId="31" xfId="1" applyFont="1" applyBorder="1" applyAlignment="1">
      <alignment horizontal="center" vertical="center"/>
    </xf>
    <xf numFmtId="49" fontId="27" fillId="0" borderId="31" xfId="1" applyNumberFormat="1" applyFont="1" applyBorder="1" applyAlignment="1">
      <alignment horizontal="center" vertical="center"/>
    </xf>
    <xf numFmtId="0" fontId="29" fillId="0" borderId="31" xfId="1" applyFont="1" applyBorder="1" applyAlignment="1">
      <alignment horizontal="center" vertical="center" wrapText="1"/>
    </xf>
    <xf numFmtId="0" fontId="27" fillId="8" borderId="11" xfId="0" applyFont="1" applyFill="1" applyBorder="1" applyAlignment="1">
      <alignment horizontal="center" vertical="center"/>
    </xf>
    <xf numFmtId="49" fontId="28" fillId="9" borderId="11" xfId="0" applyNumberFormat="1" applyFont="1" applyFill="1" applyBorder="1" applyAlignment="1">
      <alignment horizontal="center" vertical="center"/>
    </xf>
    <xf numFmtId="0" fontId="27" fillId="4" borderId="11" xfId="0" applyFont="1" applyFill="1" applyBorder="1" applyAlignment="1">
      <alignment horizontal="center" vertical="center"/>
    </xf>
    <xf numFmtId="3" fontId="29" fillId="9" borderId="11" xfId="0" applyNumberFormat="1" applyFont="1" applyFill="1" applyBorder="1" applyAlignment="1">
      <alignment horizontal="center" vertical="center"/>
    </xf>
    <xf numFmtId="0" fontId="27" fillId="10" borderId="8" xfId="0" applyFont="1" applyFill="1" applyBorder="1" applyAlignment="1">
      <alignment horizontal="center" vertical="center"/>
    </xf>
    <xf numFmtId="14" fontId="27" fillId="9" borderId="3" xfId="0" applyNumberFormat="1" applyFont="1" applyFill="1" applyBorder="1" applyAlignment="1">
      <alignment horizontal="center" vertical="center"/>
    </xf>
    <xf numFmtId="0" fontId="27" fillId="5" borderId="11" xfId="0" applyFont="1" applyFill="1" applyBorder="1" applyAlignment="1">
      <alignment horizontal="center" vertical="center"/>
    </xf>
    <xf numFmtId="14" fontId="27" fillId="9" borderId="11" xfId="0" applyNumberFormat="1" applyFont="1" applyFill="1" applyBorder="1" applyAlignment="1">
      <alignment horizontal="center" vertical="center"/>
    </xf>
    <xf numFmtId="0" fontId="27" fillId="10" borderId="13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3" fontId="21" fillId="0" borderId="35" xfId="0" applyNumberFormat="1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 wrapText="1"/>
    </xf>
    <xf numFmtId="0" fontId="11" fillId="0" borderId="5" xfId="3" applyFont="1" applyAlignment="1">
      <alignment horizontal="center" vertical="center" wrapText="1"/>
    </xf>
    <xf numFmtId="0" fontId="5" fillId="0" borderId="5" xfId="3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3" fontId="21" fillId="0" borderId="5" xfId="0" applyNumberFormat="1" applyFont="1" applyBorder="1" applyAlignment="1">
      <alignment horizontal="center" vertical="center"/>
    </xf>
    <xf numFmtId="3" fontId="20" fillId="0" borderId="5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20" fillId="0" borderId="36" xfId="0" applyFont="1" applyBorder="1"/>
    <xf numFmtId="0" fontId="20" fillId="0" borderId="37" xfId="0" applyFont="1" applyBorder="1" applyAlignment="1">
      <alignment horizontal="center" vertical="center"/>
    </xf>
    <xf numFmtId="0" fontId="7" fillId="0" borderId="24" xfId="0" applyFont="1" applyBorder="1"/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0" fontId="16" fillId="20" borderId="3" xfId="0" applyFont="1" applyFill="1" applyBorder="1" applyAlignment="1">
      <alignment horizontal="center" vertical="center" shrinkToFit="1"/>
    </xf>
    <xf numFmtId="0" fontId="11" fillId="21" borderId="5" xfId="0" applyFont="1" applyFill="1" applyBorder="1" applyAlignment="1">
      <alignment horizontal="center" vertical="center"/>
    </xf>
    <xf numFmtId="3" fontId="18" fillId="22" borderId="5" xfId="0" applyNumberFormat="1" applyFont="1" applyFill="1" applyBorder="1" applyAlignment="1">
      <alignment horizontal="center" vertical="center"/>
    </xf>
    <xf numFmtId="3" fontId="18" fillId="22" borderId="35" xfId="0" applyNumberFormat="1" applyFont="1" applyFill="1" applyBorder="1" applyAlignment="1">
      <alignment horizontal="center" vertical="center"/>
    </xf>
    <xf numFmtId="0" fontId="11" fillId="23" borderId="5" xfId="0" applyFont="1" applyFill="1" applyBorder="1" applyAlignment="1">
      <alignment horizontal="center" vertical="center"/>
    </xf>
    <xf numFmtId="0" fontId="0" fillId="13" borderId="0" xfId="0" applyFill="1"/>
    <xf numFmtId="3" fontId="11" fillId="13" borderId="3" xfId="0" applyNumberFormat="1" applyFont="1" applyFill="1" applyBorder="1" applyAlignment="1">
      <alignment horizontal="center" vertical="center" shrinkToFit="1"/>
    </xf>
    <xf numFmtId="3" fontId="11" fillId="13" borderId="5" xfId="0" applyNumberFormat="1" applyFont="1" applyFill="1" applyBorder="1" applyAlignment="1">
      <alignment horizontal="center" vertical="center" shrinkToFit="1"/>
    </xf>
    <xf numFmtId="3" fontId="0" fillId="0" borderId="0" xfId="0" applyNumberFormat="1" applyAlignment="1">
      <alignment horizontal="center" vertical="center"/>
    </xf>
    <xf numFmtId="3" fontId="35" fillId="0" borderId="3" xfId="0" applyNumberFormat="1" applyFont="1" applyBorder="1" applyAlignment="1">
      <alignment horizontal="center" vertical="center"/>
    </xf>
    <xf numFmtId="0" fontId="11" fillId="13" borderId="5" xfId="0" applyFont="1" applyFill="1" applyBorder="1"/>
    <xf numFmtId="0" fontId="22" fillId="23" borderId="11" xfId="0" applyFont="1" applyFill="1" applyBorder="1" applyAlignment="1">
      <alignment horizontal="center" vertical="center"/>
    </xf>
    <xf numFmtId="0" fontId="22" fillId="22" borderId="11" xfId="0" applyFont="1" applyFill="1" applyBorder="1" applyAlignment="1">
      <alignment horizontal="center" vertical="center"/>
    </xf>
    <xf numFmtId="14" fontId="22" fillId="21" borderId="11" xfId="0" applyNumberFormat="1" applyFont="1" applyFill="1" applyBorder="1" applyAlignment="1">
      <alignment horizontal="center" vertical="center"/>
    </xf>
    <xf numFmtId="49" fontId="24" fillId="21" borderId="11" xfId="0" applyNumberFormat="1" applyFont="1" applyFill="1" applyBorder="1" applyAlignment="1">
      <alignment horizontal="center" vertical="center"/>
    </xf>
    <xf numFmtId="0" fontId="22" fillId="21" borderId="11" xfId="0" applyFont="1" applyFill="1" applyBorder="1" applyAlignment="1">
      <alignment horizontal="center" vertical="center"/>
    </xf>
    <xf numFmtId="0" fontId="22" fillId="24" borderId="11" xfId="0" applyFont="1" applyFill="1" applyBorder="1" applyAlignment="1">
      <alignment horizontal="center" vertical="center"/>
    </xf>
    <xf numFmtId="3" fontId="25" fillId="21" borderId="11" xfId="0" applyNumberFormat="1" applyFont="1" applyFill="1" applyBorder="1" applyAlignment="1">
      <alignment horizontal="center" vertical="center"/>
    </xf>
    <xf numFmtId="0" fontId="22" fillId="25" borderId="12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27" fillId="5" borderId="17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14" fontId="11" fillId="9" borderId="8" xfId="0" applyNumberFormat="1" applyFont="1" applyFill="1" applyBorder="1" applyAlignment="1">
      <alignment horizontal="center"/>
    </xf>
    <xf numFmtId="49" fontId="17" fillId="9" borderId="8" xfId="0" applyNumberFormat="1" applyFont="1" applyFill="1" applyBorder="1" applyAlignment="1">
      <alignment horizontal="center"/>
    </xf>
    <xf numFmtId="0" fontId="27" fillId="9" borderId="8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/>
    </xf>
    <xf numFmtId="3" fontId="18" fillId="9" borderId="8" xfId="0" applyNumberFormat="1" applyFont="1" applyFill="1" applyBorder="1" applyAlignment="1">
      <alignment horizontal="center"/>
    </xf>
    <xf numFmtId="0" fontId="11" fillId="10" borderId="4" xfId="0" applyFont="1" applyFill="1" applyBorder="1"/>
    <xf numFmtId="0" fontId="19" fillId="10" borderId="8" xfId="0" applyFont="1" applyFill="1" applyBorder="1" applyAlignment="1">
      <alignment horizontal="center" vertical="center"/>
    </xf>
    <xf numFmtId="0" fontId="27" fillId="10" borderId="12" xfId="0" applyFont="1" applyFill="1" applyBorder="1" applyAlignment="1">
      <alignment horizontal="center" vertical="center"/>
    </xf>
    <xf numFmtId="0" fontId="19" fillId="10" borderId="13" xfId="0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 wrapText="1"/>
    </xf>
    <xf numFmtId="0" fontId="36" fillId="7" borderId="38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 vertical="center" wrapText="1"/>
    </xf>
    <xf numFmtId="0" fontId="4" fillId="0" borderId="0" xfId="0" applyFont="1"/>
    <xf numFmtId="0" fontId="27" fillId="10" borderId="8" xfId="0" applyFont="1" applyFill="1" applyBorder="1" applyAlignment="1">
      <alignment horizontal="center" vertical="center" wrapText="1"/>
    </xf>
    <xf numFmtId="0" fontId="3" fillId="0" borderId="0" xfId="0" applyFont="1"/>
    <xf numFmtId="0" fontId="11" fillId="10" borderId="9" xfId="0" applyFont="1" applyFill="1" applyBorder="1" applyAlignment="1">
      <alignment horizontal="center" vertical="center" wrapText="1"/>
    </xf>
    <xf numFmtId="0" fontId="2" fillId="0" borderId="0" xfId="0" applyFont="1"/>
    <xf numFmtId="14" fontId="11" fillId="26" borderId="3" xfId="0" applyNumberFormat="1" applyFont="1" applyFill="1" applyBorder="1" applyAlignment="1">
      <alignment horizontal="center" vertical="center"/>
    </xf>
    <xf numFmtId="0" fontId="11" fillId="27" borderId="3" xfId="0" applyFont="1" applyFill="1" applyBorder="1" applyAlignment="1">
      <alignment horizontal="center" vertical="center"/>
    </xf>
    <xf numFmtId="14" fontId="11" fillId="27" borderId="3" xfId="0" applyNumberFormat="1" applyFont="1" applyFill="1" applyBorder="1" applyAlignment="1">
      <alignment horizontal="center" vertical="center"/>
    </xf>
    <xf numFmtId="49" fontId="28" fillId="27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3" fontId="29" fillId="27" borderId="3" xfId="0" applyNumberFormat="1" applyFont="1" applyFill="1" applyBorder="1" applyAlignment="1">
      <alignment horizontal="center" vertical="center"/>
    </xf>
    <xf numFmtId="0" fontId="11" fillId="27" borderId="17" xfId="0" applyFont="1" applyFill="1" applyBorder="1" applyAlignment="1">
      <alignment horizontal="center" vertical="center"/>
    </xf>
    <xf numFmtId="0" fontId="27" fillId="28" borderId="3" xfId="0" applyFont="1" applyFill="1" applyBorder="1" applyAlignment="1">
      <alignment horizontal="center" vertical="center"/>
    </xf>
    <xf numFmtId="0" fontId="11" fillId="28" borderId="3" xfId="0" applyFont="1" applyFill="1" applyBorder="1" applyAlignment="1">
      <alignment horizontal="center" vertical="center"/>
    </xf>
    <xf numFmtId="49" fontId="17" fillId="27" borderId="3" xfId="0" applyNumberFormat="1" applyFont="1" applyFill="1" applyBorder="1" applyAlignment="1">
      <alignment horizontal="center" vertical="center"/>
    </xf>
    <xf numFmtId="3" fontId="18" fillId="27" borderId="3" xfId="0" applyNumberFormat="1" applyFont="1" applyFill="1" applyBorder="1" applyAlignment="1">
      <alignment horizontal="center" vertical="center"/>
    </xf>
    <xf numFmtId="0" fontId="13" fillId="27" borderId="3" xfId="0" applyFont="1" applyFill="1" applyBorder="1" applyAlignment="1">
      <alignment horizontal="center"/>
    </xf>
    <xf numFmtId="3" fontId="29" fillId="29" borderId="3" xfId="0" applyNumberFormat="1" applyFont="1" applyFill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49" fontId="11" fillId="27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4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39" xfId="0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0" fontId="7" fillId="31" borderId="3" xfId="0" applyFont="1" applyFill="1" applyBorder="1" applyAlignment="1">
      <alignment horizontal="center" vertical="center"/>
    </xf>
    <xf numFmtId="0" fontId="1" fillId="0" borderId="0" xfId="0" applyFont="1"/>
    <xf numFmtId="0" fontId="14" fillId="0" borderId="28" xfId="1" applyFont="1" applyBorder="1" applyAlignment="1">
      <alignment horizontal="center" vertical="center"/>
    </xf>
    <xf numFmtId="0" fontId="14" fillId="0" borderId="29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32" xfId="0" applyFont="1" applyBorder="1"/>
    <xf numFmtId="0" fontId="20" fillId="0" borderId="8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7" fillId="0" borderId="4" xfId="0" applyFont="1" applyBorder="1"/>
    <xf numFmtId="0" fontId="7" fillId="0" borderId="9" xfId="0" applyFont="1" applyBorder="1"/>
  </cellXfs>
  <cellStyles count="4">
    <cellStyle name="Hyperlink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</cellStyles>
  <dxfs count="15"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CE5CD"/>
          <bgColor rgb="FFFCE5C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E599"/>
          <bgColor rgb="FFFFE59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E2EFD9"/>
          <bgColor rgb="FFE2EF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E2EFD9"/>
          <bgColor rgb="FFE2EF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00FF00"/>
          <bgColor rgb="FF00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fill>
        <patternFill patternType="solid">
          <fgColor rgb="FF00FFFF"/>
          <bgColor rgb="FF00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601;&#1575;&#1610;&#1604;%20&#1606;&#1607;&#1575;&#1610;&#1610;%20&#1582;&#1610;&#1585;&#1610;&#160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XXX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605;&#1588;&#1582;&#1589;&#1575;&#1578;%20&#1605;&#1583;&#1583;&#1580;&#1608;&#1607;&#1575;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وزن دهی تاثیر اعضای هیت موسس"/>
      <sheetName val="فرم سلامت کودک"/>
      <sheetName val=" فرم مشخصات کودک"/>
      <sheetName val=" اطلاعات ورودد مددجو"/>
      <sheetName val="ریزهزینه کرد مددجوها"/>
      <sheetName val="خلاصه هزینه کرد مددجوها"/>
      <sheetName val="لیست واریزی ماهیانه"/>
      <sheetName val="لیست واریزی کل خیرین"/>
      <sheetName val="گزارش رداخت خیرین"/>
      <sheetName val="روکش"/>
      <sheetName val="Sheet1"/>
      <sheetName val="جدول کلی مددجوها"/>
      <sheetName val="ریزهزینه کرد مددجوها (2)"/>
    </sheetNames>
    <sheetDataSet>
      <sheetData sheetId="0"/>
      <sheetData sheetId="1"/>
      <sheetData sheetId="2"/>
      <sheetData sheetId="3">
        <row r="1">
          <cell r="A1">
            <v>0</v>
          </cell>
          <cell r="B1" t="str">
            <v>k1</v>
          </cell>
          <cell r="C1" t="str">
            <v>m1</v>
          </cell>
          <cell r="D1">
            <v>0</v>
          </cell>
          <cell r="E1" t="str">
            <v>کد مددجو</v>
          </cell>
          <cell r="F1">
            <v>1</v>
          </cell>
          <cell r="G1">
            <v>2</v>
          </cell>
          <cell r="H1">
            <v>3</v>
          </cell>
          <cell r="I1">
            <v>4</v>
          </cell>
          <cell r="J1">
            <v>5</v>
          </cell>
          <cell r="K1">
            <v>6</v>
          </cell>
          <cell r="L1">
            <v>7</v>
          </cell>
          <cell r="M1">
            <v>8</v>
          </cell>
          <cell r="N1">
            <v>9</v>
          </cell>
          <cell r="O1">
            <v>10</v>
          </cell>
          <cell r="P1">
            <v>11</v>
          </cell>
          <cell r="Q1">
            <v>12</v>
          </cell>
          <cell r="R1">
            <v>13</v>
          </cell>
          <cell r="S1">
            <v>14</v>
          </cell>
          <cell r="T1">
            <v>15</v>
          </cell>
          <cell r="U1">
            <v>16</v>
          </cell>
          <cell r="V1">
            <v>17</v>
          </cell>
          <cell r="W1">
            <v>18</v>
          </cell>
          <cell r="X1">
            <v>19</v>
          </cell>
          <cell r="Y1">
            <v>20</v>
          </cell>
          <cell r="Z1">
            <v>21</v>
          </cell>
          <cell r="AA1">
            <v>22</v>
          </cell>
          <cell r="AB1">
            <v>23</v>
          </cell>
          <cell r="AC1">
            <v>24</v>
          </cell>
          <cell r="AD1">
            <v>25</v>
          </cell>
        </row>
        <row r="2">
          <cell r="A2">
            <v>1</v>
          </cell>
          <cell r="B2" t="str">
            <v>هزینه کلی موسسه</v>
          </cell>
          <cell r="C2" t="str">
            <v>هزینه کلی به مددجویان</v>
          </cell>
          <cell r="D2">
            <v>0</v>
          </cell>
          <cell r="E2" t="str">
            <v>نام  و نام خانوادگی</v>
          </cell>
          <cell r="F2" t="str">
            <v>ریحانه نوری شفیق</v>
          </cell>
          <cell r="G2" t="str">
            <v>ریحانه طراقی فرد</v>
          </cell>
          <cell r="H2" t="str">
            <v>زهرا قهستانی</v>
          </cell>
          <cell r="I2" t="str">
            <v>مهلا قهستانی</v>
          </cell>
          <cell r="J2" t="str">
            <v>رقیه رضاپور</v>
          </cell>
          <cell r="K2" t="str">
            <v>راضیه رضاپور</v>
          </cell>
          <cell r="L2" t="str">
            <v>ربابه رضاپور</v>
          </cell>
          <cell r="M2" t="str">
            <v>پریسا اعتمادمنش</v>
          </cell>
          <cell r="N2" t="str">
            <v>فاطمه موسوی</v>
          </cell>
          <cell r="O2" t="str">
            <v>مریم رحمانی</v>
          </cell>
          <cell r="P2" t="str">
            <v>ناهید کمالی گروی</v>
          </cell>
          <cell r="Q2" t="str">
            <v>الهام صمدی</v>
          </cell>
          <cell r="R2" t="str">
            <v>کوثر مولایی</v>
          </cell>
          <cell r="S2" t="str">
            <v>زهرا تاتاری</v>
          </cell>
          <cell r="T2" t="str">
            <v>یگانه رجایی سمرا</v>
          </cell>
          <cell r="U2" t="str">
            <v>یگانه خرمند سنجدبوری</v>
          </cell>
          <cell r="V2" t="str">
            <v>کوثر فارقی</v>
          </cell>
          <cell r="W2" t="str">
            <v>ریحانه نجفی</v>
          </cell>
          <cell r="X2" t="str">
            <v>نادیا احمدی</v>
          </cell>
          <cell r="Y2" t="str">
            <v>پری زارع</v>
          </cell>
          <cell r="Z2" t="str">
            <v>ملبکا نماز</v>
          </cell>
          <cell r="AA2" t="str">
            <v>مهدبار نماز</v>
          </cell>
          <cell r="AB2" t="str">
            <v>محمدرضا سروری</v>
          </cell>
          <cell r="AC2" t="str">
            <v>کمیل سروری</v>
          </cell>
          <cell r="AD2" t="str">
            <v>مبینا عباسی</v>
          </cell>
        </row>
        <row r="3">
          <cell r="A3">
            <v>2</v>
          </cell>
          <cell r="B3">
            <v>0</v>
          </cell>
          <cell r="C3">
            <v>0</v>
          </cell>
          <cell r="D3" t="str">
            <v>1385/05/06</v>
          </cell>
          <cell r="E3" t="str">
            <v>تاریخ تولد :</v>
          </cell>
          <cell r="F3" t="str">
            <v>1385/05/06</v>
          </cell>
          <cell r="G3" t="str">
            <v>1386/05/13</v>
          </cell>
          <cell r="H3" t="str">
            <v>1386/01/04</v>
          </cell>
          <cell r="I3" t="str">
            <v>1386/05/30</v>
          </cell>
          <cell r="J3" t="str">
            <v>1386/01/18</v>
          </cell>
          <cell r="K3" t="str">
            <v>1386/01/18</v>
          </cell>
          <cell r="L3" t="str">
            <v>1386/01/18</v>
          </cell>
          <cell r="M3" t="str">
            <v>1385/06/28</v>
          </cell>
          <cell r="N3" t="str">
            <v>1384/02/04</v>
          </cell>
          <cell r="O3" t="str">
            <v>1383/09/14</v>
          </cell>
          <cell r="P3" t="str">
            <v>1385/09/18</v>
          </cell>
          <cell r="Q3" t="str">
            <v>1383/09/14</v>
          </cell>
          <cell r="R3">
            <v>0</v>
          </cell>
          <cell r="S3" t="str">
            <v>1385/02/06</v>
          </cell>
          <cell r="T3" t="str">
            <v>1385/12/15</v>
          </cell>
          <cell r="U3" t="str">
            <v>1384/10/21</v>
          </cell>
          <cell r="V3">
            <v>0</v>
          </cell>
          <cell r="W3" t="str">
            <v>1385/11/02</v>
          </cell>
          <cell r="X3">
            <v>0</v>
          </cell>
          <cell r="Y3" t="str">
            <v>1384/09/09</v>
          </cell>
          <cell r="Z3" t="str">
            <v>1395/03/29</v>
          </cell>
          <cell r="AA3" t="str">
            <v>1390/09/24</v>
          </cell>
          <cell r="AB3">
            <v>0</v>
          </cell>
          <cell r="AC3">
            <v>0</v>
          </cell>
          <cell r="AD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 t="str">
            <v>محل تولد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 t="str">
            <v>مشهد</v>
          </cell>
          <cell r="N4" t="str">
            <v>افغانستان</v>
          </cell>
          <cell r="O4" t="str">
            <v>مشهد</v>
          </cell>
          <cell r="P4" t="str">
            <v>مشهد</v>
          </cell>
          <cell r="Q4">
            <v>0</v>
          </cell>
          <cell r="R4">
            <v>0</v>
          </cell>
          <cell r="S4" t="str">
            <v>تهران</v>
          </cell>
          <cell r="T4" t="str">
            <v>مشهد</v>
          </cell>
          <cell r="U4" t="str">
            <v>مشهد</v>
          </cell>
          <cell r="V4">
            <v>0</v>
          </cell>
          <cell r="W4" t="str">
            <v>مشهد</v>
          </cell>
          <cell r="X4">
            <v>0</v>
          </cell>
          <cell r="Y4" t="str">
            <v>شیروان</v>
          </cell>
          <cell r="Z4" t="str">
            <v>تربت حیدریه</v>
          </cell>
          <cell r="AA4" t="str">
            <v>مشهد</v>
          </cell>
          <cell r="AB4">
            <v>0</v>
          </cell>
          <cell r="AC4">
            <v>0</v>
          </cell>
          <cell r="AD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 t="str">
            <v>محل صدور: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 t="str">
            <v>مشهد</v>
          </cell>
          <cell r="N5">
            <v>0</v>
          </cell>
          <cell r="O5" t="str">
            <v>مشهد</v>
          </cell>
          <cell r="P5" t="str">
            <v>مشهد</v>
          </cell>
          <cell r="Q5">
            <v>0</v>
          </cell>
          <cell r="R5">
            <v>0</v>
          </cell>
          <cell r="S5" t="str">
            <v>تهران</v>
          </cell>
          <cell r="T5" t="str">
            <v>مشهد</v>
          </cell>
          <cell r="U5" t="str">
            <v>مشهد</v>
          </cell>
          <cell r="V5">
            <v>0</v>
          </cell>
          <cell r="W5" t="str">
            <v>مشهد</v>
          </cell>
          <cell r="X5">
            <v>0</v>
          </cell>
          <cell r="Y5" t="str">
            <v>شیروان</v>
          </cell>
          <cell r="Z5" t="str">
            <v>تربت حیدریه</v>
          </cell>
          <cell r="AA5" t="str">
            <v>مشهد</v>
          </cell>
          <cell r="AB5">
            <v>0</v>
          </cell>
          <cell r="AC5">
            <v>0</v>
          </cell>
          <cell r="AD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 t="str">
            <v>عبدالحکیم</v>
          </cell>
          <cell r="E6" t="str">
            <v>نام پدر</v>
          </cell>
          <cell r="F6" t="str">
            <v>عبدالحکیم</v>
          </cell>
          <cell r="G6" t="str">
            <v>علی اکبر</v>
          </cell>
          <cell r="H6" t="str">
            <v>مجتبی</v>
          </cell>
          <cell r="I6" t="str">
            <v>حسین</v>
          </cell>
          <cell r="J6" t="str">
            <v>محمدرضا</v>
          </cell>
          <cell r="K6" t="str">
            <v>محمدرضا</v>
          </cell>
          <cell r="L6" t="str">
            <v>محمدرضا</v>
          </cell>
          <cell r="M6" t="str">
            <v>محمد</v>
          </cell>
          <cell r="N6" t="str">
            <v>میرحسین</v>
          </cell>
          <cell r="O6" t="str">
            <v>نعمت الله</v>
          </cell>
          <cell r="P6" t="str">
            <v>حسین</v>
          </cell>
          <cell r="Q6">
            <v>0</v>
          </cell>
          <cell r="R6">
            <v>0</v>
          </cell>
          <cell r="S6" t="str">
            <v>مهدی</v>
          </cell>
          <cell r="T6" t="str">
            <v>حسين</v>
          </cell>
          <cell r="U6" t="str">
            <v>سید حسين</v>
          </cell>
          <cell r="V6">
            <v>0</v>
          </cell>
          <cell r="W6" t="str">
            <v>احمد</v>
          </cell>
          <cell r="X6">
            <v>0</v>
          </cell>
          <cell r="Y6" t="str">
            <v>غلامعلی</v>
          </cell>
          <cell r="Z6" t="str">
            <v>جواد</v>
          </cell>
          <cell r="AA6" t="str">
            <v>جواد</v>
          </cell>
          <cell r="AB6">
            <v>0</v>
          </cell>
          <cell r="AC6">
            <v>0</v>
          </cell>
          <cell r="AD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 t="str">
            <v>نام مادر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 t="str">
            <v>آمنه قابمی</v>
          </cell>
          <cell r="T7" t="str">
            <v>فرزانه صدیقی</v>
          </cell>
          <cell r="U7" t="str">
            <v>عصمت قربانی</v>
          </cell>
          <cell r="V7" t="str">
            <v>زهرا مختاری</v>
          </cell>
          <cell r="W7" t="str">
            <v>-</v>
          </cell>
          <cell r="X7">
            <v>0</v>
          </cell>
          <cell r="Y7" t="str">
            <v>-</v>
          </cell>
          <cell r="Z7" t="str">
            <v>مرجان عمرانی</v>
          </cell>
          <cell r="AA7" t="str">
            <v>مرجان عمرانی</v>
          </cell>
          <cell r="AB7">
            <v>0</v>
          </cell>
          <cell r="AC7">
            <v>0</v>
          </cell>
          <cell r="AD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 t="str">
            <v>دختر</v>
          </cell>
          <cell r="E8" t="str">
            <v>جنسیت</v>
          </cell>
          <cell r="F8" t="str">
            <v>دختر</v>
          </cell>
          <cell r="G8" t="str">
            <v>دختر</v>
          </cell>
          <cell r="H8" t="str">
            <v>دختر</v>
          </cell>
          <cell r="I8" t="str">
            <v>دختر</v>
          </cell>
          <cell r="J8" t="str">
            <v>دختر</v>
          </cell>
          <cell r="K8" t="str">
            <v>دختر</v>
          </cell>
          <cell r="L8" t="str">
            <v>دختر</v>
          </cell>
          <cell r="M8" t="str">
            <v>دختر</v>
          </cell>
          <cell r="N8" t="str">
            <v>دختر</v>
          </cell>
          <cell r="O8" t="str">
            <v>دختر</v>
          </cell>
          <cell r="P8" t="str">
            <v>دختر</v>
          </cell>
          <cell r="Q8" t="str">
            <v>دختر</v>
          </cell>
          <cell r="R8" t="str">
            <v>دختر</v>
          </cell>
          <cell r="S8" t="str">
            <v>دختر</v>
          </cell>
          <cell r="T8" t="str">
            <v>دختر</v>
          </cell>
          <cell r="U8" t="str">
            <v>دختر</v>
          </cell>
          <cell r="V8" t="str">
            <v>دختر</v>
          </cell>
          <cell r="W8" t="str">
            <v>دختر</v>
          </cell>
          <cell r="X8" t="str">
            <v>دختر</v>
          </cell>
          <cell r="Y8" t="str">
            <v>دختر</v>
          </cell>
          <cell r="Z8" t="str">
            <v>دختر</v>
          </cell>
          <cell r="AA8" t="str">
            <v>دختر</v>
          </cell>
          <cell r="AB8" t="str">
            <v>پسر</v>
          </cell>
          <cell r="AC8" t="str">
            <v>پسر</v>
          </cell>
          <cell r="AD8" t="str">
            <v>دختر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 t="str">
            <v>شماره ملی / شماره شناسنامه</v>
          </cell>
          <cell r="F9">
            <v>0</v>
          </cell>
          <cell r="G9">
            <v>928744272</v>
          </cell>
          <cell r="H9">
            <v>928539733</v>
          </cell>
          <cell r="I9">
            <v>928779262</v>
          </cell>
          <cell r="J9">
            <v>0</v>
          </cell>
          <cell r="K9">
            <v>0</v>
          </cell>
          <cell r="L9">
            <v>0</v>
          </cell>
          <cell r="M9">
            <v>928280098</v>
          </cell>
          <cell r="N9">
            <v>91020180399</v>
          </cell>
          <cell r="O9" t="str">
            <v>0927335204-</v>
          </cell>
          <cell r="P9" t="str">
            <v>0928394174-</v>
          </cell>
          <cell r="Q9">
            <v>0</v>
          </cell>
          <cell r="R9">
            <v>0</v>
          </cell>
          <cell r="S9" t="str">
            <v>0025909738-</v>
          </cell>
          <cell r="T9" t="str">
            <v>0928551113-</v>
          </cell>
          <cell r="U9" t="str">
            <v>0927912678-</v>
          </cell>
          <cell r="V9" t="str">
            <v>0928729826-</v>
          </cell>
          <cell r="W9" t="str">
            <v>0950047384-</v>
          </cell>
          <cell r="X9" t="str">
            <v>0929731451-</v>
          </cell>
          <cell r="Y9" t="str">
            <v>0820611743-</v>
          </cell>
          <cell r="Z9">
            <v>6500294351</v>
          </cell>
          <cell r="AA9" t="str">
            <v>0970439210-</v>
          </cell>
          <cell r="AB9">
            <v>0</v>
          </cell>
          <cell r="AC9">
            <v>0</v>
          </cell>
          <cell r="AD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 t="str">
            <v>مدرسه حضرت خدیجه</v>
          </cell>
          <cell r="E10" t="str">
            <v>معرف</v>
          </cell>
          <cell r="F10" t="str">
            <v>مدرسه حضرت خدیجه</v>
          </cell>
          <cell r="G10" t="str">
            <v>مدرسه حضرت خدیجه</v>
          </cell>
          <cell r="H10" t="str">
            <v>مدرسه حضرت خدیجه</v>
          </cell>
          <cell r="I10" t="str">
            <v>مدرسه حضرت خدیجه</v>
          </cell>
          <cell r="J10" t="str">
            <v>مدرسه حضرت خدیجه</v>
          </cell>
          <cell r="K10" t="str">
            <v>مدرسه حضرت خدیجه</v>
          </cell>
          <cell r="L10" t="str">
            <v>مدرسه حضرت خدیجه</v>
          </cell>
          <cell r="M10" t="str">
            <v>مدرسه آرمیتا مصلی نژاد- ناحیه تباتکان</v>
          </cell>
          <cell r="N10" t="str">
            <v>مدرسه حضرت خدیجه</v>
          </cell>
          <cell r="O10" t="str">
            <v>مدرسه حضرت خدیجه</v>
          </cell>
          <cell r="P10" t="str">
            <v>مدرسه حضرت خدیجه</v>
          </cell>
          <cell r="Q10" t="str">
            <v>مدرسه آرمیتا مصلی نژاد- ناحیه تباتکان</v>
          </cell>
          <cell r="R10" t="str">
            <v>دبیرستان شاهد</v>
          </cell>
          <cell r="S10" t="str">
            <v>خانم سمییعی</v>
          </cell>
          <cell r="T10" t="str">
            <v>دبیرستان رستگارمقدم</v>
          </cell>
          <cell r="U10" t="str">
            <v>دبیرستان رستگارمقدم</v>
          </cell>
          <cell r="V10" t="str">
            <v>دبیرستان رستگارمقدم</v>
          </cell>
          <cell r="W10" t="str">
            <v>دبیرستان رستگارمقدم</v>
          </cell>
          <cell r="X10" t="str">
            <v>دبیرستان خدیجه</v>
          </cell>
          <cell r="Y10" t="str">
            <v>دبیرستان رستگارمقدم</v>
          </cell>
          <cell r="Z10" t="str">
            <v>مسعود خازنی</v>
          </cell>
          <cell r="AA10" t="str">
            <v>مسعود خازنی</v>
          </cell>
          <cell r="AB10" t="str">
            <v>مسعود خازنی</v>
          </cell>
          <cell r="AC10" t="str">
            <v>مسعود خازنی</v>
          </cell>
          <cell r="AD10" t="str">
            <v>خانم اورلی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 t="str">
            <v>تاریخ شروع خدمات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 t="str">
            <v>رسالت 136- خیابان امام خمینی- امام خمینی 2 پلاک 36</v>
          </cell>
          <cell r="E12" t="str">
            <v>آدرس محل سکونت</v>
          </cell>
          <cell r="F12" t="str">
            <v>رسالت 136- خیابان امام خمینی- امام خمینی 2 پلاک 36</v>
          </cell>
          <cell r="G12" t="str">
            <v>رسالت 136- خیابان امام خمینی- امام خمینی 21- شهریار 4- پلاک 27</v>
          </cell>
          <cell r="H12" t="str">
            <v>رسالت 136- خیابان امام خمینی- امام خمینی 3- رخش بهار 8- پلاک 37</v>
          </cell>
          <cell r="I12" t="str">
            <v>رسالت 136- خیابان امام خمینی- امام خمینی 12- پلاک 6</v>
          </cell>
          <cell r="J12" t="str">
            <v>رسالت 134- خیابان شهید غلامی-کنار مسجد سیداشهدا</v>
          </cell>
          <cell r="K12" t="str">
            <v>رسالت 134- خیابان شهید غلامی-کنار مسجد سیداشهدا</v>
          </cell>
          <cell r="L12" t="str">
            <v>رسالت 134- خیابان شهید غلامی-کنار مسجد سیداشهدا</v>
          </cell>
          <cell r="M12" t="str">
            <v>توس 33- شکری 2- وسط کوچه- سمت راست- منزل نیمه کاره</v>
          </cell>
          <cell r="N12" t="str">
            <v>کشمیری 36- بعد از چهارراه اول پلاک 39</v>
          </cell>
          <cell r="O12" t="str">
            <v>رسالت 120- رجایی 6- پلاک 45</v>
          </cell>
          <cell r="P12" t="str">
            <v>غلامی 18- پلاک 21</v>
          </cell>
          <cell r="Q12" t="str">
            <v>توس 97- الزهرا 10- ... 17- پلاک 38</v>
          </cell>
          <cell r="R12">
            <v>0</v>
          </cell>
          <cell r="S12" t="str">
            <v>تربت حیدریه - روستای قلعه حسن خان</v>
          </cell>
          <cell r="T12" t="str">
            <v>توس 43 - غلامی 6- رادمرد 7 - انتهای کوچه سمت راست</v>
          </cell>
          <cell r="U12" t="str">
            <v>حر 13- کوچه 54- سردرب منزل(دعای کمیل)</v>
          </cell>
          <cell r="V12" t="str">
            <v>پنجتن 3- سلمان 6- پلاک 43</v>
          </cell>
          <cell r="W12" t="str">
            <v>حر 56</v>
          </cell>
          <cell r="X12">
            <v>0</v>
          </cell>
          <cell r="Y12" t="str">
            <v>رسالت 71 - درب قهوه ای - پلاک 23</v>
          </cell>
          <cell r="Z12" t="str">
            <v>چهارراه مقدم - پروین اعتصامی 8- سلیمانی منش 10- پلاک 405</v>
          </cell>
          <cell r="AA12" t="str">
            <v>چهارراه مقدم - پروین اعتصامی 8- سلیمانی منش 10- پلاک 405</v>
          </cell>
          <cell r="AB12">
            <v>0</v>
          </cell>
          <cell r="AC12">
            <v>0</v>
          </cell>
          <cell r="AD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 t="str">
            <v>کد پستی محل سکونت :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 t="str">
            <v>خانم توکلی</v>
          </cell>
          <cell r="E14" t="str">
            <v>معرفی توسط :</v>
          </cell>
          <cell r="F14" t="str">
            <v>خانم توکلی</v>
          </cell>
          <cell r="G14" t="str">
            <v>خانم توکلی</v>
          </cell>
          <cell r="H14" t="str">
            <v>خانم توکلی</v>
          </cell>
          <cell r="I14" t="str">
            <v>خانم توکلی</v>
          </cell>
          <cell r="J14" t="str">
            <v>خانم توکلی</v>
          </cell>
          <cell r="K14" t="str">
            <v>خانم توکلی</v>
          </cell>
          <cell r="L14" t="str">
            <v>خانم توکلی</v>
          </cell>
          <cell r="M14" t="str">
            <v>خانم ارمغان</v>
          </cell>
          <cell r="N14" t="str">
            <v>خانم توکلی</v>
          </cell>
          <cell r="O14" t="str">
            <v>خانم توکلی</v>
          </cell>
          <cell r="P14" t="str">
            <v>خانم توکلی</v>
          </cell>
          <cell r="Q14" t="str">
            <v>خانم توکلی</v>
          </cell>
          <cell r="R14" t="str">
            <v>آقای نقیبی</v>
          </cell>
          <cell r="S14" t="str">
            <v>خانم سمییعی</v>
          </cell>
          <cell r="T14" t="str">
            <v>آقای نقیبی</v>
          </cell>
          <cell r="U14" t="str">
            <v>آقای نقیبی</v>
          </cell>
          <cell r="V14" t="str">
            <v>آقای نقیبی</v>
          </cell>
          <cell r="W14" t="str">
            <v>آقای نقیبی</v>
          </cell>
          <cell r="X14">
            <v>0</v>
          </cell>
          <cell r="Y14" t="str">
            <v>آقای نقیبی</v>
          </cell>
          <cell r="Z14" t="str">
            <v>مسعود خازنی</v>
          </cell>
          <cell r="AA14" t="str">
            <v>مسعود خازنی</v>
          </cell>
          <cell r="AB14" t="str">
            <v>مسعود خازنی</v>
          </cell>
          <cell r="AC14" t="str">
            <v>مسعود خازنی</v>
          </cell>
          <cell r="AD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 t="str">
            <v>پست الکترونیکی :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9381233298</v>
          </cell>
          <cell r="E16" t="str">
            <v>تلفن :</v>
          </cell>
          <cell r="F16">
            <v>9381233298</v>
          </cell>
          <cell r="G16">
            <v>9392569929</v>
          </cell>
          <cell r="H16">
            <v>9373250328</v>
          </cell>
          <cell r="I16" t="str">
            <v>9228665372- 09357415452-09302849676</v>
          </cell>
          <cell r="J16" t="str">
            <v>9229983735- 09017614576-09157171782-09333752599</v>
          </cell>
          <cell r="K16" t="str">
            <v>9229983735- 09017614576-09157171782-09333752599</v>
          </cell>
          <cell r="L16" t="str">
            <v>9229983735- 09017614576-09157171782-09333752599</v>
          </cell>
          <cell r="M16">
            <v>9900785044</v>
          </cell>
          <cell r="N16" t="str">
            <v>03978969874-</v>
          </cell>
          <cell r="O16" t="str">
            <v>09380617293-09397976616-09057403341</v>
          </cell>
          <cell r="P16" t="str">
            <v>09152067310-09908878616</v>
          </cell>
          <cell r="Q16" t="str">
            <v>09150090658-09156484356-09159095701</v>
          </cell>
          <cell r="R16" t="str">
            <v>09053110021-09398957719</v>
          </cell>
          <cell r="S16" t="str">
            <v>09945192457-0998177165</v>
          </cell>
          <cell r="T16" t="str">
            <v>09397686036-09353218951</v>
          </cell>
          <cell r="U16" t="str">
            <v>09046651101-09156286174</v>
          </cell>
          <cell r="V16" t="str">
            <v>09305985396-09360554032-09300610960</v>
          </cell>
          <cell r="W16" t="str">
            <v>09352584850-09156019826-09152548041</v>
          </cell>
          <cell r="X16">
            <v>9156194069</v>
          </cell>
          <cell r="Y16" t="str">
            <v>09915317983-09352523868</v>
          </cell>
          <cell r="Z16" t="str">
            <v>09159140096-09945583303</v>
          </cell>
          <cell r="AA16" t="str">
            <v>09159140096-09945583303</v>
          </cell>
          <cell r="AB16" t="str">
            <v>09051762599-</v>
          </cell>
          <cell r="AC16" t="str">
            <v>09051762599-</v>
          </cell>
          <cell r="AD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 t="str">
            <v>دبیرستان سال یازدهم</v>
          </cell>
          <cell r="E17" t="str">
            <v xml:space="preserve">مقطع تحصیلی : </v>
          </cell>
          <cell r="F17" t="str">
            <v>دبیرستان سال یازدهم</v>
          </cell>
          <cell r="G17" t="str">
            <v>دبیرستان سال دهم</v>
          </cell>
          <cell r="H17" t="str">
            <v>دبیرستان سال دهم</v>
          </cell>
          <cell r="I17" t="str">
            <v>دبیرستان سال دهم</v>
          </cell>
          <cell r="J17" t="str">
            <v>دبیرستان سال دهم</v>
          </cell>
          <cell r="K17" t="str">
            <v>دبیرستان سال دهم</v>
          </cell>
          <cell r="L17" t="str">
            <v>دبیرستان سال دهم</v>
          </cell>
          <cell r="M17" t="str">
            <v>دبیرستان سال دوازدهم</v>
          </cell>
          <cell r="N17" t="str">
            <v>دبیرستان سال دوازدهم</v>
          </cell>
          <cell r="O17" t="str">
            <v>دبیرستان سال دوازدهم</v>
          </cell>
          <cell r="P17" t="str">
            <v>دبیرستان سال دهم</v>
          </cell>
          <cell r="Q17" t="str">
            <v>دبیرستان سال دهم</v>
          </cell>
          <cell r="R17" t="str">
            <v>دبیرستان سال دوازدهم</v>
          </cell>
          <cell r="S17" t="str">
            <v>دبیرستان سال یازدهم</v>
          </cell>
          <cell r="T17" t="str">
            <v>دبیرستان سال دهم</v>
          </cell>
          <cell r="U17" t="str">
            <v>دبیرستان سال یازدهم</v>
          </cell>
          <cell r="V17" t="str">
            <v>دبیرستان سال دهم</v>
          </cell>
          <cell r="W17" t="str">
            <v>دبیرستان سال دهم</v>
          </cell>
          <cell r="X17" t="str">
            <v>دبیرستان سال دوازدهم</v>
          </cell>
          <cell r="Y17" t="str">
            <v>دبیرستان سال دهم</v>
          </cell>
          <cell r="Z17" t="str">
            <v>دبستان کلاس اول</v>
          </cell>
          <cell r="AA17" t="str">
            <v>دبستان کلاس پنجم</v>
          </cell>
          <cell r="AB17" t="str">
            <v>دبستان کلاس پنجم</v>
          </cell>
          <cell r="AC17" t="str">
            <v>دبستان کلاس چهارم</v>
          </cell>
          <cell r="AD17">
            <v>0</v>
          </cell>
        </row>
        <row r="18">
          <cell r="A18">
            <v>17</v>
          </cell>
          <cell r="B18">
            <v>0</v>
          </cell>
          <cell r="C18">
            <v>0</v>
          </cell>
          <cell r="D18" t="str">
            <v>ریاضی</v>
          </cell>
          <cell r="E18" t="str">
            <v>رشته تحصیلی :</v>
          </cell>
          <cell r="F18" t="str">
            <v>ریاضی</v>
          </cell>
          <cell r="G18" t="str">
            <v>انسانی</v>
          </cell>
          <cell r="H18" t="str">
            <v>ریاضی</v>
          </cell>
          <cell r="I18" t="str">
            <v>تجربی</v>
          </cell>
          <cell r="J18" t="str">
            <v>تجربی</v>
          </cell>
          <cell r="K18" t="str">
            <v>ریاضی</v>
          </cell>
          <cell r="L18" t="str">
            <v>انسانی</v>
          </cell>
          <cell r="M18" t="str">
            <v>تجربی</v>
          </cell>
          <cell r="N18" t="str">
            <v>تجربی</v>
          </cell>
          <cell r="O18" t="str">
            <v>ریاضی</v>
          </cell>
          <cell r="P18" t="str">
            <v>تجربی</v>
          </cell>
          <cell r="Q18" t="str">
            <v>انسانی</v>
          </cell>
          <cell r="R18" t="str">
            <v>تجربی</v>
          </cell>
          <cell r="S18" t="str">
            <v>تجربی</v>
          </cell>
          <cell r="T18" t="str">
            <v>تجربی</v>
          </cell>
          <cell r="U18" t="str">
            <v>تجربی</v>
          </cell>
          <cell r="V18" t="str">
            <v>انسانی</v>
          </cell>
          <cell r="W18" t="str">
            <v>تجربی</v>
          </cell>
          <cell r="X18" t="str">
            <v>ریاضی</v>
          </cell>
          <cell r="Y18" t="str">
            <v>تجربی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</row>
        <row r="19">
          <cell r="A19">
            <v>18</v>
          </cell>
          <cell r="B19">
            <v>0</v>
          </cell>
          <cell r="C19">
            <v>0</v>
          </cell>
          <cell r="D19" t="str">
            <v>18/22</v>
          </cell>
          <cell r="E19" t="str">
            <v xml:space="preserve">معدل : </v>
          </cell>
          <cell r="F19" t="str">
            <v>18/22</v>
          </cell>
          <cell r="G19" t="str">
            <v>19/62</v>
          </cell>
          <cell r="H19" t="str">
            <v>19/48</v>
          </cell>
          <cell r="I19" t="str">
            <v>19/24</v>
          </cell>
          <cell r="J19" t="str">
            <v>19/05</v>
          </cell>
          <cell r="K19" t="str">
            <v>17/99</v>
          </cell>
          <cell r="L19" t="str">
            <v>18/99</v>
          </cell>
          <cell r="M19" t="str">
            <v>18/68</v>
          </cell>
          <cell r="N19" t="str">
            <v>18/74</v>
          </cell>
          <cell r="O19" t="str">
            <v>18/47</v>
          </cell>
          <cell r="P19" t="str">
            <v>19/88</v>
          </cell>
          <cell r="Q19">
            <v>0</v>
          </cell>
          <cell r="R19">
            <v>0</v>
          </cell>
          <cell r="S19" t="str">
            <v>18/10</v>
          </cell>
          <cell r="T19" t="str">
            <v>18/55</v>
          </cell>
          <cell r="U19">
            <v>17</v>
          </cell>
          <cell r="V19" t="str">
            <v>19/02</v>
          </cell>
          <cell r="W19" t="str">
            <v>19/88</v>
          </cell>
          <cell r="X19">
            <v>0</v>
          </cell>
          <cell r="Y19" t="str">
            <v>19/83</v>
          </cell>
          <cell r="Z19">
            <v>0</v>
          </cell>
          <cell r="AA19" t="str">
            <v>خیلی خوب</v>
          </cell>
          <cell r="AB19">
            <v>0</v>
          </cell>
          <cell r="AC19">
            <v>0</v>
          </cell>
          <cell r="AD19">
            <v>0</v>
          </cell>
        </row>
        <row r="20">
          <cell r="A20">
            <v>19</v>
          </cell>
          <cell r="B20">
            <v>0</v>
          </cell>
          <cell r="C20">
            <v>0</v>
          </cell>
          <cell r="D20" t="str">
            <v>مدرسه حضرت خدیجه- ناحیه تباتکان</v>
          </cell>
          <cell r="E20" t="str">
            <v>آدرس  محل تحصیل:</v>
          </cell>
          <cell r="F20" t="str">
            <v>مدرسه حضرت خدیجه- ناحیه تباتکان</v>
          </cell>
          <cell r="G20" t="str">
            <v>مدرسه حضرت خدیجه- ناحیه تباتکان</v>
          </cell>
          <cell r="H20" t="str">
            <v>مدرسه حضرت خدیجه- ناحیه تباتکان</v>
          </cell>
          <cell r="I20" t="str">
            <v>مدرسه حضرت خدیجه- ناحیه تباتکان</v>
          </cell>
          <cell r="J20" t="str">
            <v>مدرسه حضرت خدیجه- ناحیه تباتکان</v>
          </cell>
          <cell r="K20" t="str">
            <v>مدرسه آرمیتا مصلی نژاد- ناحیه تباتکان</v>
          </cell>
          <cell r="L20" t="str">
            <v>مدرسه حضرت خدیجه- ناحیه تباتکان</v>
          </cell>
          <cell r="M20" t="str">
            <v>مدرسه آرمیتا مصلی نژاد- ناحیه تباتکان</v>
          </cell>
          <cell r="N20" t="str">
            <v>مدرسه حضرت خدیجه- ناحیه تباتکان</v>
          </cell>
          <cell r="O20" t="str">
            <v>مدرسه حضرت خدیجه- ناحیه تباتکان</v>
          </cell>
          <cell r="P20" t="str">
            <v>مدرسه حضرت خدیجه- ناحیه تباتکان</v>
          </cell>
          <cell r="Q20" t="str">
            <v>مدرسه آرمیتا مصلی نژاد- ناحیه تباتکان</v>
          </cell>
          <cell r="R20">
            <v>0</v>
          </cell>
          <cell r="S20" t="str">
            <v>دبیرستان نرجس دولت آباد</v>
          </cell>
          <cell r="T20" t="str">
            <v>دبیرستان رستگار مقدم</v>
          </cell>
          <cell r="U20" t="str">
            <v>دبیرستان رستگار مقدم</v>
          </cell>
          <cell r="V20" t="str">
            <v>دبیرستان رستگار مقدم</v>
          </cell>
          <cell r="W20" t="str">
            <v>دبیرستان رستگار مقدم</v>
          </cell>
          <cell r="X20" t="str">
            <v>دبیرستان خدیجه</v>
          </cell>
          <cell r="Y20" t="str">
            <v>دبیرستان رستگار مقدم</v>
          </cell>
          <cell r="Z20" t="str">
            <v>مدرسه بعثت</v>
          </cell>
          <cell r="AA20" t="str">
            <v>مدرسه بعثت</v>
          </cell>
          <cell r="AB20" t="str">
            <v>مدرسه بهادرزاده</v>
          </cell>
          <cell r="AC20" t="str">
            <v>مدرسه بهادرزاده</v>
          </cell>
          <cell r="AD20">
            <v>0</v>
          </cell>
        </row>
        <row r="21">
          <cell r="A21">
            <v>20</v>
          </cell>
          <cell r="B21">
            <v>0</v>
          </cell>
          <cell r="C21">
            <v>0</v>
          </cell>
          <cell r="D21">
            <v>9155008954</v>
          </cell>
          <cell r="E21" t="str">
            <v>تلفن محل تحصیل:</v>
          </cell>
          <cell r="F21">
            <v>9155008954</v>
          </cell>
          <cell r="G21">
            <v>9155008954</v>
          </cell>
          <cell r="H21">
            <v>9155008954</v>
          </cell>
          <cell r="I21">
            <v>9155008954</v>
          </cell>
          <cell r="J21">
            <v>9155008954</v>
          </cell>
          <cell r="K21">
            <v>5136655064</v>
          </cell>
          <cell r="L21">
            <v>9155008954</v>
          </cell>
          <cell r="M21">
            <v>5136655064</v>
          </cell>
          <cell r="N21">
            <v>9155008954</v>
          </cell>
          <cell r="O21">
            <v>9155008954</v>
          </cell>
          <cell r="P21">
            <v>9155008954</v>
          </cell>
          <cell r="Q21">
            <v>5136655064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A22">
            <v>21</v>
          </cell>
          <cell r="B22">
            <v>0</v>
          </cell>
          <cell r="C22">
            <v>0</v>
          </cell>
          <cell r="D22" t="str">
            <v>زبان انگلیسی و کره ای</v>
          </cell>
          <cell r="E22" t="str">
            <v>استعداد :</v>
          </cell>
          <cell r="F22" t="str">
            <v>زبان انگلیسی و کره ای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</row>
        <row r="23">
          <cell r="A23">
            <v>22</v>
          </cell>
          <cell r="B23">
            <v>0</v>
          </cell>
          <cell r="C23">
            <v>0</v>
          </cell>
          <cell r="D23" t="str">
            <v>کارآفرینی</v>
          </cell>
          <cell r="E23" t="str">
            <v>علاقه مندی :</v>
          </cell>
          <cell r="F23" t="str">
            <v>کارآفرینی</v>
          </cell>
          <cell r="G23" t="str">
            <v>علاقمند به دبیری</v>
          </cell>
          <cell r="H23" t="str">
            <v>تحصیل در دانشگاه فرهنگیان</v>
          </cell>
          <cell r="I23" t="str">
            <v>علاقمند به رشته پزشکی</v>
          </cell>
          <cell r="J23" t="str">
            <v>علاقمند به رشته پزشکی</v>
          </cell>
          <cell r="K23" t="str">
            <v>علاقمند به رشته مهندسی کامپیوتر</v>
          </cell>
          <cell r="L23" t="str">
            <v>علاقمند به رشته وکالت</v>
          </cell>
          <cell r="M23" t="str">
            <v>علاقمند به رشته پزشکی</v>
          </cell>
          <cell r="N23" t="str">
            <v>علاقمند به رشته پزشکی</v>
          </cell>
          <cell r="O23" t="str">
            <v xml:space="preserve">علاقمند به </v>
          </cell>
          <cell r="P23" t="str">
            <v xml:space="preserve">علاقمند به </v>
          </cell>
          <cell r="Q23" t="str">
            <v>علاقمند به دبیری</v>
          </cell>
          <cell r="R23" t="str">
            <v>علاقمند به پزشکی</v>
          </cell>
          <cell r="S23" t="str">
            <v>علاقمند به پزشکی</v>
          </cell>
          <cell r="T23" t="str">
            <v>علاقمند به پزشکی</v>
          </cell>
          <cell r="U23" t="str">
            <v>علاقمندی ندارد</v>
          </cell>
          <cell r="V23" t="str">
            <v>علاقمندی ندارد</v>
          </cell>
          <cell r="W23" t="str">
            <v>علاقمندی به پزشکی</v>
          </cell>
          <cell r="X23" t="str">
            <v>علاقمندی به گرافیک</v>
          </cell>
          <cell r="Y23" t="str">
            <v>علاقمندی به پزشکی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</row>
        <row r="24">
          <cell r="A24">
            <v>23</v>
          </cell>
          <cell r="B24">
            <v>0</v>
          </cell>
          <cell r="C24">
            <v>0</v>
          </cell>
          <cell r="D24" t="str">
            <v>1401/06/15</v>
          </cell>
          <cell r="E24" t="str">
            <v>تاریخ بررسی :</v>
          </cell>
          <cell r="F24" t="str">
            <v>1401/06/15</v>
          </cell>
          <cell r="G24" t="str">
            <v>1401/06/15</v>
          </cell>
          <cell r="H24" t="str">
            <v>1401/06/15</v>
          </cell>
          <cell r="I24" t="str">
            <v>1401/06/15</v>
          </cell>
          <cell r="J24" t="str">
            <v>1401/06/15</v>
          </cell>
          <cell r="K24" t="str">
            <v>1401/06/15</v>
          </cell>
          <cell r="L24" t="str">
            <v>1401/06/15</v>
          </cell>
          <cell r="M24" t="str">
            <v>1401/06/15</v>
          </cell>
          <cell r="N24" t="str">
            <v>1401/06/15</v>
          </cell>
          <cell r="O24" t="str">
            <v>1401/06/15</v>
          </cell>
          <cell r="P24" t="str">
            <v>1401/06/15</v>
          </cell>
          <cell r="Q24" t="str">
            <v>1401/06/15</v>
          </cell>
          <cell r="R24" t="str">
            <v>1401/06/15</v>
          </cell>
          <cell r="S24" t="str">
            <v>1401/06/15</v>
          </cell>
          <cell r="T24" t="str">
            <v>1401/06/15</v>
          </cell>
          <cell r="U24" t="str">
            <v>1401/06/15</v>
          </cell>
          <cell r="V24" t="str">
            <v>1401/06/15</v>
          </cell>
          <cell r="W24" t="str">
            <v>1401/06/15</v>
          </cell>
          <cell r="X24">
            <v>0</v>
          </cell>
          <cell r="Y24" t="str">
            <v>1401/06/15</v>
          </cell>
          <cell r="Z24" t="str">
            <v>1401/06/15</v>
          </cell>
          <cell r="AA24" t="str">
            <v>1401/06/15</v>
          </cell>
          <cell r="AB24" t="str">
            <v>1401/06/15</v>
          </cell>
          <cell r="AC24" t="str">
            <v>1401/06/15</v>
          </cell>
          <cell r="AD24">
            <v>0</v>
          </cell>
        </row>
        <row r="25">
          <cell r="A25">
            <v>24</v>
          </cell>
          <cell r="B25">
            <v>0</v>
          </cell>
          <cell r="C25">
            <v>0</v>
          </cell>
          <cell r="D25" t="str">
            <v>افسردگی و ناامیدی شدید</v>
          </cell>
          <cell r="E25" t="str">
            <v>سوابق بیماری</v>
          </cell>
          <cell r="F25" t="str">
            <v>افسردگی و ناامیدی شدید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</row>
        <row r="26">
          <cell r="A26">
            <v>25</v>
          </cell>
          <cell r="B26">
            <v>0</v>
          </cell>
          <cell r="C26">
            <v>0</v>
          </cell>
          <cell r="D26" t="str">
            <v>ندارد</v>
          </cell>
          <cell r="E26" t="str">
            <v>توضیحات بیماری:</v>
          </cell>
          <cell r="F26" t="str">
            <v>ندارد</v>
          </cell>
          <cell r="G26" t="str">
            <v>ندارد</v>
          </cell>
          <cell r="H26" t="str">
            <v>ندارد</v>
          </cell>
          <cell r="I26" t="str">
            <v>ندارد</v>
          </cell>
          <cell r="J26" t="str">
            <v>ندارد</v>
          </cell>
          <cell r="K26" t="str">
            <v>ندارد</v>
          </cell>
          <cell r="L26" t="str">
            <v>ندارد</v>
          </cell>
          <cell r="M26" t="str">
            <v>ندارد</v>
          </cell>
          <cell r="N26" t="str">
            <v>ندارد</v>
          </cell>
          <cell r="O26" t="str">
            <v>ندارد</v>
          </cell>
          <cell r="P26" t="str">
            <v>ندارد</v>
          </cell>
          <cell r="Q26" t="str">
            <v>ندارد</v>
          </cell>
          <cell r="R26" t="str">
            <v>ندارد</v>
          </cell>
          <cell r="S26" t="str">
            <v>ندارد</v>
          </cell>
          <cell r="T26" t="str">
            <v>ندارد</v>
          </cell>
          <cell r="U26" t="str">
            <v>افسردگی شدید</v>
          </cell>
          <cell r="V26" t="str">
            <v>ندارد</v>
          </cell>
          <cell r="W26" t="str">
            <v>ندارد</v>
          </cell>
          <cell r="X26" t="str">
            <v>ندارد</v>
          </cell>
          <cell r="Y26" t="str">
            <v>ندارد</v>
          </cell>
          <cell r="Z26" t="str">
            <v>ندارد</v>
          </cell>
          <cell r="AA26" t="str">
            <v>ندارد</v>
          </cell>
          <cell r="AB26" t="str">
            <v>ندارد</v>
          </cell>
          <cell r="AC26" t="str">
            <v>ندارد</v>
          </cell>
          <cell r="AD26">
            <v>0</v>
          </cell>
        </row>
        <row r="27">
          <cell r="A27">
            <v>26</v>
          </cell>
          <cell r="B27">
            <v>0</v>
          </cell>
          <cell r="C27">
            <v>0</v>
          </cell>
          <cell r="D27">
            <v>0</v>
          </cell>
          <cell r="E27" t="str">
            <v>آزمایشات یا چکاپ پزشکی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 t="str">
            <v>دندانهایش توسط دکتر محسنیان عصب کشی گردید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  <row r="28">
          <cell r="A28">
            <v>27</v>
          </cell>
          <cell r="B28">
            <v>0</v>
          </cell>
          <cell r="C28">
            <v>0</v>
          </cell>
          <cell r="D28">
            <v>0</v>
          </cell>
          <cell r="E28" t="str">
            <v>توضیحات آزمایش یا چکاپ :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A29">
            <v>28</v>
          </cell>
          <cell r="B29">
            <v>0</v>
          </cell>
          <cell r="C29">
            <v>0</v>
          </cell>
          <cell r="D29" t="str">
            <v>ندارد</v>
          </cell>
          <cell r="E29" t="str">
            <v>نیاز به خدمات خاصی</v>
          </cell>
          <cell r="F29" t="str">
            <v>ندارد</v>
          </cell>
          <cell r="G29" t="str">
            <v>ندارد</v>
          </cell>
          <cell r="H29" t="str">
            <v>در درس ریاضی احتیاج به کمک دارد.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>کتابهای کمک آموزشی لازم دارد</v>
          </cell>
          <cell r="P29">
            <v>0</v>
          </cell>
          <cell r="Q29" t="str">
            <v>سمعک لازم دارد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A30">
            <v>29</v>
          </cell>
          <cell r="B30">
            <v>0</v>
          </cell>
          <cell r="C30">
            <v>0</v>
          </cell>
          <cell r="D30" t="str">
            <v>نداد</v>
          </cell>
          <cell r="E30" t="str">
            <v>توضیحات خدمات :</v>
          </cell>
          <cell r="F30" t="str">
            <v>نداد</v>
          </cell>
          <cell r="G30" t="str">
            <v>نداد</v>
          </cell>
          <cell r="H30" t="str">
            <v>ندارد</v>
          </cell>
          <cell r="I30" t="str">
            <v>ندارد</v>
          </cell>
          <cell r="J30" t="str">
            <v>ندارد</v>
          </cell>
          <cell r="K30" t="str">
            <v>ندارد</v>
          </cell>
          <cell r="L30" t="str">
            <v>ندارد</v>
          </cell>
          <cell r="M30" t="str">
            <v>ندارد</v>
          </cell>
          <cell r="N30" t="str">
            <v>ندارد</v>
          </cell>
          <cell r="O30" t="str">
            <v>ندارد</v>
          </cell>
          <cell r="P30" t="str">
            <v>ندارد</v>
          </cell>
          <cell r="Q30" t="str">
            <v>ندارد</v>
          </cell>
          <cell r="R30" t="str">
            <v>ندارد</v>
          </cell>
          <cell r="S30" t="str">
            <v>ندارد</v>
          </cell>
          <cell r="T30" t="str">
            <v>ندارد</v>
          </cell>
          <cell r="U30" t="str">
            <v>ندارد</v>
          </cell>
          <cell r="V30" t="str">
            <v>ندارد</v>
          </cell>
          <cell r="W30" t="str">
            <v>ندارد</v>
          </cell>
          <cell r="X30" t="str">
            <v>ندارد</v>
          </cell>
          <cell r="Y30" t="str">
            <v>ندارد</v>
          </cell>
          <cell r="Z30" t="str">
            <v>ندارد</v>
          </cell>
          <cell r="AA30" t="str">
            <v>ندارد</v>
          </cell>
          <cell r="AB30" t="str">
            <v>ندارد</v>
          </cell>
          <cell r="AC30" t="str">
            <v>ندارد</v>
          </cell>
          <cell r="AD30" t="str">
            <v>ندارد</v>
          </cell>
        </row>
      </sheetData>
      <sheetData sheetId="4"/>
      <sheetData sheetId="5"/>
      <sheetData sheetId="6">
        <row r="2">
          <cell r="Q2" t="str">
            <v>فروردین</v>
          </cell>
          <cell r="R2">
            <v>1</v>
          </cell>
        </row>
        <row r="3">
          <cell r="Q3" t="str">
            <v>اردیبهشت</v>
          </cell>
          <cell r="R3">
            <v>2</v>
          </cell>
        </row>
        <row r="4">
          <cell r="Q4" t="str">
            <v>خرداد</v>
          </cell>
          <cell r="R4">
            <v>3</v>
          </cell>
        </row>
        <row r="5">
          <cell r="Q5" t="str">
            <v>تیر</v>
          </cell>
          <cell r="R5">
            <v>4</v>
          </cell>
        </row>
        <row r="6">
          <cell r="Q6" t="str">
            <v>مرداد</v>
          </cell>
          <cell r="R6">
            <v>5</v>
          </cell>
        </row>
        <row r="7">
          <cell r="Q7" t="str">
            <v>شهریور</v>
          </cell>
          <cell r="R7">
            <v>6</v>
          </cell>
        </row>
        <row r="8">
          <cell r="Q8" t="str">
            <v>مهر</v>
          </cell>
          <cell r="R8">
            <v>7</v>
          </cell>
        </row>
        <row r="9">
          <cell r="Q9" t="str">
            <v>آبان</v>
          </cell>
          <cell r="R9">
            <v>8</v>
          </cell>
        </row>
        <row r="10">
          <cell r="Q10" t="str">
            <v>آذر</v>
          </cell>
          <cell r="R10">
            <v>9</v>
          </cell>
        </row>
        <row r="11">
          <cell r="Q11" t="str">
            <v>دی</v>
          </cell>
          <cell r="R11">
            <v>10</v>
          </cell>
        </row>
        <row r="12">
          <cell r="Q12" t="str">
            <v>بهمن</v>
          </cell>
          <cell r="R12">
            <v>11</v>
          </cell>
        </row>
        <row r="13">
          <cell r="Q13" t="str">
            <v>اسفند</v>
          </cell>
          <cell r="R13">
            <v>12</v>
          </cell>
        </row>
      </sheetData>
      <sheetData sheetId="7">
        <row r="3">
          <cell r="G3" t="str">
            <v>فروردین</v>
          </cell>
          <cell r="H3" t="str">
            <v>اردیبهشت</v>
          </cell>
          <cell r="I3" t="str">
            <v>خرداد</v>
          </cell>
          <cell r="J3" t="str">
            <v>تیر</v>
          </cell>
          <cell r="K3" t="str">
            <v>مرداد</v>
          </cell>
          <cell r="L3" t="str">
            <v>شهریور</v>
          </cell>
          <cell r="M3" t="str">
            <v>مهر</v>
          </cell>
          <cell r="N3" t="str">
            <v>آبان</v>
          </cell>
          <cell r="O3" t="str">
            <v>آذر</v>
          </cell>
          <cell r="P3" t="str">
            <v>دی</v>
          </cell>
          <cell r="Q3" t="str">
            <v>بهمن</v>
          </cell>
          <cell r="R3" t="str">
            <v>اسفند</v>
          </cell>
        </row>
        <row r="4">
          <cell r="G4">
            <v>0</v>
          </cell>
          <cell r="H4">
            <v>0</v>
          </cell>
          <cell r="I4">
            <v>10000000</v>
          </cell>
          <cell r="J4">
            <v>10000000</v>
          </cell>
          <cell r="K4">
            <v>10000000</v>
          </cell>
          <cell r="L4">
            <v>0</v>
          </cell>
          <cell r="M4">
            <v>0</v>
          </cell>
          <cell r="N4">
            <v>11169500</v>
          </cell>
          <cell r="O4">
            <v>28830500</v>
          </cell>
          <cell r="P4">
            <v>0</v>
          </cell>
          <cell r="Q4">
            <v>0</v>
          </cell>
          <cell r="R4">
            <v>0</v>
          </cell>
        </row>
        <row r="5">
          <cell r="G5">
            <v>0</v>
          </cell>
          <cell r="H5">
            <v>0</v>
          </cell>
          <cell r="I5">
            <v>20000000</v>
          </cell>
          <cell r="J5">
            <v>20000000</v>
          </cell>
          <cell r="K5">
            <v>4000000</v>
          </cell>
          <cell r="L5">
            <v>20000000</v>
          </cell>
          <cell r="M5">
            <v>20000000</v>
          </cell>
          <cell r="N5">
            <v>20000000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0</v>
          </cell>
          <cell r="H6">
            <v>0</v>
          </cell>
          <cell r="I6">
            <v>30000000</v>
          </cell>
          <cell r="J6">
            <v>30000000</v>
          </cell>
          <cell r="K6">
            <v>30000000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0</v>
          </cell>
          <cell r="H7">
            <v>0</v>
          </cell>
          <cell r="I7">
            <v>2000000</v>
          </cell>
          <cell r="J7">
            <v>2000000</v>
          </cell>
          <cell r="K7">
            <v>2000000</v>
          </cell>
          <cell r="L7">
            <v>2000000</v>
          </cell>
          <cell r="M7">
            <v>2000000</v>
          </cell>
          <cell r="N7">
            <v>2000000</v>
          </cell>
          <cell r="O7">
            <v>2000000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5000000</v>
          </cell>
          <cell r="J8">
            <v>5000000</v>
          </cell>
          <cell r="K8">
            <v>5000000</v>
          </cell>
          <cell r="L8">
            <v>5000000</v>
          </cell>
          <cell r="M8">
            <v>5000000</v>
          </cell>
          <cell r="N8">
            <v>5000000</v>
          </cell>
          <cell r="O8">
            <v>5000000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5000000</v>
          </cell>
          <cell r="J9">
            <v>5000000</v>
          </cell>
          <cell r="K9">
            <v>5000000</v>
          </cell>
          <cell r="L9">
            <v>5000000</v>
          </cell>
          <cell r="M9">
            <v>2000000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10000000</v>
          </cell>
          <cell r="J10">
            <v>5000000</v>
          </cell>
          <cell r="K10">
            <v>15000000</v>
          </cell>
          <cell r="L10">
            <v>10000000</v>
          </cell>
          <cell r="M10">
            <v>17000000</v>
          </cell>
          <cell r="N10">
            <v>0</v>
          </cell>
          <cell r="O10">
            <v>10000000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5000000</v>
          </cell>
          <cell r="J11">
            <v>5000000</v>
          </cell>
          <cell r="K11">
            <v>5000000</v>
          </cell>
          <cell r="L11">
            <v>5000000</v>
          </cell>
          <cell r="M11">
            <v>5000000</v>
          </cell>
          <cell r="N11">
            <v>5000000</v>
          </cell>
          <cell r="O11">
            <v>5000000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0</v>
          </cell>
          <cell r="H12">
            <v>0</v>
          </cell>
          <cell r="I12">
            <v>5000000</v>
          </cell>
          <cell r="J12">
            <v>5000000</v>
          </cell>
          <cell r="K12">
            <v>5000000</v>
          </cell>
          <cell r="L12">
            <v>5000000</v>
          </cell>
          <cell r="M12">
            <v>20000000</v>
          </cell>
          <cell r="N12">
            <v>10000000</v>
          </cell>
          <cell r="O12">
            <v>10000000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</v>
          </cell>
          <cell r="H13">
            <v>0</v>
          </cell>
          <cell r="I13">
            <v>100000000</v>
          </cell>
          <cell r="J13">
            <v>100000000</v>
          </cell>
          <cell r="K13">
            <v>100000000</v>
          </cell>
          <cell r="L13">
            <v>100000000</v>
          </cell>
          <cell r="M13">
            <v>120000000</v>
          </cell>
          <cell r="N13">
            <v>100000000</v>
          </cell>
          <cell r="O13">
            <v>100000000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</v>
          </cell>
          <cell r="H14">
            <v>0</v>
          </cell>
          <cell r="I14">
            <v>20000000</v>
          </cell>
          <cell r="J14">
            <v>20000000</v>
          </cell>
          <cell r="K14">
            <v>30000000</v>
          </cell>
          <cell r="L14">
            <v>30000000</v>
          </cell>
          <cell r="M14">
            <v>30000000</v>
          </cell>
          <cell r="N14">
            <v>30000000</v>
          </cell>
          <cell r="O14">
            <v>30000000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5000000</v>
          </cell>
          <cell r="J15">
            <v>3000000</v>
          </cell>
          <cell r="K15">
            <v>3000000</v>
          </cell>
          <cell r="L15">
            <v>3000000</v>
          </cell>
          <cell r="M15">
            <v>3000000</v>
          </cell>
          <cell r="N15">
            <v>5000000</v>
          </cell>
          <cell r="O15">
            <v>5000000</v>
          </cell>
          <cell r="P15">
            <v>5000000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2500000</v>
          </cell>
          <cell r="J16">
            <v>2500000</v>
          </cell>
          <cell r="K16">
            <v>2500000</v>
          </cell>
          <cell r="L16">
            <v>2500000</v>
          </cell>
          <cell r="M16">
            <v>2500000</v>
          </cell>
          <cell r="N16">
            <v>2500000</v>
          </cell>
          <cell r="O16">
            <v>2500000</v>
          </cell>
          <cell r="P16">
            <v>2500000</v>
          </cell>
          <cell r="Q16">
            <v>2500000</v>
          </cell>
          <cell r="R16">
            <v>2500000</v>
          </cell>
        </row>
        <row r="17">
          <cell r="G17">
            <v>0</v>
          </cell>
          <cell r="H17">
            <v>0</v>
          </cell>
          <cell r="I17">
            <v>10000000</v>
          </cell>
          <cell r="J17">
            <v>10000000</v>
          </cell>
          <cell r="K17">
            <v>10000000</v>
          </cell>
          <cell r="L17">
            <v>10000000</v>
          </cell>
          <cell r="M17">
            <v>10000000</v>
          </cell>
          <cell r="N17">
            <v>10000000</v>
          </cell>
          <cell r="O17">
            <v>10000000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10000000</v>
          </cell>
          <cell r="J18">
            <v>10000000</v>
          </cell>
          <cell r="K18">
            <v>10000000</v>
          </cell>
          <cell r="L18">
            <v>10000000</v>
          </cell>
          <cell r="M18">
            <v>10000000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5000000</v>
          </cell>
          <cell r="J19">
            <v>5000000</v>
          </cell>
          <cell r="K19">
            <v>5000000</v>
          </cell>
          <cell r="L19">
            <v>5000000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15000000</v>
          </cell>
          <cell r="J20">
            <v>15000000</v>
          </cell>
          <cell r="K20">
            <v>15000000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50000000</v>
          </cell>
          <cell r="J21">
            <v>0</v>
          </cell>
          <cell r="K21">
            <v>40000000</v>
          </cell>
          <cell r="L21">
            <v>0</v>
          </cell>
          <cell r="M21">
            <v>30000000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20000000</v>
          </cell>
          <cell r="J22">
            <v>20000000</v>
          </cell>
          <cell r="K22">
            <v>20000000</v>
          </cell>
          <cell r="L22">
            <v>20000000</v>
          </cell>
          <cell r="M22">
            <v>70000000</v>
          </cell>
          <cell r="N22">
            <v>50000000</v>
          </cell>
          <cell r="O22">
            <v>50000000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10000000</v>
          </cell>
          <cell r="J23">
            <v>10000000</v>
          </cell>
          <cell r="K23">
            <v>10000000</v>
          </cell>
          <cell r="L23">
            <v>10000000</v>
          </cell>
          <cell r="M23">
            <v>30000000</v>
          </cell>
          <cell r="N23">
            <v>20000000</v>
          </cell>
          <cell r="O23">
            <v>20000000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5000000</v>
          </cell>
          <cell r="J24">
            <v>5000000</v>
          </cell>
          <cell r="K24">
            <v>5000000</v>
          </cell>
          <cell r="L24">
            <v>0</v>
          </cell>
          <cell r="M24">
            <v>0</v>
          </cell>
          <cell r="N24">
            <v>5000000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2000000</v>
          </cell>
          <cell r="J25">
            <v>2000000</v>
          </cell>
          <cell r="K25">
            <v>2000000</v>
          </cell>
          <cell r="L25">
            <v>2000000</v>
          </cell>
          <cell r="M25">
            <v>2000000</v>
          </cell>
          <cell r="N25">
            <v>2000000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10000000</v>
          </cell>
          <cell r="J26">
            <v>10000000</v>
          </cell>
          <cell r="K26">
            <v>10000000</v>
          </cell>
          <cell r="L26">
            <v>10000000</v>
          </cell>
          <cell r="M26">
            <v>10000000</v>
          </cell>
          <cell r="N26">
            <v>10000000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5000000</v>
          </cell>
          <cell r="K27">
            <v>5000000</v>
          </cell>
          <cell r="L27">
            <v>5000000</v>
          </cell>
          <cell r="M27">
            <v>5000000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30000000</v>
          </cell>
          <cell r="K28">
            <v>30000000</v>
          </cell>
          <cell r="L28">
            <v>30000000</v>
          </cell>
          <cell r="M28">
            <v>30000000</v>
          </cell>
          <cell r="N28">
            <v>30000000</v>
          </cell>
          <cell r="O28">
            <v>30000000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10000000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5000000</v>
          </cell>
          <cell r="K30">
            <v>0</v>
          </cell>
          <cell r="L30">
            <v>5000000</v>
          </cell>
          <cell r="M30">
            <v>5000000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10000000</v>
          </cell>
          <cell r="K31">
            <v>13000000</v>
          </cell>
          <cell r="L31">
            <v>4000000</v>
          </cell>
          <cell r="M31">
            <v>3000000</v>
          </cell>
          <cell r="N31">
            <v>0</v>
          </cell>
          <cell r="O31">
            <v>6500000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10000000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10000000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5000000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5000000</v>
          </cell>
          <cell r="L35">
            <v>0</v>
          </cell>
          <cell r="M35">
            <v>5000000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20000000</v>
          </cell>
          <cell r="L36">
            <v>20000000</v>
          </cell>
          <cell r="M36">
            <v>20000000</v>
          </cell>
          <cell r="N36">
            <v>20000000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5000000</v>
          </cell>
          <cell r="L37">
            <v>5000000</v>
          </cell>
          <cell r="M37">
            <v>5000000</v>
          </cell>
          <cell r="N37">
            <v>5000000</v>
          </cell>
          <cell r="O37">
            <v>5000000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2000000</v>
          </cell>
          <cell r="L38">
            <v>2000000</v>
          </cell>
          <cell r="M38">
            <v>3000000</v>
          </cell>
          <cell r="N38">
            <v>2000000</v>
          </cell>
          <cell r="O38">
            <v>2000000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300000000</v>
          </cell>
          <cell r="L39">
            <v>70000000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3000000</v>
          </cell>
          <cell r="M40">
            <v>3000000</v>
          </cell>
          <cell r="N40">
            <v>3000000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3000000</v>
          </cell>
          <cell r="K41">
            <v>3000000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16000000</v>
          </cell>
          <cell r="K42">
            <v>16000000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50000000</v>
          </cell>
          <cell r="M43">
            <v>50000000</v>
          </cell>
          <cell r="N43">
            <v>50000000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5000000</v>
          </cell>
          <cell r="M44">
            <v>5000000</v>
          </cell>
          <cell r="N44">
            <v>5000000</v>
          </cell>
          <cell r="O44">
            <v>5000000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11500000</v>
          </cell>
          <cell r="M45">
            <v>12250000</v>
          </cell>
          <cell r="N45">
            <v>13625000</v>
          </cell>
          <cell r="O45">
            <v>13800000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3500000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10000000</v>
          </cell>
          <cell r="M47">
            <v>5000000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20000000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5000000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5000000</v>
          </cell>
          <cell r="M50">
            <v>5000000</v>
          </cell>
          <cell r="N50">
            <v>5000000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40000000</v>
          </cell>
          <cell r="N51">
            <v>40000000</v>
          </cell>
          <cell r="O51">
            <v>40000000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5000000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10000000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5000000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4000000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3000000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1000000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5000000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10000000</v>
          </cell>
          <cell r="M59">
            <v>5000000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3000000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5000000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5000000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40000000</v>
          </cell>
          <cell r="O63">
            <v>10000000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5000000</v>
          </cell>
          <cell r="O64">
            <v>3000000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10000000</v>
          </cell>
          <cell r="O65">
            <v>10000000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4570</v>
          </cell>
          <cell r="J66">
            <v>61172</v>
          </cell>
          <cell r="K66">
            <v>5033530</v>
          </cell>
          <cell r="L66">
            <v>7696559</v>
          </cell>
          <cell r="M66">
            <v>14555641</v>
          </cell>
          <cell r="N66">
            <v>15594672</v>
          </cell>
          <cell r="O66">
            <v>20361327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5000000</v>
          </cell>
          <cell r="P67">
            <v>0</v>
          </cell>
          <cell r="Q67">
            <v>0</v>
          </cell>
          <cell r="R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250000000</v>
          </cell>
          <cell r="P68">
            <v>0</v>
          </cell>
          <cell r="Q68">
            <v>0</v>
          </cell>
          <cell r="R68">
            <v>0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532000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10000000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10000000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10000000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10000000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10000000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420000000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356504570</v>
          </cell>
          <cell r="J80">
            <v>403561172</v>
          </cell>
          <cell r="K80">
            <v>747533530</v>
          </cell>
          <cell r="L80">
            <v>526196559</v>
          </cell>
          <cell r="M80">
            <v>640305641</v>
          </cell>
          <cell r="N80">
            <v>541889172</v>
          </cell>
          <cell r="O80">
            <v>678991827</v>
          </cell>
          <cell r="P80">
            <v>7500000</v>
          </cell>
          <cell r="Q80">
            <v>2500000</v>
          </cell>
          <cell r="R80">
            <v>2500000</v>
          </cell>
        </row>
      </sheetData>
      <sheetData sheetId="8">
        <row r="1">
          <cell r="T1">
            <v>4</v>
          </cell>
        </row>
      </sheetData>
      <sheetData sheetId="9"/>
      <sheetData sheetId="10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وزن دهی تاثیر اعضای هیت موسس"/>
      <sheetName val="فرم سلامت کودک"/>
      <sheetName val="جدول کلی مددجوها"/>
      <sheetName val=" فرم مشخصات کودک"/>
      <sheetName val=" اطلاعات ورودد مددجو"/>
      <sheetName val="ریزهزینه کرد مددجوها"/>
      <sheetName val="خلاصه هزینه کرد مددجوها"/>
      <sheetName val="لیست واریزی ماهیانه"/>
      <sheetName val="لیست واریزی کل خیرین"/>
      <sheetName val="گزارش رداخت خیرین"/>
      <sheetName val="روکش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 t="str">
            <v>k1</v>
          </cell>
          <cell r="C1" t="str">
            <v>m1</v>
          </cell>
          <cell r="D1" t="str">
            <v>S</v>
          </cell>
          <cell r="E1">
            <v>0</v>
          </cell>
          <cell r="F1" t="str">
            <v>کد مددجو</v>
          </cell>
          <cell r="G1">
            <v>1</v>
          </cell>
          <cell r="H1">
            <v>2</v>
          </cell>
          <cell r="I1">
            <v>3</v>
          </cell>
          <cell r="J1">
            <v>4</v>
          </cell>
          <cell r="K1">
            <v>5</v>
          </cell>
          <cell r="L1">
            <v>6</v>
          </cell>
          <cell r="M1">
            <v>7</v>
          </cell>
          <cell r="N1">
            <v>8</v>
          </cell>
          <cell r="O1">
            <v>9</v>
          </cell>
          <cell r="P1">
            <v>10</v>
          </cell>
          <cell r="Q1">
            <v>11</v>
          </cell>
          <cell r="R1">
            <v>12</v>
          </cell>
          <cell r="S1">
            <v>13</v>
          </cell>
          <cell r="T1">
            <v>14</v>
          </cell>
          <cell r="U1">
            <v>15</v>
          </cell>
          <cell r="V1">
            <v>16</v>
          </cell>
          <cell r="W1">
            <v>17</v>
          </cell>
          <cell r="X1">
            <v>18</v>
          </cell>
          <cell r="Y1">
            <v>19</v>
          </cell>
          <cell r="Z1">
            <v>20</v>
          </cell>
          <cell r="AA1">
            <v>21</v>
          </cell>
          <cell r="AB1">
            <v>22</v>
          </cell>
          <cell r="AC1">
            <v>23</v>
          </cell>
          <cell r="AD1">
            <v>24</v>
          </cell>
          <cell r="AE1">
            <v>25</v>
          </cell>
          <cell r="AF1">
            <v>26</v>
          </cell>
          <cell r="AG1">
            <v>27</v>
          </cell>
          <cell r="AH1">
            <v>28</v>
          </cell>
          <cell r="AI1">
            <v>29</v>
          </cell>
          <cell r="AJ1">
            <v>30</v>
          </cell>
          <cell r="AK1">
            <v>31</v>
          </cell>
          <cell r="AL1">
            <v>32</v>
          </cell>
          <cell r="AM1">
            <v>33</v>
          </cell>
          <cell r="AN1">
            <v>34</v>
          </cell>
        </row>
        <row r="2">
          <cell r="A2">
            <v>1</v>
          </cell>
          <cell r="B2" t="str">
            <v>هزینه کلی موسسه</v>
          </cell>
          <cell r="C2" t="str">
            <v>هزینه کلی به مددجویان</v>
          </cell>
          <cell r="D2" t="str">
            <v>هزینه مربوط به تعمیرات مدارس از واریزی خانم عین علی</v>
          </cell>
          <cell r="E2">
            <v>0</v>
          </cell>
          <cell r="F2" t="str">
            <v>نام  و نام خانوادگی</v>
          </cell>
          <cell r="G2" t="str">
            <v>ریحانه نوری شفیق</v>
          </cell>
          <cell r="H2" t="str">
            <v>ریحانه طراقی فرد</v>
          </cell>
          <cell r="I2" t="str">
            <v>زهرا قهستانی</v>
          </cell>
          <cell r="J2" t="str">
            <v>مهلا قهستانی</v>
          </cell>
          <cell r="K2" t="str">
            <v>رقیه رضاپور</v>
          </cell>
          <cell r="L2" t="str">
            <v>راضیه رضاپور</v>
          </cell>
          <cell r="M2" t="str">
            <v>ربابه رضاپور</v>
          </cell>
          <cell r="N2" t="str">
            <v>پریسا اعتمادمنش</v>
          </cell>
          <cell r="O2" t="str">
            <v>فاطمه موسوی</v>
          </cell>
          <cell r="P2" t="str">
            <v>مریم رحمانی</v>
          </cell>
          <cell r="Q2" t="str">
            <v>ناهید کمالی گروی</v>
          </cell>
          <cell r="R2" t="str">
            <v>الهام صمدی</v>
          </cell>
          <cell r="S2" t="str">
            <v>کوثر مولایی</v>
          </cell>
          <cell r="T2" t="str">
            <v>زهرا تاتاری</v>
          </cell>
          <cell r="U2" t="str">
            <v>یگانه رجایی سمرا</v>
          </cell>
          <cell r="V2" t="str">
            <v>یگانه خرمند سنجدبوری</v>
          </cell>
          <cell r="W2" t="str">
            <v>کوثر فارقی</v>
          </cell>
          <cell r="X2" t="str">
            <v>ریحانه نجفی</v>
          </cell>
          <cell r="Y2" t="str">
            <v>نادیا احمدی</v>
          </cell>
          <cell r="Z2" t="str">
            <v>پری زارع</v>
          </cell>
          <cell r="AA2" t="str">
            <v>ملبکا نماز</v>
          </cell>
          <cell r="AB2" t="str">
            <v>مهدبار نماز</v>
          </cell>
          <cell r="AC2" t="str">
            <v>محمدرضا سروری</v>
          </cell>
          <cell r="AD2" t="str">
            <v>کمیل سروری</v>
          </cell>
          <cell r="AE2" t="str">
            <v>مبینا عباسی</v>
          </cell>
          <cell r="AF2" t="str">
            <v>الناز حبیب زاده</v>
          </cell>
          <cell r="AG2" t="str">
            <v>نرگس علینژاد</v>
          </cell>
          <cell r="AH2" t="str">
            <v>زینب ادبی یکه باغی</v>
          </cell>
          <cell r="AI2" t="str">
            <v>آتنا جر</v>
          </cell>
          <cell r="AJ2" t="str">
            <v>مبینا علیزاده</v>
          </cell>
          <cell r="AK2" t="str">
            <v>یگانه محمددوست</v>
          </cell>
          <cell r="AL2" t="str">
            <v>رقیه الزوینی</v>
          </cell>
          <cell r="AM2" t="str">
            <v>عارفه آذرنگ</v>
          </cell>
          <cell r="AN2" t="str">
            <v>یگانه عبدالله زاده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 t="str">
            <v>1385/05/06</v>
          </cell>
          <cell r="F3" t="str">
            <v>تاریخ تولد :</v>
          </cell>
          <cell r="G3" t="str">
            <v>1385/05/06</v>
          </cell>
          <cell r="H3" t="str">
            <v>1386/05/13</v>
          </cell>
          <cell r="I3" t="str">
            <v>1386/01/04</v>
          </cell>
          <cell r="J3" t="str">
            <v>1386/05/30</v>
          </cell>
          <cell r="K3" t="str">
            <v>1386/01/18</v>
          </cell>
          <cell r="L3" t="str">
            <v>1386/01/18</v>
          </cell>
          <cell r="M3" t="str">
            <v>1386/01/18</v>
          </cell>
          <cell r="N3" t="str">
            <v>1385/06/28</v>
          </cell>
          <cell r="O3" t="str">
            <v>1384/02/04</v>
          </cell>
          <cell r="P3" t="str">
            <v>1383/09/14</v>
          </cell>
          <cell r="Q3" t="str">
            <v>1385/09/18</v>
          </cell>
          <cell r="R3" t="str">
            <v>1383/09/14</v>
          </cell>
          <cell r="S3">
            <v>0</v>
          </cell>
          <cell r="T3" t="str">
            <v>1385/02/06</v>
          </cell>
          <cell r="U3" t="str">
            <v>1385/12/15</v>
          </cell>
          <cell r="V3" t="str">
            <v>1384/10/21</v>
          </cell>
          <cell r="W3">
            <v>0</v>
          </cell>
          <cell r="X3" t="str">
            <v>1385/11/02</v>
          </cell>
          <cell r="Y3">
            <v>0</v>
          </cell>
          <cell r="Z3" t="str">
            <v>1384/09/09</v>
          </cell>
          <cell r="AA3" t="str">
            <v>1395/03/29</v>
          </cell>
          <cell r="AB3" t="str">
            <v>1390/09/24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 t="str">
            <v>محل تولد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مشهد</v>
          </cell>
          <cell r="O4" t="str">
            <v>افغانستان</v>
          </cell>
          <cell r="P4" t="str">
            <v>مشهد</v>
          </cell>
          <cell r="Q4" t="str">
            <v>مشهد</v>
          </cell>
          <cell r="R4">
            <v>0</v>
          </cell>
          <cell r="S4">
            <v>0</v>
          </cell>
          <cell r="T4" t="str">
            <v>تهران</v>
          </cell>
          <cell r="U4" t="str">
            <v>مشهد</v>
          </cell>
          <cell r="V4" t="str">
            <v>مشهد</v>
          </cell>
          <cell r="W4">
            <v>0</v>
          </cell>
          <cell r="X4" t="str">
            <v>مشهد</v>
          </cell>
          <cell r="Y4">
            <v>0</v>
          </cell>
          <cell r="Z4" t="str">
            <v>شیروان</v>
          </cell>
          <cell r="AA4" t="str">
            <v>تربت حیدریه</v>
          </cell>
          <cell r="AB4" t="str">
            <v>مشهد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 t="str">
            <v>محل صدور: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 t="str">
            <v>مشهد</v>
          </cell>
          <cell r="O5">
            <v>0</v>
          </cell>
          <cell r="P5" t="str">
            <v>مشهد</v>
          </cell>
          <cell r="Q5" t="str">
            <v>مشهد</v>
          </cell>
          <cell r="R5">
            <v>0</v>
          </cell>
          <cell r="S5">
            <v>0</v>
          </cell>
          <cell r="T5" t="str">
            <v>تهران</v>
          </cell>
          <cell r="U5" t="str">
            <v>مشهد</v>
          </cell>
          <cell r="V5" t="str">
            <v>مشهد</v>
          </cell>
          <cell r="W5">
            <v>0</v>
          </cell>
          <cell r="X5" t="str">
            <v>مشهد</v>
          </cell>
          <cell r="Y5">
            <v>0</v>
          </cell>
          <cell r="Z5" t="str">
            <v>شیروان</v>
          </cell>
          <cell r="AA5" t="str">
            <v>تربت حیدریه</v>
          </cell>
          <cell r="AB5" t="str">
            <v>مشهد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 t="str">
            <v>عبدالحکیم</v>
          </cell>
          <cell r="F6" t="str">
            <v>نام پدر</v>
          </cell>
          <cell r="G6" t="str">
            <v>عبدالحکیم</v>
          </cell>
          <cell r="H6" t="str">
            <v>علی اکبر</v>
          </cell>
          <cell r="I6" t="str">
            <v>مجتبی</v>
          </cell>
          <cell r="J6" t="str">
            <v>حسین</v>
          </cell>
          <cell r="K6" t="str">
            <v>محمدرضا</v>
          </cell>
          <cell r="L6" t="str">
            <v>محمدرضا</v>
          </cell>
          <cell r="M6" t="str">
            <v>محمدرضا</v>
          </cell>
          <cell r="N6" t="str">
            <v>محمد</v>
          </cell>
          <cell r="O6" t="str">
            <v>میرحسین</v>
          </cell>
          <cell r="P6" t="str">
            <v>نعمت الله</v>
          </cell>
          <cell r="Q6" t="str">
            <v>حسین</v>
          </cell>
          <cell r="R6">
            <v>0</v>
          </cell>
          <cell r="S6">
            <v>0</v>
          </cell>
          <cell r="T6" t="str">
            <v>مهدی</v>
          </cell>
          <cell r="U6" t="str">
            <v>حسين</v>
          </cell>
          <cell r="V6" t="str">
            <v>سید حسين</v>
          </cell>
          <cell r="W6">
            <v>0</v>
          </cell>
          <cell r="X6" t="str">
            <v>احمد</v>
          </cell>
          <cell r="Y6">
            <v>0</v>
          </cell>
          <cell r="Z6" t="str">
            <v>غلامعلی</v>
          </cell>
          <cell r="AA6" t="str">
            <v>جواد</v>
          </cell>
          <cell r="AB6" t="str">
            <v>جواد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 t="str">
            <v>نام مادر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>آمنه قابمی</v>
          </cell>
          <cell r="U7" t="str">
            <v>فرزانه صدیقی</v>
          </cell>
          <cell r="V7" t="str">
            <v>عصمت قربانی</v>
          </cell>
          <cell r="W7" t="str">
            <v>زهرا مختاری</v>
          </cell>
          <cell r="X7" t="str">
            <v>-</v>
          </cell>
          <cell r="Y7">
            <v>0</v>
          </cell>
          <cell r="Z7" t="str">
            <v>-</v>
          </cell>
          <cell r="AA7" t="str">
            <v>مرجان عمرانی</v>
          </cell>
          <cell r="AB7" t="str">
            <v>مرجان عمرانی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 t="str">
            <v>دختر</v>
          </cell>
          <cell r="F8" t="str">
            <v>جنسیت</v>
          </cell>
          <cell r="G8" t="str">
            <v>دختر</v>
          </cell>
          <cell r="H8" t="str">
            <v>دختر</v>
          </cell>
          <cell r="I8" t="str">
            <v>دختر</v>
          </cell>
          <cell r="J8" t="str">
            <v>دختر</v>
          </cell>
          <cell r="K8" t="str">
            <v>دختر</v>
          </cell>
          <cell r="L8" t="str">
            <v>دختر</v>
          </cell>
          <cell r="M8" t="str">
            <v>دختر</v>
          </cell>
          <cell r="N8" t="str">
            <v>دختر</v>
          </cell>
          <cell r="O8" t="str">
            <v>دختر</v>
          </cell>
          <cell r="P8" t="str">
            <v>دختر</v>
          </cell>
          <cell r="Q8" t="str">
            <v>دختر</v>
          </cell>
          <cell r="R8" t="str">
            <v>دختر</v>
          </cell>
          <cell r="S8" t="str">
            <v>دختر</v>
          </cell>
          <cell r="T8" t="str">
            <v>دختر</v>
          </cell>
          <cell r="U8" t="str">
            <v>دختر</v>
          </cell>
          <cell r="V8" t="str">
            <v>دختر</v>
          </cell>
          <cell r="W8" t="str">
            <v>دختر</v>
          </cell>
          <cell r="X8" t="str">
            <v>دختر</v>
          </cell>
          <cell r="Y8" t="str">
            <v>دختر</v>
          </cell>
          <cell r="Z8" t="str">
            <v>دختر</v>
          </cell>
          <cell r="AA8" t="str">
            <v>دختر</v>
          </cell>
          <cell r="AB8" t="str">
            <v>دختر</v>
          </cell>
          <cell r="AC8" t="str">
            <v>پسر</v>
          </cell>
          <cell r="AD8" t="str">
            <v>پسر</v>
          </cell>
          <cell r="AE8" t="str">
            <v>دختر</v>
          </cell>
          <cell r="AF8" t="str">
            <v>دختر</v>
          </cell>
          <cell r="AG8" t="str">
            <v>دختر</v>
          </cell>
          <cell r="AH8" t="str">
            <v>دختر</v>
          </cell>
          <cell r="AI8" t="str">
            <v>دختر</v>
          </cell>
          <cell r="AJ8" t="str">
            <v>دختر</v>
          </cell>
          <cell r="AK8" t="str">
            <v>دختر</v>
          </cell>
          <cell r="AL8" t="str">
            <v>دختر</v>
          </cell>
          <cell r="AM8" t="str">
            <v>دختر</v>
          </cell>
          <cell r="AN8" t="str">
            <v>دختر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 t="str">
            <v>شماره ملی / شماره شناسنامه</v>
          </cell>
          <cell r="G9">
            <v>0</v>
          </cell>
          <cell r="H9">
            <v>928744272</v>
          </cell>
          <cell r="I9">
            <v>928539733</v>
          </cell>
          <cell r="J9">
            <v>928779262</v>
          </cell>
          <cell r="K9">
            <v>0</v>
          </cell>
          <cell r="L9">
            <v>0</v>
          </cell>
          <cell r="M9">
            <v>0</v>
          </cell>
          <cell r="N9">
            <v>928280098</v>
          </cell>
          <cell r="O9">
            <v>91020180399</v>
          </cell>
          <cell r="P9" t="str">
            <v>0927335204-</v>
          </cell>
          <cell r="Q9" t="str">
            <v>0928394174-</v>
          </cell>
          <cell r="R9">
            <v>0</v>
          </cell>
          <cell r="S9">
            <v>0</v>
          </cell>
          <cell r="T9" t="str">
            <v>0025909738-</v>
          </cell>
          <cell r="U9" t="str">
            <v>0928551113-</v>
          </cell>
          <cell r="V9" t="str">
            <v>0927912678-</v>
          </cell>
          <cell r="W9" t="str">
            <v>0928729826-</v>
          </cell>
          <cell r="X9" t="str">
            <v>0950047384-</v>
          </cell>
          <cell r="Y9" t="str">
            <v>0929731451-</v>
          </cell>
          <cell r="Z9" t="str">
            <v>0820611743-</v>
          </cell>
          <cell r="AA9">
            <v>6500294351</v>
          </cell>
          <cell r="AB9" t="str">
            <v>0970439210-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 t="str">
            <v>مدرسه حضرت خدیجه</v>
          </cell>
          <cell r="F10" t="str">
            <v>معرف</v>
          </cell>
          <cell r="G10" t="str">
            <v>مدرسه حضرت خدیجه</v>
          </cell>
          <cell r="H10" t="str">
            <v>مدرسه حضرت خدیجه</v>
          </cell>
          <cell r="I10" t="str">
            <v>مدرسه حضرت خدیجه</v>
          </cell>
          <cell r="J10" t="str">
            <v>مدرسه حضرت خدیجه</v>
          </cell>
          <cell r="K10" t="str">
            <v>مدرسه حضرت خدیجه</v>
          </cell>
          <cell r="L10" t="str">
            <v>مدرسه حضرت خدیجه</v>
          </cell>
          <cell r="M10" t="str">
            <v>مدرسه حضرت خدیجه</v>
          </cell>
          <cell r="N10" t="str">
            <v>مدرسه آرمیتا مصلی نژاد- ناحیه تباتکان</v>
          </cell>
          <cell r="O10" t="str">
            <v>مدرسه حضرت خدیجه</v>
          </cell>
          <cell r="P10" t="str">
            <v>مدرسه حضرت خدیجه</v>
          </cell>
          <cell r="Q10" t="str">
            <v>مدرسه حضرت خدیجه</v>
          </cell>
          <cell r="R10" t="str">
            <v>مدرسه آرمیتا مصلی نژاد- ناحیه تباتکان</v>
          </cell>
          <cell r="S10" t="str">
            <v>دبیرستان شاهد</v>
          </cell>
          <cell r="T10" t="str">
            <v>خانم سمییعی</v>
          </cell>
          <cell r="U10" t="str">
            <v>دبیرستان رستگارمقدم</v>
          </cell>
          <cell r="V10" t="str">
            <v>دبیرستان رستگارمقدم</v>
          </cell>
          <cell r="W10" t="str">
            <v>دبیرستان رستگارمقدم</v>
          </cell>
          <cell r="X10" t="str">
            <v>دبیرستان رستگارمقدم</v>
          </cell>
          <cell r="Y10" t="str">
            <v>دبیرستان خدیجه</v>
          </cell>
          <cell r="Z10" t="str">
            <v>دبیرستان رستگارمقدم</v>
          </cell>
          <cell r="AA10" t="str">
            <v>مسعود خازنی</v>
          </cell>
          <cell r="AB10" t="str">
            <v>مسعود خازنی</v>
          </cell>
          <cell r="AC10" t="str">
            <v>مسعود خازنی</v>
          </cell>
          <cell r="AD10" t="str">
            <v>مسعود خازنی</v>
          </cell>
          <cell r="AE10" t="str">
            <v>خانم اورلی</v>
          </cell>
          <cell r="AF10" t="str">
            <v>خانم توکلی</v>
          </cell>
          <cell r="AG10" t="str">
            <v>خانم ارمغان</v>
          </cell>
          <cell r="AH10">
            <v>0</v>
          </cell>
          <cell r="AI10" t="str">
            <v>خانم ارمغان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 t="str">
            <v>تاریخ شروع خدمات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 t="str">
            <v>رسالت 136- خیابان امام خمینی- امام خمینی 2 پلاک 36</v>
          </cell>
          <cell r="F12" t="str">
            <v>آدرس محل سکونت</v>
          </cell>
          <cell r="G12" t="str">
            <v>رسالت 136- خیابان امام خمینی- امام خمینی 2 پلاک 36</v>
          </cell>
          <cell r="H12" t="str">
            <v>رسالت 136- خیابان امام خمینی- امام خمینی 21- شهریار 4- پلاک 27</v>
          </cell>
          <cell r="I12" t="str">
            <v>رسالت 136- خیابان امام خمینی- امام خمینی 3- رخش بهار 8- پلاک 37</v>
          </cell>
          <cell r="J12" t="str">
            <v>رسالت 136- خیابان امام خمینی- امام خمینی 12- پلاک 6</v>
          </cell>
          <cell r="K12" t="str">
            <v>رسالت 134- خیابان شهید غلامی-کنار مسجد سیداشهدا</v>
          </cell>
          <cell r="L12" t="str">
            <v>رسالت 134- خیابان شهید غلامی-کنار مسجد سیداشهدا</v>
          </cell>
          <cell r="M12" t="str">
            <v>رسالت 134- خیابان شهید غلامی-کنار مسجد سیداشهدا</v>
          </cell>
          <cell r="N12" t="str">
            <v>توس 33- شکری 2- وسط کوچه- سمت راست- منزل نیمه کاره</v>
          </cell>
          <cell r="O12" t="str">
            <v>کشمیری 36- بعد از چهارراه اول پلاک 39</v>
          </cell>
          <cell r="P12" t="str">
            <v>رسالت 120- رجایی 6- پلاک 45</v>
          </cell>
          <cell r="Q12" t="str">
            <v>غلامی 18- پلاک 21</v>
          </cell>
          <cell r="R12" t="str">
            <v>توس 97- الزهرا 10- ... 17- پلاک 38</v>
          </cell>
          <cell r="S12">
            <v>0</v>
          </cell>
          <cell r="T12" t="str">
            <v>تربت حیدریه - روستای قلعه حسن خان</v>
          </cell>
          <cell r="U12" t="str">
            <v>توس 43 - غلامی 6- رادمرد 7 - انتهای کوچه سمت راست</v>
          </cell>
          <cell r="V12" t="str">
            <v>حر 13- کوچه 54- سردرب منزل(دعای کمیل)</v>
          </cell>
          <cell r="W12" t="str">
            <v>پنجتن 3- سلمان 6- پلاک 43</v>
          </cell>
          <cell r="X12" t="str">
            <v>حر 56</v>
          </cell>
          <cell r="Y12">
            <v>0</v>
          </cell>
          <cell r="Z12" t="str">
            <v>رسالت 71 - درب قهوه ای - پلاک 23</v>
          </cell>
          <cell r="AA12" t="str">
            <v>چهارراه مقدم - پروین اعتصامی 8- سلیمانی منش 10- پلاک 405</v>
          </cell>
          <cell r="AB12" t="str">
            <v>چهارراه مقدم - پروین اعتصامی 8- سلیمانی منش 10- پلاک 405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 t="str">
            <v>کد پستی محل سکونت :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 t="str">
            <v>خانم توکلی</v>
          </cell>
          <cell r="F14" t="str">
            <v>معرفی توسط :</v>
          </cell>
          <cell r="G14" t="str">
            <v>خانم توکلی</v>
          </cell>
          <cell r="H14" t="str">
            <v>خانم توکلی</v>
          </cell>
          <cell r="I14" t="str">
            <v>خانم توکلی</v>
          </cell>
          <cell r="J14" t="str">
            <v>خانم توکلی</v>
          </cell>
          <cell r="K14" t="str">
            <v>خانم توکلی</v>
          </cell>
          <cell r="L14" t="str">
            <v>خانم توکلی</v>
          </cell>
          <cell r="M14" t="str">
            <v>خانم توکلی</v>
          </cell>
          <cell r="N14" t="str">
            <v>خانم ارمغان</v>
          </cell>
          <cell r="O14" t="str">
            <v>خانم توکلی</v>
          </cell>
          <cell r="P14" t="str">
            <v>خانم توکلی</v>
          </cell>
          <cell r="Q14" t="str">
            <v>خانم توکلی</v>
          </cell>
          <cell r="R14" t="str">
            <v>خانم توکلی</v>
          </cell>
          <cell r="S14" t="str">
            <v>آقای نقیبی</v>
          </cell>
          <cell r="T14" t="str">
            <v>خانم سمییعی</v>
          </cell>
          <cell r="U14" t="str">
            <v>آقای نقیبی</v>
          </cell>
          <cell r="V14" t="str">
            <v>آقای نقیبی</v>
          </cell>
          <cell r="W14" t="str">
            <v>آقای نقیبی</v>
          </cell>
          <cell r="X14" t="str">
            <v>آقای نقیبی</v>
          </cell>
          <cell r="Y14">
            <v>0</v>
          </cell>
          <cell r="Z14" t="str">
            <v>آقای نقیبی</v>
          </cell>
          <cell r="AA14" t="str">
            <v>مسعود خازنی</v>
          </cell>
          <cell r="AB14" t="str">
            <v>مسعود خازنی</v>
          </cell>
          <cell r="AC14" t="str">
            <v>مسعود خازنی</v>
          </cell>
          <cell r="AD14" t="str">
            <v>مسعود خازنی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 t="str">
            <v>پست الکترونیکی :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9381233298</v>
          </cell>
          <cell r="F16" t="str">
            <v>تلفن :</v>
          </cell>
          <cell r="G16">
            <v>9381233298</v>
          </cell>
          <cell r="H16">
            <v>9392569929</v>
          </cell>
          <cell r="I16">
            <v>9373250328</v>
          </cell>
          <cell r="J16" t="str">
            <v>9228665372- 09357415452-09302849676</v>
          </cell>
          <cell r="K16" t="str">
            <v>9229983735- 09017614576-09157171782-09333752599</v>
          </cell>
          <cell r="L16" t="str">
            <v>9229983735- 09017614576-09157171782-09333752599</v>
          </cell>
          <cell r="M16" t="str">
            <v>9229983735- 09017614576-09157171782-09333752599</v>
          </cell>
          <cell r="N16">
            <v>9900785044</v>
          </cell>
          <cell r="O16" t="str">
            <v>03978969874-</v>
          </cell>
          <cell r="P16" t="str">
            <v>09380617293-09397976616-09057403341</v>
          </cell>
          <cell r="Q16" t="str">
            <v>09152067310-09908878616</v>
          </cell>
          <cell r="R16" t="str">
            <v>09150090658-09156484356-09159095701</v>
          </cell>
          <cell r="S16" t="str">
            <v>09053110021-09398957719</v>
          </cell>
          <cell r="T16" t="str">
            <v>09945192457-0998177165</v>
          </cell>
          <cell r="U16" t="str">
            <v>09397686036-09353218951</v>
          </cell>
          <cell r="V16" t="str">
            <v>09046651101-09156286174</v>
          </cell>
          <cell r="W16" t="str">
            <v>09305985396-09360554032-09300610960</v>
          </cell>
          <cell r="X16" t="str">
            <v>09352584850-09156019826-09152548041</v>
          </cell>
          <cell r="Y16">
            <v>9156194069</v>
          </cell>
          <cell r="Z16" t="str">
            <v>09915317983-09352523868</v>
          </cell>
          <cell r="AA16" t="str">
            <v>09159140096-09945583303</v>
          </cell>
          <cell r="AB16" t="str">
            <v>09159140096-09945583303</v>
          </cell>
          <cell r="AC16" t="str">
            <v>09051762599-</v>
          </cell>
          <cell r="AD16" t="str">
            <v>09051762599-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 t="str">
            <v>دبیرستان سال یازدهم</v>
          </cell>
          <cell r="F17" t="str">
            <v xml:space="preserve">مقطع تحصیلی : </v>
          </cell>
          <cell r="G17" t="str">
            <v>دبیرستان سال یازدهم</v>
          </cell>
          <cell r="H17" t="str">
            <v>دبیرستان سال دهم</v>
          </cell>
          <cell r="I17" t="str">
            <v>دبیرستان سال دهم</v>
          </cell>
          <cell r="J17" t="str">
            <v>دبیرستان سال دهم</v>
          </cell>
          <cell r="K17" t="str">
            <v>دبیرستان سال دهم</v>
          </cell>
          <cell r="L17" t="str">
            <v>دبیرستان سال دهم</v>
          </cell>
          <cell r="M17" t="str">
            <v>دبیرستان سال دهم</v>
          </cell>
          <cell r="N17" t="str">
            <v>دبیرستان سال دوازدهم</v>
          </cell>
          <cell r="O17" t="str">
            <v>دبیرستان سال دوازدهم</v>
          </cell>
          <cell r="P17" t="str">
            <v>دبیرستان سال دوازدهم</v>
          </cell>
          <cell r="Q17" t="str">
            <v>دبیرستان سال دهم</v>
          </cell>
          <cell r="R17" t="str">
            <v>دبیرستان سال دهم</v>
          </cell>
          <cell r="S17" t="str">
            <v>دبیرستان سال دوازدهم</v>
          </cell>
          <cell r="T17" t="str">
            <v>دبیرستان سال یازدهم</v>
          </cell>
          <cell r="U17" t="str">
            <v>دبیرستان سال دهم</v>
          </cell>
          <cell r="V17" t="str">
            <v>دبیرستان سال یازدهم</v>
          </cell>
          <cell r="W17" t="str">
            <v>دبیرستان سال دهم</v>
          </cell>
          <cell r="X17" t="str">
            <v>دبیرستان سال دهم</v>
          </cell>
          <cell r="Y17" t="str">
            <v>دبیرستان سال دوازدهم</v>
          </cell>
          <cell r="Z17" t="str">
            <v>دبیرستان سال دهم</v>
          </cell>
          <cell r="AA17" t="str">
            <v>دبستان کلاس اول</v>
          </cell>
          <cell r="AB17" t="str">
            <v>دبستان کلاس پنجم</v>
          </cell>
          <cell r="AC17" t="str">
            <v>دبستان کلاس پنجم</v>
          </cell>
          <cell r="AD17" t="str">
            <v>دبستان کلاس چهارم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A18">
            <v>17</v>
          </cell>
          <cell r="B18">
            <v>0</v>
          </cell>
          <cell r="C18">
            <v>0</v>
          </cell>
          <cell r="D18">
            <v>0</v>
          </cell>
          <cell r="E18" t="str">
            <v>ریاضی</v>
          </cell>
          <cell r="F18" t="str">
            <v>رشته تحصیلی :</v>
          </cell>
          <cell r="G18" t="str">
            <v>ریاضی</v>
          </cell>
          <cell r="H18" t="str">
            <v>انسانی</v>
          </cell>
          <cell r="I18" t="str">
            <v>ریاضی</v>
          </cell>
          <cell r="J18" t="str">
            <v>تجربی</v>
          </cell>
          <cell r="K18" t="str">
            <v>تجربی</v>
          </cell>
          <cell r="L18" t="str">
            <v>ریاضی</v>
          </cell>
          <cell r="M18" t="str">
            <v>انسانی</v>
          </cell>
          <cell r="N18" t="str">
            <v>تجربی</v>
          </cell>
          <cell r="O18" t="str">
            <v>تجربی</v>
          </cell>
          <cell r="P18" t="str">
            <v>ریاضی</v>
          </cell>
          <cell r="Q18" t="str">
            <v>تجربی</v>
          </cell>
          <cell r="R18" t="str">
            <v>انسانی</v>
          </cell>
          <cell r="S18" t="str">
            <v>تجربی</v>
          </cell>
          <cell r="T18" t="str">
            <v>تجربی</v>
          </cell>
          <cell r="U18" t="str">
            <v>تجربی</v>
          </cell>
          <cell r="V18" t="str">
            <v>تجربی</v>
          </cell>
          <cell r="W18" t="str">
            <v>انسانی</v>
          </cell>
          <cell r="X18" t="str">
            <v>تجربی</v>
          </cell>
          <cell r="Y18" t="str">
            <v>ریاضی</v>
          </cell>
          <cell r="Z18" t="str">
            <v>تجربی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</row>
        <row r="19">
          <cell r="A19">
            <v>18</v>
          </cell>
          <cell r="B19">
            <v>0</v>
          </cell>
          <cell r="C19">
            <v>0</v>
          </cell>
          <cell r="D19">
            <v>0</v>
          </cell>
          <cell r="E19" t="str">
            <v>18/22</v>
          </cell>
          <cell r="F19" t="str">
            <v xml:space="preserve">معدل : </v>
          </cell>
          <cell r="G19" t="str">
            <v>18/22</v>
          </cell>
          <cell r="H19" t="str">
            <v>19/62</v>
          </cell>
          <cell r="I19" t="str">
            <v>19/48</v>
          </cell>
          <cell r="J19" t="str">
            <v>19/24</v>
          </cell>
          <cell r="K19" t="str">
            <v>19/05</v>
          </cell>
          <cell r="L19" t="str">
            <v>17/99</v>
          </cell>
          <cell r="M19" t="str">
            <v>18/99</v>
          </cell>
          <cell r="N19" t="str">
            <v>18/68</v>
          </cell>
          <cell r="O19" t="str">
            <v>18/74</v>
          </cell>
          <cell r="P19" t="str">
            <v>18/47</v>
          </cell>
          <cell r="Q19" t="str">
            <v>19/88</v>
          </cell>
          <cell r="R19">
            <v>0</v>
          </cell>
          <cell r="S19">
            <v>0</v>
          </cell>
          <cell r="T19" t="str">
            <v>18/10</v>
          </cell>
          <cell r="U19" t="str">
            <v>18/55</v>
          </cell>
          <cell r="V19">
            <v>17</v>
          </cell>
          <cell r="W19" t="str">
            <v>19/02</v>
          </cell>
          <cell r="X19" t="str">
            <v>19/88</v>
          </cell>
          <cell r="Y19">
            <v>0</v>
          </cell>
          <cell r="Z19" t="str">
            <v>19/83</v>
          </cell>
          <cell r="AA19">
            <v>0</v>
          </cell>
          <cell r="AB19" t="str">
            <v>خیلی خوب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A20">
            <v>19</v>
          </cell>
          <cell r="B20">
            <v>0</v>
          </cell>
          <cell r="C20">
            <v>0</v>
          </cell>
          <cell r="D20">
            <v>0</v>
          </cell>
          <cell r="E20" t="str">
            <v>مدرسه حضرت خدیجه- ناحیه تباتکان</v>
          </cell>
          <cell r="F20" t="str">
            <v>آدرس  محل تحصیل:</v>
          </cell>
          <cell r="G20" t="str">
            <v>مدرسه حضرت خدیجه- ناحیه تباتکان</v>
          </cell>
          <cell r="H20" t="str">
            <v>مدرسه حضرت خدیجه- ناحیه تباتکان</v>
          </cell>
          <cell r="I20" t="str">
            <v>مدرسه حضرت خدیجه- ناحیه تباتکان</v>
          </cell>
          <cell r="J20" t="str">
            <v>مدرسه حضرت خدیجه- ناحیه تباتکان</v>
          </cell>
          <cell r="K20" t="str">
            <v>مدرسه حضرت خدیجه- ناحیه تباتکان</v>
          </cell>
          <cell r="L20" t="str">
            <v>مدرسه آرمیتا مصلی نژاد- ناحیه تباتکان</v>
          </cell>
          <cell r="M20" t="str">
            <v>مدرسه حضرت خدیجه- ناحیه تباتکان</v>
          </cell>
          <cell r="N20" t="str">
            <v>مدرسه آرمیتا مصلی نژاد- ناحیه تباتکان</v>
          </cell>
          <cell r="O20" t="str">
            <v>مدرسه حضرت خدیجه- ناحیه تباتکان</v>
          </cell>
          <cell r="P20" t="str">
            <v>مدرسه حضرت خدیجه- ناحیه تباتکان</v>
          </cell>
          <cell r="Q20" t="str">
            <v>مدرسه حضرت خدیجه- ناحیه تباتکان</v>
          </cell>
          <cell r="R20" t="str">
            <v>مدرسه آرمیتا مصلی نژاد- ناحیه تباتکان</v>
          </cell>
          <cell r="S20">
            <v>0</v>
          </cell>
          <cell r="T20" t="str">
            <v>دبیرستان نرجس دولت آباد</v>
          </cell>
          <cell r="U20" t="str">
            <v>دبیرستان رستگار مقدم</v>
          </cell>
          <cell r="V20" t="str">
            <v>دبیرستان رستگار مقدم</v>
          </cell>
          <cell r="W20" t="str">
            <v>دبیرستان رستگار مقدم</v>
          </cell>
          <cell r="X20" t="str">
            <v>دبیرستان رستگار مقدم</v>
          </cell>
          <cell r="Y20" t="str">
            <v>دبیرستان خدیجه</v>
          </cell>
          <cell r="Z20" t="str">
            <v>دبیرستان رستگار مقدم</v>
          </cell>
          <cell r="AA20" t="str">
            <v>مدرسه بعثت</v>
          </cell>
          <cell r="AB20" t="str">
            <v>مدرسه بعثت</v>
          </cell>
          <cell r="AC20" t="str">
            <v>مدرسه بهادرزاده</v>
          </cell>
          <cell r="AD20" t="str">
            <v>مدرسه بهادرزاده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A21">
            <v>20</v>
          </cell>
          <cell r="B21">
            <v>0</v>
          </cell>
          <cell r="C21">
            <v>0</v>
          </cell>
          <cell r="D21">
            <v>0</v>
          </cell>
          <cell r="E21">
            <v>9155008954</v>
          </cell>
          <cell r="F21" t="str">
            <v>تلفن محل تحصیل:</v>
          </cell>
          <cell r="G21">
            <v>9155008954</v>
          </cell>
          <cell r="H21">
            <v>9155008954</v>
          </cell>
          <cell r="I21">
            <v>9155008954</v>
          </cell>
          <cell r="J21">
            <v>9155008954</v>
          </cell>
          <cell r="K21">
            <v>9155008954</v>
          </cell>
          <cell r="L21">
            <v>5136655064</v>
          </cell>
          <cell r="M21">
            <v>9155008954</v>
          </cell>
          <cell r="N21">
            <v>5136655064</v>
          </cell>
          <cell r="O21">
            <v>9155008954</v>
          </cell>
          <cell r="P21">
            <v>9155008954</v>
          </cell>
          <cell r="Q21">
            <v>9155008954</v>
          </cell>
          <cell r="R21">
            <v>5136655064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A22">
            <v>21</v>
          </cell>
          <cell r="B22">
            <v>0</v>
          </cell>
          <cell r="C22">
            <v>0</v>
          </cell>
          <cell r="D22">
            <v>0</v>
          </cell>
          <cell r="E22" t="str">
            <v>زبان انگلیسی و کره ای</v>
          </cell>
          <cell r="F22" t="str">
            <v>استعداد :</v>
          </cell>
          <cell r="G22" t="str">
            <v>زبان انگلیسی و کره ای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A23">
            <v>22</v>
          </cell>
          <cell r="B23">
            <v>0</v>
          </cell>
          <cell r="C23">
            <v>0</v>
          </cell>
          <cell r="D23">
            <v>0</v>
          </cell>
          <cell r="E23" t="str">
            <v>کارآفرینی</v>
          </cell>
          <cell r="F23" t="str">
            <v>علاقه مندی :</v>
          </cell>
          <cell r="G23" t="str">
            <v>کارآفرینی</v>
          </cell>
          <cell r="H23" t="str">
            <v>علاقمند به دبیری</v>
          </cell>
          <cell r="I23" t="str">
            <v>تحصیل در دانشگاه فرهنگیان</v>
          </cell>
          <cell r="J23" t="str">
            <v>علاقمند به رشته پزشکی</v>
          </cell>
          <cell r="K23" t="str">
            <v>علاقمند به رشته پزشکی</v>
          </cell>
          <cell r="L23" t="str">
            <v>علاقمند به رشته مهندسی کامپیوتر</v>
          </cell>
          <cell r="M23" t="str">
            <v>علاقمند به رشته وکالت</v>
          </cell>
          <cell r="N23" t="str">
            <v>علاقمند به رشته پزشکی</v>
          </cell>
          <cell r="O23" t="str">
            <v>علاقمند به رشته پزشکی</v>
          </cell>
          <cell r="P23" t="str">
            <v xml:space="preserve">علاقمند به </v>
          </cell>
          <cell r="Q23" t="str">
            <v xml:space="preserve">علاقمند به </v>
          </cell>
          <cell r="R23" t="str">
            <v>علاقمند به دبیری</v>
          </cell>
          <cell r="S23" t="str">
            <v>علاقمند به پزشکی</v>
          </cell>
          <cell r="T23" t="str">
            <v>علاقمند به پزشکی</v>
          </cell>
          <cell r="U23" t="str">
            <v>علاقمند به پزشکی</v>
          </cell>
          <cell r="V23" t="str">
            <v>علاقمندی ندارد</v>
          </cell>
          <cell r="W23" t="str">
            <v>علاقمندی ندارد</v>
          </cell>
          <cell r="X23" t="str">
            <v>علاقمندی به پزشکی</v>
          </cell>
          <cell r="Y23" t="str">
            <v>علاقمندی به گرافیک</v>
          </cell>
          <cell r="Z23" t="str">
            <v>علاقمندی به پزشکی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A24">
            <v>23</v>
          </cell>
          <cell r="B24">
            <v>0</v>
          </cell>
          <cell r="C24">
            <v>0</v>
          </cell>
          <cell r="D24">
            <v>0</v>
          </cell>
          <cell r="E24" t="str">
            <v>1401/06/15</v>
          </cell>
          <cell r="F24" t="str">
            <v>تاریخ بررسی :</v>
          </cell>
          <cell r="G24" t="str">
            <v>1401/06/15</v>
          </cell>
          <cell r="H24" t="str">
            <v>1401/06/15</v>
          </cell>
          <cell r="I24" t="str">
            <v>1401/06/15</v>
          </cell>
          <cell r="J24" t="str">
            <v>1401/06/15</v>
          </cell>
          <cell r="K24" t="str">
            <v>1401/06/15</v>
          </cell>
          <cell r="L24" t="str">
            <v>1401/06/15</v>
          </cell>
          <cell r="M24" t="str">
            <v>1401/06/15</v>
          </cell>
          <cell r="N24" t="str">
            <v>1401/06/15</v>
          </cell>
          <cell r="O24" t="str">
            <v>1401/06/15</v>
          </cell>
          <cell r="P24" t="str">
            <v>1401/06/15</v>
          </cell>
          <cell r="Q24" t="str">
            <v>1401/06/15</v>
          </cell>
          <cell r="R24" t="str">
            <v>1401/06/15</v>
          </cell>
          <cell r="S24" t="str">
            <v>1401/06/15</v>
          </cell>
          <cell r="T24" t="str">
            <v>1401/06/15</v>
          </cell>
          <cell r="U24" t="str">
            <v>1401/06/15</v>
          </cell>
          <cell r="V24" t="str">
            <v>1401/06/15</v>
          </cell>
          <cell r="W24" t="str">
            <v>1401/06/15</v>
          </cell>
          <cell r="X24" t="str">
            <v>1401/06/15</v>
          </cell>
          <cell r="Y24">
            <v>0</v>
          </cell>
          <cell r="Z24" t="str">
            <v>1401/06/15</v>
          </cell>
          <cell r="AA24" t="str">
            <v>1401/06/15</v>
          </cell>
          <cell r="AB24" t="str">
            <v>1401/06/15</v>
          </cell>
          <cell r="AC24" t="str">
            <v>1401/06/15</v>
          </cell>
          <cell r="AD24" t="str">
            <v>1401/06/15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A25">
            <v>24</v>
          </cell>
          <cell r="B25">
            <v>0</v>
          </cell>
          <cell r="C25">
            <v>0</v>
          </cell>
          <cell r="D25">
            <v>0</v>
          </cell>
          <cell r="E25" t="str">
            <v>افسردگی و ناامیدی شدید</v>
          </cell>
          <cell r="F25" t="str">
            <v>سوابق بیماری</v>
          </cell>
          <cell r="G25" t="str">
            <v>افسردگی و ناامیدی شدید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>
            <v>25</v>
          </cell>
          <cell r="B26">
            <v>0</v>
          </cell>
          <cell r="C26">
            <v>0</v>
          </cell>
          <cell r="D26">
            <v>0</v>
          </cell>
          <cell r="E26" t="str">
            <v>ندارد</v>
          </cell>
          <cell r="F26" t="str">
            <v>توضیحات بیماری:</v>
          </cell>
          <cell r="G26" t="str">
            <v>ندارد</v>
          </cell>
          <cell r="H26" t="str">
            <v>ندارد</v>
          </cell>
          <cell r="I26" t="str">
            <v>ندارد</v>
          </cell>
          <cell r="J26" t="str">
            <v>ندارد</v>
          </cell>
          <cell r="K26" t="str">
            <v>ندارد</v>
          </cell>
          <cell r="L26" t="str">
            <v>ندارد</v>
          </cell>
          <cell r="M26" t="str">
            <v>ندارد</v>
          </cell>
          <cell r="N26" t="str">
            <v>ندارد</v>
          </cell>
          <cell r="O26" t="str">
            <v>ندارد</v>
          </cell>
          <cell r="P26" t="str">
            <v>ندارد</v>
          </cell>
          <cell r="Q26" t="str">
            <v>ندارد</v>
          </cell>
          <cell r="R26" t="str">
            <v>ندارد</v>
          </cell>
          <cell r="S26" t="str">
            <v>ندارد</v>
          </cell>
          <cell r="T26" t="str">
            <v>ندارد</v>
          </cell>
          <cell r="U26" t="str">
            <v>ندارد</v>
          </cell>
          <cell r="V26" t="str">
            <v>افسردگی شدید</v>
          </cell>
          <cell r="W26" t="str">
            <v>ندارد</v>
          </cell>
          <cell r="X26" t="str">
            <v>ندارد</v>
          </cell>
          <cell r="Y26" t="str">
            <v>ندارد</v>
          </cell>
          <cell r="Z26" t="str">
            <v>ندارد</v>
          </cell>
          <cell r="AA26" t="str">
            <v>ندارد</v>
          </cell>
          <cell r="AB26" t="str">
            <v>ندارد</v>
          </cell>
          <cell r="AC26" t="str">
            <v>ندارد</v>
          </cell>
          <cell r="AD26" t="str">
            <v>ندارد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A27">
            <v>26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 t="str">
            <v>آزمایشات یا چکاپ پزشکی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 t="str">
            <v>دندانهایش توسط دکتر محسنیان عصب کشی گردید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A28">
            <v>27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 t="str">
            <v>توضیحات آزمایش یا چکاپ :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A29">
            <v>28</v>
          </cell>
          <cell r="B29">
            <v>0</v>
          </cell>
          <cell r="C29">
            <v>0</v>
          </cell>
          <cell r="D29">
            <v>0</v>
          </cell>
          <cell r="E29" t="str">
            <v>ندارد</v>
          </cell>
          <cell r="F29" t="str">
            <v>نیاز به خدمات خاصی</v>
          </cell>
          <cell r="G29" t="str">
            <v>ندارد</v>
          </cell>
          <cell r="H29" t="str">
            <v>ندارد</v>
          </cell>
          <cell r="I29" t="str">
            <v>در درس ریاضی احتیاج به کمک دارد.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 t="str">
            <v>کتابهای کمک آموزشی لازم دارد</v>
          </cell>
          <cell r="Q29">
            <v>0</v>
          </cell>
          <cell r="R29" t="str">
            <v>سمعک لازم دارد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A30">
            <v>29</v>
          </cell>
          <cell r="B30">
            <v>0</v>
          </cell>
          <cell r="C30">
            <v>0</v>
          </cell>
          <cell r="D30">
            <v>0</v>
          </cell>
          <cell r="E30" t="str">
            <v>نداد</v>
          </cell>
          <cell r="F30" t="str">
            <v>توضیحات خدمات :</v>
          </cell>
          <cell r="G30" t="str">
            <v>نداد</v>
          </cell>
          <cell r="H30" t="str">
            <v>نداد</v>
          </cell>
          <cell r="I30" t="str">
            <v>ندارد</v>
          </cell>
          <cell r="J30" t="str">
            <v>ندارد</v>
          </cell>
          <cell r="K30" t="str">
            <v>ندارد</v>
          </cell>
          <cell r="L30" t="str">
            <v>ندارد</v>
          </cell>
          <cell r="M30" t="str">
            <v>ندارد</v>
          </cell>
          <cell r="N30" t="str">
            <v>ندارد</v>
          </cell>
          <cell r="O30" t="str">
            <v>ندارد</v>
          </cell>
          <cell r="P30" t="str">
            <v>ندارد</v>
          </cell>
          <cell r="Q30" t="str">
            <v>ندارد</v>
          </cell>
          <cell r="R30" t="str">
            <v>ندارد</v>
          </cell>
          <cell r="S30" t="str">
            <v>ندارد</v>
          </cell>
          <cell r="T30" t="str">
            <v>ندارد</v>
          </cell>
          <cell r="U30" t="str">
            <v>ندارد</v>
          </cell>
          <cell r="V30" t="str">
            <v>ندارد</v>
          </cell>
          <cell r="W30" t="str">
            <v>ندارد</v>
          </cell>
          <cell r="X30" t="str">
            <v>ندارد</v>
          </cell>
          <cell r="Y30" t="str">
            <v>ندارد</v>
          </cell>
          <cell r="Z30" t="str">
            <v>ندارد</v>
          </cell>
          <cell r="AA30" t="str">
            <v>ندارد</v>
          </cell>
          <cell r="AB30" t="str">
            <v>ندارد</v>
          </cell>
          <cell r="AC30" t="str">
            <v>ندارد</v>
          </cell>
          <cell r="AD30" t="str">
            <v>ندارد</v>
          </cell>
          <cell r="AE30" t="str">
            <v>ندارد</v>
          </cell>
          <cell r="AF30" t="str">
            <v>ندارد</v>
          </cell>
          <cell r="AG30" t="str">
            <v>ندارد</v>
          </cell>
          <cell r="AH30" t="str">
            <v>ندارد</v>
          </cell>
          <cell r="AI30" t="str">
            <v>ندارد</v>
          </cell>
          <cell r="AJ30" t="str">
            <v>ندارد</v>
          </cell>
          <cell r="AK30" t="str">
            <v>ندارد</v>
          </cell>
          <cell r="AL30" t="str">
            <v>ندارد</v>
          </cell>
          <cell r="AM30" t="str">
            <v>ندارد</v>
          </cell>
          <cell r="AN30" t="str">
            <v>ندارد</v>
          </cell>
        </row>
      </sheetData>
      <sheetData sheetId="5" refreshError="1"/>
      <sheetData sheetId="6" refreshError="1"/>
      <sheetData sheetId="7" refreshError="1">
        <row r="2">
          <cell r="Q2" t="str">
            <v>فروردین</v>
          </cell>
          <cell r="R2">
            <v>1</v>
          </cell>
        </row>
        <row r="3">
          <cell r="Q3" t="str">
            <v>اردیبهشت</v>
          </cell>
          <cell r="R3">
            <v>2</v>
          </cell>
        </row>
        <row r="4">
          <cell r="Q4" t="str">
            <v>خرداد</v>
          </cell>
          <cell r="R4">
            <v>3</v>
          </cell>
        </row>
        <row r="5">
          <cell r="Q5" t="str">
            <v>تیر</v>
          </cell>
          <cell r="R5">
            <v>4</v>
          </cell>
        </row>
        <row r="6">
          <cell r="Q6" t="str">
            <v>مرداد</v>
          </cell>
          <cell r="R6">
            <v>5</v>
          </cell>
        </row>
        <row r="7">
          <cell r="Q7" t="str">
            <v>شهریور</v>
          </cell>
          <cell r="R7">
            <v>6</v>
          </cell>
        </row>
        <row r="8">
          <cell r="Q8" t="str">
            <v>مهر</v>
          </cell>
          <cell r="R8">
            <v>7</v>
          </cell>
        </row>
        <row r="9">
          <cell r="Q9" t="str">
            <v>آبان</v>
          </cell>
          <cell r="R9">
            <v>8</v>
          </cell>
        </row>
        <row r="10">
          <cell r="Q10" t="str">
            <v>آذر</v>
          </cell>
          <cell r="R10">
            <v>9</v>
          </cell>
        </row>
        <row r="11">
          <cell r="Q11" t="str">
            <v>دی</v>
          </cell>
          <cell r="R11">
            <v>10</v>
          </cell>
        </row>
        <row r="12">
          <cell r="Q12" t="str">
            <v>بهمن</v>
          </cell>
          <cell r="R12">
            <v>11</v>
          </cell>
        </row>
        <row r="13">
          <cell r="Q13" t="str">
            <v>اسفند</v>
          </cell>
          <cell r="R13">
            <v>12</v>
          </cell>
        </row>
      </sheetData>
      <sheetData sheetId="8" refreshError="1">
        <row r="3">
          <cell r="G3" t="str">
            <v>فروردین</v>
          </cell>
          <cell r="H3" t="str">
            <v>اردیبهشت</v>
          </cell>
          <cell r="I3" t="str">
            <v>خرداد</v>
          </cell>
          <cell r="J3" t="str">
            <v>تیر</v>
          </cell>
          <cell r="K3" t="str">
            <v>مرداد</v>
          </cell>
          <cell r="L3" t="str">
            <v>شهریور</v>
          </cell>
          <cell r="M3" t="str">
            <v>مهر</v>
          </cell>
          <cell r="N3" t="str">
            <v>آبان</v>
          </cell>
          <cell r="O3" t="str">
            <v>آذر</v>
          </cell>
          <cell r="P3" t="str">
            <v>دی</v>
          </cell>
          <cell r="Q3" t="str">
            <v>بهمن</v>
          </cell>
          <cell r="R3" t="str">
            <v>اسفند</v>
          </cell>
        </row>
        <row r="4">
          <cell r="G4">
            <v>0</v>
          </cell>
          <cell r="H4">
            <v>0</v>
          </cell>
          <cell r="I4">
            <v>10000000</v>
          </cell>
          <cell r="J4">
            <v>10000000</v>
          </cell>
          <cell r="K4">
            <v>10000000</v>
          </cell>
          <cell r="L4">
            <v>0</v>
          </cell>
          <cell r="M4">
            <v>0</v>
          </cell>
          <cell r="N4">
            <v>11169500</v>
          </cell>
          <cell r="O4">
            <v>28830500</v>
          </cell>
          <cell r="P4">
            <v>0</v>
          </cell>
          <cell r="Q4">
            <v>0</v>
          </cell>
          <cell r="R4">
            <v>0</v>
          </cell>
        </row>
        <row r="5">
          <cell r="G5">
            <v>0</v>
          </cell>
          <cell r="H5">
            <v>0</v>
          </cell>
          <cell r="I5">
            <v>20000000</v>
          </cell>
          <cell r="J5">
            <v>20000000</v>
          </cell>
          <cell r="K5">
            <v>4000000</v>
          </cell>
          <cell r="L5">
            <v>20000000</v>
          </cell>
          <cell r="M5">
            <v>20000000</v>
          </cell>
          <cell r="N5">
            <v>20000000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G6">
            <v>0</v>
          </cell>
          <cell r="H6">
            <v>0</v>
          </cell>
          <cell r="I6">
            <v>30000000</v>
          </cell>
          <cell r="J6">
            <v>30000000</v>
          </cell>
          <cell r="K6">
            <v>30000000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0</v>
          </cell>
          <cell r="H7">
            <v>0</v>
          </cell>
          <cell r="I7">
            <v>2000000</v>
          </cell>
          <cell r="J7">
            <v>2000000</v>
          </cell>
          <cell r="K7">
            <v>2000000</v>
          </cell>
          <cell r="L7">
            <v>2000000</v>
          </cell>
          <cell r="M7">
            <v>2000000</v>
          </cell>
          <cell r="N7">
            <v>2000000</v>
          </cell>
          <cell r="O7">
            <v>2000000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5000000</v>
          </cell>
          <cell r="J8">
            <v>5000000</v>
          </cell>
          <cell r="K8">
            <v>5000000</v>
          </cell>
          <cell r="L8">
            <v>5000000</v>
          </cell>
          <cell r="M8">
            <v>5000000</v>
          </cell>
          <cell r="N8">
            <v>5000000</v>
          </cell>
          <cell r="O8">
            <v>5000000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5000000</v>
          </cell>
          <cell r="J9">
            <v>5000000</v>
          </cell>
          <cell r="K9">
            <v>5000000</v>
          </cell>
          <cell r="L9">
            <v>5000000</v>
          </cell>
          <cell r="M9">
            <v>2000000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10000000</v>
          </cell>
          <cell r="J10">
            <v>5000000</v>
          </cell>
          <cell r="K10">
            <v>15000000</v>
          </cell>
          <cell r="L10">
            <v>10000000</v>
          </cell>
          <cell r="M10">
            <v>17000000</v>
          </cell>
          <cell r="N10">
            <v>0</v>
          </cell>
          <cell r="O10">
            <v>10000000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5000000</v>
          </cell>
          <cell r="J11">
            <v>5000000</v>
          </cell>
          <cell r="K11">
            <v>5000000</v>
          </cell>
          <cell r="L11">
            <v>5000000</v>
          </cell>
          <cell r="M11">
            <v>5000000</v>
          </cell>
          <cell r="N11">
            <v>5000000</v>
          </cell>
          <cell r="O11">
            <v>5000000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0</v>
          </cell>
          <cell r="H12">
            <v>0</v>
          </cell>
          <cell r="I12">
            <v>5000000</v>
          </cell>
          <cell r="J12">
            <v>5000000</v>
          </cell>
          <cell r="K12">
            <v>5000000</v>
          </cell>
          <cell r="L12">
            <v>5000000</v>
          </cell>
          <cell r="M12">
            <v>20000000</v>
          </cell>
          <cell r="N12">
            <v>10000000</v>
          </cell>
          <cell r="O12">
            <v>10000000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</v>
          </cell>
          <cell r="H13">
            <v>0</v>
          </cell>
          <cell r="I13">
            <v>100000000</v>
          </cell>
          <cell r="J13">
            <v>100000000</v>
          </cell>
          <cell r="K13">
            <v>100000000</v>
          </cell>
          <cell r="L13">
            <v>100000000</v>
          </cell>
          <cell r="M13">
            <v>120000000</v>
          </cell>
          <cell r="N13">
            <v>100000000</v>
          </cell>
          <cell r="O13">
            <v>100000000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</v>
          </cell>
          <cell r="H14">
            <v>0</v>
          </cell>
          <cell r="I14">
            <v>20000000</v>
          </cell>
          <cell r="J14">
            <v>20000000</v>
          </cell>
          <cell r="K14">
            <v>30000000</v>
          </cell>
          <cell r="L14">
            <v>30000000</v>
          </cell>
          <cell r="M14">
            <v>30000000</v>
          </cell>
          <cell r="N14">
            <v>30000000</v>
          </cell>
          <cell r="O14">
            <v>30000000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5000000</v>
          </cell>
          <cell r="J15">
            <v>3000000</v>
          </cell>
          <cell r="K15">
            <v>3000000</v>
          </cell>
          <cell r="L15">
            <v>3000000</v>
          </cell>
          <cell r="M15">
            <v>3000000</v>
          </cell>
          <cell r="N15">
            <v>5000000</v>
          </cell>
          <cell r="O15">
            <v>5000000</v>
          </cell>
          <cell r="P15">
            <v>5000000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2500000</v>
          </cell>
          <cell r="J16">
            <v>2500000</v>
          </cell>
          <cell r="K16">
            <v>2500000</v>
          </cell>
          <cell r="L16">
            <v>2500000</v>
          </cell>
          <cell r="M16">
            <v>2500000</v>
          </cell>
          <cell r="N16">
            <v>2500000</v>
          </cell>
          <cell r="O16">
            <v>2500000</v>
          </cell>
          <cell r="P16">
            <v>2500000</v>
          </cell>
          <cell r="Q16">
            <v>2500000</v>
          </cell>
          <cell r="R16">
            <v>2500000</v>
          </cell>
        </row>
        <row r="17">
          <cell r="G17">
            <v>0</v>
          </cell>
          <cell r="H17">
            <v>0</v>
          </cell>
          <cell r="I17">
            <v>10000000</v>
          </cell>
          <cell r="J17">
            <v>10000000</v>
          </cell>
          <cell r="K17">
            <v>10000000</v>
          </cell>
          <cell r="L17">
            <v>10000000</v>
          </cell>
          <cell r="M17">
            <v>10000000</v>
          </cell>
          <cell r="N17">
            <v>10000000</v>
          </cell>
          <cell r="O17">
            <v>10000000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10000000</v>
          </cell>
          <cell r="J18">
            <v>10000000</v>
          </cell>
          <cell r="K18">
            <v>10000000</v>
          </cell>
          <cell r="L18">
            <v>10000000</v>
          </cell>
          <cell r="M18">
            <v>10000000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5000000</v>
          </cell>
          <cell r="J19">
            <v>5000000</v>
          </cell>
          <cell r="K19">
            <v>5000000</v>
          </cell>
          <cell r="L19">
            <v>5000000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15000000</v>
          </cell>
          <cell r="J20">
            <v>15000000</v>
          </cell>
          <cell r="K20">
            <v>15000000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50000000</v>
          </cell>
          <cell r="J21">
            <v>0</v>
          </cell>
          <cell r="K21">
            <v>40000000</v>
          </cell>
          <cell r="L21">
            <v>0</v>
          </cell>
          <cell r="M21">
            <v>30000000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20000000</v>
          </cell>
          <cell r="J22">
            <v>20000000</v>
          </cell>
          <cell r="K22">
            <v>20000000</v>
          </cell>
          <cell r="L22">
            <v>20000000</v>
          </cell>
          <cell r="M22">
            <v>70000000</v>
          </cell>
          <cell r="N22">
            <v>50000000</v>
          </cell>
          <cell r="O22">
            <v>50000000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10000000</v>
          </cell>
          <cell r="J23">
            <v>10000000</v>
          </cell>
          <cell r="K23">
            <v>10000000</v>
          </cell>
          <cell r="L23">
            <v>10000000</v>
          </cell>
          <cell r="M23">
            <v>30000000</v>
          </cell>
          <cell r="N23">
            <v>20000000</v>
          </cell>
          <cell r="O23">
            <v>20000000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5000000</v>
          </cell>
          <cell r="J24">
            <v>5000000</v>
          </cell>
          <cell r="K24">
            <v>5000000</v>
          </cell>
          <cell r="L24">
            <v>0</v>
          </cell>
          <cell r="M24">
            <v>0</v>
          </cell>
          <cell r="N24">
            <v>5000000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2000000</v>
          </cell>
          <cell r="J25">
            <v>2000000</v>
          </cell>
          <cell r="K25">
            <v>2000000</v>
          </cell>
          <cell r="L25">
            <v>2000000</v>
          </cell>
          <cell r="M25">
            <v>2000000</v>
          </cell>
          <cell r="N25">
            <v>2000000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10000000</v>
          </cell>
          <cell r="J26">
            <v>10000000</v>
          </cell>
          <cell r="K26">
            <v>10000000</v>
          </cell>
          <cell r="L26">
            <v>10000000</v>
          </cell>
          <cell r="M26">
            <v>10000000</v>
          </cell>
          <cell r="N26">
            <v>10000000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5000000</v>
          </cell>
          <cell r="K27">
            <v>5000000</v>
          </cell>
          <cell r="L27">
            <v>5000000</v>
          </cell>
          <cell r="M27">
            <v>5000000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30000000</v>
          </cell>
          <cell r="K28">
            <v>30000000</v>
          </cell>
          <cell r="L28">
            <v>30000000</v>
          </cell>
          <cell r="M28">
            <v>30000000</v>
          </cell>
          <cell r="N28">
            <v>30000000</v>
          </cell>
          <cell r="O28">
            <v>30000000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10000000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5000000</v>
          </cell>
          <cell r="K30">
            <v>0</v>
          </cell>
          <cell r="L30">
            <v>5000000</v>
          </cell>
          <cell r="M30">
            <v>5000000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10000000</v>
          </cell>
          <cell r="K31">
            <v>13000000</v>
          </cell>
          <cell r="L31">
            <v>4000000</v>
          </cell>
          <cell r="M31">
            <v>3000000</v>
          </cell>
          <cell r="N31">
            <v>0</v>
          </cell>
          <cell r="O31">
            <v>6500000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10000000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10000000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5000000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5000000</v>
          </cell>
          <cell r="L35">
            <v>0</v>
          </cell>
          <cell r="M35">
            <v>5000000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20000000</v>
          </cell>
          <cell r="L36">
            <v>20000000</v>
          </cell>
          <cell r="M36">
            <v>20000000</v>
          </cell>
          <cell r="N36">
            <v>20000000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5000000</v>
          </cell>
          <cell r="L37">
            <v>5000000</v>
          </cell>
          <cell r="M37">
            <v>5000000</v>
          </cell>
          <cell r="N37">
            <v>5000000</v>
          </cell>
          <cell r="O37">
            <v>5000000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2000000</v>
          </cell>
          <cell r="L38">
            <v>2000000</v>
          </cell>
          <cell r="M38">
            <v>3000000</v>
          </cell>
          <cell r="N38">
            <v>2000000</v>
          </cell>
          <cell r="O38">
            <v>2000000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300000000</v>
          </cell>
          <cell r="L39">
            <v>70000000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3000000</v>
          </cell>
          <cell r="M40">
            <v>3000000</v>
          </cell>
          <cell r="N40">
            <v>3000000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3000000</v>
          </cell>
          <cell r="K41">
            <v>3000000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16000000</v>
          </cell>
          <cell r="K42">
            <v>16000000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50000000</v>
          </cell>
          <cell r="M43">
            <v>50000000</v>
          </cell>
          <cell r="N43">
            <v>50000000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5000000</v>
          </cell>
          <cell r="M44">
            <v>5000000</v>
          </cell>
          <cell r="N44">
            <v>5000000</v>
          </cell>
          <cell r="O44">
            <v>5000000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11500000</v>
          </cell>
          <cell r="M45">
            <v>12250000</v>
          </cell>
          <cell r="N45">
            <v>13625000</v>
          </cell>
          <cell r="O45">
            <v>13800000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3500000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10000000</v>
          </cell>
          <cell r="M47">
            <v>5000000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20000000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5000000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5000000</v>
          </cell>
          <cell r="M50">
            <v>5000000</v>
          </cell>
          <cell r="N50">
            <v>5000000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40000000</v>
          </cell>
          <cell r="N51">
            <v>40000000</v>
          </cell>
          <cell r="O51">
            <v>40000000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5000000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10000000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5000000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4000000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3000000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1000000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5000000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10000000</v>
          </cell>
          <cell r="M59">
            <v>5000000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3000000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5000000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5000000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40000000</v>
          </cell>
          <cell r="O63">
            <v>10000000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5000000</v>
          </cell>
          <cell r="O64">
            <v>3000000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10000000</v>
          </cell>
          <cell r="O65">
            <v>10000000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4570</v>
          </cell>
          <cell r="J66">
            <v>61172</v>
          </cell>
          <cell r="K66">
            <v>5033530</v>
          </cell>
          <cell r="L66">
            <v>7696559</v>
          </cell>
          <cell r="M66">
            <v>14555641</v>
          </cell>
          <cell r="N66">
            <v>15594672</v>
          </cell>
          <cell r="O66">
            <v>20361327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5000000</v>
          </cell>
          <cell r="P67">
            <v>0</v>
          </cell>
          <cell r="Q67">
            <v>0</v>
          </cell>
          <cell r="R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250000000</v>
          </cell>
          <cell r="P68">
            <v>0</v>
          </cell>
          <cell r="Q68">
            <v>0</v>
          </cell>
          <cell r="R68">
            <v>0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532000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10000000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10000000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10000000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10000000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10000000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420000000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356504570</v>
          </cell>
          <cell r="J80">
            <v>403561172</v>
          </cell>
          <cell r="K80">
            <v>747533530</v>
          </cell>
          <cell r="L80">
            <v>526196559</v>
          </cell>
          <cell r="M80">
            <v>640305641</v>
          </cell>
          <cell r="N80">
            <v>541889172</v>
          </cell>
          <cell r="O80">
            <v>678991827</v>
          </cell>
          <cell r="P80">
            <v>7500000</v>
          </cell>
          <cell r="Q80">
            <v>2500000</v>
          </cell>
          <cell r="R80">
            <v>2500000</v>
          </cell>
        </row>
      </sheetData>
      <sheetData sheetId="9" refreshError="1">
        <row r="1">
          <cell r="T1">
            <v>4</v>
          </cell>
        </row>
      </sheetData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جدول کلی مددجوها"/>
      <sheetName val="1"/>
      <sheetName val="2"/>
      <sheetName val="3"/>
    </sheetNames>
    <sheetDataSet>
      <sheetData sheetId="0"/>
      <sheetData sheetId="1"/>
      <sheetData sheetId="2">
        <row r="5">
          <cell r="J5">
            <v>2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790" totalsRowShown="0" headerRowDxfId="14">
  <autoFilter ref="A1:M790" xr:uid="{00000000-0009-0000-0100-000001000000}"/>
  <sortState xmlns:xlrd2="http://schemas.microsoft.com/office/spreadsheetml/2017/richdata2" ref="A2:L394">
    <sortCondition ref="I2:I394"/>
    <sortCondition ref="H2:H394"/>
  </sortState>
  <tableColumns count="13">
    <tableColumn id="1" xr3:uid="{00000000-0010-0000-0000-000001000000}" name="Column1"/>
    <tableColumn id="2" xr3:uid="{00000000-0010-0000-0000-000002000000}" name="ردیف" dataDxfId="13">
      <calculatedColumnFormula>SUMIFS('لیست واریزی کل خیرین'!B:B,'لیست واریزی کل خیرین'!D:D,Table1[[#This Row],[نام]],'لیست واریزی کل خیرین'!E:E,Table1[[#This Row],[نام خانوادگی]])</calculatedColumnFormula>
    </tableColumn>
    <tableColumn id="3" xr3:uid="{00000000-0010-0000-0000-000003000000}" name="نام" dataDxfId="12"/>
    <tableColumn id="4" xr3:uid="{00000000-0010-0000-0000-000004000000}" name="نام خانوادگی" dataDxfId="11"/>
    <tableColumn id="5" xr3:uid="{00000000-0010-0000-0000-000005000000}" name="تاریخ  واریزی" dataDxfId="10"/>
    <tableColumn id="6" xr3:uid="{00000000-0010-0000-0000-000006000000}" name="شماره کارت" dataDxfId="9"/>
    <tableColumn id="7" xr3:uid="{00000000-0010-0000-0000-000007000000}" name="ماه" dataDxfId="8"/>
    <tableColumn id="8" xr3:uid="{00000000-0010-0000-0000-000008000000}" name="Column2" dataDxfId="7">
      <calculatedColumnFormula>IF(G2="","",VLOOKUP(G2,mah,2,0))</calculatedColumnFormula>
    </tableColumn>
    <tableColumn id="9" xr3:uid="{00000000-0010-0000-0000-000009000000}" name="سال" dataDxfId="6"/>
    <tableColumn id="10" xr3:uid="{00000000-0010-0000-0000-00000A000000}" name="شماره فیش" dataDxfId="5"/>
    <tableColumn id="11" xr3:uid="{00000000-0010-0000-0000-00000B000000}" name="مبلغ واریزی" dataDxfId="4"/>
    <tableColumn id="12" xr3:uid="{00000000-0010-0000-0000-00000C000000}" name="توضیحات ‍‍‍‍" dataDxfId="3"/>
    <tableColumn id="13" xr3:uid="{00000000-0010-0000-0000-00000D000000}" name="Column3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rightToLeft="1" zoomScale="70" zoomScaleNormal="70" workbookViewId="0">
      <pane ySplit="2" topLeftCell="A3" activePane="bottomLeft" state="frozen"/>
      <selection activeCell="G1" sqref="G1"/>
      <selection pane="bottomLeft" activeCell="O11" sqref="O11"/>
    </sheetView>
  </sheetViews>
  <sheetFormatPr baseColWidth="10" defaultColWidth="14.5" defaultRowHeight="15" customHeight="1"/>
  <cols>
    <col min="1" max="1" width="13" style="95" customWidth="1"/>
    <col min="2" max="2" width="19.5" style="95" customWidth="1"/>
    <col min="3" max="3" width="13.5" style="95" customWidth="1"/>
    <col min="4" max="4" width="22" style="95" customWidth="1"/>
    <col min="5" max="5" width="17" style="95" customWidth="1"/>
    <col min="6" max="6" width="14.5" style="95" bestFit="1" customWidth="1"/>
    <col min="7" max="7" width="19.83203125" style="95" customWidth="1"/>
    <col min="8" max="8" width="14.5" style="95" customWidth="1"/>
    <col min="9" max="9" width="17.5" style="95" customWidth="1"/>
    <col min="10" max="10" width="20.1640625" style="95" customWidth="1"/>
    <col min="11" max="11" width="19.6640625" style="95" customWidth="1"/>
    <col min="12" max="12" width="18.5" style="95" customWidth="1"/>
    <col min="13" max="13" width="38.5" style="95" customWidth="1"/>
    <col min="14" max="15" width="20.6640625" style="95" customWidth="1"/>
    <col min="16" max="16" width="43.33203125" style="95" customWidth="1"/>
    <col min="17" max="17" width="12.1640625" style="95" customWidth="1"/>
    <col min="18" max="18" width="14" style="95" customWidth="1"/>
    <col min="19" max="19" width="13.5" style="95" customWidth="1"/>
    <col min="20" max="20" width="13.6640625" style="95" customWidth="1"/>
    <col min="21" max="21" width="8.6640625" style="95" customWidth="1"/>
    <col min="22" max="22" width="23" style="95" customWidth="1"/>
    <col min="23" max="23" width="12.5" style="95" customWidth="1"/>
    <col min="24" max="16384" width="14.5" style="95"/>
  </cols>
  <sheetData>
    <row r="1" spans="1:26" ht="15" customHeight="1" thickBot="1">
      <c r="B1" s="95">
        <v>1</v>
      </c>
      <c r="C1" s="95">
        <v>2</v>
      </c>
      <c r="D1" s="95">
        <v>3</v>
      </c>
      <c r="E1" s="95">
        <v>4</v>
      </c>
      <c r="F1" s="95">
        <v>5</v>
      </c>
      <c r="G1" s="95">
        <v>6</v>
      </c>
      <c r="H1" s="95">
        <v>7</v>
      </c>
      <c r="I1" s="95">
        <v>8</v>
      </c>
      <c r="J1" s="95">
        <v>9</v>
      </c>
      <c r="K1" s="95">
        <v>10</v>
      </c>
      <c r="L1" s="95">
        <v>11</v>
      </c>
      <c r="M1" s="95">
        <v>12</v>
      </c>
      <c r="N1" s="95">
        <v>13</v>
      </c>
      <c r="O1" s="95">
        <v>13</v>
      </c>
      <c r="P1" s="95">
        <v>14</v>
      </c>
      <c r="Q1" s="95">
        <v>15</v>
      </c>
      <c r="R1" s="95">
        <v>16</v>
      </c>
      <c r="S1" s="95">
        <v>17</v>
      </c>
      <c r="T1" s="95">
        <v>18</v>
      </c>
      <c r="U1" s="95">
        <v>19</v>
      </c>
      <c r="V1" s="95">
        <v>20</v>
      </c>
      <c r="W1" s="95">
        <v>21</v>
      </c>
    </row>
    <row r="2" spans="1:26" ht="50" customHeight="1" thickTop="1">
      <c r="A2" s="96" t="s">
        <v>210</v>
      </c>
      <c r="B2" s="97" t="s">
        <v>16</v>
      </c>
      <c r="C2" s="97" t="s">
        <v>318</v>
      </c>
      <c r="D2" s="97" t="s">
        <v>319</v>
      </c>
      <c r="E2" s="97" t="s">
        <v>67</v>
      </c>
      <c r="F2" s="97" t="s">
        <v>82</v>
      </c>
      <c r="G2" s="97" t="s">
        <v>730</v>
      </c>
      <c r="H2" s="97" t="s">
        <v>731</v>
      </c>
      <c r="I2" s="97" t="s">
        <v>61</v>
      </c>
      <c r="J2" s="97" t="s">
        <v>732</v>
      </c>
      <c r="K2" s="97" t="s">
        <v>733</v>
      </c>
      <c r="L2" s="97" t="s">
        <v>734</v>
      </c>
      <c r="M2" s="97" t="s">
        <v>735</v>
      </c>
      <c r="N2" s="98" t="s">
        <v>736</v>
      </c>
      <c r="O2" s="98" t="s">
        <v>1055</v>
      </c>
      <c r="P2" s="99" t="s">
        <v>737</v>
      </c>
      <c r="Q2" s="99" t="s">
        <v>738</v>
      </c>
      <c r="R2" s="99" t="s">
        <v>739</v>
      </c>
      <c r="S2" s="99" t="s">
        <v>740</v>
      </c>
      <c r="T2" s="99" t="s">
        <v>741</v>
      </c>
      <c r="U2" s="100"/>
      <c r="V2" s="101" t="s">
        <v>742</v>
      </c>
      <c r="W2" s="102" t="s">
        <v>743</v>
      </c>
    </row>
    <row r="3" spans="1:26" ht="75" customHeight="1">
      <c r="A3" s="103">
        <v>1</v>
      </c>
      <c r="B3" s="104">
        <v>1</v>
      </c>
      <c r="C3" s="105" t="s">
        <v>744</v>
      </c>
      <c r="D3" s="105" t="s">
        <v>745</v>
      </c>
      <c r="E3" s="106" t="s">
        <v>68</v>
      </c>
      <c r="F3" s="106" t="s">
        <v>746</v>
      </c>
      <c r="G3" s="105" t="s">
        <v>45</v>
      </c>
      <c r="H3" s="107" t="s">
        <v>747</v>
      </c>
      <c r="I3" s="106" t="s">
        <v>62</v>
      </c>
      <c r="J3" s="105" t="s">
        <v>10</v>
      </c>
      <c r="K3" s="105" t="s">
        <v>157</v>
      </c>
      <c r="L3" s="105" t="s">
        <v>748</v>
      </c>
      <c r="M3" s="108" t="s">
        <v>749</v>
      </c>
      <c r="N3" s="109" t="s">
        <v>750</v>
      </c>
      <c r="O3" s="109" t="s">
        <v>750</v>
      </c>
      <c r="P3" s="110" t="s">
        <v>751</v>
      </c>
      <c r="Q3" s="106" t="s">
        <v>752</v>
      </c>
      <c r="R3" s="106" t="s">
        <v>753</v>
      </c>
      <c r="S3" s="106" t="s">
        <v>752</v>
      </c>
      <c r="T3" s="106" t="s">
        <v>752</v>
      </c>
      <c r="U3" s="106"/>
      <c r="V3" s="110" t="s">
        <v>754</v>
      </c>
      <c r="W3" s="111"/>
    </row>
    <row r="4" spans="1:26" ht="75" customHeight="1">
      <c r="A4" s="103">
        <v>2</v>
      </c>
      <c r="B4" s="104">
        <v>2</v>
      </c>
      <c r="C4" s="105" t="s">
        <v>755</v>
      </c>
      <c r="D4" s="105" t="s">
        <v>756</v>
      </c>
      <c r="E4" s="106" t="s">
        <v>69</v>
      </c>
      <c r="F4" s="106" t="s">
        <v>757</v>
      </c>
      <c r="G4" s="105" t="s">
        <v>46</v>
      </c>
      <c r="H4" s="107" t="s">
        <v>758</v>
      </c>
      <c r="I4" s="106" t="s">
        <v>62</v>
      </c>
      <c r="J4" s="105" t="s">
        <v>9</v>
      </c>
      <c r="K4" s="105" t="s">
        <v>759</v>
      </c>
      <c r="L4" s="105" t="s">
        <v>748</v>
      </c>
      <c r="M4" s="108" t="s">
        <v>760</v>
      </c>
      <c r="N4" s="109" t="s">
        <v>761</v>
      </c>
      <c r="O4" s="109" t="s">
        <v>761</v>
      </c>
      <c r="P4" s="110" t="s">
        <v>762</v>
      </c>
      <c r="Q4" s="106"/>
      <c r="R4" s="106" t="s">
        <v>753</v>
      </c>
      <c r="S4" s="106"/>
      <c r="T4" s="106"/>
      <c r="U4" s="106"/>
      <c r="V4" s="110" t="s">
        <v>763</v>
      </c>
      <c r="W4" s="111"/>
      <c r="Y4" s="112"/>
      <c r="Z4" s="112"/>
    </row>
    <row r="5" spans="1:26" ht="75" customHeight="1">
      <c r="A5" s="103">
        <v>3</v>
      </c>
      <c r="B5" s="104">
        <v>3</v>
      </c>
      <c r="C5" s="105" t="s">
        <v>764</v>
      </c>
      <c r="D5" s="105" t="s">
        <v>765</v>
      </c>
      <c r="E5" s="106" t="s">
        <v>70</v>
      </c>
      <c r="F5" s="106" t="s">
        <v>766</v>
      </c>
      <c r="G5" s="105" t="s">
        <v>47</v>
      </c>
      <c r="H5" s="107" t="s">
        <v>767</v>
      </c>
      <c r="I5" s="106" t="s">
        <v>62</v>
      </c>
      <c r="J5" s="105" t="s">
        <v>9</v>
      </c>
      <c r="K5" s="105" t="s">
        <v>157</v>
      </c>
      <c r="L5" s="105" t="s">
        <v>748</v>
      </c>
      <c r="M5" s="108" t="s">
        <v>768</v>
      </c>
      <c r="N5" s="109" t="s">
        <v>769</v>
      </c>
      <c r="O5" s="109" t="s">
        <v>769</v>
      </c>
      <c r="P5" s="106" t="s">
        <v>770</v>
      </c>
      <c r="Q5" s="106"/>
      <c r="R5" s="106" t="s">
        <v>753</v>
      </c>
      <c r="S5" s="106"/>
      <c r="T5" s="106"/>
      <c r="U5" s="106"/>
      <c r="V5" s="110" t="s">
        <v>771</v>
      </c>
      <c r="W5" s="111"/>
    </row>
    <row r="6" spans="1:26" ht="75" customHeight="1">
      <c r="A6" s="103">
        <v>4</v>
      </c>
      <c r="B6" s="106">
        <v>4</v>
      </c>
      <c r="C6" s="105" t="s">
        <v>772</v>
      </c>
      <c r="D6" s="105" t="s">
        <v>765</v>
      </c>
      <c r="E6" s="106" t="s">
        <v>71</v>
      </c>
      <c r="F6" s="106" t="s">
        <v>773</v>
      </c>
      <c r="G6" s="105" t="s">
        <v>48</v>
      </c>
      <c r="H6" s="107" t="s">
        <v>774</v>
      </c>
      <c r="I6" s="106" t="s">
        <v>62</v>
      </c>
      <c r="J6" s="105" t="s">
        <v>9</v>
      </c>
      <c r="K6" s="105" t="s">
        <v>159</v>
      </c>
      <c r="L6" s="105" t="s">
        <v>748</v>
      </c>
      <c r="M6" s="108" t="s">
        <v>775</v>
      </c>
      <c r="N6" s="109" t="s">
        <v>776</v>
      </c>
      <c r="O6" s="109" t="s">
        <v>776</v>
      </c>
      <c r="P6" s="106" t="s">
        <v>770</v>
      </c>
      <c r="Q6" s="106"/>
      <c r="R6" s="106" t="s">
        <v>753</v>
      </c>
      <c r="S6" s="106"/>
      <c r="T6" s="106"/>
      <c r="U6" s="106"/>
      <c r="V6" s="110" t="s">
        <v>188</v>
      </c>
      <c r="W6" s="111"/>
    </row>
    <row r="7" spans="1:26" ht="75" customHeight="1">
      <c r="A7" s="103">
        <v>5</v>
      </c>
      <c r="B7" s="106">
        <v>5</v>
      </c>
      <c r="C7" s="105" t="s">
        <v>777</v>
      </c>
      <c r="D7" s="105" t="s">
        <v>778</v>
      </c>
      <c r="E7" s="106" t="s">
        <v>401</v>
      </c>
      <c r="F7" s="106" t="s">
        <v>779</v>
      </c>
      <c r="G7" s="105" t="s">
        <v>49</v>
      </c>
      <c r="H7" s="107" t="s">
        <v>780</v>
      </c>
      <c r="I7" s="106" t="s">
        <v>781</v>
      </c>
      <c r="J7" s="105" t="s">
        <v>9</v>
      </c>
      <c r="K7" s="105" t="s">
        <v>159</v>
      </c>
      <c r="L7" s="105" t="s">
        <v>748</v>
      </c>
      <c r="M7" s="108" t="s">
        <v>782</v>
      </c>
      <c r="N7" s="109" t="s">
        <v>783</v>
      </c>
      <c r="O7" s="109" t="s">
        <v>783</v>
      </c>
      <c r="P7" s="106" t="s">
        <v>770</v>
      </c>
      <c r="Q7" s="106"/>
      <c r="R7" s="106" t="s">
        <v>753</v>
      </c>
      <c r="S7" s="106"/>
      <c r="T7" s="106"/>
      <c r="U7" s="106"/>
      <c r="V7" s="110" t="s">
        <v>188</v>
      </c>
      <c r="W7" s="111"/>
    </row>
    <row r="8" spans="1:26" ht="75" customHeight="1">
      <c r="A8" s="103">
        <v>6</v>
      </c>
      <c r="B8" s="106">
        <v>6</v>
      </c>
      <c r="C8" s="105" t="s">
        <v>784</v>
      </c>
      <c r="D8" s="105" t="s">
        <v>778</v>
      </c>
      <c r="E8" s="106" t="s">
        <v>401</v>
      </c>
      <c r="F8" s="106" t="s">
        <v>779</v>
      </c>
      <c r="G8" s="105" t="s">
        <v>49</v>
      </c>
      <c r="H8" s="107" t="s">
        <v>785</v>
      </c>
      <c r="I8" s="106" t="s">
        <v>781</v>
      </c>
      <c r="J8" s="105" t="s">
        <v>9</v>
      </c>
      <c r="K8" s="105" t="s">
        <v>157</v>
      </c>
      <c r="L8" s="105" t="s">
        <v>786</v>
      </c>
      <c r="M8" s="108" t="s">
        <v>782</v>
      </c>
      <c r="N8" s="109" t="s">
        <v>787</v>
      </c>
      <c r="O8" s="109" t="s">
        <v>787</v>
      </c>
      <c r="P8" s="106"/>
      <c r="Q8" s="106"/>
      <c r="R8" s="106"/>
      <c r="S8" s="106"/>
      <c r="T8" s="106"/>
      <c r="U8" s="106"/>
      <c r="V8" s="110" t="s">
        <v>189</v>
      </c>
      <c r="W8" s="111"/>
    </row>
    <row r="9" spans="1:26" ht="75" customHeight="1">
      <c r="A9" s="103">
        <v>7</v>
      </c>
      <c r="B9" s="106">
        <v>7</v>
      </c>
      <c r="C9" s="105" t="s">
        <v>692</v>
      </c>
      <c r="D9" s="105" t="s">
        <v>778</v>
      </c>
      <c r="E9" s="106" t="s">
        <v>401</v>
      </c>
      <c r="F9" s="106" t="s">
        <v>779</v>
      </c>
      <c r="G9" s="105" t="s">
        <v>49</v>
      </c>
      <c r="H9" s="107"/>
      <c r="I9" s="106" t="s">
        <v>781</v>
      </c>
      <c r="J9" s="105" t="s">
        <v>9</v>
      </c>
      <c r="K9" s="105" t="s">
        <v>158</v>
      </c>
      <c r="L9" s="105" t="s">
        <v>748</v>
      </c>
      <c r="M9" s="108" t="s">
        <v>782</v>
      </c>
      <c r="N9" s="109" t="s">
        <v>788</v>
      </c>
      <c r="O9" s="109" t="s">
        <v>788</v>
      </c>
      <c r="P9" s="110" t="s">
        <v>789</v>
      </c>
      <c r="Q9" s="106"/>
      <c r="R9" s="106" t="s">
        <v>753</v>
      </c>
      <c r="S9" s="106"/>
      <c r="T9" s="106"/>
      <c r="U9" s="106"/>
      <c r="V9" s="110" t="s">
        <v>790</v>
      </c>
      <c r="W9" s="111"/>
    </row>
    <row r="10" spans="1:26" ht="75" customHeight="1">
      <c r="A10" s="103">
        <v>8</v>
      </c>
      <c r="B10" s="106">
        <v>8</v>
      </c>
      <c r="C10" s="105" t="s">
        <v>791</v>
      </c>
      <c r="D10" s="105" t="s">
        <v>792</v>
      </c>
      <c r="E10" s="106" t="s">
        <v>366</v>
      </c>
      <c r="F10" s="106" t="s">
        <v>793</v>
      </c>
      <c r="G10" s="105" t="s">
        <v>50</v>
      </c>
      <c r="H10" s="107" t="s">
        <v>794</v>
      </c>
      <c r="I10" s="106" t="s">
        <v>62</v>
      </c>
      <c r="J10" s="105" t="s">
        <v>11</v>
      </c>
      <c r="K10" s="105" t="s">
        <v>159</v>
      </c>
      <c r="L10" s="105" t="s">
        <v>795</v>
      </c>
      <c r="M10" s="108" t="s">
        <v>796</v>
      </c>
      <c r="N10" s="109" t="s">
        <v>797</v>
      </c>
      <c r="O10" s="109" t="s">
        <v>797</v>
      </c>
      <c r="P10" s="110" t="s">
        <v>798</v>
      </c>
      <c r="Q10" s="106"/>
      <c r="R10" s="106"/>
      <c r="S10" s="106"/>
      <c r="T10" s="106"/>
      <c r="U10" s="106"/>
      <c r="V10" s="110" t="s">
        <v>188</v>
      </c>
      <c r="W10" s="111"/>
    </row>
    <row r="11" spans="1:26" ht="75" customHeight="1">
      <c r="A11" s="103">
        <v>9</v>
      </c>
      <c r="B11" s="106">
        <v>9</v>
      </c>
      <c r="C11" s="105" t="s">
        <v>799</v>
      </c>
      <c r="D11" s="105" t="s">
        <v>385</v>
      </c>
      <c r="E11" s="106" t="s">
        <v>74</v>
      </c>
      <c r="F11" s="106"/>
      <c r="G11" s="105" t="s">
        <v>51</v>
      </c>
      <c r="H11" s="107" t="s">
        <v>800</v>
      </c>
      <c r="I11" s="106" t="s">
        <v>63</v>
      </c>
      <c r="J11" s="105" t="s">
        <v>11</v>
      </c>
      <c r="K11" s="105" t="s">
        <v>159</v>
      </c>
      <c r="L11" s="105" t="s">
        <v>748</v>
      </c>
      <c r="M11" s="109" t="s">
        <v>801</v>
      </c>
      <c r="N11" s="109" t="s">
        <v>802</v>
      </c>
      <c r="O11" s="109" t="s">
        <v>802</v>
      </c>
      <c r="P11" s="110" t="s">
        <v>803</v>
      </c>
      <c r="Q11" s="106"/>
      <c r="R11" s="106" t="s">
        <v>753</v>
      </c>
      <c r="S11" s="106"/>
      <c r="T11" s="106"/>
      <c r="U11" s="106"/>
      <c r="V11" s="110" t="s">
        <v>804</v>
      </c>
      <c r="W11" s="111"/>
    </row>
    <row r="12" spans="1:26" ht="75" customHeight="1">
      <c r="A12" s="103">
        <v>10</v>
      </c>
      <c r="B12" s="106">
        <v>10</v>
      </c>
      <c r="C12" s="105" t="s">
        <v>805</v>
      </c>
      <c r="D12" s="105" t="s">
        <v>806</v>
      </c>
      <c r="E12" s="106" t="s">
        <v>75</v>
      </c>
      <c r="F12" s="106" t="s">
        <v>807</v>
      </c>
      <c r="G12" s="105" t="s">
        <v>52</v>
      </c>
      <c r="H12" s="107" t="s">
        <v>808</v>
      </c>
      <c r="I12" s="106" t="s">
        <v>62</v>
      </c>
      <c r="J12" s="105" t="s">
        <v>11</v>
      </c>
      <c r="K12" s="105" t="s">
        <v>157</v>
      </c>
      <c r="L12" s="105" t="s">
        <v>748</v>
      </c>
      <c r="M12" s="108" t="s">
        <v>809</v>
      </c>
      <c r="N12" s="109" t="s">
        <v>810</v>
      </c>
      <c r="O12" s="109" t="s">
        <v>810</v>
      </c>
      <c r="P12" s="110" t="s">
        <v>811</v>
      </c>
      <c r="Q12" s="106"/>
      <c r="R12" s="106" t="s">
        <v>753</v>
      </c>
      <c r="S12" s="106"/>
      <c r="T12" s="106"/>
      <c r="U12" s="106"/>
      <c r="V12" s="110" t="s">
        <v>205</v>
      </c>
      <c r="W12" s="111"/>
    </row>
    <row r="13" spans="1:26" ht="75" customHeight="1">
      <c r="A13" s="103">
        <v>11</v>
      </c>
      <c r="B13" s="106">
        <v>11</v>
      </c>
      <c r="C13" s="105" t="s">
        <v>812</v>
      </c>
      <c r="D13" s="105" t="s">
        <v>813</v>
      </c>
      <c r="E13" s="106" t="s">
        <v>71</v>
      </c>
      <c r="F13" s="106" t="s">
        <v>814</v>
      </c>
      <c r="G13" s="105" t="s">
        <v>53</v>
      </c>
      <c r="H13" s="107" t="s">
        <v>815</v>
      </c>
      <c r="I13" s="106" t="s">
        <v>62</v>
      </c>
      <c r="J13" s="105" t="s">
        <v>9</v>
      </c>
      <c r="K13" s="105" t="s">
        <v>157</v>
      </c>
      <c r="L13" s="105" t="s">
        <v>748</v>
      </c>
      <c r="M13" s="108" t="s">
        <v>816</v>
      </c>
      <c r="N13" s="109" t="s">
        <v>817</v>
      </c>
      <c r="O13" s="109" t="s">
        <v>817</v>
      </c>
      <c r="P13" s="110" t="s">
        <v>818</v>
      </c>
      <c r="Q13" s="106"/>
      <c r="R13" s="106" t="s">
        <v>753</v>
      </c>
      <c r="S13" s="106"/>
      <c r="T13" s="106"/>
      <c r="U13" s="106"/>
      <c r="V13" s="110"/>
      <c r="W13" s="111"/>
    </row>
    <row r="14" spans="1:26" ht="75" customHeight="1">
      <c r="A14" s="103">
        <v>12</v>
      </c>
      <c r="B14" s="106">
        <v>12</v>
      </c>
      <c r="C14" s="105" t="s">
        <v>819</v>
      </c>
      <c r="D14" s="108" t="s">
        <v>820</v>
      </c>
      <c r="E14" s="106" t="s">
        <v>821</v>
      </c>
      <c r="F14" s="106" t="s">
        <v>822</v>
      </c>
      <c r="G14" s="105" t="s">
        <v>823</v>
      </c>
      <c r="H14" s="107" t="s">
        <v>824</v>
      </c>
      <c r="I14" s="106" t="s">
        <v>825</v>
      </c>
      <c r="J14" s="105" t="s">
        <v>9</v>
      </c>
      <c r="K14" s="105" t="s">
        <v>158</v>
      </c>
      <c r="L14" s="105" t="s">
        <v>786</v>
      </c>
      <c r="M14" s="108" t="s">
        <v>826</v>
      </c>
      <c r="N14" s="109" t="s">
        <v>827</v>
      </c>
      <c r="O14" s="109" t="s">
        <v>827</v>
      </c>
      <c r="P14" s="106"/>
      <c r="Q14" s="106"/>
      <c r="R14" s="106"/>
      <c r="S14" s="106"/>
      <c r="T14" s="106"/>
      <c r="U14" s="106"/>
      <c r="V14" s="110" t="s">
        <v>828</v>
      </c>
      <c r="W14" s="111"/>
    </row>
    <row r="15" spans="1:26" ht="75" customHeight="1">
      <c r="A15" s="103">
        <v>13</v>
      </c>
      <c r="B15" s="106">
        <v>13</v>
      </c>
      <c r="C15" s="105" t="s">
        <v>829</v>
      </c>
      <c r="D15" s="105" t="s">
        <v>390</v>
      </c>
      <c r="E15" s="106" t="s">
        <v>830</v>
      </c>
      <c r="F15" s="110" t="s">
        <v>831</v>
      </c>
      <c r="G15" s="105" t="s">
        <v>832</v>
      </c>
      <c r="H15" s="107" t="s">
        <v>833</v>
      </c>
      <c r="I15" s="106" t="s">
        <v>64</v>
      </c>
      <c r="J15" s="105" t="s">
        <v>11</v>
      </c>
      <c r="K15" s="105" t="s">
        <v>159</v>
      </c>
      <c r="L15" s="105" t="s">
        <v>105</v>
      </c>
      <c r="M15" s="108" t="s">
        <v>834</v>
      </c>
      <c r="N15" s="109" t="s">
        <v>835</v>
      </c>
      <c r="O15" s="109" t="s">
        <v>835</v>
      </c>
      <c r="P15" s="110" t="s">
        <v>836</v>
      </c>
      <c r="Q15" s="106"/>
      <c r="R15" s="106"/>
      <c r="S15" s="106"/>
      <c r="T15" s="106"/>
      <c r="U15" s="106"/>
      <c r="V15" s="110"/>
      <c r="W15" s="111"/>
    </row>
    <row r="16" spans="1:26" ht="75" customHeight="1">
      <c r="A16" s="103">
        <v>14</v>
      </c>
      <c r="B16" s="106">
        <v>14</v>
      </c>
      <c r="C16" s="105" t="s">
        <v>764</v>
      </c>
      <c r="D16" s="105" t="s">
        <v>837</v>
      </c>
      <c r="E16" s="106" t="s">
        <v>76</v>
      </c>
      <c r="F16" s="106" t="s">
        <v>838</v>
      </c>
      <c r="G16" s="105" t="s">
        <v>54</v>
      </c>
      <c r="H16" s="107" t="s">
        <v>839</v>
      </c>
      <c r="I16" s="106" t="s">
        <v>64</v>
      </c>
      <c r="J16" s="105" t="s">
        <v>10</v>
      </c>
      <c r="K16" s="105" t="s">
        <v>159</v>
      </c>
      <c r="L16" s="108" t="s">
        <v>840</v>
      </c>
      <c r="M16" s="108" t="s">
        <v>841</v>
      </c>
      <c r="N16" s="109" t="s">
        <v>842</v>
      </c>
      <c r="O16" s="109" t="s">
        <v>842</v>
      </c>
      <c r="P16" s="106" t="s">
        <v>843</v>
      </c>
      <c r="Q16" s="106"/>
      <c r="R16" s="106"/>
      <c r="S16" s="106"/>
      <c r="T16" s="106"/>
      <c r="U16" s="106"/>
      <c r="V16" s="110" t="s">
        <v>844</v>
      </c>
      <c r="W16" s="111"/>
    </row>
    <row r="17" spans="1:23" ht="75" customHeight="1">
      <c r="A17" s="103">
        <v>15</v>
      </c>
      <c r="B17" s="106">
        <v>15</v>
      </c>
      <c r="C17" s="105" t="s">
        <v>845</v>
      </c>
      <c r="D17" s="105" t="s">
        <v>846</v>
      </c>
      <c r="E17" s="106" t="s">
        <v>71</v>
      </c>
      <c r="F17" s="110" t="s">
        <v>847</v>
      </c>
      <c r="G17" s="105" t="s">
        <v>55</v>
      </c>
      <c r="H17" s="107" t="s">
        <v>848</v>
      </c>
      <c r="I17" s="106" t="s">
        <v>62</v>
      </c>
      <c r="J17" s="105" t="s">
        <v>9</v>
      </c>
      <c r="K17" s="105" t="s">
        <v>159</v>
      </c>
      <c r="L17" s="105" t="s">
        <v>849</v>
      </c>
      <c r="M17" s="108" t="s">
        <v>850</v>
      </c>
      <c r="N17" s="109" t="s">
        <v>851</v>
      </c>
      <c r="O17" s="109" t="s">
        <v>851</v>
      </c>
      <c r="P17" s="106"/>
      <c r="Q17" s="106"/>
      <c r="R17" s="106"/>
      <c r="S17" s="106"/>
      <c r="T17" s="106"/>
      <c r="U17" s="106"/>
      <c r="V17" s="110" t="s">
        <v>852</v>
      </c>
      <c r="W17" s="111"/>
    </row>
    <row r="18" spans="1:23" ht="75" customHeight="1">
      <c r="A18" s="103">
        <v>16</v>
      </c>
      <c r="B18" s="106">
        <v>16</v>
      </c>
      <c r="C18" s="105" t="s">
        <v>845</v>
      </c>
      <c r="D18" s="108" t="s">
        <v>853</v>
      </c>
      <c r="E18" s="106" t="s">
        <v>854</v>
      </c>
      <c r="F18" s="106" t="s">
        <v>85</v>
      </c>
      <c r="G18" s="105" t="s">
        <v>56</v>
      </c>
      <c r="H18" s="107" t="s">
        <v>855</v>
      </c>
      <c r="I18" s="106" t="s">
        <v>62</v>
      </c>
      <c r="J18" s="105" t="s">
        <v>10</v>
      </c>
      <c r="K18" s="105" t="s">
        <v>159</v>
      </c>
      <c r="L18" s="105" t="s">
        <v>849</v>
      </c>
      <c r="M18" s="108" t="s">
        <v>856</v>
      </c>
      <c r="N18" s="109" t="s">
        <v>1059</v>
      </c>
      <c r="O18" s="109" t="s">
        <v>1058</v>
      </c>
      <c r="P18" s="106" t="s">
        <v>857</v>
      </c>
      <c r="Q18" s="106"/>
      <c r="R18" s="106"/>
      <c r="S18" s="106"/>
      <c r="T18" s="106"/>
      <c r="U18" s="106"/>
      <c r="V18" s="110" t="s">
        <v>858</v>
      </c>
      <c r="W18" s="111"/>
    </row>
    <row r="19" spans="1:23" ht="75" customHeight="1">
      <c r="A19" s="103">
        <v>17</v>
      </c>
      <c r="B19" s="106">
        <v>17</v>
      </c>
      <c r="C19" s="105" t="s">
        <v>829</v>
      </c>
      <c r="D19" s="105" t="s">
        <v>859</v>
      </c>
      <c r="E19" s="106"/>
      <c r="F19" s="106" t="s">
        <v>86</v>
      </c>
      <c r="G19" s="105"/>
      <c r="H19" s="107" t="s">
        <v>860</v>
      </c>
      <c r="I19" s="106"/>
      <c r="J19" s="105" t="s">
        <v>9</v>
      </c>
      <c r="K19" s="105" t="s">
        <v>158</v>
      </c>
      <c r="L19" s="105" t="s">
        <v>849</v>
      </c>
      <c r="M19" s="108" t="s">
        <v>861</v>
      </c>
      <c r="N19" s="109" t="s">
        <v>862</v>
      </c>
      <c r="O19" s="109" t="s">
        <v>862</v>
      </c>
      <c r="P19" s="106"/>
      <c r="Q19" s="106"/>
      <c r="R19" s="106"/>
      <c r="S19" s="106"/>
      <c r="T19" s="106"/>
      <c r="U19" s="106"/>
      <c r="V19" s="110" t="s">
        <v>863</v>
      </c>
      <c r="W19" s="111"/>
    </row>
    <row r="20" spans="1:23" ht="75" customHeight="1">
      <c r="A20" s="103">
        <v>18</v>
      </c>
      <c r="B20" s="106">
        <v>18</v>
      </c>
      <c r="C20" s="105" t="s">
        <v>744</v>
      </c>
      <c r="D20" s="105" t="s">
        <v>864</v>
      </c>
      <c r="E20" s="106" t="s">
        <v>79</v>
      </c>
      <c r="F20" s="106"/>
      <c r="G20" s="105" t="s">
        <v>57</v>
      </c>
      <c r="H20" s="107" t="s">
        <v>865</v>
      </c>
      <c r="I20" s="106" t="s">
        <v>62</v>
      </c>
      <c r="J20" s="105" t="s">
        <v>9</v>
      </c>
      <c r="K20" s="105" t="s">
        <v>159</v>
      </c>
      <c r="L20" s="105" t="s">
        <v>849</v>
      </c>
      <c r="M20" s="108" t="s">
        <v>866</v>
      </c>
      <c r="N20" s="109" t="s">
        <v>867</v>
      </c>
      <c r="O20" s="109" t="s">
        <v>867</v>
      </c>
      <c r="P20" s="106"/>
      <c r="Q20" s="106"/>
      <c r="R20" s="106"/>
      <c r="S20" s="106"/>
      <c r="T20" s="106"/>
      <c r="U20" s="106"/>
      <c r="V20" s="110" t="s">
        <v>868</v>
      </c>
      <c r="W20" s="111" t="s">
        <v>869</v>
      </c>
    </row>
    <row r="21" spans="1:23" ht="75" customHeight="1">
      <c r="A21" s="103">
        <v>19</v>
      </c>
      <c r="B21" s="106">
        <v>19</v>
      </c>
      <c r="C21" s="105" t="s">
        <v>870</v>
      </c>
      <c r="D21" s="105" t="s">
        <v>871</v>
      </c>
      <c r="E21" s="106" t="s">
        <v>872</v>
      </c>
      <c r="F21" s="106" t="s">
        <v>873</v>
      </c>
      <c r="G21" s="105" t="s">
        <v>874</v>
      </c>
      <c r="H21" s="107" t="s">
        <v>875</v>
      </c>
      <c r="I21" s="106" t="s">
        <v>876</v>
      </c>
      <c r="J21" s="105" t="s">
        <v>11</v>
      </c>
      <c r="K21" s="105" t="s">
        <v>157</v>
      </c>
      <c r="L21" s="105" t="s">
        <v>748</v>
      </c>
      <c r="M21" s="108" t="s">
        <v>877</v>
      </c>
      <c r="N21" s="109" t="s">
        <v>878</v>
      </c>
      <c r="O21" s="109" t="s">
        <v>878</v>
      </c>
      <c r="P21" s="106"/>
      <c r="Q21" s="106"/>
      <c r="R21" s="106"/>
      <c r="S21" s="106"/>
      <c r="T21" s="106"/>
      <c r="U21" s="106"/>
      <c r="V21" s="110" t="s">
        <v>879</v>
      </c>
      <c r="W21" s="111"/>
    </row>
    <row r="22" spans="1:23" ht="75" customHeight="1">
      <c r="A22" s="103">
        <v>20</v>
      </c>
      <c r="B22" s="106">
        <v>20</v>
      </c>
      <c r="C22" s="105" t="s">
        <v>880</v>
      </c>
      <c r="D22" s="105" t="s">
        <v>881</v>
      </c>
      <c r="E22" s="106" t="s">
        <v>80</v>
      </c>
      <c r="F22" s="106" t="s">
        <v>882</v>
      </c>
      <c r="G22" s="105" t="s">
        <v>58</v>
      </c>
      <c r="H22" s="107" t="s">
        <v>883</v>
      </c>
      <c r="I22" s="106" t="s">
        <v>65</v>
      </c>
      <c r="J22" s="105" t="s">
        <v>9</v>
      </c>
      <c r="K22" s="105" t="s">
        <v>159</v>
      </c>
      <c r="L22" s="105" t="s">
        <v>849</v>
      </c>
      <c r="M22" s="108"/>
      <c r="N22" s="109" t="s">
        <v>884</v>
      </c>
      <c r="O22" s="109" t="s">
        <v>884</v>
      </c>
      <c r="P22" s="106"/>
      <c r="Q22" s="106"/>
      <c r="R22" s="106"/>
      <c r="S22" s="106"/>
      <c r="T22" s="106"/>
      <c r="U22" s="106"/>
      <c r="V22" s="110"/>
      <c r="W22" s="111"/>
    </row>
    <row r="23" spans="1:23" ht="75" customHeight="1">
      <c r="A23" s="103">
        <v>21</v>
      </c>
      <c r="B23" s="106">
        <v>21</v>
      </c>
      <c r="C23" s="105" t="s">
        <v>885</v>
      </c>
      <c r="D23" s="105" t="s">
        <v>886</v>
      </c>
      <c r="E23" s="106" t="s">
        <v>81</v>
      </c>
      <c r="F23" s="106" t="s">
        <v>88</v>
      </c>
      <c r="G23" s="105" t="s">
        <v>59</v>
      </c>
      <c r="H23" s="107" t="s">
        <v>887</v>
      </c>
      <c r="I23" s="106" t="s">
        <v>66</v>
      </c>
      <c r="J23" s="105" t="s">
        <v>888</v>
      </c>
      <c r="K23" s="105"/>
      <c r="L23" s="105" t="s">
        <v>889</v>
      </c>
      <c r="M23" s="108" t="s">
        <v>890</v>
      </c>
      <c r="N23" s="109" t="s">
        <v>891</v>
      </c>
      <c r="O23" s="109" t="s">
        <v>891</v>
      </c>
      <c r="P23" s="106"/>
      <c r="Q23" s="106"/>
      <c r="R23" s="106"/>
      <c r="S23" s="106"/>
      <c r="T23" s="106"/>
      <c r="U23" s="106"/>
      <c r="V23" s="110" t="s">
        <v>892</v>
      </c>
      <c r="W23" s="111"/>
    </row>
    <row r="24" spans="1:23" ht="75" customHeight="1">
      <c r="A24" s="103">
        <v>22</v>
      </c>
      <c r="B24" s="106">
        <v>22</v>
      </c>
      <c r="C24" s="105" t="s">
        <v>893</v>
      </c>
      <c r="D24" s="105" t="s">
        <v>886</v>
      </c>
      <c r="E24" s="106" t="s">
        <v>81</v>
      </c>
      <c r="F24" s="106" t="s">
        <v>88</v>
      </c>
      <c r="G24" s="105" t="s">
        <v>60</v>
      </c>
      <c r="H24" s="107" t="s">
        <v>894</v>
      </c>
      <c r="I24" s="106" t="s">
        <v>62</v>
      </c>
      <c r="J24" s="105" t="s">
        <v>895</v>
      </c>
      <c r="K24" s="105"/>
      <c r="L24" s="108" t="s">
        <v>896</v>
      </c>
      <c r="M24" s="108" t="s">
        <v>890</v>
      </c>
      <c r="N24" s="109" t="s">
        <v>891</v>
      </c>
      <c r="O24" s="109" t="s">
        <v>891</v>
      </c>
      <c r="P24" s="106"/>
      <c r="Q24" s="106"/>
      <c r="R24" s="106"/>
      <c r="S24" s="106"/>
      <c r="T24" s="106"/>
      <c r="U24" s="106"/>
      <c r="V24" s="110" t="s">
        <v>897</v>
      </c>
      <c r="W24" s="111"/>
    </row>
    <row r="25" spans="1:23" ht="75" customHeight="1">
      <c r="A25" s="103">
        <v>23</v>
      </c>
      <c r="B25" s="106">
        <v>23</v>
      </c>
      <c r="C25" s="105" t="s">
        <v>401</v>
      </c>
      <c r="D25" s="105" t="s">
        <v>898</v>
      </c>
      <c r="E25" s="106"/>
      <c r="F25" s="106"/>
      <c r="G25" s="105"/>
      <c r="H25" s="107"/>
      <c r="I25" s="106"/>
      <c r="J25" s="105" t="s">
        <v>895</v>
      </c>
      <c r="K25" s="105"/>
      <c r="L25" s="108" t="s">
        <v>896</v>
      </c>
      <c r="M25" s="108" t="s">
        <v>899</v>
      </c>
      <c r="N25" s="109" t="s">
        <v>900</v>
      </c>
      <c r="O25" s="109" t="s">
        <v>900</v>
      </c>
      <c r="P25" s="106"/>
      <c r="Q25" s="106"/>
      <c r="R25" s="106"/>
      <c r="S25" s="106"/>
      <c r="T25" s="106"/>
      <c r="U25" s="106"/>
      <c r="V25" s="110"/>
      <c r="W25" s="111"/>
    </row>
    <row r="26" spans="1:23" ht="75" customHeight="1">
      <c r="A26" s="103">
        <v>24</v>
      </c>
      <c r="B26" s="106">
        <v>24</v>
      </c>
      <c r="C26" s="105" t="s">
        <v>901</v>
      </c>
      <c r="D26" s="105" t="s">
        <v>898</v>
      </c>
      <c r="E26" s="106"/>
      <c r="F26" s="106"/>
      <c r="G26" s="105"/>
      <c r="H26" s="107"/>
      <c r="I26" s="106"/>
      <c r="J26" s="105" t="s">
        <v>902</v>
      </c>
      <c r="K26" s="105"/>
      <c r="L26" s="108" t="s">
        <v>896</v>
      </c>
      <c r="M26" s="108" t="s">
        <v>903</v>
      </c>
      <c r="N26" s="109" t="s">
        <v>900</v>
      </c>
      <c r="O26" s="109" t="s">
        <v>900</v>
      </c>
      <c r="P26" s="106"/>
      <c r="Q26" s="106"/>
      <c r="R26" s="106"/>
      <c r="S26" s="106"/>
      <c r="T26" s="106"/>
      <c r="U26" s="106"/>
      <c r="V26" s="110"/>
      <c r="W26" s="111"/>
    </row>
    <row r="27" spans="1:23" ht="75" customHeight="1">
      <c r="A27" s="103">
        <v>25</v>
      </c>
      <c r="B27" s="106">
        <v>25</v>
      </c>
      <c r="C27" s="105" t="s">
        <v>904</v>
      </c>
      <c r="D27" s="105" t="s">
        <v>905</v>
      </c>
      <c r="E27" s="106"/>
      <c r="F27" s="106"/>
      <c r="G27" s="105"/>
      <c r="H27" s="107"/>
      <c r="I27" s="106"/>
      <c r="J27" s="105" t="s">
        <v>10</v>
      </c>
      <c r="K27" s="105" t="s">
        <v>159</v>
      </c>
      <c r="L27" s="105" t="s">
        <v>849</v>
      </c>
      <c r="M27" s="108"/>
      <c r="N27" s="109"/>
      <c r="O27" s="109"/>
      <c r="P27" s="106"/>
      <c r="Q27" s="106"/>
      <c r="R27" s="106"/>
      <c r="S27" s="106"/>
      <c r="T27" s="106"/>
      <c r="U27" s="106"/>
      <c r="V27" s="110"/>
      <c r="W27" s="111"/>
    </row>
    <row r="28" spans="1:23" ht="75" customHeight="1">
      <c r="A28" s="103">
        <v>26</v>
      </c>
      <c r="B28" s="106">
        <v>26</v>
      </c>
      <c r="C28" s="105" t="s">
        <v>906</v>
      </c>
      <c r="D28" s="105" t="s">
        <v>907</v>
      </c>
      <c r="E28" s="106" t="s">
        <v>69</v>
      </c>
      <c r="F28" s="106"/>
      <c r="G28" s="105" t="s">
        <v>908</v>
      </c>
      <c r="H28" s="107" t="s">
        <v>909</v>
      </c>
      <c r="I28" s="106"/>
      <c r="J28" s="105" t="s">
        <v>11</v>
      </c>
      <c r="K28" s="105" t="s">
        <v>159</v>
      </c>
      <c r="L28" s="105" t="s">
        <v>910</v>
      </c>
      <c r="M28" s="108" t="s">
        <v>911</v>
      </c>
      <c r="N28" s="109" t="s">
        <v>912</v>
      </c>
      <c r="O28" s="109" t="s">
        <v>912</v>
      </c>
      <c r="P28" s="106"/>
      <c r="Q28" s="106"/>
      <c r="R28" s="106"/>
      <c r="S28" s="106"/>
      <c r="T28" s="106"/>
      <c r="U28" s="106"/>
      <c r="V28" s="110" t="s">
        <v>913</v>
      </c>
      <c r="W28" s="111"/>
    </row>
    <row r="29" spans="1:23" ht="75" customHeight="1">
      <c r="A29" s="103">
        <v>27</v>
      </c>
      <c r="B29" s="106">
        <v>27</v>
      </c>
      <c r="C29" s="105" t="s">
        <v>914</v>
      </c>
      <c r="D29" s="105" t="s">
        <v>915</v>
      </c>
      <c r="E29" s="106" t="s">
        <v>916</v>
      </c>
      <c r="F29" s="106"/>
      <c r="G29" s="105" t="s">
        <v>917</v>
      </c>
      <c r="H29" s="107" t="s">
        <v>918</v>
      </c>
      <c r="I29" s="106" t="s">
        <v>62</v>
      </c>
      <c r="J29" s="105" t="s">
        <v>9</v>
      </c>
      <c r="K29" s="105" t="s">
        <v>159</v>
      </c>
      <c r="L29" s="105" t="s">
        <v>910</v>
      </c>
      <c r="M29" s="108" t="s">
        <v>919</v>
      </c>
      <c r="N29" s="109" t="s">
        <v>920</v>
      </c>
      <c r="O29" s="109" t="s">
        <v>920</v>
      </c>
      <c r="P29" s="106"/>
      <c r="Q29" s="106"/>
      <c r="R29" s="106"/>
      <c r="S29" s="106"/>
      <c r="T29" s="106"/>
      <c r="U29" s="106"/>
      <c r="V29" s="110" t="s">
        <v>921</v>
      </c>
      <c r="W29" s="111"/>
    </row>
    <row r="30" spans="1:23" ht="75" customHeight="1">
      <c r="A30" s="103">
        <v>28</v>
      </c>
      <c r="B30" s="106">
        <v>28</v>
      </c>
      <c r="C30" s="105" t="s">
        <v>922</v>
      </c>
      <c r="D30" s="105" t="s">
        <v>923</v>
      </c>
      <c r="E30" s="106" t="s">
        <v>924</v>
      </c>
      <c r="F30" s="106"/>
      <c r="G30" s="105" t="s">
        <v>925</v>
      </c>
      <c r="H30" s="107" t="s">
        <v>926</v>
      </c>
      <c r="I30" s="106"/>
      <c r="J30" s="105" t="s">
        <v>10</v>
      </c>
      <c r="K30" s="105" t="s">
        <v>159</v>
      </c>
      <c r="L30" s="105" t="s">
        <v>910</v>
      </c>
      <c r="M30" s="108" t="s">
        <v>927</v>
      </c>
      <c r="N30" s="109" t="s">
        <v>928</v>
      </c>
      <c r="O30" s="109" t="s">
        <v>928</v>
      </c>
      <c r="P30" s="106"/>
      <c r="Q30" s="106"/>
      <c r="R30" s="106"/>
      <c r="S30" s="106"/>
      <c r="T30" s="106"/>
      <c r="U30" s="106"/>
      <c r="V30" s="110" t="s">
        <v>929</v>
      </c>
      <c r="W30" s="111"/>
    </row>
    <row r="31" spans="1:23" ht="75" customHeight="1">
      <c r="A31" s="103">
        <v>29</v>
      </c>
      <c r="B31" s="106">
        <v>29</v>
      </c>
      <c r="C31" s="105" t="s">
        <v>930</v>
      </c>
      <c r="D31" s="105" t="s">
        <v>931</v>
      </c>
      <c r="E31" s="106" t="s">
        <v>72</v>
      </c>
      <c r="F31" s="106"/>
      <c r="G31" s="105" t="s">
        <v>932</v>
      </c>
      <c r="H31" s="107" t="s">
        <v>933</v>
      </c>
      <c r="I31" s="106"/>
      <c r="J31" s="105" t="s">
        <v>10</v>
      </c>
      <c r="K31" s="105" t="s">
        <v>159</v>
      </c>
      <c r="L31" s="105" t="s">
        <v>910</v>
      </c>
      <c r="M31" s="108" t="s">
        <v>934</v>
      </c>
      <c r="N31" s="109" t="s">
        <v>935</v>
      </c>
      <c r="O31" s="109" t="s">
        <v>935</v>
      </c>
      <c r="P31" s="106"/>
      <c r="Q31" s="106"/>
      <c r="R31" s="106"/>
      <c r="S31" s="106"/>
      <c r="T31" s="106"/>
      <c r="U31" s="106"/>
      <c r="V31" s="110" t="s">
        <v>936</v>
      </c>
      <c r="W31" s="111"/>
    </row>
    <row r="32" spans="1:23" ht="75" customHeight="1">
      <c r="A32" s="103">
        <v>30</v>
      </c>
      <c r="B32" s="106">
        <v>30</v>
      </c>
      <c r="C32" s="105" t="s">
        <v>904</v>
      </c>
      <c r="D32" s="105" t="s">
        <v>937</v>
      </c>
      <c r="E32" s="106"/>
      <c r="F32" s="106"/>
      <c r="G32" s="105"/>
      <c r="H32" s="107"/>
      <c r="I32" s="106"/>
      <c r="J32" s="105"/>
      <c r="K32" s="105"/>
      <c r="L32" s="105"/>
      <c r="M32" s="108"/>
      <c r="N32" s="109" t="s">
        <v>938</v>
      </c>
      <c r="O32" s="109" t="s">
        <v>938</v>
      </c>
      <c r="P32" s="106"/>
      <c r="Q32" s="106"/>
      <c r="R32" s="106"/>
      <c r="S32" s="106"/>
      <c r="T32" s="106"/>
      <c r="U32" s="106"/>
      <c r="V32" s="110"/>
      <c r="W32" s="111"/>
    </row>
    <row r="33" spans="1:23" ht="75" customHeight="1">
      <c r="A33" s="103">
        <v>31</v>
      </c>
      <c r="B33" s="106">
        <v>31</v>
      </c>
      <c r="C33" s="105" t="s">
        <v>939</v>
      </c>
      <c r="D33" s="105" t="s">
        <v>940</v>
      </c>
      <c r="E33" s="106" t="s">
        <v>957</v>
      </c>
      <c r="F33" s="106" t="s">
        <v>958</v>
      </c>
      <c r="G33" s="105" t="s">
        <v>959</v>
      </c>
      <c r="H33" s="107" t="s">
        <v>960</v>
      </c>
      <c r="I33" s="106" t="s">
        <v>62</v>
      </c>
      <c r="J33" s="105" t="s">
        <v>9</v>
      </c>
      <c r="K33" s="105" t="s">
        <v>159</v>
      </c>
      <c r="L33" s="105" t="s">
        <v>941</v>
      </c>
      <c r="M33" s="108" t="s">
        <v>961</v>
      </c>
      <c r="N33" s="109" t="s">
        <v>1056</v>
      </c>
      <c r="O33" s="109" t="s">
        <v>1057</v>
      </c>
      <c r="P33" s="106"/>
      <c r="Q33" s="106"/>
      <c r="R33" s="106"/>
      <c r="S33" s="106"/>
      <c r="T33" s="106"/>
      <c r="U33" s="106"/>
      <c r="V33" s="110"/>
      <c r="W33" s="111"/>
    </row>
    <row r="34" spans="1:23" ht="75" customHeight="1">
      <c r="A34" s="103">
        <v>32</v>
      </c>
      <c r="B34" s="106">
        <v>32</v>
      </c>
      <c r="C34" s="105" t="s">
        <v>777</v>
      </c>
      <c r="D34" s="105" t="s">
        <v>942</v>
      </c>
      <c r="E34" s="201" t="s">
        <v>519</v>
      </c>
      <c r="F34" s="201"/>
      <c r="G34" s="202" t="s">
        <v>943</v>
      </c>
      <c r="H34" s="203" t="s">
        <v>944</v>
      </c>
      <c r="I34" s="201"/>
      <c r="J34" s="202"/>
      <c r="K34" s="202"/>
      <c r="L34" s="202"/>
      <c r="M34" s="204" t="s">
        <v>945</v>
      </c>
      <c r="N34" s="109" t="s">
        <v>946</v>
      </c>
      <c r="O34" s="109" t="s">
        <v>946</v>
      </c>
      <c r="P34" s="106"/>
      <c r="Q34" s="106"/>
      <c r="R34" s="106"/>
      <c r="S34" s="106"/>
      <c r="T34" s="106"/>
      <c r="U34" s="106"/>
      <c r="V34" s="110" t="s">
        <v>947</v>
      </c>
      <c r="W34" s="111"/>
    </row>
    <row r="35" spans="1:23" ht="75" customHeight="1">
      <c r="A35" s="103">
        <v>33</v>
      </c>
      <c r="B35" s="106">
        <v>33</v>
      </c>
      <c r="C35" s="105" t="s">
        <v>948</v>
      </c>
      <c r="D35" s="105" t="s">
        <v>949</v>
      </c>
      <c r="E35" s="106" t="s">
        <v>70</v>
      </c>
      <c r="F35" s="106" t="s">
        <v>950</v>
      </c>
      <c r="G35" s="105" t="s">
        <v>951</v>
      </c>
      <c r="H35" s="107" t="s">
        <v>952</v>
      </c>
      <c r="I35" s="106" t="s">
        <v>62</v>
      </c>
      <c r="J35" s="105"/>
      <c r="K35" s="105"/>
      <c r="L35" s="105"/>
      <c r="M35" s="108" t="s">
        <v>953</v>
      </c>
      <c r="N35" s="109" t="s">
        <v>954</v>
      </c>
      <c r="O35" s="109" t="s">
        <v>954</v>
      </c>
      <c r="P35" s="106"/>
      <c r="Q35" s="106"/>
      <c r="R35" s="106"/>
      <c r="S35" s="106"/>
      <c r="T35" s="106"/>
      <c r="U35" s="106"/>
      <c r="V35" s="110"/>
      <c r="W35" s="111"/>
    </row>
    <row r="36" spans="1:23" ht="75" customHeight="1">
      <c r="A36" s="103">
        <v>34</v>
      </c>
      <c r="B36" s="106">
        <v>34</v>
      </c>
      <c r="C36" s="105" t="s">
        <v>845</v>
      </c>
      <c r="D36" s="105" t="s">
        <v>955</v>
      </c>
      <c r="E36" s="106"/>
      <c r="F36" s="106"/>
      <c r="G36" s="105"/>
      <c r="H36" s="107"/>
      <c r="I36" s="106"/>
      <c r="J36" s="105"/>
      <c r="K36" s="105"/>
      <c r="L36" s="105"/>
      <c r="M36" s="108"/>
      <c r="N36" s="109" t="s">
        <v>956</v>
      </c>
      <c r="O36" s="109" t="s">
        <v>956</v>
      </c>
      <c r="P36" s="106"/>
      <c r="Q36" s="106"/>
      <c r="R36" s="106"/>
      <c r="S36" s="106"/>
      <c r="T36" s="106"/>
      <c r="U36" s="106"/>
      <c r="V36" s="110"/>
      <c r="W36" s="111"/>
    </row>
    <row r="37" spans="1:23" ht="75" customHeight="1">
      <c r="A37" s="103">
        <v>35</v>
      </c>
      <c r="B37" s="106">
        <v>35</v>
      </c>
      <c r="C37" s="105"/>
      <c r="D37" s="105"/>
      <c r="E37" s="106"/>
      <c r="F37" s="106"/>
      <c r="G37" s="105"/>
      <c r="H37" s="107"/>
      <c r="I37" s="106"/>
      <c r="J37" s="105"/>
      <c r="K37" s="105"/>
      <c r="L37" s="105"/>
      <c r="M37" s="108"/>
      <c r="N37" s="109"/>
      <c r="O37" s="109"/>
      <c r="P37" s="106"/>
      <c r="Q37" s="106"/>
      <c r="R37" s="106"/>
      <c r="S37" s="106"/>
      <c r="T37" s="106"/>
      <c r="U37" s="106"/>
      <c r="V37" s="110"/>
      <c r="W37" s="111"/>
    </row>
    <row r="38" spans="1:23" ht="75" customHeight="1">
      <c r="A38" s="103">
        <v>36</v>
      </c>
      <c r="B38" s="106">
        <v>36</v>
      </c>
      <c r="C38" s="105"/>
      <c r="D38" s="105"/>
      <c r="E38" s="106"/>
      <c r="F38" s="106"/>
      <c r="G38" s="105"/>
      <c r="H38" s="107"/>
      <c r="I38" s="106"/>
      <c r="J38" s="105"/>
      <c r="K38" s="105"/>
      <c r="L38" s="105"/>
      <c r="M38" s="108"/>
      <c r="N38" s="109"/>
      <c r="O38" s="109"/>
      <c r="P38" s="106"/>
      <c r="Q38" s="106"/>
      <c r="R38" s="106"/>
      <c r="S38" s="106"/>
      <c r="T38" s="106"/>
      <c r="U38" s="106"/>
      <c r="V38" s="110"/>
      <c r="W38" s="111"/>
    </row>
    <row r="39" spans="1:23" ht="75" customHeight="1">
      <c r="A39" s="103">
        <v>37</v>
      </c>
      <c r="B39" s="106">
        <v>37</v>
      </c>
      <c r="C39" s="105"/>
      <c r="D39" s="105"/>
      <c r="E39" s="106"/>
      <c r="F39" s="106"/>
      <c r="G39" s="105"/>
      <c r="H39" s="107"/>
      <c r="I39" s="106"/>
      <c r="J39" s="105"/>
      <c r="K39" s="105"/>
      <c r="L39" s="105"/>
      <c r="M39" s="108"/>
      <c r="N39" s="109"/>
      <c r="O39" s="109"/>
      <c r="P39" s="106"/>
      <c r="Q39" s="106"/>
      <c r="R39" s="106"/>
      <c r="S39" s="106"/>
      <c r="T39" s="106"/>
      <c r="U39" s="106"/>
      <c r="V39" s="110"/>
      <c r="W39" s="111"/>
    </row>
    <row r="40" spans="1:23" ht="75" customHeight="1" thickBot="1">
      <c r="A40" s="113"/>
      <c r="B40" s="114"/>
      <c r="C40" s="115"/>
      <c r="D40" s="115"/>
      <c r="E40" s="114"/>
      <c r="F40" s="114"/>
      <c r="G40" s="115"/>
      <c r="H40" s="116"/>
      <c r="I40" s="114"/>
      <c r="J40" s="115"/>
      <c r="K40" s="115"/>
      <c r="L40" s="115"/>
      <c r="M40" s="117"/>
      <c r="N40" s="118"/>
      <c r="O40" s="118"/>
      <c r="P40" s="114"/>
      <c r="Q40" s="114"/>
      <c r="R40" s="114"/>
      <c r="S40" s="114"/>
      <c r="T40" s="114"/>
      <c r="U40" s="114"/>
      <c r="V40" s="119" t="s">
        <v>962</v>
      </c>
      <c r="W40" s="120"/>
    </row>
    <row r="41" spans="1:23" ht="75" customHeight="1" thickTop="1">
      <c r="A41" s="121"/>
      <c r="B41" s="121"/>
      <c r="C41" s="122"/>
      <c r="D41" s="122"/>
      <c r="E41" s="121"/>
      <c r="F41" s="121"/>
      <c r="G41" s="122"/>
      <c r="H41" s="123"/>
      <c r="I41" s="121"/>
      <c r="J41" s="122"/>
      <c r="K41" s="122"/>
      <c r="L41" s="122"/>
      <c r="M41" s="124"/>
      <c r="N41" s="125"/>
      <c r="O41" s="125"/>
      <c r="P41" s="121"/>
      <c r="Q41" s="121"/>
      <c r="R41" s="121"/>
      <c r="S41" s="121"/>
      <c r="T41" s="121"/>
      <c r="U41" s="121"/>
      <c r="V41" s="126"/>
      <c r="W41" s="121"/>
    </row>
    <row r="42" spans="1:23" ht="75" customHeight="1">
      <c r="A42" s="121"/>
      <c r="B42" s="121"/>
      <c r="C42" s="122"/>
      <c r="D42" s="122"/>
      <c r="E42" s="121"/>
      <c r="F42" s="121"/>
      <c r="G42" s="122"/>
      <c r="H42" s="123"/>
      <c r="I42" s="121"/>
      <c r="J42" s="122"/>
      <c r="K42" s="122"/>
      <c r="L42" s="122"/>
      <c r="M42" s="124"/>
      <c r="N42" s="125"/>
      <c r="O42" s="125"/>
      <c r="P42" s="121"/>
      <c r="Q42" s="121"/>
      <c r="R42" s="121"/>
      <c r="S42" s="121"/>
      <c r="T42" s="121"/>
      <c r="U42" s="121"/>
      <c r="V42" s="126"/>
      <c r="W42" s="121"/>
    </row>
    <row r="43" spans="1:23" ht="75" customHeight="1">
      <c r="A43" s="121"/>
      <c r="B43" s="121"/>
      <c r="C43" s="122"/>
      <c r="D43" s="122"/>
      <c r="E43" s="121"/>
      <c r="F43" s="121"/>
      <c r="G43" s="122"/>
      <c r="H43" s="123"/>
      <c r="I43" s="121"/>
      <c r="J43" s="122"/>
      <c r="K43" s="122"/>
      <c r="L43" s="122"/>
      <c r="M43" s="124"/>
      <c r="N43" s="125"/>
      <c r="O43" s="125"/>
      <c r="P43" s="121"/>
      <c r="Q43" s="121"/>
      <c r="R43" s="121"/>
      <c r="S43" s="121"/>
      <c r="T43" s="121"/>
      <c r="U43" s="121"/>
      <c r="V43" s="126"/>
      <c r="W43" s="121"/>
    </row>
    <row r="44" spans="1:23" ht="75" customHeight="1">
      <c r="A44" s="121"/>
      <c r="B44" s="121"/>
      <c r="C44" s="122"/>
      <c r="D44" s="122"/>
      <c r="E44" s="121"/>
      <c r="F44" s="121"/>
      <c r="G44" s="122"/>
      <c r="H44" s="123"/>
      <c r="I44" s="121"/>
      <c r="J44" s="122"/>
      <c r="K44" s="122"/>
      <c r="L44" s="122"/>
      <c r="M44" s="124"/>
      <c r="N44" s="125"/>
      <c r="O44" s="125"/>
      <c r="P44" s="121"/>
      <c r="Q44" s="121"/>
      <c r="R44" s="121"/>
      <c r="S44" s="121"/>
      <c r="T44" s="121"/>
      <c r="U44" s="121"/>
      <c r="V44" s="126"/>
      <c r="W44" s="121"/>
    </row>
    <row r="45" spans="1:23" ht="75" customHeight="1">
      <c r="A45" s="121"/>
      <c r="B45" s="121"/>
      <c r="C45" s="122"/>
      <c r="D45" s="122"/>
      <c r="E45" s="121"/>
      <c r="F45" s="121"/>
      <c r="G45" s="122"/>
      <c r="H45" s="123"/>
      <c r="I45" s="121"/>
      <c r="J45" s="122"/>
      <c r="K45" s="122"/>
      <c r="L45" s="122"/>
      <c r="M45" s="124"/>
      <c r="N45" s="125"/>
      <c r="O45" s="125"/>
      <c r="P45" s="121"/>
      <c r="Q45" s="121"/>
      <c r="R45" s="121"/>
      <c r="S45" s="121"/>
      <c r="T45" s="121"/>
      <c r="U45" s="121"/>
      <c r="V45" s="126"/>
      <c r="W45" s="121"/>
    </row>
    <row r="46" spans="1:23" ht="15.75" customHeight="1">
      <c r="A46" s="121"/>
      <c r="B46" s="121"/>
      <c r="C46" s="122"/>
      <c r="D46" s="122"/>
      <c r="E46" s="121"/>
      <c r="F46" s="121"/>
      <c r="G46" s="122"/>
      <c r="H46" s="123"/>
      <c r="I46" s="121"/>
      <c r="J46" s="122"/>
      <c r="K46" s="122"/>
      <c r="L46" s="122"/>
      <c r="M46" s="124"/>
      <c r="N46" s="125"/>
      <c r="O46" s="125"/>
      <c r="P46" s="121"/>
      <c r="Q46" s="121"/>
      <c r="R46" s="121"/>
      <c r="S46" s="121"/>
      <c r="T46" s="121"/>
      <c r="U46" s="121"/>
      <c r="V46" s="126"/>
      <c r="W46" s="121"/>
    </row>
    <row r="47" spans="1:23" ht="15.75" customHeight="1">
      <c r="C47" s="127"/>
      <c r="D47" s="127"/>
      <c r="G47" s="127"/>
      <c r="H47" s="128"/>
      <c r="J47" s="127"/>
      <c r="K47" s="127"/>
      <c r="L47" s="127"/>
      <c r="M47" s="124"/>
      <c r="N47" s="125"/>
      <c r="O47" s="125"/>
      <c r="V47" s="126"/>
    </row>
    <row r="48" spans="1:23" ht="15.75" customHeight="1">
      <c r="C48" s="127"/>
      <c r="D48" s="127"/>
      <c r="G48" s="127"/>
      <c r="H48" s="128"/>
      <c r="J48" s="127"/>
      <c r="K48" s="127"/>
      <c r="L48" s="127"/>
      <c r="M48" s="124"/>
      <c r="N48" s="125"/>
      <c r="O48" s="125"/>
      <c r="V48" s="126"/>
    </row>
    <row r="49" spans="3:22" ht="15.75" customHeight="1">
      <c r="C49" s="127"/>
      <c r="D49" s="127"/>
      <c r="G49" s="127"/>
      <c r="H49" s="128"/>
      <c r="J49" s="127"/>
      <c r="K49" s="127"/>
      <c r="L49" s="127"/>
      <c r="M49" s="124"/>
      <c r="N49" s="125"/>
      <c r="O49" s="125"/>
      <c r="V49" s="126"/>
    </row>
    <row r="50" spans="3:22" ht="15.75" customHeight="1">
      <c r="C50" s="127"/>
      <c r="D50" s="127"/>
      <c r="G50" s="127"/>
      <c r="H50" s="128"/>
      <c r="J50" s="127"/>
      <c r="K50" s="127"/>
      <c r="L50" s="127"/>
      <c r="M50" s="124"/>
      <c r="N50" s="125"/>
      <c r="O50" s="125"/>
      <c r="V50" s="126"/>
    </row>
    <row r="51" spans="3:22" ht="15.75" customHeight="1">
      <c r="C51" s="127"/>
      <c r="D51" s="127"/>
      <c r="G51" s="127"/>
      <c r="H51" s="128"/>
      <c r="J51" s="127"/>
      <c r="K51" s="127"/>
      <c r="L51" s="127"/>
      <c r="M51" s="124"/>
      <c r="N51" s="125"/>
      <c r="O51" s="125"/>
      <c r="V51" s="126"/>
    </row>
    <row r="52" spans="3:22" ht="15.75" customHeight="1">
      <c r="C52" s="127"/>
      <c r="D52" s="127"/>
      <c r="G52" s="127"/>
      <c r="H52" s="128"/>
      <c r="J52" s="127"/>
      <c r="K52" s="127"/>
      <c r="L52" s="127"/>
      <c r="M52" s="124"/>
      <c r="N52" s="125"/>
      <c r="O52" s="125"/>
      <c r="V52" s="126"/>
    </row>
    <row r="53" spans="3:22" ht="15.75" customHeight="1">
      <c r="C53" s="127"/>
      <c r="D53" s="127"/>
      <c r="G53" s="127"/>
      <c r="H53" s="128"/>
      <c r="J53" s="127"/>
      <c r="K53" s="127"/>
      <c r="L53" s="127"/>
      <c r="M53" s="124"/>
      <c r="N53" s="125"/>
      <c r="O53" s="125"/>
      <c r="V53" s="126"/>
    </row>
    <row r="54" spans="3:22" ht="15.75" customHeight="1">
      <c r="C54" s="127"/>
      <c r="D54" s="127"/>
      <c r="G54" s="127"/>
      <c r="H54" s="128"/>
      <c r="J54" s="127"/>
      <c r="K54" s="127"/>
      <c r="L54" s="127"/>
      <c r="M54" s="124"/>
      <c r="N54" s="125"/>
      <c r="O54" s="125"/>
      <c r="V54" s="126"/>
    </row>
    <row r="55" spans="3:22" ht="15.75" customHeight="1">
      <c r="C55" s="127"/>
      <c r="D55" s="127"/>
      <c r="G55" s="127"/>
      <c r="H55" s="128"/>
      <c r="J55" s="127"/>
      <c r="K55" s="127"/>
      <c r="L55" s="127"/>
      <c r="M55" s="124"/>
      <c r="N55" s="125"/>
      <c r="O55" s="125"/>
      <c r="V55" s="126"/>
    </row>
    <row r="56" spans="3:22" ht="15.75" customHeight="1">
      <c r="C56" s="127"/>
      <c r="D56" s="127"/>
      <c r="G56" s="127"/>
      <c r="H56" s="128"/>
      <c r="J56" s="127"/>
      <c r="K56" s="127"/>
      <c r="L56" s="127"/>
      <c r="M56" s="124"/>
      <c r="N56" s="125"/>
      <c r="O56" s="125"/>
      <c r="V56" s="126"/>
    </row>
    <row r="57" spans="3:22" ht="15.75" customHeight="1">
      <c r="C57" s="127"/>
      <c r="D57" s="127"/>
      <c r="G57" s="127"/>
      <c r="H57" s="128"/>
      <c r="J57" s="127"/>
      <c r="K57" s="127"/>
      <c r="L57" s="127"/>
      <c r="M57" s="124"/>
      <c r="N57" s="125"/>
      <c r="O57" s="125"/>
      <c r="V57" s="126"/>
    </row>
    <row r="58" spans="3:22" ht="15.75" customHeight="1">
      <c r="C58" s="127"/>
      <c r="D58" s="127"/>
      <c r="G58" s="127"/>
      <c r="H58" s="128"/>
      <c r="J58" s="127"/>
      <c r="K58" s="127"/>
      <c r="L58" s="127"/>
      <c r="M58" s="124"/>
      <c r="N58" s="125"/>
      <c r="O58" s="125"/>
      <c r="V58" s="126"/>
    </row>
    <row r="59" spans="3:22" ht="15.75" customHeight="1">
      <c r="C59" s="127"/>
      <c r="D59" s="127"/>
      <c r="G59" s="127"/>
      <c r="H59" s="128"/>
      <c r="J59" s="127"/>
      <c r="K59" s="127"/>
      <c r="L59" s="127"/>
      <c r="M59" s="124"/>
      <c r="N59" s="125"/>
      <c r="O59" s="125"/>
      <c r="V59" s="126"/>
    </row>
    <row r="60" spans="3:22" ht="15.75" customHeight="1">
      <c r="C60" s="127"/>
      <c r="D60" s="127"/>
      <c r="G60" s="127"/>
      <c r="H60" s="128"/>
      <c r="J60" s="127"/>
      <c r="K60" s="127"/>
      <c r="L60" s="127"/>
      <c r="M60" s="124"/>
      <c r="N60" s="125"/>
      <c r="O60" s="125"/>
      <c r="V60" s="126"/>
    </row>
    <row r="61" spans="3:22" ht="15.75" customHeight="1">
      <c r="C61" s="127"/>
      <c r="D61" s="127"/>
      <c r="G61" s="127"/>
      <c r="H61" s="128"/>
      <c r="J61" s="127"/>
      <c r="K61" s="127"/>
      <c r="L61" s="127"/>
      <c r="M61" s="124"/>
      <c r="N61" s="125"/>
      <c r="O61" s="125"/>
      <c r="V61" s="126"/>
    </row>
    <row r="62" spans="3:22" ht="15.75" customHeight="1">
      <c r="C62" s="127"/>
      <c r="D62" s="127"/>
      <c r="G62" s="127"/>
      <c r="H62" s="128"/>
      <c r="J62" s="127"/>
      <c r="K62" s="127"/>
      <c r="L62" s="127"/>
      <c r="M62" s="124"/>
      <c r="N62" s="125"/>
      <c r="O62" s="125"/>
      <c r="V62" s="126"/>
    </row>
    <row r="63" spans="3:22" ht="15.75" customHeight="1">
      <c r="C63" s="127"/>
      <c r="D63" s="127"/>
      <c r="G63" s="127"/>
      <c r="H63" s="128"/>
      <c r="J63" s="127"/>
      <c r="K63" s="127"/>
      <c r="L63" s="127"/>
      <c r="M63" s="124"/>
      <c r="N63" s="125"/>
      <c r="O63" s="125"/>
      <c r="V63" s="126"/>
    </row>
    <row r="64" spans="3:22" ht="15.75" customHeight="1">
      <c r="C64" s="127"/>
      <c r="D64" s="127"/>
      <c r="G64" s="127"/>
      <c r="H64" s="128"/>
      <c r="J64" s="127"/>
      <c r="K64" s="127"/>
      <c r="L64" s="127"/>
      <c r="M64" s="124"/>
      <c r="N64" s="125"/>
      <c r="O64" s="125"/>
      <c r="V64" s="126"/>
    </row>
    <row r="65" spans="3:22" ht="15.75" customHeight="1">
      <c r="C65" s="127"/>
      <c r="D65" s="127"/>
      <c r="G65" s="127"/>
      <c r="H65" s="128"/>
      <c r="J65" s="127"/>
      <c r="K65" s="127"/>
      <c r="L65" s="127"/>
      <c r="M65" s="124"/>
      <c r="N65" s="125"/>
      <c r="O65" s="125"/>
      <c r="V65" s="126"/>
    </row>
    <row r="66" spans="3:22" ht="15.75" customHeight="1">
      <c r="C66" s="127"/>
      <c r="D66" s="127"/>
      <c r="G66" s="127"/>
      <c r="H66" s="128"/>
      <c r="J66" s="127"/>
      <c r="K66" s="127"/>
      <c r="L66" s="127"/>
      <c r="M66" s="124"/>
      <c r="N66" s="125"/>
      <c r="O66" s="125"/>
      <c r="V66" s="126"/>
    </row>
    <row r="67" spans="3:22" ht="15.75" customHeight="1">
      <c r="C67" s="127"/>
      <c r="D67" s="127"/>
      <c r="G67" s="127"/>
      <c r="H67" s="128"/>
      <c r="J67" s="127"/>
      <c r="K67" s="127"/>
      <c r="L67" s="127"/>
      <c r="M67" s="124"/>
      <c r="N67" s="125"/>
      <c r="O67" s="125"/>
      <c r="V67" s="126"/>
    </row>
    <row r="68" spans="3:22" ht="15.75" customHeight="1">
      <c r="C68" s="127"/>
      <c r="D68" s="127"/>
      <c r="G68" s="127"/>
      <c r="H68" s="128"/>
      <c r="J68" s="127"/>
      <c r="K68" s="127"/>
      <c r="L68" s="127"/>
      <c r="M68" s="124"/>
      <c r="N68" s="125"/>
      <c r="O68" s="125"/>
      <c r="V68" s="126"/>
    </row>
    <row r="69" spans="3:22" ht="15.75" customHeight="1">
      <c r="C69" s="127"/>
      <c r="D69" s="127"/>
      <c r="G69" s="127"/>
      <c r="H69" s="128"/>
      <c r="J69" s="127"/>
      <c r="K69" s="127"/>
      <c r="L69" s="127"/>
      <c r="M69" s="124"/>
      <c r="N69" s="125"/>
      <c r="O69" s="125"/>
      <c r="V69" s="126"/>
    </row>
    <row r="70" spans="3:22" ht="15.75" customHeight="1">
      <c r="C70" s="127"/>
      <c r="D70" s="127"/>
      <c r="G70" s="127"/>
      <c r="H70" s="128"/>
      <c r="J70" s="127"/>
      <c r="K70" s="127"/>
      <c r="L70" s="127"/>
      <c r="M70" s="124"/>
      <c r="N70" s="125"/>
      <c r="O70" s="125"/>
      <c r="V70" s="126"/>
    </row>
    <row r="71" spans="3:22" ht="15.75" customHeight="1">
      <c r="C71" s="127"/>
      <c r="D71" s="127"/>
      <c r="G71" s="127"/>
      <c r="H71" s="128"/>
      <c r="J71" s="127"/>
      <c r="K71" s="127"/>
      <c r="L71" s="127"/>
      <c r="M71" s="124"/>
      <c r="N71" s="125"/>
      <c r="O71" s="125"/>
      <c r="V71" s="126"/>
    </row>
    <row r="72" spans="3:22" ht="15.75" customHeight="1">
      <c r="C72" s="127"/>
      <c r="D72" s="127"/>
      <c r="G72" s="127"/>
      <c r="H72" s="128"/>
      <c r="J72" s="127"/>
      <c r="K72" s="127"/>
      <c r="L72" s="127"/>
      <c r="M72" s="124"/>
      <c r="N72" s="125"/>
      <c r="O72" s="125"/>
      <c r="V72" s="126"/>
    </row>
    <row r="73" spans="3:22" ht="15.75" customHeight="1">
      <c r="C73" s="127"/>
      <c r="D73" s="127"/>
      <c r="G73" s="127"/>
      <c r="H73" s="128"/>
      <c r="J73" s="127"/>
      <c r="K73" s="127"/>
      <c r="L73" s="127"/>
      <c r="M73" s="124"/>
      <c r="N73" s="125"/>
      <c r="O73" s="125"/>
      <c r="V73" s="126"/>
    </row>
    <row r="74" spans="3:22" ht="15.75" customHeight="1">
      <c r="C74" s="127"/>
      <c r="D74" s="127"/>
      <c r="G74" s="127"/>
      <c r="H74" s="128"/>
      <c r="J74" s="127"/>
      <c r="K74" s="127"/>
      <c r="L74" s="127"/>
      <c r="M74" s="124"/>
      <c r="N74" s="125"/>
      <c r="O74" s="125"/>
      <c r="V74" s="126"/>
    </row>
    <row r="75" spans="3:22" ht="15.75" customHeight="1">
      <c r="C75" s="127"/>
      <c r="D75" s="127"/>
      <c r="G75" s="127"/>
      <c r="H75" s="128"/>
      <c r="J75" s="127"/>
      <c r="K75" s="127"/>
      <c r="L75" s="127"/>
      <c r="M75" s="124"/>
      <c r="N75" s="125"/>
      <c r="O75" s="125"/>
      <c r="V75" s="126"/>
    </row>
    <row r="76" spans="3:22" ht="15.75" customHeight="1">
      <c r="C76" s="127"/>
      <c r="D76" s="127"/>
      <c r="G76" s="127"/>
      <c r="H76" s="128"/>
      <c r="J76" s="127"/>
      <c r="K76" s="127"/>
      <c r="L76" s="127"/>
      <c r="M76" s="124"/>
      <c r="N76" s="125"/>
      <c r="O76" s="125"/>
      <c r="V76" s="126"/>
    </row>
    <row r="77" spans="3:22" ht="15.75" customHeight="1">
      <c r="C77" s="127"/>
      <c r="D77" s="127"/>
      <c r="G77" s="127"/>
      <c r="H77" s="128"/>
      <c r="J77" s="127"/>
      <c r="K77" s="127"/>
      <c r="L77" s="127"/>
      <c r="M77" s="124"/>
      <c r="N77" s="125"/>
      <c r="O77" s="125"/>
      <c r="V77" s="126"/>
    </row>
    <row r="78" spans="3:22" ht="15.75" customHeight="1">
      <c r="C78" s="127"/>
      <c r="D78" s="127"/>
      <c r="G78" s="127"/>
      <c r="H78" s="128"/>
      <c r="J78" s="127"/>
      <c r="K78" s="127"/>
      <c r="L78" s="127"/>
      <c r="M78" s="124"/>
      <c r="N78" s="125"/>
      <c r="O78" s="125"/>
      <c r="V78" s="126"/>
    </row>
    <row r="79" spans="3:22" ht="15.75" customHeight="1">
      <c r="C79" s="127"/>
      <c r="D79" s="127"/>
      <c r="G79" s="127"/>
      <c r="H79" s="128"/>
      <c r="J79" s="127"/>
      <c r="K79" s="127"/>
      <c r="L79" s="127"/>
      <c r="M79" s="124"/>
      <c r="N79" s="125"/>
      <c r="O79" s="125"/>
      <c r="V79" s="126"/>
    </row>
    <row r="80" spans="3:22" ht="15.75" customHeight="1">
      <c r="C80" s="127"/>
      <c r="D80" s="127"/>
      <c r="G80" s="127"/>
      <c r="H80" s="128"/>
      <c r="J80" s="127"/>
      <c r="K80" s="127"/>
      <c r="L80" s="127"/>
      <c r="M80" s="124"/>
      <c r="N80" s="125"/>
      <c r="O80" s="125"/>
      <c r="V80" s="126"/>
    </row>
    <row r="81" spans="3:22" ht="15.75" customHeight="1">
      <c r="C81" s="127"/>
      <c r="D81" s="127"/>
      <c r="G81" s="127"/>
      <c r="H81" s="128"/>
      <c r="J81" s="127"/>
      <c r="K81" s="127"/>
      <c r="L81" s="127"/>
      <c r="M81" s="124"/>
      <c r="N81" s="125"/>
      <c r="O81" s="125"/>
      <c r="V81" s="126"/>
    </row>
    <row r="82" spans="3:22" ht="15.75" customHeight="1">
      <c r="C82" s="127"/>
      <c r="D82" s="127"/>
      <c r="G82" s="127"/>
      <c r="H82" s="128"/>
      <c r="J82" s="127"/>
      <c r="K82" s="127"/>
      <c r="L82" s="127"/>
      <c r="M82" s="124"/>
      <c r="N82" s="125"/>
      <c r="O82" s="125"/>
      <c r="V82" s="126"/>
    </row>
    <row r="83" spans="3:22" ht="15.75" customHeight="1">
      <c r="C83" s="127"/>
      <c r="D83" s="127"/>
      <c r="G83" s="127"/>
      <c r="H83" s="128"/>
      <c r="J83" s="127"/>
      <c r="K83" s="127"/>
      <c r="L83" s="127"/>
      <c r="M83" s="124"/>
      <c r="N83" s="125"/>
      <c r="O83" s="125"/>
      <c r="V83" s="126"/>
    </row>
    <row r="84" spans="3:22" ht="15.75" customHeight="1">
      <c r="C84" s="127"/>
      <c r="D84" s="127"/>
      <c r="G84" s="127"/>
      <c r="H84" s="128"/>
      <c r="J84" s="127"/>
      <c r="K84" s="127"/>
      <c r="L84" s="127"/>
      <c r="M84" s="124"/>
      <c r="N84" s="125"/>
      <c r="O84" s="125"/>
      <c r="V84" s="126"/>
    </row>
    <row r="85" spans="3:22" ht="15.75" customHeight="1">
      <c r="C85" s="127"/>
      <c r="D85" s="127"/>
      <c r="G85" s="127"/>
      <c r="H85" s="128"/>
      <c r="J85" s="127"/>
      <c r="K85" s="127"/>
      <c r="L85" s="127"/>
      <c r="M85" s="124"/>
      <c r="N85" s="125"/>
      <c r="O85" s="125"/>
      <c r="V85" s="126"/>
    </row>
    <row r="86" spans="3:22" ht="15.75" customHeight="1">
      <c r="C86" s="127"/>
      <c r="D86" s="127"/>
      <c r="G86" s="127"/>
      <c r="H86" s="128"/>
      <c r="J86" s="127"/>
      <c r="K86" s="127"/>
      <c r="L86" s="127"/>
      <c r="M86" s="124"/>
      <c r="N86" s="125"/>
      <c r="O86" s="125"/>
      <c r="V86" s="126"/>
    </row>
    <row r="87" spans="3:22" ht="15.75" customHeight="1">
      <c r="C87" s="127"/>
      <c r="D87" s="127"/>
      <c r="G87" s="127"/>
      <c r="H87" s="128"/>
      <c r="J87" s="127"/>
      <c r="K87" s="127"/>
      <c r="L87" s="127"/>
      <c r="M87" s="124"/>
      <c r="N87" s="125"/>
      <c r="O87" s="125"/>
      <c r="V87" s="126"/>
    </row>
    <row r="88" spans="3:22" ht="15.75" customHeight="1">
      <c r="C88" s="127"/>
      <c r="D88" s="127"/>
      <c r="G88" s="127"/>
      <c r="H88" s="128"/>
      <c r="J88" s="127"/>
      <c r="K88" s="127"/>
      <c r="L88" s="127"/>
      <c r="M88" s="124"/>
      <c r="N88" s="125"/>
      <c r="O88" s="125"/>
      <c r="V88" s="126"/>
    </row>
    <row r="89" spans="3:22" ht="15.75" customHeight="1">
      <c r="C89" s="127"/>
      <c r="D89" s="127"/>
      <c r="G89" s="127"/>
      <c r="H89" s="128"/>
      <c r="J89" s="127"/>
      <c r="K89" s="127"/>
      <c r="L89" s="127"/>
      <c r="M89" s="124"/>
      <c r="N89" s="125"/>
      <c r="O89" s="125"/>
      <c r="V89" s="126"/>
    </row>
    <row r="90" spans="3:22" ht="15.75" customHeight="1">
      <c r="C90" s="127"/>
      <c r="D90" s="127"/>
      <c r="G90" s="127"/>
      <c r="H90" s="128"/>
      <c r="J90" s="127"/>
      <c r="K90" s="127"/>
      <c r="L90" s="127"/>
      <c r="M90" s="124"/>
      <c r="N90" s="125"/>
      <c r="O90" s="125"/>
      <c r="V90" s="126"/>
    </row>
    <row r="91" spans="3:22" ht="15.75" customHeight="1">
      <c r="C91" s="127"/>
      <c r="D91" s="127"/>
      <c r="G91" s="127"/>
      <c r="H91" s="128"/>
      <c r="J91" s="127"/>
      <c r="K91" s="127"/>
      <c r="L91" s="127"/>
      <c r="M91" s="124"/>
      <c r="N91" s="125"/>
      <c r="O91" s="125"/>
      <c r="V91" s="126"/>
    </row>
    <row r="92" spans="3:22" ht="15.75" customHeight="1">
      <c r="C92" s="127"/>
      <c r="D92" s="127"/>
      <c r="G92" s="127"/>
      <c r="H92" s="128"/>
      <c r="J92" s="127"/>
      <c r="K92" s="127"/>
      <c r="L92" s="127"/>
      <c r="M92" s="124"/>
      <c r="N92" s="125"/>
      <c r="O92" s="125"/>
      <c r="V92" s="126"/>
    </row>
    <row r="93" spans="3:22" ht="15.75" customHeight="1">
      <c r="C93" s="127"/>
      <c r="D93" s="127"/>
      <c r="G93" s="127"/>
      <c r="H93" s="128"/>
      <c r="J93" s="127"/>
      <c r="K93" s="127"/>
      <c r="L93" s="127"/>
      <c r="M93" s="124"/>
      <c r="N93" s="125"/>
      <c r="O93" s="125"/>
      <c r="V93" s="126"/>
    </row>
    <row r="94" spans="3:22" ht="15.75" customHeight="1">
      <c r="C94" s="127"/>
      <c r="D94" s="127"/>
      <c r="G94" s="127"/>
      <c r="H94" s="128"/>
      <c r="J94" s="127"/>
      <c r="K94" s="127"/>
      <c r="L94" s="127"/>
      <c r="M94" s="124"/>
      <c r="N94" s="125"/>
      <c r="O94" s="125"/>
      <c r="V94" s="126"/>
    </row>
    <row r="95" spans="3:22" ht="15.75" customHeight="1">
      <c r="C95" s="127"/>
      <c r="D95" s="127"/>
      <c r="G95" s="127"/>
      <c r="H95" s="128"/>
      <c r="J95" s="127"/>
      <c r="K95" s="127"/>
      <c r="L95" s="127"/>
      <c r="M95" s="124"/>
      <c r="N95" s="125"/>
      <c r="O95" s="125"/>
      <c r="V95" s="126"/>
    </row>
    <row r="96" spans="3:22" ht="15.75" customHeight="1">
      <c r="C96" s="127"/>
      <c r="D96" s="127"/>
      <c r="G96" s="127"/>
      <c r="H96" s="128"/>
      <c r="J96" s="127"/>
      <c r="K96" s="127"/>
      <c r="L96" s="127"/>
      <c r="M96" s="124"/>
      <c r="N96" s="125"/>
      <c r="O96" s="125"/>
      <c r="V96" s="126"/>
    </row>
    <row r="97" spans="3:22" ht="15.75" customHeight="1">
      <c r="C97" s="127"/>
      <c r="D97" s="127"/>
      <c r="G97" s="127"/>
      <c r="H97" s="128"/>
      <c r="J97" s="127"/>
      <c r="K97" s="127"/>
      <c r="L97" s="127"/>
      <c r="M97" s="124"/>
      <c r="N97" s="125"/>
      <c r="O97" s="125"/>
      <c r="V97" s="126"/>
    </row>
    <row r="98" spans="3:22" ht="15.75" customHeight="1">
      <c r="C98" s="127"/>
      <c r="D98" s="127"/>
      <c r="G98" s="127"/>
      <c r="H98" s="128"/>
      <c r="J98" s="127"/>
      <c r="K98" s="127"/>
      <c r="L98" s="127"/>
      <c r="M98" s="124"/>
      <c r="N98" s="125"/>
      <c r="O98" s="125"/>
      <c r="V98" s="126"/>
    </row>
    <row r="99" spans="3:22" ht="15.75" customHeight="1">
      <c r="C99" s="127"/>
      <c r="D99" s="127"/>
      <c r="G99" s="127"/>
      <c r="H99" s="128"/>
      <c r="J99" s="127"/>
      <c r="K99" s="127"/>
      <c r="L99" s="127"/>
      <c r="M99" s="124"/>
      <c r="N99" s="125"/>
      <c r="O99" s="125"/>
      <c r="V99" s="126"/>
    </row>
    <row r="100" spans="3:22" ht="15.75" customHeight="1">
      <c r="C100" s="127"/>
      <c r="D100" s="127"/>
      <c r="G100" s="127"/>
      <c r="H100" s="128"/>
      <c r="J100" s="127"/>
      <c r="K100" s="127"/>
      <c r="L100" s="127"/>
      <c r="M100" s="124"/>
      <c r="N100" s="125"/>
      <c r="O100" s="125"/>
      <c r="V100" s="126"/>
    </row>
    <row r="101" spans="3:22" ht="15.75" customHeight="1">
      <c r="C101" s="127"/>
      <c r="D101" s="127"/>
      <c r="G101" s="127"/>
      <c r="H101" s="128"/>
      <c r="J101" s="127"/>
      <c r="K101" s="127"/>
      <c r="L101" s="127"/>
      <c r="M101" s="124"/>
      <c r="N101" s="125"/>
      <c r="O101" s="125"/>
      <c r="V101" s="126"/>
    </row>
    <row r="102" spans="3:22" ht="15.75" customHeight="1">
      <c r="C102" s="127"/>
      <c r="D102" s="127"/>
      <c r="G102" s="127"/>
      <c r="H102" s="128"/>
      <c r="J102" s="127"/>
      <c r="K102" s="127"/>
      <c r="L102" s="127"/>
      <c r="M102" s="124"/>
      <c r="N102" s="125"/>
      <c r="O102" s="125"/>
      <c r="V102" s="126"/>
    </row>
    <row r="103" spans="3:22" ht="15.75" customHeight="1">
      <c r="C103" s="127"/>
      <c r="D103" s="127"/>
      <c r="G103" s="127"/>
      <c r="H103" s="128"/>
      <c r="J103" s="127"/>
      <c r="K103" s="127"/>
      <c r="L103" s="127"/>
      <c r="M103" s="124"/>
      <c r="N103" s="125"/>
      <c r="O103" s="125"/>
      <c r="V103" s="126"/>
    </row>
    <row r="104" spans="3:22" ht="15.75" customHeight="1">
      <c r="C104" s="127"/>
      <c r="D104" s="127"/>
      <c r="G104" s="127"/>
      <c r="H104" s="128"/>
      <c r="J104" s="127"/>
      <c r="K104" s="127"/>
      <c r="L104" s="127"/>
      <c r="M104" s="124"/>
      <c r="N104" s="125"/>
      <c r="O104" s="125"/>
      <c r="V104" s="126"/>
    </row>
    <row r="105" spans="3:22" ht="15.75" customHeight="1">
      <c r="C105" s="127"/>
      <c r="D105" s="127"/>
      <c r="G105" s="127"/>
      <c r="H105" s="128"/>
      <c r="J105" s="127"/>
      <c r="K105" s="127"/>
      <c r="L105" s="127"/>
      <c r="M105" s="124"/>
      <c r="N105" s="125"/>
      <c r="O105" s="125"/>
      <c r="V105" s="126"/>
    </row>
    <row r="106" spans="3:22" ht="15.75" customHeight="1">
      <c r="C106" s="127"/>
      <c r="D106" s="127"/>
      <c r="G106" s="127"/>
      <c r="H106" s="128"/>
      <c r="J106" s="127"/>
      <c r="K106" s="127"/>
      <c r="L106" s="127"/>
      <c r="M106" s="124"/>
      <c r="N106" s="125"/>
      <c r="O106" s="125"/>
      <c r="V106" s="126"/>
    </row>
    <row r="107" spans="3:22" ht="15.75" customHeight="1">
      <c r="C107" s="127"/>
      <c r="D107" s="127"/>
      <c r="G107" s="127"/>
      <c r="H107" s="128"/>
      <c r="J107" s="127"/>
      <c r="K107" s="127"/>
      <c r="L107" s="127"/>
      <c r="M107" s="124"/>
      <c r="N107" s="125"/>
      <c r="O107" s="125"/>
      <c r="V107" s="126"/>
    </row>
    <row r="108" spans="3:22" ht="15.75" customHeight="1">
      <c r="C108" s="127"/>
      <c r="D108" s="127"/>
      <c r="G108" s="127"/>
      <c r="H108" s="128"/>
      <c r="J108" s="127"/>
      <c r="K108" s="127"/>
      <c r="L108" s="127"/>
      <c r="M108" s="124"/>
      <c r="N108" s="125"/>
      <c r="O108" s="125"/>
      <c r="V108" s="126"/>
    </row>
    <row r="109" spans="3:22" ht="15.75" customHeight="1">
      <c r="C109" s="127"/>
      <c r="D109" s="127"/>
      <c r="G109" s="127"/>
      <c r="H109" s="128"/>
      <c r="J109" s="127"/>
      <c r="K109" s="127"/>
      <c r="L109" s="127"/>
      <c r="M109" s="124"/>
      <c r="N109" s="125"/>
      <c r="O109" s="125"/>
      <c r="V109" s="126"/>
    </row>
    <row r="110" spans="3:22" ht="15.75" customHeight="1">
      <c r="C110" s="127"/>
      <c r="D110" s="127"/>
      <c r="G110" s="127"/>
      <c r="H110" s="128"/>
      <c r="J110" s="127"/>
      <c r="K110" s="127"/>
      <c r="L110" s="127"/>
      <c r="M110" s="124"/>
      <c r="N110" s="125"/>
      <c r="O110" s="125"/>
      <c r="V110" s="126"/>
    </row>
    <row r="111" spans="3:22" ht="15.75" customHeight="1">
      <c r="C111" s="127"/>
      <c r="D111" s="127"/>
      <c r="G111" s="127"/>
      <c r="H111" s="128"/>
      <c r="J111" s="127"/>
      <c r="K111" s="127"/>
      <c r="L111" s="127"/>
      <c r="M111" s="124"/>
      <c r="N111" s="125"/>
      <c r="O111" s="125"/>
      <c r="V111" s="126"/>
    </row>
    <row r="112" spans="3:22" ht="15.75" customHeight="1">
      <c r="C112" s="127"/>
      <c r="D112" s="127"/>
      <c r="G112" s="127"/>
      <c r="H112" s="128"/>
      <c r="J112" s="127"/>
      <c r="K112" s="127"/>
      <c r="L112" s="127"/>
      <c r="M112" s="124"/>
      <c r="N112" s="125"/>
      <c r="O112" s="125"/>
      <c r="V112" s="126"/>
    </row>
    <row r="113" spans="3:22" ht="15.75" customHeight="1">
      <c r="C113" s="127"/>
      <c r="D113" s="127"/>
      <c r="G113" s="127"/>
      <c r="H113" s="128"/>
      <c r="J113" s="127"/>
      <c r="K113" s="127"/>
      <c r="L113" s="127"/>
      <c r="M113" s="124"/>
      <c r="N113" s="125"/>
      <c r="O113" s="125"/>
      <c r="V113" s="126"/>
    </row>
    <row r="114" spans="3:22" ht="15.75" customHeight="1">
      <c r="C114" s="127"/>
      <c r="D114" s="127"/>
      <c r="G114" s="127"/>
      <c r="H114" s="128"/>
      <c r="J114" s="127"/>
      <c r="K114" s="127"/>
      <c r="L114" s="127"/>
      <c r="M114" s="124"/>
      <c r="N114" s="125"/>
      <c r="O114" s="125"/>
      <c r="V114" s="126"/>
    </row>
    <row r="115" spans="3:22" ht="15.75" customHeight="1">
      <c r="C115" s="127"/>
      <c r="D115" s="127"/>
      <c r="G115" s="127"/>
      <c r="H115" s="128"/>
      <c r="J115" s="127"/>
      <c r="K115" s="127"/>
      <c r="L115" s="127"/>
      <c r="M115" s="124"/>
      <c r="N115" s="125"/>
      <c r="O115" s="125"/>
      <c r="V115" s="126"/>
    </row>
    <row r="116" spans="3:22" ht="15.75" customHeight="1">
      <c r="C116" s="127"/>
      <c r="D116" s="127"/>
      <c r="G116" s="127"/>
      <c r="H116" s="128"/>
      <c r="J116" s="127"/>
      <c r="K116" s="127"/>
      <c r="L116" s="127"/>
      <c r="M116" s="124"/>
      <c r="N116" s="125"/>
      <c r="O116" s="125"/>
      <c r="V116" s="126"/>
    </row>
    <row r="117" spans="3:22" ht="15.75" customHeight="1">
      <c r="C117" s="127"/>
      <c r="D117" s="127"/>
      <c r="G117" s="127"/>
      <c r="H117" s="128"/>
      <c r="J117" s="127"/>
      <c r="K117" s="127"/>
      <c r="L117" s="127"/>
      <c r="M117" s="124"/>
      <c r="N117" s="125"/>
      <c r="O117" s="125"/>
      <c r="V117" s="126"/>
    </row>
    <row r="118" spans="3:22" ht="15.75" customHeight="1">
      <c r="C118" s="127"/>
      <c r="D118" s="127"/>
      <c r="G118" s="127"/>
      <c r="H118" s="128"/>
      <c r="J118" s="127"/>
      <c r="K118" s="127"/>
      <c r="L118" s="127"/>
      <c r="M118" s="124"/>
      <c r="N118" s="125"/>
      <c r="O118" s="125"/>
      <c r="V118" s="126"/>
    </row>
    <row r="119" spans="3:22" ht="15.75" customHeight="1">
      <c r="C119" s="127"/>
      <c r="D119" s="127"/>
      <c r="G119" s="127"/>
      <c r="H119" s="128"/>
      <c r="J119" s="127"/>
      <c r="K119" s="127"/>
      <c r="L119" s="127"/>
      <c r="M119" s="124"/>
      <c r="N119" s="125"/>
      <c r="O119" s="125"/>
      <c r="V119" s="126"/>
    </row>
    <row r="120" spans="3:22" ht="15.75" customHeight="1">
      <c r="C120" s="127"/>
      <c r="D120" s="127"/>
      <c r="G120" s="127"/>
      <c r="H120" s="128"/>
      <c r="J120" s="127"/>
      <c r="K120" s="127"/>
      <c r="L120" s="127"/>
      <c r="M120" s="124"/>
      <c r="N120" s="125"/>
      <c r="O120" s="125"/>
      <c r="V120" s="126"/>
    </row>
    <row r="121" spans="3:22" ht="15.75" customHeight="1">
      <c r="C121" s="127"/>
      <c r="D121" s="127"/>
      <c r="G121" s="127"/>
      <c r="H121" s="128"/>
      <c r="J121" s="127"/>
      <c r="K121" s="127"/>
      <c r="L121" s="127"/>
      <c r="M121" s="124"/>
      <c r="N121" s="125"/>
      <c r="O121" s="125"/>
      <c r="V121" s="126"/>
    </row>
    <row r="122" spans="3:22" ht="15.75" customHeight="1">
      <c r="C122" s="127"/>
      <c r="D122" s="127"/>
      <c r="G122" s="127"/>
      <c r="H122" s="128"/>
      <c r="J122" s="127"/>
      <c r="K122" s="127"/>
      <c r="L122" s="127"/>
      <c r="M122" s="124"/>
      <c r="N122" s="125"/>
      <c r="O122" s="125"/>
      <c r="V122" s="126"/>
    </row>
    <row r="123" spans="3:22" ht="15.75" customHeight="1">
      <c r="C123" s="127"/>
      <c r="D123" s="127"/>
      <c r="G123" s="127"/>
      <c r="H123" s="128"/>
      <c r="J123" s="127"/>
      <c r="K123" s="127"/>
      <c r="L123" s="127"/>
      <c r="M123" s="124"/>
      <c r="N123" s="125"/>
      <c r="O123" s="125"/>
      <c r="V123" s="126"/>
    </row>
    <row r="124" spans="3:22" ht="15.75" customHeight="1">
      <c r="C124" s="127"/>
      <c r="D124" s="127"/>
      <c r="G124" s="127"/>
      <c r="H124" s="128"/>
      <c r="J124" s="127"/>
      <c r="K124" s="127"/>
      <c r="L124" s="127"/>
      <c r="M124" s="124"/>
      <c r="N124" s="125"/>
      <c r="O124" s="125"/>
      <c r="V124" s="126"/>
    </row>
    <row r="125" spans="3:22" ht="15.75" customHeight="1">
      <c r="C125" s="127"/>
      <c r="D125" s="127"/>
      <c r="G125" s="127"/>
      <c r="H125" s="128"/>
      <c r="J125" s="127"/>
      <c r="K125" s="127"/>
      <c r="L125" s="127"/>
      <c r="M125" s="124"/>
      <c r="N125" s="125"/>
      <c r="O125" s="125"/>
      <c r="V125" s="126"/>
    </row>
    <row r="126" spans="3:22" ht="15.75" customHeight="1">
      <c r="C126" s="127"/>
      <c r="D126" s="127"/>
      <c r="G126" s="127"/>
      <c r="H126" s="128"/>
      <c r="J126" s="127"/>
      <c r="K126" s="127"/>
      <c r="L126" s="127"/>
      <c r="M126" s="124"/>
      <c r="N126" s="125"/>
      <c r="O126" s="125"/>
      <c r="V126" s="126"/>
    </row>
    <row r="127" spans="3:22" ht="15.75" customHeight="1">
      <c r="C127" s="127"/>
      <c r="D127" s="127"/>
      <c r="G127" s="127"/>
      <c r="H127" s="128"/>
      <c r="J127" s="127"/>
      <c r="K127" s="127"/>
      <c r="L127" s="127"/>
      <c r="M127" s="124"/>
      <c r="N127" s="125"/>
      <c r="O127" s="125"/>
      <c r="V127" s="126"/>
    </row>
    <row r="128" spans="3:22" ht="15.75" customHeight="1">
      <c r="C128" s="127"/>
      <c r="D128" s="127"/>
      <c r="G128" s="127"/>
      <c r="H128" s="128"/>
      <c r="J128" s="127"/>
      <c r="K128" s="127"/>
      <c r="L128" s="127"/>
      <c r="M128" s="124"/>
      <c r="N128" s="125"/>
      <c r="O128" s="125"/>
      <c r="V128" s="126"/>
    </row>
    <row r="129" spans="3:22" ht="15.75" customHeight="1">
      <c r="C129" s="127"/>
      <c r="D129" s="127"/>
      <c r="G129" s="127"/>
      <c r="H129" s="128"/>
      <c r="J129" s="127"/>
      <c r="K129" s="127"/>
      <c r="L129" s="127"/>
      <c r="M129" s="124"/>
      <c r="N129" s="125"/>
      <c r="O129" s="125"/>
      <c r="V129" s="126"/>
    </row>
    <row r="130" spans="3:22" ht="15.75" customHeight="1">
      <c r="C130" s="127"/>
      <c r="D130" s="127"/>
      <c r="G130" s="127"/>
      <c r="H130" s="128"/>
      <c r="J130" s="127"/>
      <c r="K130" s="127"/>
      <c r="L130" s="127"/>
      <c r="M130" s="124"/>
      <c r="N130" s="125"/>
      <c r="O130" s="125"/>
      <c r="V130" s="126"/>
    </row>
    <row r="131" spans="3:22" ht="15.75" customHeight="1">
      <c r="C131" s="127"/>
      <c r="D131" s="127"/>
      <c r="G131" s="127"/>
      <c r="H131" s="128"/>
      <c r="J131" s="127"/>
      <c r="K131" s="127"/>
      <c r="L131" s="127"/>
      <c r="M131" s="124"/>
      <c r="N131" s="125"/>
      <c r="O131" s="125"/>
      <c r="V131" s="126"/>
    </row>
    <row r="132" spans="3:22" ht="15.75" customHeight="1">
      <c r="C132" s="127"/>
      <c r="D132" s="127"/>
      <c r="G132" s="127"/>
      <c r="H132" s="128"/>
      <c r="J132" s="127"/>
      <c r="K132" s="127"/>
      <c r="L132" s="127"/>
      <c r="M132" s="124"/>
      <c r="N132" s="125"/>
      <c r="O132" s="125"/>
      <c r="V132" s="126"/>
    </row>
    <row r="133" spans="3:22" ht="15.75" customHeight="1">
      <c r="C133" s="127"/>
      <c r="D133" s="127"/>
      <c r="G133" s="127"/>
      <c r="H133" s="128"/>
      <c r="J133" s="127"/>
      <c r="K133" s="127"/>
      <c r="L133" s="127"/>
      <c r="M133" s="124"/>
      <c r="N133" s="125"/>
      <c r="O133" s="125"/>
      <c r="V133" s="126"/>
    </row>
    <row r="134" spans="3:22" ht="15.75" customHeight="1">
      <c r="C134" s="127"/>
      <c r="D134" s="127"/>
      <c r="G134" s="127"/>
      <c r="H134" s="128"/>
      <c r="J134" s="127"/>
      <c r="K134" s="127"/>
      <c r="L134" s="127"/>
      <c r="M134" s="124"/>
      <c r="N134" s="125"/>
      <c r="O134" s="125"/>
      <c r="V134" s="126"/>
    </row>
    <row r="135" spans="3:22" ht="15.75" customHeight="1">
      <c r="C135" s="127"/>
      <c r="D135" s="127"/>
      <c r="G135" s="127"/>
      <c r="H135" s="128"/>
      <c r="J135" s="127"/>
      <c r="K135" s="127"/>
      <c r="L135" s="127"/>
      <c r="M135" s="124"/>
      <c r="N135" s="125"/>
      <c r="O135" s="125"/>
      <c r="V135" s="126"/>
    </row>
    <row r="136" spans="3:22" ht="15.75" customHeight="1">
      <c r="C136" s="127"/>
      <c r="D136" s="127"/>
      <c r="G136" s="127"/>
      <c r="H136" s="128"/>
      <c r="J136" s="127"/>
      <c r="K136" s="127"/>
      <c r="L136" s="127"/>
      <c r="M136" s="124"/>
      <c r="N136" s="125"/>
      <c r="O136" s="125"/>
      <c r="V136" s="126"/>
    </row>
    <row r="137" spans="3:22" ht="15.75" customHeight="1">
      <c r="C137" s="127"/>
      <c r="D137" s="127"/>
      <c r="G137" s="127"/>
      <c r="H137" s="128"/>
      <c r="J137" s="127"/>
      <c r="K137" s="127"/>
      <c r="L137" s="127"/>
      <c r="M137" s="124"/>
      <c r="N137" s="125"/>
      <c r="O137" s="125"/>
      <c r="V137" s="126"/>
    </row>
    <row r="138" spans="3:22" ht="15.75" customHeight="1">
      <c r="C138" s="127"/>
      <c r="D138" s="127"/>
      <c r="G138" s="127"/>
      <c r="H138" s="128"/>
      <c r="J138" s="127"/>
      <c r="K138" s="127"/>
      <c r="L138" s="127"/>
      <c r="M138" s="124"/>
      <c r="N138" s="125"/>
      <c r="O138" s="125"/>
      <c r="V138" s="126"/>
    </row>
    <row r="139" spans="3:22" ht="15.75" customHeight="1">
      <c r="C139" s="127"/>
      <c r="D139" s="127"/>
      <c r="G139" s="127"/>
      <c r="H139" s="128"/>
      <c r="J139" s="127"/>
      <c r="K139" s="127"/>
      <c r="L139" s="127"/>
      <c r="M139" s="124"/>
      <c r="N139" s="125"/>
      <c r="O139" s="125"/>
      <c r="V139" s="126"/>
    </row>
    <row r="140" spans="3:22" ht="15.75" customHeight="1">
      <c r="C140" s="127"/>
      <c r="D140" s="127"/>
      <c r="G140" s="127"/>
      <c r="H140" s="128"/>
      <c r="J140" s="127"/>
      <c r="K140" s="127"/>
      <c r="L140" s="127"/>
      <c r="M140" s="124"/>
      <c r="N140" s="125"/>
      <c r="O140" s="125"/>
      <c r="V140" s="126"/>
    </row>
    <row r="141" spans="3:22" ht="15.75" customHeight="1">
      <c r="C141" s="127"/>
      <c r="D141" s="127"/>
      <c r="G141" s="127"/>
      <c r="H141" s="128"/>
      <c r="J141" s="127"/>
      <c r="K141" s="127"/>
      <c r="L141" s="127"/>
      <c r="M141" s="124"/>
      <c r="N141" s="125"/>
      <c r="O141" s="125"/>
      <c r="V141" s="126"/>
    </row>
    <row r="142" spans="3:22" ht="15.75" customHeight="1">
      <c r="C142" s="127"/>
      <c r="D142" s="127"/>
      <c r="G142" s="127"/>
      <c r="H142" s="128"/>
      <c r="J142" s="127"/>
      <c r="K142" s="127"/>
      <c r="L142" s="127"/>
      <c r="M142" s="124"/>
      <c r="N142" s="125"/>
      <c r="O142" s="125"/>
      <c r="V142" s="126"/>
    </row>
    <row r="143" spans="3:22" ht="15.75" customHeight="1">
      <c r="C143" s="127"/>
      <c r="D143" s="127"/>
      <c r="G143" s="127"/>
      <c r="H143" s="128"/>
      <c r="J143" s="127"/>
      <c r="K143" s="127"/>
      <c r="L143" s="127"/>
      <c r="M143" s="124"/>
      <c r="N143" s="125"/>
      <c r="O143" s="125"/>
      <c r="V143" s="126"/>
    </row>
    <row r="144" spans="3:22" ht="15.75" customHeight="1">
      <c r="C144" s="127"/>
      <c r="D144" s="127"/>
      <c r="G144" s="127"/>
      <c r="H144" s="128"/>
      <c r="J144" s="127"/>
      <c r="K144" s="127"/>
      <c r="L144" s="127"/>
      <c r="M144" s="124"/>
      <c r="N144" s="125"/>
      <c r="O144" s="125"/>
      <c r="V144" s="126"/>
    </row>
    <row r="145" spans="3:22" ht="15.75" customHeight="1">
      <c r="C145" s="127"/>
      <c r="D145" s="127"/>
      <c r="G145" s="127"/>
      <c r="H145" s="128"/>
      <c r="J145" s="127"/>
      <c r="K145" s="127"/>
      <c r="L145" s="127"/>
      <c r="M145" s="124"/>
      <c r="N145" s="125"/>
      <c r="O145" s="125"/>
      <c r="V145" s="126"/>
    </row>
    <row r="146" spans="3:22" ht="15.75" customHeight="1">
      <c r="C146" s="127"/>
      <c r="D146" s="127"/>
      <c r="G146" s="127"/>
      <c r="H146" s="128"/>
      <c r="J146" s="127"/>
      <c r="K146" s="127"/>
      <c r="L146" s="127"/>
      <c r="M146" s="124"/>
      <c r="N146" s="125"/>
      <c r="O146" s="125"/>
      <c r="V146" s="126"/>
    </row>
    <row r="147" spans="3:22" ht="15.75" customHeight="1">
      <c r="C147" s="127"/>
      <c r="D147" s="127"/>
      <c r="G147" s="127"/>
      <c r="H147" s="128"/>
      <c r="J147" s="127"/>
      <c r="K147" s="127"/>
      <c r="L147" s="127"/>
      <c r="M147" s="124"/>
      <c r="N147" s="125"/>
      <c r="O147" s="125"/>
      <c r="V147" s="126"/>
    </row>
    <row r="148" spans="3:22" ht="15.75" customHeight="1">
      <c r="C148" s="127"/>
      <c r="D148" s="127"/>
      <c r="G148" s="127"/>
      <c r="H148" s="128"/>
      <c r="J148" s="127"/>
      <c r="K148" s="127"/>
      <c r="L148" s="127"/>
      <c r="M148" s="124"/>
      <c r="N148" s="125"/>
      <c r="O148" s="125"/>
      <c r="V148" s="126"/>
    </row>
    <row r="149" spans="3:22" ht="15.75" customHeight="1">
      <c r="C149" s="127"/>
      <c r="D149" s="127"/>
      <c r="G149" s="127"/>
      <c r="H149" s="128"/>
      <c r="J149" s="127"/>
      <c r="K149" s="127"/>
      <c r="L149" s="127"/>
      <c r="M149" s="124"/>
      <c r="N149" s="125"/>
      <c r="O149" s="125"/>
      <c r="V149" s="126"/>
    </row>
    <row r="150" spans="3:22" ht="15.75" customHeight="1">
      <c r="C150" s="127"/>
      <c r="D150" s="127"/>
      <c r="G150" s="127"/>
      <c r="H150" s="128"/>
      <c r="J150" s="127"/>
      <c r="K150" s="127"/>
      <c r="L150" s="127"/>
      <c r="M150" s="124"/>
      <c r="N150" s="125"/>
      <c r="O150" s="125"/>
      <c r="V150" s="126"/>
    </row>
    <row r="151" spans="3:22" ht="15.75" customHeight="1">
      <c r="C151" s="127"/>
      <c r="D151" s="127"/>
      <c r="G151" s="127"/>
      <c r="H151" s="128"/>
      <c r="J151" s="127"/>
      <c r="K151" s="127"/>
      <c r="L151" s="127"/>
      <c r="M151" s="124"/>
      <c r="N151" s="125"/>
      <c r="O151" s="125"/>
      <c r="V151" s="126"/>
    </row>
    <row r="152" spans="3:22" ht="15.75" customHeight="1">
      <c r="C152" s="127"/>
      <c r="D152" s="127"/>
      <c r="G152" s="127"/>
      <c r="H152" s="128"/>
      <c r="J152" s="127"/>
      <c r="K152" s="127"/>
      <c r="L152" s="127"/>
      <c r="M152" s="124"/>
      <c r="N152" s="125"/>
      <c r="O152" s="125"/>
      <c r="V152" s="126"/>
    </row>
    <row r="153" spans="3:22" ht="15.75" customHeight="1">
      <c r="C153" s="127"/>
      <c r="D153" s="127"/>
      <c r="G153" s="127"/>
      <c r="H153" s="128"/>
      <c r="J153" s="127"/>
      <c r="K153" s="127"/>
      <c r="L153" s="127"/>
      <c r="M153" s="124"/>
      <c r="N153" s="125"/>
      <c r="O153" s="125"/>
      <c r="V153" s="126"/>
    </row>
    <row r="154" spans="3:22" ht="15.75" customHeight="1">
      <c r="C154" s="127"/>
      <c r="D154" s="127"/>
      <c r="G154" s="127"/>
      <c r="H154" s="128"/>
      <c r="J154" s="127"/>
      <c r="K154" s="127"/>
      <c r="L154" s="127"/>
      <c r="M154" s="124"/>
      <c r="N154" s="125"/>
      <c r="O154" s="125"/>
      <c r="V154" s="126"/>
    </row>
    <row r="155" spans="3:22" ht="15.75" customHeight="1">
      <c r="C155" s="127"/>
      <c r="D155" s="127"/>
      <c r="G155" s="127"/>
      <c r="H155" s="128"/>
      <c r="J155" s="127"/>
      <c r="K155" s="127"/>
      <c r="L155" s="127"/>
      <c r="M155" s="124"/>
      <c r="N155" s="125"/>
      <c r="O155" s="125"/>
      <c r="V155" s="126"/>
    </row>
    <row r="156" spans="3:22" ht="15.75" customHeight="1">
      <c r="C156" s="127"/>
      <c r="D156" s="127"/>
      <c r="G156" s="127"/>
      <c r="H156" s="128"/>
      <c r="J156" s="127"/>
      <c r="K156" s="127"/>
      <c r="L156" s="127"/>
      <c r="M156" s="124"/>
      <c r="N156" s="125"/>
      <c r="O156" s="125"/>
      <c r="V156" s="126"/>
    </row>
    <row r="157" spans="3:22" ht="15.75" customHeight="1">
      <c r="C157" s="127"/>
      <c r="D157" s="127"/>
      <c r="G157" s="127"/>
      <c r="H157" s="128"/>
      <c r="J157" s="127"/>
      <c r="K157" s="127"/>
      <c r="L157" s="127"/>
      <c r="M157" s="124"/>
      <c r="N157" s="125"/>
      <c r="O157" s="125"/>
      <c r="V157" s="126"/>
    </row>
    <row r="158" spans="3:22" ht="15.75" customHeight="1">
      <c r="C158" s="127"/>
      <c r="D158" s="127"/>
      <c r="G158" s="127"/>
      <c r="H158" s="128"/>
      <c r="J158" s="127"/>
      <c r="K158" s="127"/>
      <c r="L158" s="127"/>
      <c r="M158" s="124"/>
      <c r="N158" s="125"/>
      <c r="O158" s="125"/>
      <c r="V158" s="126"/>
    </row>
    <row r="159" spans="3:22" ht="15.75" customHeight="1">
      <c r="C159" s="127"/>
      <c r="D159" s="127"/>
      <c r="G159" s="127"/>
      <c r="H159" s="128"/>
      <c r="J159" s="127"/>
      <c r="K159" s="127"/>
      <c r="L159" s="127"/>
      <c r="M159" s="124"/>
      <c r="N159" s="125"/>
      <c r="O159" s="125"/>
      <c r="V159" s="126"/>
    </row>
    <row r="160" spans="3:22" ht="15.75" customHeight="1">
      <c r="C160" s="127"/>
      <c r="D160" s="127"/>
      <c r="G160" s="127"/>
      <c r="H160" s="128"/>
      <c r="J160" s="127"/>
      <c r="K160" s="127"/>
      <c r="L160" s="127"/>
      <c r="M160" s="124"/>
      <c r="N160" s="125"/>
      <c r="O160" s="125"/>
      <c r="V160" s="126"/>
    </row>
    <row r="161" spans="3:22" ht="15.75" customHeight="1">
      <c r="C161" s="127"/>
      <c r="D161" s="127"/>
      <c r="G161" s="127"/>
      <c r="H161" s="128"/>
      <c r="J161" s="127"/>
      <c r="K161" s="127"/>
      <c r="L161" s="127"/>
      <c r="M161" s="124"/>
      <c r="N161" s="125"/>
      <c r="O161" s="125"/>
      <c r="V161" s="126"/>
    </row>
    <row r="162" spans="3:22" ht="15.75" customHeight="1">
      <c r="C162" s="127"/>
      <c r="D162" s="127"/>
      <c r="G162" s="127"/>
      <c r="H162" s="128"/>
      <c r="J162" s="127"/>
      <c r="K162" s="127"/>
      <c r="L162" s="127"/>
      <c r="M162" s="124"/>
      <c r="N162" s="125"/>
      <c r="O162" s="125"/>
      <c r="V162" s="126"/>
    </row>
    <row r="163" spans="3:22" ht="15.75" customHeight="1">
      <c r="C163" s="127"/>
      <c r="D163" s="127"/>
      <c r="G163" s="127"/>
      <c r="H163" s="128"/>
      <c r="J163" s="127"/>
      <c r="K163" s="127"/>
      <c r="L163" s="127"/>
      <c r="M163" s="124"/>
      <c r="N163" s="125"/>
      <c r="O163" s="125"/>
      <c r="V163" s="126"/>
    </row>
    <row r="164" spans="3:22" ht="15.75" customHeight="1">
      <c r="C164" s="127"/>
      <c r="D164" s="127"/>
      <c r="G164" s="127"/>
      <c r="H164" s="128"/>
      <c r="J164" s="127"/>
      <c r="K164" s="127"/>
      <c r="L164" s="127"/>
      <c r="M164" s="124"/>
      <c r="N164" s="125"/>
      <c r="O164" s="125"/>
      <c r="V164" s="126"/>
    </row>
    <row r="165" spans="3:22" ht="15.75" customHeight="1">
      <c r="C165" s="127"/>
      <c r="D165" s="127"/>
      <c r="G165" s="127"/>
      <c r="H165" s="128"/>
      <c r="J165" s="127"/>
      <c r="K165" s="127"/>
      <c r="L165" s="127"/>
      <c r="M165" s="124"/>
      <c r="N165" s="125"/>
      <c r="O165" s="125"/>
      <c r="V165" s="126"/>
    </row>
    <row r="166" spans="3:22" ht="15.75" customHeight="1">
      <c r="C166" s="127"/>
      <c r="D166" s="127"/>
      <c r="G166" s="127"/>
      <c r="H166" s="128"/>
      <c r="J166" s="127"/>
      <c r="K166" s="127"/>
      <c r="L166" s="127"/>
      <c r="M166" s="124"/>
      <c r="N166" s="125"/>
      <c r="O166" s="125"/>
      <c r="V166" s="126"/>
    </row>
    <row r="167" spans="3:22" ht="15.75" customHeight="1">
      <c r="C167" s="127"/>
      <c r="D167" s="127"/>
      <c r="G167" s="127"/>
      <c r="H167" s="128"/>
      <c r="J167" s="127"/>
      <c r="K167" s="127"/>
      <c r="L167" s="127"/>
      <c r="M167" s="124"/>
      <c r="N167" s="125"/>
      <c r="O167" s="125"/>
      <c r="V167" s="126"/>
    </row>
    <row r="168" spans="3:22" ht="15.75" customHeight="1">
      <c r="C168" s="127"/>
      <c r="D168" s="127"/>
      <c r="G168" s="127"/>
      <c r="H168" s="128"/>
      <c r="J168" s="127"/>
      <c r="K168" s="127"/>
      <c r="L168" s="127"/>
      <c r="M168" s="124"/>
      <c r="N168" s="125"/>
      <c r="O168" s="125"/>
      <c r="V168" s="126"/>
    </row>
    <row r="169" spans="3:22" ht="15.75" customHeight="1">
      <c r="C169" s="127"/>
      <c r="D169" s="127"/>
      <c r="G169" s="127"/>
      <c r="H169" s="128"/>
      <c r="J169" s="127"/>
      <c r="K169" s="127"/>
      <c r="L169" s="127"/>
      <c r="M169" s="124"/>
      <c r="N169" s="125"/>
      <c r="O169" s="125"/>
      <c r="V169" s="126"/>
    </row>
    <row r="170" spans="3:22" ht="15.75" customHeight="1">
      <c r="C170" s="127"/>
      <c r="D170" s="127"/>
      <c r="G170" s="127"/>
      <c r="H170" s="128"/>
      <c r="J170" s="127"/>
      <c r="K170" s="127"/>
      <c r="L170" s="127"/>
      <c r="M170" s="124"/>
      <c r="N170" s="125"/>
      <c r="O170" s="125"/>
      <c r="V170" s="126"/>
    </row>
    <row r="171" spans="3:22" ht="15.75" customHeight="1">
      <c r="C171" s="127"/>
      <c r="D171" s="127"/>
      <c r="G171" s="127"/>
      <c r="H171" s="128"/>
      <c r="J171" s="127"/>
      <c r="K171" s="127"/>
      <c r="L171" s="127"/>
      <c r="M171" s="124"/>
      <c r="N171" s="125"/>
      <c r="O171" s="125"/>
      <c r="V171" s="126"/>
    </row>
    <row r="172" spans="3:22" ht="15.75" customHeight="1">
      <c r="C172" s="127"/>
      <c r="D172" s="127"/>
      <c r="G172" s="127"/>
      <c r="H172" s="128"/>
      <c r="J172" s="127"/>
      <c r="K172" s="127"/>
      <c r="L172" s="127"/>
      <c r="M172" s="124"/>
      <c r="N172" s="125"/>
      <c r="O172" s="125"/>
      <c r="V172" s="126"/>
    </row>
    <row r="173" spans="3:22" ht="15.75" customHeight="1">
      <c r="C173" s="127"/>
      <c r="D173" s="127"/>
      <c r="G173" s="127"/>
      <c r="H173" s="128"/>
      <c r="J173" s="127"/>
      <c r="K173" s="127"/>
      <c r="L173" s="127"/>
      <c r="M173" s="124"/>
      <c r="N173" s="125"/>
      <c r="O173" s="125"/>
      <c r="V173" s="126"/>
    </row>
    <row r="174" spans="3:22" ht="15.75" customHeight="1">
      <c r="C174" s="127"/>
      <c r="D174" s="127"/>
      <c r="G174" s="127"/>
      <c r="H174" s="128"/>
      <c r="J174" s="127"/>
      <c r="K174" s="127"/>
      <c r="L174" s="127"/>
      <c r="M174" s="124"/>
      <c r="N174" s="125"/>
      <c r="O174" s="125"/>
      <c r="V174" s="126"/>
    </row>
    <row r="175" spans="3:22" ht="15.75" customHeight="1">
      <c r="C175" s="127"/>
      <c r="D175" s="127"/>
      <c r="G175" s="127"/>
      <c r="H175" s="128"/>
      <c r="J175" s="127"/>
      <c r="K175" s="127"/>
      <c r="L175" s="127"/>
      <c r="M175" s="124"/>
      <c r="N175" s="125"/>
      <c r="O175" s="125"/>
      <c r="V175" s="126"/>
    </row>
    <row r="176" spans="3:22" ht="15.75" customHeight="1">
      <c r="C176" s="127"/>
      <c r="D176" s="127"/>
      <c r="G176" s="127"/>
      <c r="H176" s="128"/>
      <c r="J176" s="127"/>
      <c r="K176" s="127"/>
      <c r="L176" s="127"/>
      <c r="M176" s="124"/>
      <c r="N176" s="125"/>
      <c r="O176" s="125"/>
      <c r="V176" s="126"/>
    </row>
    <row r="177" spans="3:22" ht="15.75" customHeight="1">
      <c r="C177" s="127"/>
      <c r="D177" s="127"/>
      <c r="G177" s="127"/>
      <c r="H177" s="128"/>
      <c r="J177" s="127"/>
      <c r="K177" s="127"/>
      <c r="L177" s="127"/>
      <c r="M177" s="124"/>
      <c r="N177" s="125"/>
      <c r="O177" s="125"/>
      <c r="V177" s="126"/>
    </row>
    <row r="178" spans="3:22" ht="15.75" customHeight="1">
      <c r="C178" s="127"/>
      <c r="D178" s="127"/>
      <c r="G178" s="127"/>
      <c r="H178" s="128"/>
      <c r="J178" s="127"/>
      <c r="K178" s="127"/>
      <c r="L178" s="127"/>
      <c r="M178" s="124"/>
      <c r="N178" s="125"/>
      <c r="O178" s="125"/>
      <c r="V178" s="126"/>
    </row>
    <row r="179" spans="3:22" ht="15.75" customHeight="1">
      <c r="C179" s="127"/>
      <c r="D179" s="127"/>
      <c r="G179" s="127"/>
      <c r="H179" s="128"/>
      <c r="J179" s="127"/>
      <c r="K179" s="127"/>
      <c r="L179" s="127"/>
      <c r="M179" s="124"/>
      <c r="N179" s="125"/>
      <c r="O179" s="125"/>
      <c r="V179" s="126"/>
    </row>
    <row r="180" spans="3:22" ht="15.75" customHeight="1">
      <c r="C180" s="127"/>
      <c r="D180" s="127"/>
      <c r="G180" s="127"/>
      <c r="H180" s="128"/>
      <c r="J180" s="127"/>
      <c r="K180" s="127"/>
      <c r="L180" s="127"/>
      <c r="M180" s="124"/>
      <c r="N180" s="125"/>
      <c r="O180" s="125"/>
      <c r="V180" s="126"/>
    </row>
    <row r="181" spans="3:22" ht="15.75" customHeight="1">
      <c r="C181" s="127"/>
      <c r="D181" s="127"/>
      <c r="G181" s="127"/>
      <c r="H181" s="128"/>
      <c r="J181" s="127"/>
      <c r="K181" s="127"/>
      <c r="L181" s="127"/>
      <c r="M181" s="124"/>
      <c r="N181" s="125"/>
      <c r="O181" s="125"/>
      <c r="V181" s="126"/>
    </row>
    <row r="182" spans="3:22" ht="15.75" customHeight="1">
      <c r="C182" s="127"/>
      <c r="D182" s="127"/>
      <c r="G182" s="127"/>
      <c r="H182" s="128"/>
      <c r="J182" s="127"/>
      <c r="K182" s="127"/>
      <c r="L182" s="127"/>
      <c r="M182" s="124"/>
      <c r="N182" s="125"/>
      <c r="O182" s="125"/>
      <c r="V182" s="126"/>
    </row>
    <row r="183" spans="3:22" ht="15.75" customHeight="1">
      <c r="C183" s="127"/>
      <c r="D183" s="127"/>
      <c r="G183" s="127"/>
      <c r="H183" s="128"/>
      <c r="J183" s="127"/>
      <c r="K183" s="127"/>
      <c r="L183" s="127"/>
      <c r="M183" s="124"/>
      <c r="N183" s="125"/>
      <c r="O183" s="125"/>
      <c r="V183" s="126"/>
    </row>
    <row r="184" spans="3:22" ht="15.75" customHeight="1">
      <c r="C184" s="127"/>
      <c r="D184" s="127"/>
      <c r="G184" s="127"/>
      <c r="H184" s="128"/>
      <c r="J184" s="127"/>
      <c r="K184" s="127"/>
      <c r="L184" s="127"/>
      <c r="M184" s="124"/>
      <c r="N184" s="125"/>
      <c r="O184" s="125"/>
      <c r="V184" s="126"/>
    </row>
    <row r="185" spans="3:22" ht="15.75" customHeight="1">
      <c r="C185" s="127"/>
      <c r="D185" s="127"/>
      <c r="G185" s="127"/>
      <c r="H185" s="128"/>
      <c r="J185" s="127"/>
      <c r="K185" s="127"/>
      <c r="L185" s="127"/>
      <c r="M185" s="124"/>
      <c r="N185" s="125"/>
      <c r="O185" s="125"/>
      <c r="V185" s="126"/>
    </row>
    <row r="186" spans="3:22" ht="15.75" customHeight="1">
      <c r="C186" s="127"/>
      <c r="D186" s="127"/>
      <c r="G186" s="127"/>
      <c r="H186" s="128"/>
      <c r="J186" s="127"/>
      <c r="K186" s="127"/>
      <c r="L186" s="127"/>
      <c r="M186" s="124"/>
      <c r="N186" s="125"/>
      <c r="O186" s="125"/>
      <c r="V186" s="126"/>
    </row>
    <row r="187" spans="3:22" ht="15.75" customHeight="1">
      <c r="C187" s="127"/>
      <c r="D187" s="127"/>
      <c r="G187" s="127"/>
      <c r="H187" s="128"/>
      <c r="J187" s="127"/>
      <c r="K187" s="127"/>
      <c r="L187" s="127"/>
      <c r="M187" s="124"/>
      <c r="N187" s="125"/>
      <c r="O187" s="125"/>
      <c r="V187" s="126"/>
    </row>
    <row r="188" spans="3:22" ht="15.75" customHeight="1">
      <c r="C188" s="127"/>
      <c r="D188" s="127"/>
      <c r="G188" s="127"/>
      <c r="H188" s="128"/>
      <c r="J188" s="127"/>
      <c r="K188" s="127"/>
      <c r="L188" s="127"/>
      <c r="M188" s="124"/>
      <c r="N188" s="125"/>
      <c r="O188" s="125"/>
      <c r="V188" s="126"/>
    </row>
    <row r="189" spans="3:22" ht="15.75" customHeight="1">
      <c r="C189" s="127"/>
      <c r="D189" s="127"/>
      <c r="G189" s="127"/>
      <c r="H189" s="128"/>
      <c r="J189" s="127"/>
      <c r="K189" s="127"/>
      <c r="L189" s="127"/>
      <c r="M189" s="124"/>
      <c r="N189" s="125"/>
      <c r="O189" s="125"/>
      <c r="V189" s="126"/>
    </row>
    <row r="190" spans="3:22" ht="15.75" customHeight="1">
      <c r="C190" s="127"/>
      <c r="D190" s="127"/>
      <c r="G190" s="127"/>
      <c r="H190" s="128"/>
      <c r="J190" s="127"/>
      <c r="K190" s="127"/>
      <c r="L190" s="127"/>
      <c r="M190" s="124"/>
      <c r="N190" s="125"/>
      <c r="O190" s="125"/>
      <c r="V190" s="126"/>
    </row>
    <row r="191" spans="3:22" ht="15.75" customHeight="1">
      <c r="C191" s="127"/>
      <c r="D191" s="127"/>
      <c r="G191" s="127"/>
      <c r="H191" s="128"/>
      <c r="J191" s="127"/>
      <c r="K191" s="127"/>
      <c r="L191" s="127"/>
      <c r="M191" s="124"/>
      <c r="N191" s="125"/>
      <c r="O191" s="125"/>
      <c r="V191" s="126"/>
    </row>
    <row r="192" spans="3:22" ht="15.75" customHeight="1">
      <c r="C192" s="127"/>
      <c r="D192" s="127"/>
      <c r="G192" s="127"/>
      <c r="H192" s="128"/>
      <c r="J192" s="127"/>
      <c r="K192" s="127"/>
      <c r="L192" s="127"/>
      <c r="M192" s="124"/>
      <c r="N192" s="125"/>
      <c r="O192" s="125"/>
      <c r="V192" s="126"/>
    </row>
    <row r="193" spans="3:22" ht="15.75" customHeight="1">
      <c r="C193" s="127"/>
      <c r="D193" s="127"/>
      <c r="G193" s="127"/>
      <c r="H193" s="128"/>
      <c r="J193" s="127"/>
      <c r="K193" s="127"/>
      <c r="L193" s="127"/>
      <c r="M193" s="124"/>
      <c r="N193" s="125"/>
      <c r="O193" s="125"/>
      <c r="V193" s="126"/>
    </row>
    <row r="194" spans="3:22" ht="15.75" customHeight="1">
      <c r="C194" s="127"/>
      <c r="D194" s="127"/>
      <c r="G194" s="127"/>
      <c r="H194" s="128"/>
      <c r="J194" s="127"/>
      <c r="K194" s="127"/>
      <c r="L194" s="127"/>
      <c r="M194" s="124"/>
      <c r="N194" s="125"/>
      <c r="O194" s="125"/>
      <c r="V194" s="126"/>
    </row>
    <row r="195" spans="3:22" ht="15.75" customHeight="1">
      <c r="C195" s="127"/>
      <c r="D195" s="127"/>
      <c r="G195" s="127"/>
      <c r="H195" s="128"/>
      <c r="J195" s="127"/>
      <c r="K195" s="127"/>
      <c r="L195" s="127"/>
      <c r="M195" s="124"/>
      <c r="N195" s="125"/>
      <c r="O195" s="125"/>
      <c r="V195" s="126"/>
    </row>
    <row r="196" spans="3:22" ht="15.75" customHeight="1">
      <c r="C196" s="127"/>
      <c r="D196" s="127"/>
      <c r="G196" s="127"/>
      <c r="H196" s="128"/>
      <c r="J196" s="127"/>
      <c r="K196" s="127"/>
      <c r="L196" s="127"/>
      <c r="M196" s="124"/>
      <c r="N196" s="125"/>
      <c r="O196" s="125"/>
      <c r="V196" s="126"/>
    </row>
    <row r="197" spans="3:22" ht="15.75" customHeight="1">
      <c r="C197" s="127"/>
      <c r="D197" s="127"/>
      <c r="G197" s="127"/>
      <c r="H197" s="128"/>
      <c r="J197" s="127"/>
      <c r="K197" s="127"/>
      <c r="L197" s="127"/>
      <c r="M197" s="124"/>
      <c r="N197" s="125"/>
      <c r="O197" s="125"/>
      <c r="V197" s="126"/>
    </row>
    <row r="198" spans="3:22" ht="15.75" customHeight="1">
      <c r="C198" s="127"/>
      <c r="D198" s="127"/>
      <c r="G198" s="127"/>
      <c r="H198" s="128"/>
      <c r="J198" s="127"/>
      <c r="K198" s="127"/>
      <c r="L198" s="127"/>
      <c r="M198" s="124"/>
      <c r="N198" s="125"/>
      <c r="O198" s="125"/>
      <c r="V198" s="126"/>
    </row>
    <row r="199" spans="3:22" ht="15.75" customHeight="1">
      <c r="C199" s="127"/>
      <c r="D199" s="127"/>
      <c r="G199" s="127"/>
      <c r="H199" s="128"/>
      <c r="J199" s="127"/>
      <c r="K199" s="127"/>
      <c r="L199" s="127"/>
      <c r="M199" s="124"/>
      <c r="N199" s="125"/>
      <c r="O199" s="125"/>
      <c r="V199" s="126"/>
    </row>
    <row r="200" spans="3:22" ht="15.75" customHeight="1">
      <c r="C200" s="127"/>
      <c r="D200" s="127"/>
      <c r="G200" s="127"/>
      <c r="H200" s="128"/>
      <c r="J200" s="127"/>
      <c r="K200" s="127"/>
      <c r="L200" s="127"/>
      <c r="M200" s="124"/>
      <c r="N200" s="125"/>
      <c r="O200" s="125"/>
      <c r="V200" s="126"/>
    </row>
    <row r="201" spans="3:22" ht="15.75" customHeight="1">
      <c r="C201" s="127"/>
      <c r="D201" s="127"/>
      <c r="G201" s="127"/>
      <c r="H201" s="128"/>
      <c r="J201" s="127"/>
      <c r="K201" s="127"/>
      <c r="L201" s="127"/>
      <c r="M201" s="124"/>
      <c r="N201" s="125"/>
      <c r="O201" s="125"/>
      <c r="V201" s="126"/>
    </row>
    <row r="202" spans="3:22" ht="15.75" customHeight="1">
      <c r="C202" s="127"/>
      <c r="D202" s="127"/>
      <c r="G202" s="127"/>
      <c r="H202" s="128"/>
      <c r="J202" s="127"/>
      <c r="K202" s="127"/>
      <c r="L202" s="127"/>
      <c r="M202" s="124"/>
      <c r="N202" s="125"/>
      <c r="O202" s="125"/>
      <c r="V202" s="126"/>
    </row>
    <row r="203" spans="3:22" ht="15.75" customHeight="1">
      <c r="C203" s="127"/>
      <c r="D203" s="127"/>
      <c r="G203" s="127"/>
      <c r="H203" s="128"/>
      <c r="J203" s="127"/>
      <c r="K203" s="127"/>
      <c r="L203" s="127"/>
      <c r="M203" s="124"/>
      <c r="N203" s="125"/>
      <c r="O203" s="125"/>
      <c r="V203" s="126"/>
    </row>
    <row r="204" spans="3:22" ht="15.75" customHeight="1">
      <c r="C204" s="127"/>
      <c r="D204" s="127"/>
      <c r="G204" s="127"/>
      <c r="H204" s="128"/>
      <c r="J204" s="127"/>
      <c r="K204" s="127"/>
      <c r="L204" s="127"/>
      <c r="M204" s="124"/>
      <c r="N204" s="125"/>
      <c r="O204" s="125"/>
      <c r="V204" s="126"/>
    </row>
    <row r="205" spans="3:22" ht="15.75" customHeight="1">
      <c r="C205" s="127"/>
      <c r="D205" s="127"/>
      <c r="G205" s="127"/>
      <c r="H205" s="128"/>
      <c r="J205" s="127"/>
      <c r="K205" s="127"/>
      <c r="L205" s="127"/>
      <c r="M205" s="124"/>
      <c r="N205" s="125"/>
      <c r="O205" s="125"/>
      <c r="V205" s="126"/>
    </row>
    <row r="206" spans="3:22" ht="15.75" customHeight="1">
      <c r="C206" s="127"/>
      <c r="D206" s="127"/>
      <c r="G206" s="127"/>
      <c r="H206" s="128"/>
      <c r="J206" s="127"/>
      <c r="K206" s="127"/>
      <c r="L206" s="127"/>
      <c r="M206" s="124"/>
      <c r="N206" s="125"/>
      <c r="O206" s="125"/>
      <c r="V206" s="126"/>
    </row>
    <row r="207" spans="3:22" ht="15.75" customHeight="1">
      <c r="C207" s="127"/>
      <c r="D207" s="127"/>
      <c r="G207" s="127"/>
      <c r="H207" s="128"/>
      <c r="J207" s="127"/>
      <c r="K207" s="127"/>
      <c r="L207" s="127"/>
      <c r="M207" s="124"/>
      <c r="N207" s="125"/>
      <c r="O207" s="125"/>
      <c r="V207" s="126"/>
    </row>
    <row r="208" spans="3:22" ht="15.75" customHeight="1">
      <c r="C208" s="127"/>
      <c r="D208" s="127"/>
      <c r="G208" s="127"/>
      <c r="H208" s="128"/>
      <c r="J208" s="127"/>
      <c r="K208" s="127"/>
      <c r="L208" s="127"/>
      <c r="M208" s="124"/>
      <c r="N208" s="125"/>
      <c r="O208" s="125"/>
      <c r="V208" s="126"/>
    </row>
    <row r="209" spans="3:22" ht="15.75" customHeight="1">
      <c r="C209" s="127"/>
      <c r="D209" s="127"/>
      <c r="G209" s="127"/>
      <c r="H209" s="128"/>
      <c r="J209" s="127"/>
      <c r="K209" s="127"/>
      <c r="L209" s="127"/>
      <c r="M209" s="124"/>
      <c r="N209" s="125"/>
      <c r="O209" s="125"/>
      <c r="V209" s="126"/>
    </row>
    <row r="210" spans="3:22" ht="15.75" customHeight="1">
      <c r="C210" s="127"/>
      <c r="D210" s="127"/>
      <c r="G210" s="127"/>
      <c r="H210" s="128"/>
      <c r="J210" s="127"/>
      <c r="K210" s="127"/>
      <c r="L210" s="127"/>
      <c r="M210" s="124"/>
      <c r="N210" s="125"/>
      <c r="O210" s="125"/>
      <c r="V210" s="126"/>
    </row>
    <row r="211" spans="3:22" ht="15.75" customHeight="1">
      <c r="C211" s="127"/>
      <c r="D211" s="127"/>
      <c r="G211" s="127"/>
      <c r="H211" s="128"/>
      <c r="J211" s="127"/>
      <c r="K211" s="127"/>
      <c r="L211" s="127"/>
      <c r="M211" s="124"/>
      <c r="N211" s="125"/>
      <c r="O211" s="125"/>
      <c r="V211" s="126"/>
    </row>
    <row r="212" spans="3:22" ht="15.75" customHeight="1">
      <c r="C212" s="127"/>
      <c r="D212" s="127"/>
      <c r="G212" s="127"/>
      <c r="H212" s="128"/>
      <c r="J212" s="127"/>
      <c r="K212" s="127"/>
      <c r="L212" s="127"/>
      <c r="M212" s="124"/>
      <c r="N212" s="125"/>
      <c r="O212" s="125"/>
      <c r="V212" s="126"/>
    </row>
    <row r="213" spans="3:22" ht="15.75" customHeight="1">
      <c r="C213" s="127"/>
      <c r="D213" s="127"/>
      <c r="G213" s="127"/>
      <c r="H213" s="128"/>
      <c r="J213" s="127"/>
      <c r="K213" s="127"/>
      <c r="L213" s="127"/>
      <c r="M213" s="124"/>
      <c r="N213" s="125"/>
      <c r="O213" s="125"/>
      <c r="V213" s="126"/>
    </row>
    <row r="214" spans="3:22" ht="15.75" customHeight="1">
      <c r="C214" s="127"/>
      <c r="D214" s="127"/>
      <c r="G214" s="127"/>
      <c r="H214" s="128"/>
      <c r="J214" s="127"/>
      <c r="K214" s="127"/>
      <c r="L214" s="127"/>
      <c r="M214" s="124"/>
      <c r="N214" s="125"/>
      <c r="O214" s="125"/>
      <c r="V214" s="126"/>
    </row>
    <row r="215" spans="3:22" ht="15.75" customHeight="1">
      <c r="C215" s="127"/>
      <c r="D215" s="127"/>
      <c r="G215" s="127"/>
      <c r="H215" s="128"/>
      <c r="J215" s="127"/>
      <c r="K215" s="127"/>
      <c r="L215" s="127"/>
      <c r="M215" s="124"/>
      <c r="N215" s="125"/>
      <c r="O215" s="125"/>
      <c r="V215" s="126"/>
    </row>
    <row r="216" spans="3:22" ht="15.75" customHeight="1">
      <c r="C216" s="127"/>
      <c r="D216" s="127"/>
      <c r="G216" s="127"/>
      <c r="H216" s="128"/>
      <c r="J216" s="127"/>
      <c r="K216" s="127"/>
      <c r="L216" s="127"/>
      <c r="M216" s="124"/>
      <c r="N216" s="125"/>
      <c r="O216" s="125"/>
      <c r="V216" s="126"/>
    </row>
    <row r="217" spans="3:22" ht="15.75" customHeight="1">
      <c r="C217" s="127"/>
      <c r="D217" s="127"/>
      <c r="G217" s="127"/>
      <c r="H217" s="128"/>
      <c r="J217" s="127"/>
      <c r="K217" s="127"/>
      <c r="L217" s="127"/>
      <c r="M217" s="124"/>
      <c r="N217" s="125"/>
      <c r="O217" s="125"/>
      <c r="V217" s="126"/>
    </row>
    <row r="218" spans="3:22" ht="15.75" customHeight="1">
      <c r="C218" s="127"/>
      <c r="D218" s="127"/>
      <c r="G218" s="127"/>
      <c r="H218" s="128"/>
      <c r="J218" s="127"/>
      <c r="K218" s="127"/>
      <c r="L218" s="127"/>
      <c r="M218" s="124"/>
      <c r="N218" s="125"/>
      <c r="O218" s="125"/>
      <c r="V218" s="126"/>
    </row>
    <row r="219" spans="3:22" ht="15.75" customHeight="1">
      <c r="C219" s="127"/>
      <c r="D219" s="127"/>
      <c r="G219" s="127"/>
      <c r="H219" s="128"/>
      <c r="J219" s="127"/>
      <c r="K219" s="127"/>
      <c r="L219" s="127"/>
      <c r="M219" s="124"/>
      <c r="N219" s="125"/>
      <c r="O219" s="125"/>
      <c r="V219" s="126"/>
    </row>
    <row r="220" spans="3:22" ht="15.75" customHeight="1">
      <c r="C220" s="127"/>
      <c r="D220" s="127"/>
      <c r="G220" s="127"/>
      <c r="H220" s="128"/>
      <c r="J220" s="127"/>
      <c r="K220" s="127"/>
      <c r="L220" s="127"/>
      <c r="M220" s="124"/>
      <c r="N220" s="125"/>
      <c r="O220" s="125"/>
      <c r="V220" s="126"/>
    </row>
    <row r="221" spans="3:22" ht="15.75" customHeight="1">
      <c r="C221" s="127"/>
      <c r="D221" s="127"/>
      <c r="G221" s="127"/>
      <c r="H221" s="128"/>
      <c r="J221" s="127"/>
      <c r="K221" s="127"/>
      <c r="L221" s="127"/>
      <c r="M221" s="124"/>
      <c r="N221" s="125"/>
      <c r="O221" s="125"/>
      <c r="V221" s="126"/>
    </row>
    <row r="222" spans="3:22" ht="15.75" customHeight="1">
      <c r="C222" s="127"/>
      <c r="D222" s="127"/>
      <c r="G222" s="127"/>
      <c r="H222" s="128"/>
      <c r="J222" s="127"/>
      <c r="K222" s="127"/>
      <c r="L222" s="127"/>
      <c r="M222" s="124"/>
      <c r="N222" s="125"/>
      <c r="O222" s="125"/>
      <c r="V222" s="126"/>
    </row>
    <row r="223" spans="3:22" ht="15.75" customHeight="1">
      <c r="C223" s="127"/>
      <c r="D223" s="127"/>
      <c r="G223" s="127"/>
      <c r="H223" s="128"/>
      <c r="J223" s="127"/>
      <c r="K223" s="127"/>
      <c r="L223" s="127"/>
      <c r="M223" s="124"/>
      <c r="N223" s="125"/>
      <c r="O223" s="125"/>
      <c r="V223" s="126"/>
    </row>
    <row r="224" spans="3:22" ht="15.75" customHeight="1">
      <c r="C224" s="127"/>
      <c r="D224" s="127"/>
      <c r="G224" s="127"/>
      <c r="H224" s="128"/>
      <c r="J224" s="127"/>
      <c r="K224" s="127"/>
      <c r="L224" s="127"/>
      <c r="M224" s="124"/>
      <c r="N224" s="125"/>
      <c r="O224" s="125"/>
      <c r="V224" s="126"/>
    </row>
    <row r="225" spans="3:22" ht="15.75" customHeight="1">
      <c r="C225" s="127"/>
      <c r="D225" s="127"/>
      <c r="G225" s="127"/>
      <c r="H225" s="128"/>
      <c r="J225" s="127"/>
      <c r="K225" s="127"/>
      <c r="L225" s="127"/>
      <c r="M225" s="124"/>
      <c r="N225" s="125"/>
      <c r="O225" s="125"/>
      <c r="V225" s="126"/>
    </row>
    <row r="226" spans="3:22" ht="15.75" customHeight="1">
      <c r="C226" s="127"/>
      <c r="D226" s="127"/>
      <c r="G226" s="127"/>
      <c r="H226" s="128"/>
      <c r="J226" s="127"/>
      <c r="K226" s="127"/>
      <c r="L226" s="127"/>
      <c r="M226" s="124"/>
      <c r="N226" s="125"/>
      <c r="O226" s="125"/>
      <c r="V226" s="126"/>
    </row>
    <row r="227" spans="3:22" ht="15.75" customHeight="1">
      <c r="C227" s="127"/>
      <c r="D227" s="127"/>
      <c r="G227" s="127"/>
      <c r="H227" s="128"/>
      <c r="J227" s="127"/>
      <c r="K227" s="127"/>
      <c r="L227" s="127"/>
      <c r="M227" s="124"/>
      <c r="N227" s="125"/>
      <c r="O227" s="125"/>
      <c r="V227" s="126"/>
    </row>
    <row r="228" spans="3:22" ht="15.75" customHeight="1">
      <c r="C228" s="127"/>
      <c r="D228" s="127"/>
      <c r="G228" s="127"/>
      <c r="H228" s="128"/>
      <c r="J228" s="127"/>
      <c r="K228" s="127"/>
      <c r="L228" s="127"/>
      <c r="M228" s="124"/>
      <c r="N228" s="125"/>
      <c r="O228" s="125"/>
      <c r="V228" s="126"/>
    </row>
    <row r="229" spans="3:22" ht="15.75" customHeight="1">
      <c r="C229" s="127"/>
      <c r="D229" s="127"/>
      <c r="G229" s="127"/>
      <c r="H229" s="128"/>
      <c r="J229" s="127"/>
      <c r="K229" s="127"/>
      <c r="L229" s="127"/>
      <c r="M229" s="124"/>
      <c r="N229" s="125"/>
      <c r="O229" s="125"/>
      <c r="V229" s="126"/>
    </row>
    <row r="230" spans="3:22" ht="15.75" customHeight="1">
      <c r="C230" s="127"/>
      <c r="D230" s="127"/>
      <c r="G230" s="127"/>
      <c r="H230" s="128"/>
      <c r="J230" s="127"/>
      <c r="K230" s="127"/>
      <c r="L230" s="127"/>
      <c r="M230" s="124"/>
      <c r="N230" s="125"/>
      <c r="O230" s="125"/>
      <c r="V230" s="126"/>
    </row>
    <row r="231" spans="3:22" ht="15.75" customHeight="1">
      <c r="C231" s="127"/>
      <c r="D231" s="127"/>
      <c r="G231" s="127"/>
      <c r="H231" s="128"/>
      <c r="J231" s="127"/>
      <c r="K231" s="127"/>
      <c r="L231" s="127"/>
      <c r="M231" s="124"/>
      <c r="N231" s="125"/>
      <c r="O231" s="125"/>
      <c r="V231" s="126"/>
    </row>
    <row r="232" spans="3:22" ht="15.75" customHeight="1">
      <c r="C232" s="127"/>
      <c r="D232" s="127"/>
      <c r="G232" s="127"/>
      <c r="H232" s="128"/>
      <c r="J232" s="127"/>
      <c r="K232" s="127"/>
      <c r="L232" s="127"/>
      <c r="M232" s="124"/>
      <c r="N232" s="125"/>
      <c r="O232" s="125"/>
      <c r="V232" s="126"/>
    </row>
    <row r="233" spans="3:22" ht="15.75" customHeight="1">
      <c r="C233" s="127"/>
      <c r="D233" s="127"/>
      <c r="G233" s="127"/>
      <c r="H233" s="128"/>
      <c r="J233" s="127"/>
      <c r="K233" s="127"/>
      <c r="L233" s="127"/>
      <c r="M233" s="124"/>
      <c r="N233" s="125"/>
      <c r="O233" s="125"/>
      <c r="V233" s="126"/>
    </row>
    <row r="234" spans="3:22" ht="15.75" customHeight="1">
      <c r="C234" s="127"/>
      <c r="D234" s="127"/>
      <c r="G234" s="127"/>
      <c r="H234" s="128"/>
      <c r="J234" s="127"/>
      <c r="K234" s="127"/>
      <c r="L234" s="127"/>
      <c r="M234" s="124"/>
      <c r="N234" s="125"/>
      <c r="O234" s="125"/>
      <c r="V234" s="126"/>
    </row>
    <row r="235" spans="3:22" ht="15.75" customHeight="1">
      <c r="C235" s="127"/>
      <c r="D235" s="127"/>
      <c r="G235" s="127"/>
      <c r="H235" s="128"/>
      <c r="J235" s="127"/>
      <c r="K235" s="127"/>
      <c r="L235" s="127"/>
      <c r="M235" s="124"/>
      <c r="N235" s="125"/>
      <c r="O235" s="125"/>
      <c r="V235" s="126"/>
    </row>
    <row r="236" spans="3:22" ht="15.75" customHeight="1">
      <c r="C236" s="127"/>
      <c r="D236" s="127"/>
      <c r="G236" s="127"/>
      <c r="H236" s="128"/>
      <c r="J236" s="127"/>
      <c r="K236" s="127"/>
      <c r="L236" s="127"/>
      <c r="M236" s="124"/>
      <c r="N236" s="125"/>
      <c r="O236" s="125"/>
      <c r="V236" s="126"/>
    </row>
    <row r="237" spans="3:22" ht="15.75" customHeight="1">
      <c r="C237" s="127"/>
      <c r="D237" s="127"/>
      <c r="G237" s="127"/>
      <c r="H237" s="128"/>
      <c r="J237" s="127"/>
      <c r="K237" s="127"/>
      <c r="L237" s="127"/>
      <c r="M237" s="124"/>
      <c r="N237" s="125"/>
      <c r="O237" s="125"/>
      <c r="V237" s="126"/>
    </row>
    <row r="238" spans="3:22" ht="15.75" customHeight="1">
      <c r="C238" s="127"/>
      <c r="D238" s="127"/>
      <c r="G238" s="127"/>
      <c r="H238" s="128"/>
      <c r="J238" s="127"/>
      <c r="K238" s="127"/>
      <c r="L238" s="127"/>
      <c r="M238" s="124"/>
      <c r="N238" s="125"/>
      <c r="O238" s="125"/>
      <c r="V238" s="126"/>
    </row>
    <row r="239" spans="3:22" ht="15.75" customHeight="1">
      <c r="C239" s="127"/>
      <c r="D239" s="127"/>
      <c r="G239" s="127"/>
      <c r="H239" s="128"/>
      <c r="J239" s="127"/>
      <c r="K239" s="127"/>
      <c r="L239" s="127"/>
      <c r="M239" s="124"/>
      <c r="N239" s="125"/>
      <c r="O239" s="125"/>
      <c r="V239" s="126"/>
    </row>
    <row r="240" spans="3:22" ht="15.75" customHeight="1">
      <c r="C240" s="127"/>
      <c r="D240" s="127"/>
      <c r="G240" s="127"/>
      <c r="H240" s="128"/>
      <c r="J240" s="127"/>
      <c r="K240" s="127"/>
      <c r="L240" s="127"/>
      <c r="M240" s="124"/>
      <c r="N240" s="125"/>
      <c r="O240" s="125"/>
      <c r="V240" s="126"/>
    </row>
    <row r="241" spans="3:22" ht="15.75" customHeight="1">
      <c r="C241" s="127"/>
      <c r="D241" s="127"/>
      <c r="G241" s="127"/>
      <c r="H241" s="128"/>
      <c r="J241" s="127"/>
      <c r="K241" s="127"/>
      <c r="L241" s="127"/>
      <c r="M241" s="124"/>
      <c r="N241" s="125"/>
      <c r="O241" s="125"/>
      <c r="V241" s="126"/>
    </row>
    <row r="242" spans="3:22" ht="15.75" customHeight="1">
      <c r="C242" s="127"/>
      <c r="D242" s="127"/>
      <c r="G242" s="127"/>
      <c r="H242" s="128"/>
      <c r="J242" s="127"/>
      <c r="K242" s="127"/>
      <c r="L242" s="127"/>
      <c r="M242" s="124"/>
      <c r="N242" s="125"/>
      <c r="O242" s="125"/>
      <c r="V242" s="126"/>
    </row>
    <row r="243" spans="3:22" ht="15.75" customHeight="1">
      <c r="C243" s="127"/>
      <c r="D243" s="127"/>
      <c r="G243" s="127"/>
      <c r="H243" s="128"/>
      <c r="J243" s="127"/>
      <c r="K243" s="127"/>
      <c r="L243" s="127"/>
      <c r="M243" s="124"/>
      <c r="N243" s="125"/>
      <c r="O243" s="125"/>
      <c r="V243" s="126"/>
    </row>
    <row r="244" spans="3:22" ht="15.75" customHeight="1">
      <c r="C244" s="127"/>
      <c r="D244" s="127"/>
      <c r="G244" s="127"/>
      <c r="H244" s="128"/>
      <c r="J244" s="127"/>
      <c r="K244" s="127"/>
      <c r="L244" s="127"/>
      <c r="M244" s="124"/>
      <c r="N244" s="125"/>
      <c r="O244" s="125"/>
      <c r="V244" s="126"/>
    </row>
    <row r="245" spans="3:22" ht="15.75" customHeight="1">
      <c r="C245" s="127"/>
      <c r="D245" s="127"/>
      <c r="G245" s="127"/>
      <c r="H245" s="128"/>
      <c r="J245" s="127"/>
      <c r="K245" s="127"/>
      <c r="L245" s="127"/>
      <c r="M245" s="124"/>
      <c r="N245" s="125"/>
      <c r="O245" s="125"/>
      <c r="V245" s="126"/>
    </row>
    <row r="246" spans="3:22" ht="15.75" customHeight="1">
      <c r="C246" s="127"/>
      <c r="D246" s="127"/>
      <c r="G246" s="127"/>
      <c r="H246" s="128"/>
      <c r="J246" s="127"/>
      <c r="K246" s="127"/>
      <c r="L246" s="127"/>
      <c r="M246" s="124"/>
      <c r="N246" s="125"/>
      <c r="O246" s="125"/>
      <c r="V246" s="126"/>
    </row>
    <row r="247" spans="3:22" ht="15.75" customHeight="1">
      <c r="C247" s="127"/>
      <c r="D247" s="127"/>
      <c r="G247" s="127"/>
      <c r="H247" s="128"/>
      <c r="J247" s="127"/>
      <c r="K247" s="127"/>
      <c r="L247" s="127"/>
      <c r="M247" s="124"/>
      <c r="N247" s="125"/>
      <c r="O247" s="125"/>
      <c r="V247" s="126"/>
    </row>
    <row r="248" spans="3:22" ht="15.75" customHeight="1">
      <c r="C248" s="127"/>
      <c r="D248" s="127"/>
      <c r="G248" s="127"/>
      <c r="H248" s="128"/>
      <c r="J248" s="127"/>
      <c r="K248" s="127"/>
      <c r="L248" s="127"/>
      <c r="M248" s="124"/>
      <c r="N248" s="125"/>
      <c r="O248" s="125"/>
      <c r="V248" s="126"/>
    </row>
    <row r="249" spans="3:22" ht="15.75" customHeight="1">
      <c r="C249" s="127"/>
      <c r="D249" s="127"/>
      <c r="G249" s="127"/>
      <c r="H249" s="128"/>
      <c r="J249" s="127"/>
      <c r="K249" s="127"/>
      <c r="L249" s="127"/>
      <c r="M249" s="124"/>
      <c r="N249" s="125"/>
      <c r="O249" s="125"/>
      <c r="V249" s="126"/>
    </row>
    <row r="250" spans="3:22" ht="15.75" customHeight="1">
      <c r="C250" s="127"/>
      <c r="D250" s="127"/>
      <c r="G250" s="127"/>
      <c r="H250" s="128"/>
      <c r="J250" s="127"/>
      <c r="K250" s="127"/>
      <c r="L250" s="127"/>
      <c r="M250" s="124"/>
      <c r="N250" s="125"/>
      <c r="O250" s="125"/>
      <c r="V250" s="126"/>
    </row>
    <row r="251" spans="3:22" ht="15.75" customHeight="1">
      <c r="C251" s="127"/>
      <c r="D251" s="127"/>
      <c r="G251" s="127"/>
      <c r="H251" s="128"/>
      <c r="J251" s="127"/>
      <c r="K251" s="127"/>
      <c r="L251" s="127"/>
      <c r="M251" s="124"/>
      <c r="N251" s="125"/>
      <c r="O251" s="125"/>
      <c r="V251" s="126"/>
    </row>
    <row r="252" spans="3:22" ht="15.75" customHeight="1">
      <c r="C252" s="127"/>
      <c r="D252" s="127"/>
      <c r="G252" s="127"/>
      <c r="H252" s="128"/>
      <c r="J252" s="127"/>
      <c r="K252" s="127"/>
      <c r="L252" s="127"/>
      <c r="M252" s="124"/>
      <c r="N252" s="125"/>
      <c r="O252" s="125"/>
      <c r="V252" s="126"/>
    </row>
    <row r="253" spans="3:22" ht="15.75" customHeight="1">
      <c r="C253" s="127"/>
      <c r="D253" s="127"/>
      <c r="G253" s="127"/>
      <c r="H253" s="128"/>
      <c r="J253" s="127"/>
      <c r="K253" s="127"/>
      <c r="L253" s="127"/>
      <c r="M253" s="124"/>
      <c r="N253" s="125"/>
      <c r="O253" s="125"/>
      <c r="V253" s="126"/>
    </row>
    <row r="254" spans="3:22" ht="15.75" customHeight="1">
      <c r="C254" s="127"/>
      <c r="D254" s="127"/>
      <c r="G254" s="127"/>
      <c r="H254" s="128"/>
      <c r="J254" s="127"/>
      <c r="K254" s="127"/>
      <c r="L254" s="127"/>
      <c r="M254" s="124"/>
      <c r="N254" s="125"/>
      <c r="O254" s="125"/>
      <c r="V254" s="126"/>
    </row>
    <row r="255" spans="3:22" ht="15.75" customHeight="1">
      <c r="C255" s="127"/>
      <c r="D255" s="127"/>
      <c r="G255" s="127"/>
      <c r="H255" s="128"/>
      <c r="J255" s="127"/>
      <c r="K255" s="127"/>
      <c r="L255" s="127"/>
      <c r="M255" s="124"/>
      <c r="N255" s="125"/>
      <c r="O255" s="125"/>
      <c r="V255" s="126"/>
    </row>
    <row r="256" spans="3:22" ht="15.75" customHeight="1">
      <c r="C256" s="127"/>
      <c r="D256" s="127"/>
      <c r="G256" s="127"/>
      <c r="H256" s="128"/>
      <c r="J256" s="127"/>
      <c r="K256" s="127"/>
      <c r="L256" s="127"/>
      <c r="M256" s="124"/>
      <c r="N256" s="125"/>
      <c r="O256" s="125"/>
      <c r="V256" s="126"/>
    </row>
    <row r="257" spans="3:22" ht="15.75" customHeight="1">
      <c r="C257" s="127"/>
      <c r="D257" s="127"/>
      <c r="G257" s="127"/>
      <c r="H257" s="128"/>
      <c r="J257" s="127"/>
      <c r="K257" s="127"/>
      <c r="L257" s="127"/>
      <c r="M257" s="124"/>
      <c r="N257" s="125"/>
      <c r="O257" s="125"/>
      <c r="V257" s="126"/>
    </row>
    <row r="258" spans="3:22" ht="15.75" customHeight="1">
      <c r="C258" s="127"/>
      <c r="D258" s="127"/>
      <c r="G258" s="127"/>
      <c r="H258" s="128"/>
      <c r="J258" s="127"/>
      <c r="K258" s="127"/>
      <c r="L258" s="127"/>
      <c r="M258" s="124"/>
      <c r="N258" s="125"/>
      <c r="O258" s="125"/>
      <c r="V258" s="126"/>
    </row>
    <row r="259" spans="3:22" ht="15.75" customHeight="1">
      <c r="C259" s="127"/>
      <c r="D259" s="127"/>
      <c r="G259" s="127"/>
      <c r="H259" s="128"/>
      <c r="J259" s="127"/>
      <c r="K259" s="127"/>
      <c r="L259" s="127"/>
      <c r="M259" s="124"/>
      <c r="N259" s="125"/>
      <c r="O259" s="125"/>
      <c r="V259" s="126"/>
    </row>
    <row r="260" spans="3:22" ht="15.75" customHeight="1">
      <c r="C260" s="127"/>
      <c r="D260" s="127"/>
      <c r="G260" s="127"/>
      <c r="H260" s="128"/>
      <c r="J260" s="127"/>
      <c r="K260" s="127"/>
      <c r="L260" s="127"/>
      <c r="M260" s="124"/>
      <c r="N260" s="125"/>
      <c r="O260" s="125"/>
      <c r="V260" s="126"/>
    </row>
    <row r="261" spans="3:22" ht="15.75" customHeight="1">
      <c r="C261" s="127"/>
      <c r="D261" s="127"/>
      <c r="G261" s="127"/>
      <c r="H261" s="128"/>
      <c r="J261" s="127"/>
      <c r="K261" s="127"/>
      <c r="L261" s="127"/>
      <c r="M261" s="124"/>
      <c r="N261" s="125"/>
      <c r="O261" s="125"/>
      <c r="V261" s="126"/>
    </row>
    <row r="262" spans="3:22" ht="15.75" customHeight="1">
      <c r="C262" s="127"/>
      <c r="D262" s="127"/>
      <c r="G262" s="127"/>
      <c r="H262" s="128"/>
      <c r="J262" s="127"/>
      <c r="K262" s="127"/>
      <c r="L262" s="127"/>
      <c r="M262" s="124"/>
      <c r="N262" s="125"/>
      <c r="O262" s="125"/>
      <c r="V262" s="126"/>
    </row>
    <row r="263" spans="3:22" ht="15.75" customHeight="1">
      <c r="C263" s="127"/>
      <c r="D263" s="127"/>
      <c r="G263" s="127"/>
      <c r="H263" s="128"/>
      <c r="J263" s="127"/>
      <c r="K263" s="127"/>
      <c r="L263" s="127"/>
      <c r="M263" s="124"/>
      <c r="N263" s="125"/>
      <c r="O263" s="125"/>
      <c r="V263" s="126"/>
    </row>
    <row r="264" spans="3:22" ht="15.75" customHeight="1">
      <c r="C264" s="127"/>
      <c r="D264" s="127"/>
      <c r="G264" s="127"/>
      <c r="H264" s="128"/>
      <c r="J264" s="127"/>
      <c r="K264" s="127"/>
      <c r="L264" s="127"/>
      <c r="M264" s="124"/>
      <c r="N264" s="125"/>
      <c r="O264" s="125"/>
      <c r="V264" s="126"/>
    </row>
    <row r="265" spans="3:22" ht="15.75" customHeight="1">
      <c r="C265" s="127"/>
      <c r="D265" s="127"/>
      <c r="G265" s="127"/>
      <c r="H265" s="128"/>
      <c r="J265" s="127"/>
      <c r="K265" s="127"/>
      <c r="L265" s="127"/>
      <c r="M265" s="124"/>
      <c r="N265" s="125"/>
      <c r="O265" s="125"/>
      <c r="V265" s="126"/>
    </row>
    <row r="266" spans="3:22" ht="15.75" customHeight="1">
      <c r="C266" s="127"/>
      <c r="D266" s="127"/>
      <c r="G266" s="127"/>
      <c r="H266" s="128"/>
      <c r="J266" s="127"/>
      <c r="K266" s="127"/>
      <c r="L266" s="127"/>
      <c r="M266" s="124"/>
      <c r="N266" s="125"/>
      <c r="O266" s="125"/>
      <c r="V266" s="126"/>
    </row>
    <row r="267" spans="3:22" ht="15.75" customHeight="1">
      <c r="C267" s="127"/>
      <c r="D267" s="127"/>
      <c r="G267" s="127"/>
      <c r="H267" s="128"/>
      <c r="J267" s="127"/>
      <c r="K267" s="127"/>
      <c r="L267" s="127"/>
      <c r="M267" s="124"/>
      <c r="N267" s="125"/>
      <c r="O267" s="125"/>
      <c r="V267" s="126"/>
    </row>
    <row r="268" spans="3:22" ht="15.75" customHeight="1">
      <c r="C268" s="127"/>
      <c r="D268" s="127"/>
      <c r="G268" s="127"/>
      <c r="H268" s="128"/>
      <c r="J268" s="127"/>
      <c r="K268" s="127"/>
      <c r="L268" s="127"/>
      <c r="M268" s="124"/>
      <c r="N268" s="125"/>
      <c r="O268" s="125"/>
      <c r="V268" s="126"/>
    </row>
    <row r="269" spans="3:22" ht="15.75" customHeight="1">
      <c r="C269" s="127"/>
      <c r="D269" s="127"/>
      <c r="G269" s="127"/>
      <c r="H269" s="128"/>
      <c r="J269" s="127"/>
      <c r="K269" s="127"/>
      <c r="L269" s="127"/>
      <c r="M269" s="124"/>
      <c r="N269" s="125"/>
      <c r="O269" s="125"/>
      <c r="V269" s="126"/>
    </row>
    <row r="270" spans="3:22" ht="15.75" customHeight="1">
      <c r="C270" s="127"/>
      <c r="D270" s="127"/>
      <c r="G270" s="127"/>
      <c r="H270" s="128"/>
      <c r="J270" s="127"/>
      <c r="K270" s="127"/>
      <c r="L270" s="127"/>
      <c r="M270" s="124"/>
      <c r="N270" s="125"/>
      <c r="O270" s="125"/>
      <c r="V270" s="126"/>
    </row>
    <row r="271" spans="3:22" ht="15.75" customHeight="1">
      <c r="C271" s="127"/>
      <c r="D271" s="127"/>
      <c r="G271" s="127"/>
      <c r="H271" s="128"/>
      <c r="J271" s="127"/>
      <c r="K271" s="127"/>
      <c r="L271" s="127"/>
      <c r="M271" s="124"/>
      <c r="N271" s="125"/>
      <c r="O271" s="125"/>
      <c r="V271" s="126"/>
    </row>
    <row r="272" spans="3:22" ht="15.75" customHeight="1">
      <c r="C272" s="127"/>
      <c r="D272" s="127"/>
      <c r="G272" s="127"/>
      <c r="H272" s="128"/>
      <c r="J272" s="127"/>
      <c r="K272" s="127"/>
      <c r="L272" s="127"/>
      <c r="M272" s="124"/>
      <c r="N272" s="125"/>
      <c r="O272" s="125"/>
      <c r="V272" s="126"/>
    </row>
    <row r="273" spans="3:22" ht="15.75" customHeight="1">
      <c r="C273" s="127"/>
      <c r="D273" s="127"/>
      <c r="G273" s="127"/>
      <c r="H273" s="128"/>
      <c r="J273" s="127"/>
      <c r="K273" s="127"/>
      <c r="L273" s="127"/>
      <c r="M273" s="124"/>
      <c r="N273" s="125"/>
      <c r="O273" s="125"/>
      <c r="V273" s="126"/>
    </row>
    <row r="274" spans="3:22" ht="15.75" customHeight="1">
      <c r="C274" s="127"/>
      <c r="D274" s="127"/>
      <c r="G274" s="127"/>
      <c r="H274" s="128"/>
      <c r="J274" s="127"/>
      <c r="K274" s="127"/>
      <c r="L274" s="127"/>
      <c r="M274" s="124"/>
      <c r="N274" s="125"/>
      <c r="O274" s="125"/>
      <c r="V274" s="126"/>
    </row>
    <row r="275" spans="3:22" ht="15.75" customHeight="1">
      <c r="C275" s="127"/>
      <c r="D275" s="127"/>
      <c r="G275" s="127"/>
      <c r="H275" s="128"/>
      <c r="J275" s="127"/>
      <c r="K275" s="127"/>
      <c r="L275" s="127"/>
      <c r="M275" s="124"/>
      <c r="N275" s="125"/>
      <c r="O275" s="125"/>
      <c r="V275" s="126"/>
    </row>
    <row r="276" spans="3:22" ht="15.75" customHeight="1">
      <c r="C276" s="127"/>
      <c r="D276" s="127"/>
      <c r="G276" s="127"/>
      <c r="H276" s="128"/>
      <c r="J276" s="127"/>
      <c r="K276" s="127"/>
      <c r="L276" s="127"/>
      <c r="M276" s="124"/>
      <c r="N276" s="125"/>
      <c r="O276" s="125"/>
      <c r="V276" s="126"/>
    </row>
    <row r="277" spans="3:22" ht="15.75" customHeight="1">
      <c r="C277" s="127"/>
      <c r="D277" s="127"/>
      <c r="G277" s="127"/>
      <c r="H277" s="128"/>
      <c r="J277" s="127"/>
      <c r="K277" s="127"/>
      <c r="L277" s="127"/>
      <c r="M277" s="124"/>
      <c r="N277" s="125"/>
      <c r="O277" s="125"/>
      <c r="V277" s="126"/>
    </row>
    <row r="278" spans="3:22" ht="15.75" customHeight="1">
      <c r="C278" s="127"/>
      <c r="D278" s="127"/>
      <c r="G278" s="127"/>
      <c r="H278" s="128"/>
      <c r="J278" s="127"/>
      <c r="K278" s="127"/>
      <c r="L278" s="127"/>
      <c r="M278" s="124"/>
      <c r="N278" s="125"/>
      <c r="O278" s="125"/>
      <c r="V278" s="126"/>
    </row>
    <row r="279" spans="3:22" ht="15.75" customHeight="1">
      <c r="C279" s="127"/>
      <c r="D279" s="127"/>
      <c r="G279" s="127"/>
      <c r="H279" s="128"/>
      <c r="J279" s="127"/>
      <c r="K279" s="127"/>
      <c r="L279" s="127"/>
      <c r="M279" s="124"/>
      <c r="N279" s="125"/>
      <c r="O279" s="125"/>
      <c r="V279" s="126"/>
    </row>
    <row r="280" spans="3:22" ht="15.75" customHeight="1">
      <c r="C280" s="127"/>
      <c r="D280" s="127"/>
      <c r="G280" s="127"/>
      <c r="H280" s="128"/>
      <c r="J280" s="127"/>
      <c r="K280" s="127"/>
      <c r="L280" s="127"/>
      <c r="M280" s="124"/>
      <c r="N280" s="125"/>
      <c r="O280" s="125"/>
      <c r="V280" s="126"/>
    </row>
    <row r="281" spans="3:22" ht="15.75" customHeight="1">
      <c r="C281" s="127"/>
      <c r="D281" s="127"/>
      <c r="G281" s="127"/>
      <c r="H281" s="128"/>
      <c r="J281" s="127"/>
      <c r="K281" s="127"/>
      <c r="L281" s="127"/>
      <c r="M281" s="124"/>
      <c r="N281" s="125"/>
      <c r="O281" s="125"/>
      <c r="V281" s="126"/>
    </row>
    <row r="282" spans="3:22" ht="15.75" customHeight="1">
      <c r="C282" s="127"/>
      <c r="D282" s="127"/>
      <c r="G282" s="127"/>
      <c r="H282" s="128"/>
      <c r="J282" s="127"/>
      <c r="K282" s="127"/>
      <c r="L282" s="127"/>
      <c r="M282" s="124"/>
      <c r="N282" s="125"/>
      <c r="O282" s="125"/>
      <c r="V282" s="126"/>
    </row>
    <row r="283" spans="3:22" ht="15.75" customHeight="1">
      <c r="C283" s="127"/>
      <c r="D283" s="127"/>
      <c r="G283" s="127"/>
      <c r="H283" s="128"/>
      <c r="J283" s="127"/>
      <c r="K283" s="127"/>
      <c r="L283" s="127"/>
      <c r="M283" s="124"/>
      <c r="N283" s="125"/>
      <c r="O283" s="125"/>
      <c r="V283" s="126"/>
    </row>
    <row r="284" spans="3:22" ht="15.75" customHeight="1">
      <c r="C284" s="127"/>
      <c r="D284" s="127"/>
      <c r="G284" s="127"/>
      <c r="H284" s="128"/>
      <c r="J284" s="127"/>
      <c r="K284" s="127"/>
      <c r="L284" s="127"/>
      <c r="M284" s="124"/>
      <c r="N284" s="125"/>
      <c r="O284" s="125"/>
      <c r="V284" s="126"/>
    </row>
    <row r="285" spans="3:22" ht="15.75" customHeight="1">
      <c r="C285" s="127"/>
      <c r="D285" s="127"/>
      <c r="G285" s="127"/>
      <c r="H285" s="128"/>
      <c r="J285" s="127"/>
      <c r="K285" s="127"/>
      <c r="L285" s="127"/>
      <c r="M285" s="124"/>
      <c r="N285" s="125"/>
      <c r="O285" s="125"/>
      <c r="V285" s="126"/>
    </row>
    <row r="286" spans="3:22" ht="15.75" customHeight="1">
      <c r="C286" s="127"/>
      <c r="D286" s="127"/>
      <c r="G286" s="127"/>
      <c r="H286" s="128"/>
      <c r="J286" s="127"/>
      <c r="K286" s="127"/>
      <c r="L286" s="127"/>
      <c r="M286" s="124"/>
      <c r="N286" s="125"/>
      <c r="O286" s="125"/>
      <c r="V286" s="126"/>
    </row>
    <row r="287" spans="3:22" ht="15.75" customHeight="1">
      <c r="C287" s="127"/>
      <c r="D287" s="127"/>
      <c r="G287" s="127"/>
      <c r="H287" s="128"/>
      <c r="J287" s="127"/>
      <c r="K287" s="127"/>
      <c r="L287" s="127"/>
      <c r="M287" s="124"/>
      <c r="N287" s="125"/>
      <c r="O287" s="125"/>
      <c r="V287" s="126"/>
    </row>
    <row r="288" spans="3:22" ht="15.75" customHeight="1">
      <c r="C288" s="127"/>
      <c r="D288" s="127"/>
      <c r="G288" s="127"/>
      <c r="H288" s="128"/>
      <c r="J288" s="127"/>
      <c r="K288" s="127"/>
      <c r="L288" s="127"/>
      <c r="M288" s="124"/>
      <c r="N288" s="125"/>
      <c r="O288" s="125"/>
      <c r="V288" s="126"/>
    </row>
    <row r="289" spans="3:22" ht="15.75" customHeight="1">
      <c r="C289" s="127"/>
      <c r="D289" s="127"/>
      <c r="G289" s="127"/>
      <c r="H289" s="128"/>
      <c r="J289" s="127"/>
      <c r="K289" s="127"/>
      <c r="L289" s="127"/>
      <c r="M289" s="124"/>
      <c r="N289" s="125"/>
      <c r="O289" s="125"/>
      <c r="V289" s="126"/>
    </row>
    <row r="290" spans="3:22" ht="15.75" customHeight="1">
      <c r="C290" s="127"/>
      <c r="D290" s="127"/>
      <c r="G290" s="127"/>
      <c r="H290" s="128"/>
      <c r="J290" s="127"/>
      <c r="K290" s="127"/>
      <c r="L290" s="127"/>
      <c r="M290" s="124"/>
      <c r="N290" s="125"/>
      <c r="O290" s="125"/>
      <c r="V290" s="126"/>
    </row>
    <row r="291" spans="3:22" ht="15.75" customHeight="1">
      <c r="C291" s="127"/>
      <c r="D291" s="127"/>
      <c r="G291" s="127"/>
      <c r="H291" s="128"/>
      <c r="J291" s="127"/>
      <c r="K291" s="127"/>
      <c r="L291" s="127"/>
      <c r="M291" s="124"/>
      <c r="N291" s="125"/>
      <c r="O291" s="125"/>
      <c r="V291" s="126"/>
    </row>
    <row r="292" spans="3:22" ht="15.75" customHeight="1">
      <c r="C292" s="127"/>
      <c r="D292" s="127"/>
      <c r="G292" s="127"/>
      <c r="H292" s="128"/>
      <c r="J292" s="127"/>
      <c r="K292" s="127"/>
      <c r="L292" s="127"/>
      <c r="M292" s="124"/>
      <c r="N292" s="125"/>
      <c r="O292" s="125"/>
      <c r="V292" s="126"/>
    </row>
    <row r="293" spans="3:22" ht="15.75" customHeight="1">
      <c r="C293" s="127"/>
      <c r="D293" s="127"/>
      <c r="G293" s="127"/>
      <c r="H293" s="128"/>
      <c r="J293" s="127"/>
      <c r="K293" s="127"/>
      <c r="L293" s="127"/>
      <c r="M293" s="124"/>
      <c r="N293" s="125"/>
      <c r="O293" s="125"/>
      <c r="V293" s="126"/>
    </row>
    <row r="294" spans="3:22" ht="15.75" customHeight="1">
      <c r="C294" s="127"/>
      <c r="D294" s="127"/>
      <c r="G294" s="127"/>
      <c r="H294" s="128"/>
      <c r="J294" s="127"/>
      <c r="K294" s="127"/>
      <c r="L294" s="127"/>
      <c r="M294" s="124"/>
      <c r="N294" s="125"/>
      <c r="O294" s="125"/>
      <c r="V294" s="126"/>
    </row>
    <row r="295" spans="3:22" ht="15.75" customHeight="1">
      <c r="C295" s="127"/>
      <c r="D295" s="127"/>
      <c r="G295" s="127"/>
      <c r="H295" s="128"/>
      <c r="J295" s="127"/>
      <c r="K295" s="127"/>
      <c r="L295" s="127"/>
      <c r="M295" s="124"/>
      <c r="N295" s="125"/>
      <c r="O295" s="125"/>
      <c r="V295" s="126"/>
    </row>
    <row r="296" spans="3:22" ht="15.75" customHeight="1">
      <c r="C296" s="127"/>
      <c r="D296" s="127"/>
      <c r="G296" s="127"/>
      <c r="H296" s="128"/>
      <c r="J296" s="127"/>
      <c r="K296" s="127"/>
      <c r="L296" s="127"/>
      <c r="M296" s="124"/>
      <c r="N296" s="125"/>
      <c r="O296" s="125"/>
      <c r="V296" s="126"/>
    </row>
    <row r="297" spans="3:22" ht="15.75" customHeight="1">
      <c r="C297" s="127"/>
      <c r="D297" s="127"/>
      <c r="G297" s="127"/>
      <c r="H297" s="128"/>
      <c r="J297" s="127"/>
      <c r="K297" s="127"/>
      <c r="L297" s="127"/>
      <c r="M297" s="124"/>
      <c r="N297" s="125"/>
      <c r="O297" s="125"/>
      <c r="V297" s="126"/>
    </row>
    <row r="298" spans="3:22" ht="15.75" customHeight="1">
      <c r="C298" s="127"/>
      <c r="D298" s="127"/>
      <c r="G298" s="127"/>
      <c r="H298" s="128"/>
      <c r="J298" s="127"/>
      <c r="K298" s="127"/>
      <c r="L298" s="127"/>
      <c r="M298" s="124"/>
      <c r="N298" s="125"/>
      <c r="O298" s="125"/>
      <c r="V298" s="126"/>
    </row>
    <row r="299" spans="3:22" ht="15.75" customHeight="1">
      <c r="C299" s="127"/>
      <c r="D299" s="127"/>
      <c r="G299" s="127"/>
      <c r="H299" s="128"/>
      <c r="J299" s="127"/>
      <c r="K299" s="127"/>
      <c r="L299" s="127"/>
      <c r="M299" s="124"/>
      <c r="N299" s="125"/>
      <c r="O299" s="125"/>
      <c r="V299" s="126"/>
    </row>
    <row r="300" spans="3:22" ht="15.75" customHeight="1">
      <c r="C300" s="127"/>
      <c r="D300" s="127"/>
      <c r="G300" s="127"/>
      <c r="H300" s="128"/>
      <c r="J300" s="127"/>
      <c r="K300" s="127"/>
      <c r="L300" s="127"/>
      <c r="M300" s="124"/>
      <c r="N300" s="125"/>
      <c r="O300" s="125"/>
      <c r="V300" s="126"/>
    </row>
    <row r="301" spans="3:22" ht="15.75" customHeight="1">
      <c r="C301" s="127"/>
      <c r="D301" s="127"/>
      <c r="G301" s="127"/>
      <c r="H301" s="128"/>
      <c r="J301" s="127"/>
      <c r="K301" s="127"/>
      <c r="L301" s="127"/>
      <c r="M301" s="124"/>
      <c r="N301" s="125"/>
      <c r="O301" s="125"/>
      <c r="V301" s="126"/>
    </row>
    <row r="302" spans="3:22" ht="15.75" customHeight="1">
      <c r="C302" s="127"/>
      <c r="D302" s="127"/>
      <c r="G302" s="127"/>
      <c r="H302" s="128"/>
      <c r="J302" s="127"/>
      <c r="K302" s="127"/>
      <c r="L302" s="127"/>
      <c r="M302" s="124"/>
      <c r="N302" s="125"/>
      <c r="O302" s="125"/>
      <c r="V302" s="126"/>
    </row>
    <row r="303" spans="3:22" ht="15.75" customHeight="1">
      <c r="C303" s="127"/>
      <c r="D303" s="127"/>
      <c r="G303" s="127"/>
      <c r="H303" s="128"/>
      <c r="J303" s="127"/>
      <c r="K303" s="127"/>
      <c r="L303" s="127"/>
      <c r="M303" s="124"/>
      <c r="N303" s="125"/>
      <c r="O303" s="125"/>
      <c r="V303" s="126"/>
    </row>
    <row r="304" spans="3:22" ht="15.75" customHeight="1">
      <c r="C304" s="127"/>
      <c r="D304" s="127"/>
      <c r="G304" s="127"/>
      <c r="H304" s="128"/>
      <c r="J304" s="127"/>
      <c r="K304" s="127"/>
      <c r="L304" s="127"/>
      <c r="M304" s="124"/>
      <c r="N304" s="125"/>
      <c r="O304" s="125"/>
      <c r="V304" s="126"/>
    </row>
    <row r="305" spans="3:22" ht="15.75" customHeight="1">
      <c r="C305" s="127"/>
      <c r="D305" s="127"/>
      <c r="G305" s="127"/>
      <c r="H305" s="128"/>
      <c r="J305" s="127"/>
      <c r="K305" s="127"/>
      <c r="L305" s="127"/>
      <c r="M305" s="124"/>
      <c r="N305" s="125"/>
      <c r="O305" s="125"/>
      <c r="V305" s="126"/>
    </row>
    <row r="306" spans="3:22" ht="15.75" customHeight="1">
      <c r="C306" s="127"/>
      <c r="D306" s="127"/>
      <c r="G306" s="127"/>
      <c r="H306" s="128"/>
      <c r="J306" s="127"/>
      <c r="K306" s="127"/>
      <c r="L306" s="127"/>
      <c r="M306" s="124"/>
      <c r="N306" s="125"/>
      <c r="O306" s="125"/>
      <c r="V306" s="126"/>
    </row>
    <row r="307" spans="3:22" ht="15.75" customHeight="1">
      <c r="C307" s="127"/>
      <c r="D307" s="127"/>
      <c r="G307" s="127"/>
      <c r="H307" s="128"/>
      <c r="J307" s="127"/>
      <c r="K307" s="127"/>
      <c r="L307" s="127"/>
      <c r="M307" s="124"/>
      <c r="N307" s="125"/>
      <c r="O307" s="125"/>
      <c r="V307" s="126"/>
    </row>
    <row r="308" spans="3:22" ht="15.75" customHeight="1">
      <c r="C308" s="127"/>
      <c r="D308" s="127"/>
      <c r="G308" s="127"/>
      <c r="H308" s="128"/>
      <c r="J308" s="127"/>
      <c r="K308" s="127"/>
      <c r="L308" s="127"/>
      <c r="M308" s="124"/>
      <c r="N308" s="125"/>
      <c r="O308" s="125"/>
      <c r="V308" s="126"/>
    </row>
    <row r="309" spans="3:22" ht="15.75" customHeight="1">
      <c r="C309" s="127"/>
      <c r="D309" s="127"/>
      <c r="G309" s="127"/>
      <c r="H309" s="128"/>
      <c r="J309" s="127"/>
      <c r="K309" s="127"/>
      <c r="L309" s="127"/>
      <c r="M309" s="124"/>
      <c r="N309" s="125"/>
      <c r="O309" s="125"/>
      <c r="V309" s="126"/>
    </row>
    <row r="310" spans="3:22" ht="15.75" customHeight="1">
      <c r="C310" s="127"/>
      <c r="D310" s="127"/>
      <c r="G310" s="127"/>
      <c r="H310" s="128"/>
      <c r="J310" s="127"/>
      <c r="K310" s="127"/>
      <c r="L310" s="127"/>
      <c r="M310" s="124"/>
      <c r="N310" s="125"/>
      <c r="O310" s="125"/>
      <c r="V310" s="126"/>
    </row>
    <row r="311" spans="3:22" ht="15.75" customHeight="1">
      <c r="C311" s="127"/>
      <c r="D311" s="127"/>
      <c r="G311" s="127"/>
      <c r="H311" s="128"/>
      <c r="J311" s="127"/>
      <c r="K311" s="127"/>
      <c r="L311" s="127"/>
      <c r="M311" s="124"/>
      <c r="N311" s="125"/>
      <c r="O311" s="125"/>
      <c r="V311" s="126"/>
    </row>
    <row r="312" spans="3:22" ht="15.75" customHeight="1">
      <c r="C312" s="127"/>
      <c r="D312" s="127"/>
      <c r="G312" s="127"/>
      <c r="H312" s="128"/>
      <c r="J312" s="127"/>
      <c r="K312" s="127"/>
      <c r="L312" s="127"/>
      <c r="M312" s="124"/>
      <c r="N312" s="125"/>
      <c r="O312" s="125"/>
      <c r="V312" s="126"/>
    </row>
    <row r="313" spans="3:22" ht="15.75" customHeight="1">
      <c r="C313" s="127"/>
      <c r="D313" s="127"/>
      <c r="G313" s="127"/>
      <c r="H313" s="128"/>
      <c r="J313" s="127"/>
      <c r="K313" s="127"/>
      <c r="L313" s="127"/>
      <c r="M313" s="124"/>
      <c r="N313" s="125"/>
      <c r="O313" s="125"/>
      <c r="V313" s="126"/>
    </row>
    <row r="314" spans="3:22" ht="15.75" customHeight="1">
      <c r="C314" s="127"/>
      <c r="D314" s="127"/>
      <c r="G314" s="127"/>
      <c r="H314" s="128"/>
      <c r="J314" s="127"/>
      <c r="K314" s="127"/>
      <c r="L314" s="127"/>
      <c r="M314" s="124"/>
      <c r="N314" s="125"/>
      <c r="O314" s="125"/>
      <c r="V314" s="126"/>
    </row>
    <row r="315" spans="3:22" ht="15.75" customHeight="1">
      <c r="C315" s="127"/>
      <c r="D315" s="127"/>
      <c r="G315" s="127"/>
      <c r="H315" s="128"/>
      <c r="J315" s="127"/>
      <c r="K315" s="127"/>
      <c r="L315" s="127"/>
      <c r="M315" s="124"/>
      <c r="N315" s="125"/>
      <c r="O315" s="125"/>
      <c r="V315" s="126"/>
    </row>
    <row r="316" spans="3:22" ht="15.75" customHeight="1">
      <c r="C316" s="127"/>
      <c r="D316" s="127"/>
      <c r="G316" s="127"/>
      <c r="H316" s="128"/>
      <c r="J316" s="127"/>
      <c r="K316" s="127"/>
      <c r="L316" s="127"/>
      <c r="M316" s="124"/>
      <c r="N316" s="125"/>
      <c r="O316" s="125"/>
      <c r="V316" s="126"/>
    </row>
    <row r="317" spans="3:22" ht="15.75" customHeight="1">
      <c r="C317" s="127"/>
      <c r="D317" s="127"/>
      <c r="G317" s="127"/>
      <c r="H317" s="128"/>
      <c r="J317" s="127"/>
      <c r="K317" s="127"/>
      <c r="L317" s="127"/>
      <c r="M317" s="124"/>
      <c r="N317" s="125"/>
      <c r="O317" s="125"/>
      <c r="V317" s="126"/>
    </row>
    <row r="318" spans="3:22" ht="15.75" customHeight="1">
      <c r="C318" s="127"/>
      <c r="D318" s="127"/>
      <c r="G318" s="127"/>
      <c r="H318" s="128"/>
      <c r="J318" s="127"/>
      <c r="K318" s="127"/>
      <c r="L318" s="127"/>
      <c r="M318" s="124"/>
      <c r="N318" s="125"/>
      <c r="O318" s="125"/>
      <c r="V318" s="126"/>
    </row>
    <row r="319" spans="3:22" ht="15.75" customHeight="1">
      <c r="C319" s="127"/>
      <c r="D319" s="127"/>
      <c r="G319" s="127"/>
      <c r="H319" s="128"/>
      <c r="J319" s="127"/>
      <c r="K319" s="127"/>
      <c r="L319" s="127"/>
      <c r="M319" s="124"/>
      <c r="N319" s="125"/>
      <c r="O319" s="125"/>
      <c r="V319" s="126"/>
    </row>
    <row r="320" spans="3:22" ht="15.75" customHeight="1">
      <c r="C320" s="127"/>
      <c r="D320" s="127"/>
      <c r="G320" s="127"/>
      <c r="H320" s="128"/>
      <c r="J320" s="127"/>
      <c r="K320" s="127"/>
      <c r="L320" s="127"/>
      <c r="M320" s="124"/>
      <c r="N320" s="125"/>
      <c r="O320" s="125"/>
      <c r="V320" s="126"/>
    </row>
    <row r="321" spans="3:22" ht="15.75" customHeight="1">
      <c r="C321" s="127"/>
      <c r="D321" s="127"/>
      <c r="G321" s="127"/>
      <c r="H321" s="128"/>
      <c r="J321" s="127"/>
      <c r="K321" s="127"/>
      <c r="L321" s="127"/>
      <c r="M321" s="124"/>
      <c r="N321" s="125"/>
      <c r="O321" s="125"/>
      <c r="V321" s="126"/>
    </row>
    <row r="322" spans="3:22" ht="15.75" customHeight="1">
      <c r="C322" s="127"/>
      <c r="D322" s="127"/>
      <c r="G322" s="127"/>
      <c r="H322" s="128"/>
      <c r="J322" s="127"/>
      <c r="K322" s="127"/>
      <c r="L322" s="127"/>
      <c r="M322" s="124"/>
      <c r="N322" s="125"/>
      <c r="O322" s="125"/>
      <c r="V322" s="126"/>
    </row>
    <row r="323" spans="3:22" ht="15.75" customHeight="1">
      <c r="C323" s="127"/>
      <c r="D323" s="127"/>
      <c r="G323" s="127"/>
      <c r="H323" s="128"/>
      <c r="J323" s="127"/>
      <c r="K323" s="127"/>
      <c r="L323" s="127"/>
      <c r="M323" s="124"/>
      <c r="N323" s="125"/>
      <c r="O323" s="125"/>
      <c r="V323" s="126"/>
    </row>
    <row r="324" spans="3:22" ht="15.75" customHeight="1">
      <c r="C324" s="127"/>
      <c r="D324" s="127"/>
      <c r="G324" s="127"/>
      <c r="H324" s="128"/>
      <c r="J324" s="127"/>
      <c r="K324" s="127"/>
      <c r="L324" s="127"/>
      <c r="M324" s="124"/>
      <c r="N324" s="125"/>
      <c r="O324" s="125"/>
      <c r="V324" s="126"/>
    </row>
    <row r="325" spans="3:22" ht="15.75" customHeight="1">
      <c r="C325" s="127"/>
      <c r="D325" s="127"/>
      <c r="G325" s="127"/>
      <c r="H325" s="128"/>
      <c r="J325" s="127"/>
      <c r="K325" s="127"/>
      <c r="L325" s="127"/>
      <c r="M325" s="124"/>
      <c r="N325" s="125"/>
      <c r="O325" s="125"/>
      <c r="V325" s="126"/>
    </row>
    <row r="326" spans="3:22" ht="15.75" customHeight="1">
      <c r="C326" s="127"/>
      <c r="D326" s="127"/>
      <c r="G326" s="127"/>
      <c r="H326" s="128"/>
      <c r="J326" s="127"/>
      <c r="K326" s="127"/>
      <c r="L326" s="127"/>
      <c r="M326" s="124"/>
      <c r="N326" s="125"/>
      <c r="O326" s="125"/>
      <c r="V326" s="126"/>
    </row>
    <row r="327" spans="3:22" ht="15.75" customHeight="1">
      <c r="C327" s="127"/>
      <c r="D327" s="127"/>
      <c r="G327" s="127"/>
      <c r="H327" s="128"/>
      <c r="J327" s="127"/>
      <c r="K327" s="127"/>
      <c r="L327" s="127"/>
      <c r="M327" s="124"/>
      <c r="N327" s="125"/>
      <c r="O327" s="125"/>
      <c r="V327" s="126"/>
    </row>
    <row r="328" spans="3:22" ht="15.75" customHeight="1">
      <c r="C328" s="127"/>
      <c r="D328" s="127"/>
      <c r="G328" s="127"/>
      <c r="H328" s="128"/>
      <c r="J328" s="127"/>
      <c r="K328" s="127"/>
      <c r="L328" s="127"/>
      <c r="M328" s="124"/>
      <c r="N328" s="125"/>
      <c r="O328" s="125"/>
      <c r="V328" s="126"/>
    </row>
    <row r="329" spans="3:22" ht="15.75" customHeight="1">
      <c r="C329" s="127"/>
      <c r="D329" s="127"/>
      <c r="G329" s="127"/>
      <c r="H329" s="128"/>
      <c r="J329" s="127"/>
      <c r="K329" s="127"/>
      <c r="L329" s="127"/>
      <c r="M329" s="124"/>
      <c r="N329" s="125"/>
      <c r="O329" s="125"/>
      <c r="V329" s="126"/>
    </row>
    <row r="330" spans="3:22" ht="15.75" customHeight="1">
      <c r="C330" s="127"/>
      <c r="D330" s="127"/>
      <c r="G330" s="127"/>
      <c r="H330" s="128"/>
      <c r="J330" s="127"/>
      <c r="K330" s="127"/>
      <c r="L330" s="127"/>
      <c r="M330" s="124"/>
      <c r="N330" s="125"/>
      <c r="O330" s="125"/>
      <c r="V330" s="126"/>
    </row>
    <row r="331" spans="3:22" ht="15.75" customHeight="1">
      <c r="C331" s="127"/>
      <c r="D331" s="127"/>
      <c r="G331" s="127"/>
      <c r="H331" s="128"/>
      <c r="J331" s="127"/>
      <c r="K331" s="127"/>
      <c r="L331" s="127"/>
      <c r="M331" s="124"/>
      <c r="N331" s="125"/>
      <c r="O331" s="125"/>
      <c r="V331" s="126"/>
    </row>
    <row r="332" spans="3:22" ht="15.75" customHeight="1">
      <c r="C332" s="127"/>
      <c r="D332" s="127"/>
      <c r="G332" s="127"/>
      <c r="H332" s="128"/>
      <c r="J332" s="127"/>
      <c r="K332" s="127"/>
      <c r="L332" s="127"/>
      <c r="M332" s="124"/>
      <c r="N332" s="125"/>
      <c r="O332" s="125"/>
      <c r="V332" s="126"/>
    </row>
    <row r="333" spans="3:22" ht="15.75" customHeight="1">
      <c r="C333" s="127"/>
      <c r="D333" s="127"/>
      <c r="G333" s="127"/>
      <c r="H333" s="128"/>
      <c r="J333" s="127"/>
      <c r="K333" s="127"/>
      <c r="L333" s="127"/>
      <c r="M333" s="124"/>
      <c r="N333" s="125"/>
      <c r="O333" s="125"/>
      <c r="V333" s="126"/>
    </row>
    <row r="334" spans="3:22" ht="15.75" customHeight="1">
      <c r="C334" s="127"/>
      <c r="D334" s="127"/>
      <c r="G334" s="127"/>
      <c r="H334" s="128"/>
      <c r="J334" s="127"/>
      <c r="K334" s="127"/>
      <c r="L334" s="127"/>
      <c r="M334" s="124"/>
      <c r="N334" s="125"/>
      <c r="O334" s="125"/>
      <c r="V334" s="126"/>
    </row>
    <row r="335" spans="3:22" ht="15.75" customHeight="1">
      <c r="C335" s="127"/>
      <c r="D335" s="127"/>
      <c r="G335" s="127"/>
      <c r="H335" s="128"/>
      <c r="J335" s="127"/>
      <c r="K335" s="127"/>
      <c r="L335" s="127"/>
      <c r="M335" s="124"/>
      <c r="N335" s="125"/>
      <c r="O335" s="125"/>
      <c r="V335" s="126"/>
    </row>
    <row r="336" spans="3:22" ht="15.75" customHeight="1">
      <c r="C336" s="127"/>
      <c r="D336" s="127"/>
      <c r="G336" s="127"/>
      <c r="H336" s="128"/>
      <c r="J336" s="127"/>
      <c r="K336" s="127"/>
      <c r="L336" s="127"/>
      <c r="M336" s="124"/>
      <c r="N336" s="125"/>
      <c r="O336" s="125"/>
      <c r="V336" s="126"/>
    </row>
    <row r="337" spans="3:22" ht="15.75" customHeight="1">
      <c r="C337" s="127"/>
      <c r="D337" s="127"/>
      <c r="G337" s="127"/>
      <c r="H337" s="128"/>
      <c r="J337" s="127"/>
      <c r="K337" s="127"/>
      <c r="L337" s="127"/>
      <c r="M337" s="124"/>
      <c r="N337" s="125"/>
      <c r="O337" s="125"/>
      <c r="V337" s="126"/>
    </row>
    <row r="338" spans="3:22" ht="15.75" customHeight="1">
      <c r="C338" s="127"/>
      <c r="D338" s="127"/>
      <c r="G338" s="127"/>
      <c r="H338" s="128"/>
      <c r="J338" s="127"/>
      <c r="K338" s="127"/>
      <c r="L338" s="127"/>
      <c r="M338" s="124"/>
      <c r="N338" s="125"/>
      <c r="O338" s="125"/>
      <c r="V338" s="126"/>
    </row>
    <row r="339" spans="3:22" ht="15.75" customHeight="1">
      <c r="C339" s="127"/>
      <c r="D339" s="127"/>
      <c r="G339" s="127"/>
      <c r="H339" s="128"/>
      <c r="J339" s="127"/>
      <c r="K339" s="127"/>
      <c r="L339" s="127"/>
      <c r="M339" s="124"/>
      <c r="N339" s="125"/>
      <c r="O339" s="125"/>
      <c r="V339" s="126"/>
    </row>
    <row r="340" spans="3:22" ht="15.75" customHeight="1">
      <c r="C340" s="127"/>
      <c r="D340" s="127"/>
      <c r="G340" s="127"/>
      <c r="H340" s="128"/>
      <c r="J340" s="127"/>
      <c r="K340" s="127"/>
      <c r="L340" s="127"/>
      <c r="M340" s="124"/>
      <c r="N340" s="125"/>
      <c r="O340" s="125"/>
      <c r="V340" s="126"/>
    </row>
    <row r="341" spans="3:22" ht="15.75" customHeight="1">
      <c r="C341" s="127"/>
      <c r="D341" s="127"/>
      <c r="G341" s="127"/>
      <c r="H341" s="128"/>
      <c r="J341" s="127"/>
      <c r="K341" s="127"/>
      <c r="L341" s="127"/>
      <c r="M341" s="124"/>
      <c r="N341" s="125"/>
      <c r="O341" s="125"/>
      <c r="V341" s="126"/>
    </row>
    <row r="342" spans="3:22" ht="15.75" customHeight="1">
      <c r="C342" s="127"/>
      <c r="D342" s="127"/>
      <c r="G342" s="127"/>
      <c r="H342" s="128"/>
      <c r="J342" s="127"/>
      <c r="K342" s="127"/>
      <c r="L342" s="127"/>
      <c r="M342" s="124"/>
      <c r="N342" s="125"/>
      <c r="O342" s="125"/>
      <c r="V342" s="126"/>
    </row>
    <row r="343" spans="3:22" ht="15.75" customHeight="1">
      <c r="C343" s="127"/>
      <c r="D343" s="127"/>
      <c r="G343" s="127"/>
      <c r="H343" s="128"/>
      <c r="J343" s="127"/>
      <c r="K343" s="127"/>
      <c r="L343" s="127"/>
      <c r="M343" s="124"/>
      <c r="N343" s="125"/>
      <c r="O343" s="125"/>
      <c r="V343" s="126"/>
    </row>
    <row r="344" spans="3:22" ht="15.75" customHeight="1">
      <c r="C344" s="127"/>
      <c r="D344" s="127"/>
      <c r="G344" s="127"/>
      <c r="H344" s="128"/>
      <c r="J344" s="127"/>
      <c r="K344" s="127"/>
      <c r="L344" s="127"/>
      <c r="M344" s="124"/>
      <c r="N344" s="125"/>
      <c r="O344" s="125"/>
      <c r="V344" s="126"/>
    </row>
    <row r="345" spans="3:22" ht="15.75" customHeight="1">
      <c r="C345" s="127"/>
      <c r="D345" s="127"/>
      <c r="G345" s="127"/>
      <c r="H345" s="128"/>
      <c r="J345" s="127"/>
      <c r="K345" s="127"/>
      <c r="L345" s="127"/>
      <c r="M345" s="124"/>
      <c r="N345" s="125"/>
      <c r="O345" s="125"/>
      <c r="V345" s="126"/>
    </row>
    <row r="346" spans="3:22" ht="15.75" customHeight="1">
      <c r="C346" s="127"/>
      <c r="D346" s="127"/>
      <c r="G346" s="127"/>
      <c r="H346" s="128"/>
      <c r="J346" s="127"/>
      <c r="K346" s="127"/>
      <c r="L346" s="127"/>
      <c r="M346" s="124"/>
      <c r="N346" s="125"/>
      <c r="O346" s="125"/>
      <c r="V346" s="126"/>
    </row>
    <row r="347" spans="3:22" ht="15.75" customHeight="1">
      <c r="C347" s="127"/>
      <c r="D347" s="127"/>
      <c r="G347" s="127"/>
      <c r="H347" s="128"/>
      <c r="J347" s="127"/>
      <c r="K347" s="127"/>
      <c r="L347" s="127"/>
      <c r="M347" s="124"/>
      <c r="N347" s="125"/>
      <c r="O347" s="125"/>
      <c r="V347" s="126"/>
    </row>
    <row r="348" spans="3:22" ht="15.75" customHeight="1">
      <c r="C348" s="127"/>
      <c r="D348" s="127"/>
      <c r="G348" s="127"/>
      <c r="H348" s="128"/>
      <c r="J348" s="127"/>
      <c r="K348" s="127"/>
      <c r="L348" s="127"/>
      <c r="M348" s="124"/>
      <c r="N348" s="125"/>
      <c r="O348" s="125"/>
      <c r="V348" s="126"/>
    </row>
    <row r="349" spans="3:22" ht="15.75" customHeight="1">
      <c r="C349" s="127"/>
      <c r="D349" s="127"/>
      <c r="G349" s="127"/>
      <c r="H349" s="128"/>
      <c r="J349" s="127"/>
      <c r="K349" s="127"/>
      <c r="L349" s="127"/>
      <c r="M349" s="124"/>
      <c r="N349" s="125"/>
      <c r="O349" s="125"/>
      <c r="V349" s="126"/>
    </row>
    <row r="350" spans="3:22" ht="15.75" customHeight="1">
      <c r="C350" s="127"/>
      <c r="D350" s="127"/>
      <c r="G350" s="127"/>
      <c r="H350" s="128"/>
      <c r="J350" s="127"/>
      <c r="K350" s="127"/>
      <c r="L350" s="127"/>
      <c r="M350" s="124"/>
      <c r="N350" s="125"/>
      <c r="O350" s="125"/>
      <c r="V350" s="126"/>
    </row>
    <row r="351" spans="3:22" ht="15.75" customHeight="1">
      <c r="C351" s="127"/>
      <c r="D351" s="127"/>
      <c r="G351" s="127"/>
      <c r="H351" s="128"/>
      <c r="J351" s="127"/>
      <c r="K351" s="127"/>
      <c r="L351" s="127"/>
      <c r="M351" s="124"/>
      <c r="N351" s="125"/>
      <c r="O351" s="125"/>
      <c r="V351" s="126"/>
    </row>
    <row r="352" spans="3:22" ht="15.75" customHeight="1">
      <c r="C352" s="127"/>
      <c r="D352" s="127"/>
      <c r="G352" s="127"/>
      <c r="H352" s="128"/>
      <c r="J352" s="127"/>
      <c r="K352" s="127"/>
      <c r="L352" s="127"/>
      <c r="M352" s="124"/>
      <c r="N352" s="125"/>
      <c r="O352" s="125"/>
      <c r="V352" s="126"/>
    </row>
    <row r="353" spans="3:22" ht="15.75" customHeight="1">
      <c r="C353" s="127"/>
      <c r="D353" s="127"/>
      <c r="G353" s="127"/>
      <c r="H353" s="128"/>
      <c r="J353" s="127"/>
      <c r="K353" s="127"/>
      <c r="L353" s="127"/>
      <c r="M353" s="124"/>
      <c r="N353" s="125"/>
      <c r="O353" s="125"/>
      <c r="V353" s="126"/>
    </row>
    <row r="354" spans="3:22" ht="15.75" customHeight="1">
      <c r="C354" s="127"/>
      <c r="D354" s="127"/>
      <c r="G354" s="127"/>
      <c r="H354" s="128"/>
      <c r="J354" s="127"/>
      <c r="K354" s="127"/>
      <c r="L354" s="127"/>
      <c r="M354" s="124"/>
      <c r="N354" s="125"/>
      <c r="O354" s="125"/>
      <c r="V354" s="126"/>
    </row>
    <row r="355" spans="3:22" ht="15.75" customHeight="1">
      <c r="C355" s="127"/>
      <c r="D355" s="127"/>
      <c r="G355" s="127"/>
      <c r="H355" s="128"/>
      <c r="J355" s="127"/>
      <c r="K355" s="127"/>
      <c r="L355" s="127"/>
      <c r="M355" s="124"/>
      <c r="N355" s="125"/>
      <c r="O355" s="125"/>
      <c r="V355" s="126"/>
    </row>
    <row r="356" spans="3:22" ht="15.75" customHeight="1">
      <c r="C356" s="127"/>
      <c r="D356" s="127"/>
      <c r="G356" s="127"/>
      <c r="H356" s="128"/>
      <c r="J356" s="127"/>
      <c r="K356" s="127"/>
      <c r="L356" s="127"/>
      <c r="M356" s="124"/>
      <c r="N356" s="125"/>
      <c r="O356" s="125"/>
      <c r="V356" s="126"/>
    </row>
    <row r="357" spans="3:22" ht="15.75" customHeight="1">
      <c r="C357" s="127"/>
      <c r="D357" s="127"/>
      <c r="G357" s="127"/>
      <c r="H357" s="128"/>
      <c r="J357" s="127"/>
      <c r="K357" s="127"/>
      <c r="L357" s="127"/>
      <c r="M357" s="124"/>
      <c r="N357" s="125"/>
      <c r="O357" s="125"/>
      <c r="V357" s="126"/>
    </row>
    <row r="358" spans="3:22" ht="15.75" customHeight="1">
      <c r="C358" s="127"/>
      <c r="D358" s="127"/>
      <c r="G358" s="127"/>
      <c r="H358" s="128"/>
      <c r="J358" s="127"/>
      <c r="K358" s="127"/>
      <c r="L358" s="127"/>
      <c r="M358" s="124"/>
      <c r="N358" s="125"/>
      <c r="O358" s="125"/>
      <c r="V358" s="126"/>
    </row>
    <row r="359" spans="3:22" ht="15.75" customHeight="1">
      <c r="C359" s="127"/>
      <c r="D359" s="127"/>
      <c r="G359" s="127"/>
      <c r="H359" s="128"/>
      <c r="J359" s="127"/>
      <c r="K359" s="127"/>
      <c r="L359" s="127"/>
      <c r="M359" s="124"/>
      <c r="N359" s="125"/>
      <c r="O359" s="125"/>
      <c r="V359" s="126"/>
    </row>
    <row r="360" spans="3:22" ht="15.75" customHeight="1">
      <c r="C360" s="127"/>
      <c r="D360" s="127"/>
      <c r="G360" s="127"/>
      <c r="H360" s="128"/>
      <c r="J360" s="127"/>
      <c r="K360" s="127"/>
      <c r="L360" s="127"/>
      <c r="M360" s="124"/>
      <c r="N360" s="125"/>
      <c r="O360" s="125"/>
      <c r="V360" s="126"/>
    </row>
    <row r="361" spans="3:22" ht="15.75" customHeight="1">
      <c r="C361" s="127"/>
      <c r="D361" s="127"/>
      <c r="G361" s="127"/>
      <c r="H361" s="128"/>
      <c r="J361" s="127"/>
      <c r="K361" s="127"/>
      <c r="L361" s="127"/>
      <c r="M361" s="124"/>
      <c r="N361" s="125"/>
      <c r="O361" s="125"/>
      <c r="V361" s="126"/>
    </row>
    <row r="362" spans="3:22" ht="15.75" customHeight="1">
      <c r="C362" s="127"/>
      <c r="D362" s="127"/>
      <c r="G362" s="127"/>
      <c r="H362" s="128"/>
      <c r="J362" s="127"/>
      <c r="K362" s="127"/>
      <c r="L362" s="127"/>
      <c r="M362" s="124"/>
      <c r="N362" s="125"/>
      <c r="O362" s="125"/>
      <c r="V362" s="126"/>
    </row>
    <row r="363" spans="3:22" ht="15.75" customHeight="1">
      <c r="C363" s="127"/>
      <c r="D363" s="127"/>
      <c r="G363" s="127"/>
      <c r="H363" s="128"/>
      <c r="J363" s="127"/>
      <c r="K363" s="127"/>
      <c r="L363" s="127"/>
      <c r="M363" s="124"/>
      <c r="N363" s="125"/>
      <c r="O363" s="125"/>
      <c r="V363" s="126"/>
    </row>
    <row r="364" spans="3:22" ht="15.75" customHeight="1">
      <c r="C364" s="127"/>
      <c r="D364" s="127"/>
      <c r="G364" s="127"/>
      <c r="H364" s="128"/>
      <c r="J364" s="127"/>
      <c r="K364" s="127"/>
      <c r="L364" s="127"/>
      <c r="M364" s="124"/>
      <c r="N364" s="125"/>
      <c r="O364" s="125"/>
      <c r="V364" s="126"/>
    </row>
    <row r="365" spans="3:22" ht="15.75" customHeight="1">
      <c r="C365" s="127"/>
      <c r="D365" s="127"/>
      <c r="G365" s="127"/>
      <c r="H365" s="128"/>
      <c r="J365" s="127"/>
      <c r="K365" s="127"/>
      <c r="L365" s="127"/>
      <c r="M365" s="124"/>
      <c r="N365" s="125"/>
      <c r="O365" s="125"/>
      <c r="V365" s="126"/>
    </row>
    <row r="366" spans="3:22" ht="15.75" customHeight="1">
      <c r="C366" s="127"/>
      <c r="D366" s="127"/>
      <c r="G366" s="127"/>
      <c r="H366" s="128"/>
      <c r="J366" s="127"/>
      <c r="K366" s="127"/>
      <c r="L366" s="127"/>
      <c r="M366" s="124"/>
      <c r="N366" s="125"/>
      <c r="O366" s="125"/>
      <c r="V366" s="126"/>
    </row>
    <row r="367" spans="3:22" ht="15.75" customHeight="1">
      <c r="C367" s="127"/>
      <c r="D367" s="127"/>
      <c r="G367" s="127"/>
      <c r="H367" s="128"/>
      <c r="J367" s="127"/>
      <c r="K367" s="127"/>
      <c r="L367" s="127"/>
      <c r="M367" s="124"/>
      <c r="N367" s="125"/>
      <c r="O367" s="125"/>
      <c r="V367" s="126"/>
    </row>
    <row r="368" spans="3:22" ht="15.75" customHeight="1">
      <c r="C368" s="127"/>
      <c r="D368" s="127"/>
      <c r="G368" s="127"/>
      <c r="H368" s="128"/>
      <c r="J368" s="127"/>
      <c r="K368" s="127"/>
      <c r="L368" s="127"/>
      <c r="M368" s="124"/>
      <c r="N368" s="125"/>
      <c r="O368" s="125"/>
      <c r="V368" s="126"/>
    </row>
    <row r="369" spans="3:22" ht="15.75" customHeight="1">
      <c r="C369" s="127"/>
      <c r="D369" s="127"/>
      <c r="G369" s="127"/>
      <c r="H369" s="128"/>
      <c r="J369" s="127"/>
      <c r="K369" s="127"/>
      <c r="L369" s="127"/>
      <c r="M369" s="124"/>
      <c r="N369" s="125"/>
      <c r="O369" s="125"/>
      <c r="V369" s="126"/>
    </row>
    <row r="370" spans="3:22" ht="15.75" customHeight="1">
      <c r="C370" s="127"/>
      <c r="D370" s="127"/>
      <c r="G370" s="127"/>
      <c r="H370" s="128"/>
      <c r="J370" s="127"/>
      <c r="K370" s="127"/>
      <c r="L370" s="127"/>
      <c r="M370" s="124"/>
      <c r="N370" s="125"/>
      <c r="O370" s="125"/>
      <c r="V370" s="126"/>
    </row>
    <row r="371" spans="3:22" ht="15.75" customHeight="1">
      <c r="C371" s="127"/>
      <c r="D371" s="127"/>
      <c r="G371" s="127"/>
      <c r="H371" s="128"/>
      <c r="J371" s="127"/>
      <c r="K371" s="127"/>
      <c r="L371" s="127"/>
      <c r="M371" s="124"/>
      <c r="N371" s="125"/>
      <c r="O371" s="125"/>
      <c r="V371" s="126"/>
    </row>
    <row r="372" spans="3:22" ht="15.75" customHeight="1">
      <c r="C372" s="127"/>
      <c r="D372" s="127"/>
      <c r="G372" s="127"/>
      <c r="H372" s="128"/>
      <c r="J372" s="127"/>
      <c r="K372" s="127"/>
      <c r="L372" s="127"/>
      <c r="M372" s="124"/>
      <c r="N372" s="125"/>
      <c r="O372" s="125"/>
      <c r="V372" s="126"/>
    </row>
    <row r="373" spans="3:22" ht="15.75" customHeight="1">
      <c r="C373" s="127"/>
      <c r="D373" s="127"/>
      <c r="G373" s="127"/>
      <c r="H373" s="128"/>
      <c r="J373" s="127"/>
      <c r="K373" s="127"/>
      <c r="L373" s="127"/>
      <c r="M373" s="124"/>
      <c r="N373" s="125"/>
      <c r="O373" s="125"/>
      <c r="V373" s="126"/>
    </row>
    <row r="374" spans="3:22" ht="15.75" customHeight="1">
      <c r="C374" s="127"/>
      <c r="D374" s="127"/>
      <c r="G374" s="127"/>
      <c r="H374" s="128"/>
      <c r="J374" s="127"/>
      <c r="K374" s="127"/>
      <c r="L374" s="127"/>
      <c r="M374" s="124"/>
      <c r="N374" s="125"/>
      <c r="O374" s="125"/>
      <c r="V374" s="126"/>
    </row>
    <row r="375" spans="3:22" ht="15.75" customHeight="1">
      <c r="C375" s="127"/>
      <c r="D375" s="127"/>
      <c r="G375" s="127"/>
      <c r="H375" s="128"/>
      <c r="J375" s="127"/>
      <c r="K375" s="127"/>
      <c r="L375" s="127"/>
      <c r="M375" s="124"/>
      <c r="N375" s="125"/>
      <c r="O375" s="125"/>
      <c r="V375" s="126"/>
    </row>
    <row r="376" spans="3:22" ht="15.75" customHeight="1">
      <c r="C376" s="127"/>
      <c r="D376" s="127"/>
      <c r="G376" s="127"/>
      <c r="H376" s="128"/>
      <c r="J376" s="127"/>
      <c r="K376" s="127"/>
      <c r="L376" s="127"/>
      <c r="M376" s="124"/>
      <c r="N376" s="125"/>
      <c r="O376" s="125"/>
      <c r="V376" s="126"/>
    </row>
    <row r="377" spans="3:22" ht="15.75" customHeight="1">
      <c r="C377" s="127"/>
      <c r="D377" s="127"/>
      <c r="G377" s="127"/>
      <c r="H377" s="128"/>
      <c r="J377" s="127"/>
      <c r="K377" s="127"/>
      <c r="L377" s="127"/>
      <c r="M377" s="124"/>
      <c r="N377" s="125"/>
      <c r="O377" s="125"/>
      <c r="V377" s="126"/>
    </row>
    <row r="378" spans="3:22" ht="15.75" customHeight="1">
      <c r="C378" s="127"/>
      <c r="D378" s="127"/>
      <c r="G378" s="127"/>
      <c r="H378" s="128"/>
      <c r="J378" s="127"/>
      <c r="K378" s="127"/>
      <c r="L378" s="127"/>
      <c r="M378" s="124"/>
      <c r="N378" s="125"/>
      <c r="O378" s="125"/>
      <c r="V378" s="126"/>
    </row>
    <row r="379" spans="3:22" ht="15.75" customHeight="1">
      <c r="C379" s="127"/>
      <c r="D379" s="127"/>
      <c r="G379" s="127"/>
      <c r="H379" s="128"/>
      <c r="J379" s="127"/>
      <c r="K379" s="127"/>
      <c r="L379" s="127"/>
      <c r="M379" s="124"/>
      <c r="N379" s="125"/>
      <c r="O379" s="125"/>
      <c r="V379" s="126"/>
    </row>
    <row r="380" spans="3:22" ht="15.75" customHeight="1">
      <c r="C380" s="127"/>
      <c r="D380" s="127"/>
      <c r="G380" s="127"/>
      <c r="H380" s="128"/>
      <c r="J380" s="127"/>
      <c r="K380" s="127"/>
      <c r="L380" s="127"/>
      <c r="M380" s="124"/>
      <c r="N380" s="125"/>
      <c r="O380" s="125"/>
      <c r="V380" s="126"/>
    </row>
    <row r="381" spans="3:22" ht="15.75" customHeight="1">
      <c r="C381" s="127"/>
      <c r="D381" s="127"/>
      <c r="G381" s="127"/>
      <c r="H381" s="128"/>
      <c r="J381" s="127"/>
      <c r="K381" s="127"/>
      <c r="L381" s="127"/>
      <c r="M381" s="124"/>
      <c r="N381" s="125"/>
      <c r="O381" s="125"/>
      <c r="V381" s="126"/>
    </row>
    <row r="382" spans="3:22" ht="15.75" customHeight="1">
      <c r="C382" s="127"/>
      <c r="D382" s="127"/>
      <c r="G382" s="127"/>
      <c r="H382" s="128"/>
      <c r="J382" s="127"/>
      <c r="K382" s="127"/>
      <c r="L382" s="127"/>
      <c r="M382" s="124"/>
      <c r="N382" s="125"/>
      <c r="O382" s="125"/>
      <c r="V382" s="126"/>
    </row>
    <row r="383" spans="3:22" ht="15.75" customHeight="1">
      <c r="C383" s="127"/>
      <c r="D383" s="127"/>
      <c r="G383" s="127"/>
      <c r="H383" s="128"/>
      <c r="J383" s="127"/>
      <c r="K383" s="127"/>
      <c r="L383" s="127"/>
      <c r="M383" s="124"/>
      <c r="N383" s="125"/>
      <c r="O383" s="125"/>
      <c r="V383" s="126"/>
    </row>
    <row r="384" spans="3:22" ht="15.75" customHeight="1">
      <c r="C384" s="127"/>
      <c r="D384" s="127"/>
      <c r="G384" s="127"/>
      <c r="H384" s="128"/>
      <c r="J384" s="127"/>
      <c r="K384" s="127"/>
      <c r="L384" s="127"/>
      <c r="M384" s="124"/>
      <c r="N384" s="125"/>
      <c r="O384" s="125"/>
      <c r="V384" s="126"/>
    </row>
    <row r="385" spans="3:22" ht="15.75" customHeight="1">
      <c r="C385" s="127"/>
      <c r="D385" s="127"/>
      <c r="G385" s="127"/>
      <c r="H385" s="128"/>
      <c r="J385" s="127"/>
      <c r="K385" s="127"/>
      <c r="L385" s="127"/>
      <c r="M385" s="124"/>
      <c r="N385" s="125"/>
      <c r="O385" s="125"/>
      <c r="V385" s="126"/>
    </row>
    <row r="386" spans="3:22" ht="15.75" customHeight="1">
      <c r="C386" s="127"/>
      <c r="D386" s="127"/>
      <c r="G386" s="127"/>
      <c r="H386" s="128"/>
      <c r="J386" s="127"/>
      <c r="K386" s="127"/>
      <c r="L386" s="127"/>
      <c r="M386" s="124"/>
      <c r="N386" s="125"/>
      <c r="O386" s="125"/>
      <c r="V386" s="126"/>
    </row>
    <row r="387" spans="3:22" ht="15.75" customHeight="1">
      <c r="C387" s="127"/>
      <c r="D387" s="127"/>
      <c r="G387" s="127"/>
      <c r="H387" s="128"/>
      <c r="J387" s="127"/>
      <c r="K387" s="127"/>
      <c r="L387" s="127"/>
      <c r="M387" s="124"/>
      <c r="N387" s="125"/>
      <c r="O387" s="125"/>
      <c r="V387" s="126"/>
    </row>
    <row r="388" spans="3:22" ht="15.75" customHeight="1">
      <c r="C388" s="127"/>
      <c r="D388" s="127"/>
      <c r="G388" s="127"/>
      <c r="H388" s="128"/>
      <c r="J388" s="127"/>
      <c r="K388" s="127"/>
      <c r="L388" s="127"/>
      <c r="M388" s="124"/>
      <c r="N388" s="125"/>
      <c r="O388" s="125"/>
      <c r="V388" s="126"/>
    </row>
    <row r="389" spans="3:22" ht="15.75" customHeight="1">
      <c r="C389" s="127"/>
      <c r="D389" s="127"/>
      <c r="G389" s="127"/>
      <c r="H389" s="128"/>
      <c r="J389" s="127"/>
      <c r="K389" s="127"/>
      <c r="L389" s="127"/>
      <c r="M389" s="124"/>
      <c r="N389" s="125"/>
      <c r="O389" s="125"/>
      <c r="V389" s="126"/>
    </row>
    <row r="390" spans="3:22" ht="15.75" customHeight="1">
      <c r="C390" s="127"/>
      <c r="D390" s="127"/>
      <c r="G390" s="127"/>
      <c r="H390" s="128"/>
      <c r="J390" s="127"/>
      <c r="K390" s="127"/>
      <c r="L390" s="127"/>
      <c r="M390" s="124"/>
      <c r="N390" s="125"/>
      <c r="O390" s="125"/>
      <c r="V390" s="126"/>
    </row>
    <row r="391" spans="3:22" ht="15.75" customHeight="1">
      <c r="C391" s="127"/>
      <c r="D391" s="127"/>
      <c r="G391" s="127"/>
      <c r="H391" s="128"/>
      <c r="J391" s="127"/>
      <c r="K391" s="127"/>
      <c r="L391" s="127"/>
      <c r="M391" s="124"/>
      <c r="N391" s="125"/>
      <c r="O391" s="125"/>
      <c r="V391" s="126"/>
    </row>
    <row r="392" spans="3:22" ht="15.75" customHeight="1">
      <c r="C392" s="127"/>
      <c r="D392" s="127"/>
      <c r="G392" s="127"/>
      <c r="H392" s="128"/>
      <c r="J392" s="127"/>
      <c r="K392" s="127"/>
      <c r="L392" s="127"/>
      <c r="M392" s="124"/>
      <c r="N392" s="125"/>
      <c r="O392" s="125"/>
      <c r="V392" s="126"/>
    </row>
    <row r="393" spans="3:22" ht="15.75" customHeight="1">
      <c r="C393" s="127"/>
      <c r="D393" s="127"/>
      <c r="G393" s="127"/>
      <c r="H393" s="128"/>
      <c r="J393" s="127"/>
      <c r="K393" s="127"/>
      <c r="L393" s="127"/>
      <c r="M393" s="124"/>
      <c r="N393" s="125"/>
      <c r="O393" s="125"/>
      <c r="V393" s="126"/>
    </row>
    <row r="394" spans="3:22" ht="15.75" customHeight="1">
      <c r="C394" s="127"/>
      <c r="D394" s="127"/>
      <c r="G394" s="127"/>
      <c r="H394" s="128"/>
      <c r="J394" s="127"/>
      <c r="K394" s="127"/>
      <c r="L394" s="127"/>
      <c r="M394" s="124"/>
      <c r="N394" s="125"/>
      <c r="O394" s="125"/>
      <c r="V394" s="126"/>
    </row>
    <row r="395" spans="3:22" ht="15.75" customHeight="1">
      <c r="C395" s="127"/>
      <c r="D395" s="127"/>
      <c r="G395" s="127"/>
      <c r="H395" s="128"/>
      <c r="J395" s="127"/>
      <c r="K395" s="127"/>
      <c r="L395" s="127"/>
      <c r="M395" s="124"/>
      <c r="N395" s="125"/>
      <c r="O395" s="125"/>
      <c r="V395" s="126"/>
    </row>
    <row r="396" spans="3:22" ht="15.75" customHeight="1">
      <c r="C396" s="127"/>
      <c r="D396" s="127"/>
      <c r="G396" s="127"/>
      <c r="H396" s="128"/>
      <c r="J396" s="127"/>
      <c r="K396" s="127"/>
      <c r="L396" s="127"/>
      <c r="M396" s="124"/>
      <c r="N396" s="125"/>
      <c r="O396" s="125"/>
      <c r="V396" s="126"/>
    </row>
    <row r="397" spans="3:22" ht="15.75" customHeight="1">
      <c r="C397" s="127"/>
      <c r="D397" s="127"/>
      <c r="G397" s="127"/>
      <c r="H397" s="128"/>
      <c r="J397" s="127"/>
      <c r="K397" s="127"/>
      <c r="L397" s="127"/>
      <c r="M397" s="124"/>
      <c r="N397" s="125"/>
      <c r="O397" s="125"/>
      <c r="V397" s="126"/>
    </row>
    <row r="398" spans="3:22" ht="15.75" customHeight="1">
      <c r="C398" s="127"/>
      <c r="D398" s="127"/>
      <c r="G398" s="127"/>
      <c r="H398" s="128"/>
      <c r="J398" s="127"/>
      <c r="K398" s="127"/>
      <c r="L398" s="127"/>
      <c r="M398" s="124"/>
      <c r="N398" s="125"/>
      <c r="O398" s="125"/>
      <c r="V398" s="126"/>
    </row>
    <row r="399" spans="3:22" ht="15.75" customHeight="1">
      <c r="C399" s="127"/>
      <c r="D399" s="127"/>
      <c r="G399" s="127"/>
      <c r="H399" s="128"/>
      <c r="J399" s="127"/>
      <c r="K399" s="127"/>
      <c r="L399" s="127"/>
      <c r="M399" s="124"/>
      <c r="N399" s="125"/>
      <c r="O399" s="125"/>
      <c r="V399" s="126"/>
    </row>
    <row r="400" spans="3:22" ht="15.75" customHeight="1">
      <c r="C400" s="127"/>
      <c r="D400" s="127"/>
      <c r="G400" s="127"/>
      <c r="H400" s="128"/>
      <c r="J400" s="127"/>
      <c r="K400" s="127"/>
      <c r="L400" s="127"/>
      <c r="M400" s="124"/>
      <c r="N400" s="125"/>
      <c r="O400" s="125"/>
      <c r="V400" s="126"/>
    </row>
    <row r="401" spans="3:22" ht="15.75" customHeight="1">
      <c r="C401" s="127"/>
      <c r="D401" s="127"/>
      <c r="G401" s="127"/>
      <c r="H401" s="128"/>
      <c r="J401" s="127"/>
      <c r="K401" s="127"/>
      <c r="L401" s="127"/>
      <c r="M401" s="124"/>
      <c r="N401" s="125"/>
      <c r="O401" s="125"/>
      <c r="V401" s="126"/>
    </row>
    <row r="402" spans="3:22" ht="15.75" customHeight="1">
      <c r="C402" s="127"/>
      <c r="D402" s="127"/>
      <c r="G402" s="127"/>
      <c r="H402" s="128"/>
      <c r="J402" s="127"/>
      <c r="K402" s="127"/>
      <c r="L402" s="127"/>
      <c r="M402" s="124"/>
      <c r="N402" s="125"/>
      <c r="O402" s="125"/>
      <c r="V402" s="126"/>
    </row>
    <row r="403" spans="3:22" ht="15.75" customHeight="1">
      <c r="C403" s="127"/>
      <c r="D403" s="127"/>
      <c r="G403" s="127"/>
      <c r="H403" s="128"/>
      <c r="J403" s="127"/>
      <c r="K403" s="127"/>
      <c r="L403" s="127"/>
      <c r="M403" s="124"/>
      <c r="N403" s="125"/>
      <c r="O403" s="125"/>
      <c r="V403" s="126"/>
    </row>
    <row r="404" spans="3:22" ht="15.75" customHeight="1">
      <c r="C404" s="127"/>
      <c r="D404" s="127"/>
      <c r="G404" s="127"/>
      <c r="H404" s="128"/>
      <c r="J404" s="127"/>
      <c r="K404" s="127"/>
      <c r="L404" s="127"/>
      <c r="M404" s="124"/>
      <c r="N404" s="125"/>
      <c r="O404" s="125"/>
      <c r="V404" s="126"/>
    </row>
    <row r="405" spans="3:22" ht="15.75" customHeight="1">
      <c r="C405" s="127"/>
      <c r="D405" s="127"/>
      <c r="G405" s="127"/>
      <c r="H405" s="128"/>
      <c r="J405" s="127"/>
      <c r="K405" s="127"/>
      <c r="L405" s="127"/>
      <c r="M405" s="124"/>
      <c r="N405" s="125"/>
      <c r="O405" s="125"/>
      <c r="V405" s="126"/>
    </row>
    <row r="406" spans="3:22" ht="15.75" customHeight="1">
      <c r="C406" s="127"/>
      <c r="D406" s="127"/>
      <c r="G406" s="127"/>
      <c r="H406" s="128"/>
      <c r="J406" s="127"/>
      <c r="K406" s="127"/>
      <c r="L406" s="127"/>
      <c r="M406" s="124"/>
      <c r="N406" s="125"/>
      <c r="O406" s="125"/>
      <c r="V406" s="126"/>
    </row>
    <row r="407" spans="3:22" ht="15.75" customHeight="1">
      <c r="C407" s="127"/>
      <c r="D407" s="127"/>
      <c r="G407" s="127"/>
      <c r="H407" s="128"/>
      <c r="J407" s="127"/>
      <c r="K407" s="127"/>
      <c r="L407" s="127"/>
      <c r="M407" s="124"/>
      <c r="N407" s="125"/>
      <c r="O407" s="125"/>
      <c r="V407" s="126"/>
    </row>
    <row r="408" spans="3:22" ht="15.75" customHeight="1">
      <c r="C408" s="127"/>
      <c r="D408" s="127"/>
      <c r="G408" s="127"/>
      <c r="H408" s="128"/>
      <c r="J408" s="127"/>
      <c r="K408" s="127"/>
      <c r="L408" s="127"/>
      <c r="M408" s="124"/>
      <c r="N408" s="125"/>
      <c r="O408" s="125"/>
      <c r="V408" s="126"/>
    </row>
    <row r="409" spans="3:22" ht="15.75" customHeight="1">
      <c r="C409" s="127"/>
      <c r="D409" s="127"/>
      <c r="G409" s="127"/>
      <c r="H409" s="128"/>
      <c r="J409" s="127"/>
      <c r="K409" s="127"/>
      <c r="L409" s="127"/>
      <c r="M409" s="124"/>
      <c r="N409" s="125"/>
      <c r="O409" s="125"/>
      <c r="V409" s="126"/>
    </row>
    <row r="410" spans="3:22" ht="15.75" customHeight="1">
      <c r="C410" s="127"/>
      <c r="D410" s="127"/>
      <c r="G410" s="127"/>
      <c r="H410" s="128"/>
      <c r="J410" s="127"/>
      <c r="K410" s="127"/>
      <c r="L410" s="127"/>
      <c r="M410" s="124"/>
      <c r="N410" s="125"/>
      <c r="O410" s="125"/>
      <c r="V410" s="126"/>
    </row>
    <row r="411" spans="3:22" ht="15.75" customHeight="1">
      <c r="C411" s="127"/>
      <c r="D411" s="127"/>
      <c r="G411" s="127"/>
      <c r="H411" s="128"/>
      <c r="J411" s="127"/>
      <c r="K411" s="127"/>
      <c r="L411" s="127"/>
      <c r="M411" s="124"/>
      <c r="N411" s="125"/>
      <c r="O411" s="125"/>
      <c r="V411" s="126"/>
    </row>
    <row r="412" spans="3:22" ht="15.75" customHeight="1">
      <c r="C412" s="127"/>
      <c r="D412" s="127"/>
      <c r="G412" s="127"/>
      <c r="H412" s="128"/>
      <c r="J412" s="127"/>
      <c r="K412" s="127"/>
      <c r="L412" s="127"/>
      <c r="M412" s="124"/>
      <c r="N412" s="125"/>
      <c r="O412" s="125"/>
      <c r="V412" s="126"/>
    </row>
    <row r="413" spans="3:22" ht="15.75" customHeight="1">
      <c r="C413" s="127"/>
      <c r="D413" s="127"/>
      <c r="G413" s="127"/>
      <c r="H413" s="128"/>
      <c r="J413" s="127"/>
      <c r="K413" s="127"/>
      <c r="L413" s="127"/>
      <c r="M413" s="124"/>
      <c r="N413" s="125"/>
      <c r="O413" s="125"/>
      <c r="V413" s="126"/>
    </row>
    <row r="414" spans="3:22" ht="15.75" customHeight="1">
      <c r="C414" s="127"/>
      <c r="D414" s="127"/>
      <c r="G414" s="127"/>
      <c r="H414" s="128"/>
      <c r="J414" s="127"/>
      <c r="K414" s="127"/>
      <c r="L414" s="127"/>
      <c r="M414" s="124"/>
      <c r="N414" s="125"/>
      <c r="O414" s="125"/>
      <c r="V414" s="126"/>
    </row>
    <row r="415" spans="3:22" ht="15.75" customHeight="1">
      <c r="C415" s="127"/>
      <c r="D415" s="127"/>
      <c r="G415" s="127"/>
      <c r="H415" s="128"/>
      <c r="J415" s="127"/>
      <c r="K415" s="127"/>
      <c r="L415" s="127"/>
      <c r="M415" s="124"/>
      <c r="N415" s="125"/>
      <c r="O415" s="125"/>
      <c r="V415" s="126"/>
    </row>
    <row r="416" spans="3:22" ht="15.75" customHeight="1">
      <c r="C416" s="127"/>
      <c r="D416" s="127"/>
      <c r="G416" s="127"/>
      <c r="H416" s="128"/>
      <c r="J416" s="127"/>
      <c r="K416" s="127"/>
      <c r="L416" s="127"/>
      <c r="M416" s="124"/>
      <c r="N416" s="125"/>
      <c r="O416" s="125"/>
      <c r="V416" s="126"/>
    </row>
    <row r="417" spans="3:22" ht="15.75" customHeight="1">
      <c r="C417" s="127"/>
      <c r="D417" s="127"/>
      <c r="G417" s="127"/>
      <c r="H417" s="128"/>
      <c r="J417" s="127"/>
      <c r="K417" s="127"/>
      <c r="L417" s="127"/>
      <c r="M417" s="124"/>
      <c r="N417" s="125"/>
      <c r="O417" s="125"/>
      <c r="V417" s="126"/>
    </row>
    <row r="418" spans="3:22" ht="15.75" customHeight="1">
      <c r="C418" s="127"/>
      <c r="D418" s="127"/>
      <c r="G418" s="127"/>
      <c r="H418" s="128"/>
      <c r="J418" s="127"/>
      <c r="K418" s="127"/>
      <c r="L418" s="127"/>
      <c r="M418" s="124"/>
      <c r="N418" s="125"/>
      <c r="O418" s="125"/>
      <c r="V418" s="126"/>
    </row>
    <row r="419" spans="3:22" ht="15.75" customHeight="1">
      <c r="C419" s="127"/>
      <c r="D419" s="127"/>
      <c r="G419" s="127"/>
      <c r="H419" s="128"/>
      <c r="J419" s="127"/>
      <c r="K419" s="127"/>
      <c r="L419" s="127"/>
      <c r="M419" s="124"/>
      <c r="N419" s="125"/>
      <c r="O419" s="125"/>
      <c r="V419" s="126"/>
    </row>
    <row r="420" spans="3:22" ht="15.75" customHeight="1">
      <c r="C420" s="127"/>
      <c r="D420" s="127"/>
      <c r="G420" s="127"/>
      <c r="H420" s="128"/>
      <c r="J420" s="127"/>
      <c r="K420" s="127"/>
      <c r="L420" s="127"/>
      <c r="M420" s="124"/>
      <c r="N420" s="125"/>
      <c r="O420" s="125"/>
      <c r="V420" s="126"/>
    </row>
    <row r="421" spans="3:22" ht="15.75" customHeight="1">
      <c r="C421" s="127"/>
      <c r="D421" s="127"/>
      <c r="G421" s="127"/>
      <c r="H421" s="128"/>
      <c r="J421" s="127"/>
      <c r="K421" s="127"/>
      <c r="L421" s="127"/>
      <c r="M421" s="124"/>
      <c r="N421" s="125"/>
      <c r="O421" s="125"/>
      <c r="V421" s="126"/>
    </row>
    <row r="422" spans="3:22" ht="15.75" customHeight="1">
      <c r="C422" s="127"/>
      <c r="D422" s="127"/>
      <c r="G422" s="127"/>
      <c r="H422" s="128"/>
      <c r="J422" s="127"/>
      <c r="K422" s="127"/>
      <c r="L422" s="127"/>
      <c r="M422" s="124"/>
      <c r="N422" s="125"/>
      <c r="O422" s="125"/>
      <c r="V422" s="126"/>
    </row>
    <row r="423" spans="3:22" ht="15.75" customHeight="1">
      <c r="C423" s="127"/>
      <c r="D423" s="127"/>
      <c r="G423" s="127"/>
      <c r="H423" s="128"/>
      <c r="J423" s="127"/>
      <c r="K423" s="127"/>
      <c r="L423" s="127"/>
      <c r="M423" s="124"/>
      <c r="N423" s="125"/>
      <c r="O423" s="125"/>
      <c r="V423" s="126"/>
    </row>
    <row r="424" spans="3:22" ht="15.75" customHeight="1">
      <c r="C424" s="127"/>
      <c r="D424" s="127"/>
      <c r="G424" s="127"/>
      <c r="H424" s="128"/>
      <c r="J424" s="127"/>
      <c r="K424" s="127"/>
      <c r="L424" s="127"/>
      <c r="M424" s="124"/>
      <c r="N424" s="125"/>
      <c r="O424" s="125"/>
      <c r="V424" s="126"/>
    </row>
    <row r="425" spans="3:22" ht="15.75" customHeight="1">
      <c r="C425" s="127"/>
      <c r="D425" s="127"/>
      <c r="G425" s="127"/>
      <c r="H425" s="128"/>
      <c r="J425" s="127"/>
      <c r="K425" s="127"/>
      <c r="L425" s="127"/>
      <c r="M425" s="124"/>
      <c r="N425" s="125"/>
      <c r="O425" s="125"/>
      <c r="V425" s="126"/>
    </row>
    <row r="426" spans="3:22" ht="15.75" customHeight="1">
      <c r="C426" s="127"/>
      <c r="D426" s="127"/>
      <c r="G426" s="127"/>
      <c r="H426" s="128"/>
      <c r="J426" s="127"/>
      <c r="K426" s="127"/>
      <c r="L426" s="127"/>
      <c r="M426" s="124"/>
      <c r="N426" s="125"/>
      <c r="O426" s="125"/>
      <c r="V426" s="126"/>
    </row>
    <row r="427" spans="3:22" ht="15.75" customHeight="1">
      <c r="C427" s="127"/>
      <c r="D427" s="127"/>
      <c r="G427" s="127"/>
      <c r="H427" s="128"/>
      <c r="J427" s="127"/>
      <c r="K427" s="127"/>
      <c r="L427" s="127"/>
      <c r="M427" s="124"/>
      <c r="N427" s="125"/>
      <c r="O427" s="125"/>
      <c r="V427" s="126"/>
    </row>
    <row r="428" spans="3:22" ht="15.75" customHeight="1">
      <c r="C428" s="127"/>
      <c r="D428" s="127"/>
      <c r="G428" s="127"/>
      <c r="H428" s="128"/>
      <c r="J428" s="127"/>
      <c r="K428" s="127"/>
      <c r="L428" s="127"/>
      <c r="M428" s="124"/>
      <c r="N428" s="125"/>
      <c r="O428" s="125"/>
      <c r="V428" s="126"/>
    </row>
    <row r="429" spans="3:22" ht="15.75" customHeight="1">
      <c r="C429" s="127"/>
      <c r="D429" s="127"/>
      <c r="G429" s="127"/>
      <c r="H429" s="128"/>
      <c r="J429" s="127"/>
      <c r="K429" s="127"/>
      <c r="L429" s="127"/>
      <c r="M429" s="124"/>
      <c r="N429" s="125"/>
      <c r="O429" s="125"/>
      <c r="V429" s="126"/>
    </row>
    <row r="430" spans="3:22" ht="15.75" customHeight="1">
      <c r="C430" s="127"/>
      <c r="D430" s="127"/>
      <c r="G430" s="127"/>
      <c r="H430" s="128"/>
      <c r="J430" s="127"/>
      <c r="K430" s="127"/>
      <c r="L430" s="127"/>
      <c r="M430" s="124"/>
      <c r="N430" s="125"/>
      <c r="O430" s="125"/>
      <c r="V430" s="126"/>
    </row>
    <row r="431" spans="3:22" ht="15.75" customHeight="1">
      <c r="C431" s="127"/>
      <c r="D431" s="127"/>
      <c r="G431" s="127"/>
      <c r="H431" s="128"/>
      <c r="J431" s="127"/>
      <c r="K431" s="127"/>
      <c r="L431" s="127"/>
      <c r="M431" s="124"/>
      <c r="N431" s="125"/>
      <c r="O431" s="125"/>
      <c r="V431" s="126"/>
    </row>
    <row r="432" spans="3:22" ht="15.75" customHeight="1">
      <c r="C432" s="127"/>
      <c r="D432" s="127"/>
      <c r="G432" s="127"/>
      <c r="H432" s="128"/>
      <c r="J432" s="127"/>
      <c r="K432" s="127"/>
      <c r="L432" s="127"/>
      <c r="M432" s="124"/>
      <c r="N432" s="125"/>
      <c r="O432" s="125"/>
      <c r="V432" s="126"/>
    </row>
    <row r="433" spans="3:22" ht="15.75" customHeight="1">
      <c r="C433" s="127"/>
      <c r="D433" s="127"/>
      <c r="G433" s="127"/>
      <c r="H433" s="128"/>
      <c r="J433" s="127"/>
      <c r="K433" s="127"/>
      <c r="L433" s="127"/>
      <c r="M433" s="124"/>
      <c r="N433" s="125"/>
      <c r="O433" s="125"/>
      <c r="V433" s="126"/>
    </row>
    <row r="434" spans="3:22" ht="15.75" customHeight="1">
      <c r="C434" s="127"/>
      <c r="D434" s="127"/>
      <c r="G434" s="127"/>
      <c r="H434" s="128"/>
      <c r="J434" s="127"/>
      <c r="K434" s="127"/>
      <c r="L434" s="127"/>
      <c r="M434" s="124"/>
      <c r="N434" s="125"/>
      <c r="O434" s="125"/>
      <c r="V434" s="126"/>
    </row>
    <row r="435" spans="3:22" ht="15.75" customHeight="1">
      <c r="C435" s="127"/>
      <c r="D435" s="127"/>
      <c r="G435" s="127"/>
      <c r="H435" s="128"/>
      <c r="J435" s="127"/>
      <c r="K435" s="127"/>
      <c r="L435" s="127"/>
      <c r="M435" s="124"/>
      <c r="N435" s="125"/>
      <c r="O435" s="125"/>
      <c r="V435" s="126"/>
    </row>
    <row r="436" spans="3:22" ht="15.75" customHeight="1">
      <c r="C436" s="127"/>
      <c r="D436" s="127"/>
      <c r="G436" s="127"/>
      <c r="H436" s="128"/>
      <c r="J436" s="127"/>
      <c r="K436" s="127"/>
      <c r="L436" s="127"/>
      <c r="M436" s="124"/>
      <c r="N436" s="125"/>
      <c r="O436" s="125"/>
      <c r="V436" s="126"/>
    </row>
    <row r="437" spans="3:22" ht="15.75" customHeight="1">
      <c r="C437" s="127"/>
      <c r="D437" s="127"/>
      <c r="G437" s="127"/>
      <c r="H437" s="128"/>
      <c r="J437" s="127"/>
      <c r="K437" s="127"/>
      <c r="L437" s="127"/>
      <c r="M437" s="124"/>
      <c r="N437" s="125"/>
      <c r="O437" s="125"/>
      <c r="V437" s="126"/>
    </row>
    <row r="438" spans="3:22" ht="15.75" customHeight="1">
      <c r="C438" s="127"/>
      <c r="D438" s="127"/>
      <c r="G438" s="127"/>
      <c r="H438" s="128"/>
      <c r="J438" s="127"/>
      <c r="K438" s="127"/>
      <c r="L438" s="127"/>
      <c r="M438" s="124"/>
      <c r="N438" s="125"/>
      <c r="O438" s="125"/>
      <c r="V438" s="126"/>
    </row>
    <row r="439" spans="3:22" ht="15.75" customHeight="1">
      <c r="C439" s="127"/>
      <c r="D439" s="127"/>
      <c r="G439" s="127"/>
      <c r="H439" s="128"/>
      <c r="J439" s="127"/>
      <c r="K439" s="127"/>
      <c r="L439" s="127"/>
      <c r="M439" s="124"/>
      <c r="N439" s="125"/>
      <c r="O439" s="125"/>
      <c r="V439" s="126"/>
    </row>
    <row r="440" spans="3:22" ht="15.75" customHeight="1">
      <c r="C440" s="127"/>
      <c r="D440" s="127"/>
      <c r="G440" s="127"/>
      <c r="H440" s="128"/>
      <c r="J440" s="127"/>
      <c r="K440" s="127"/>
      <c r="L440" s="127"/>
      <c r="M440" s="124"/>
      <c r="N440" s="125"/>
      <c r="O440" s="125"/>
      <c r="V440" s="126"/>
    </row>
    <row r="441" spans="3:22" ht="15.75" customHeight="1">
      <c r="C441" s="127"/>
      <c r="D441" s="127"/>
      <c r="G441" s="127"/>
      <c r="H441" s="128"/>
      <c r="J441" s="127"/>
      <c r="K441" s="127"/>
      <c r="L441" s="127"/>
      <c r="M441" s="124"/>
      <c r="N441" s="125"/>
      <c r="O441" s="125"/>
      <c r="V441" s="126"/>
    </row>
    <row r="442" spans="3:22" ht="15.75" customHeight="1">
      <c r="C442" s="127"/>
      <c r="D442" s="127"/>
      <c r="G442" s="127"/>
      <c r="H442" s="128"/>
      <c r="J442" s="127"/>
      <c r="K442" s="127"/>
      <c r="L442" s="127"/>
      <c r="M442" s="124"/>
      <c r="N442" s="125"/>
      <c r="O442" s="125"/>
      <c r="V442" s="126"/>
    </row>
    <row r="443" spans="3:22" ht="15.75" customHeight="1">
      <c r="C443" s="127"/>
      <c r="D443" s="127"/>
      <c r="G443" s="127"/>
      <c r="H443" s="128"/>
      <c r="J443" s="127"/>
      <c r="K443" s="127"/>
      <c r="L443" s="127"/>
      <c r="M443" s="124"/>
      <c r="N443" s="125"/>
      <c r="O443" s="125"/>
      <c r="V443" s="126"/>
    </row>
    <row r="444" spans="3:22" ht="15.75" customHeight="1">
      <c r="C444" s="127"/>
      <c r="D444" s="127"/>
      <c r="G444" s="127"/>
      <c r="H444" s="128"/>
      <c r="J444" s="127"/>
      <c r="K444" s="127"/>
      <c r="L444" s="127"/>
      <c r="M444" s="124"/>
      <c r="N444" s="125"/>
      <c r="O444" s="125"/>
      <c r="V444" s="126"/>
    </row>
    <row r="445" spans="3:22" ht="15.75" customHeight="1">
      <c r="C445" s="127"/>
      <c r="D445" s="127"/>
      <c r="G445" s="127"/>
      <c r="H445" s="128"/>
      <c r="J445" s="127"/>
      <c r="K445" s="127"/>
      <c r="L445" s="127"/>
      <c r="M445" s="124"/>
      <c r="N445" s="125"/>
      <c r="O445" s="125"/>
      <c r="V445" s="126"/>
    </row>
    <row r="446" spans="3:22" ht="15.75" customHeight="1">
      <c r="C446" s="127"/>
      <c r="D446" s="127"/>
      <c r="G446" s="127"/>
      <c r="H446" s="128"/>
      <c r="J446" s="127"/>
      <c r="K446" s="127"/>
      <c r="L446" s="127"/>
      <c r="M446" s="124"/>
      <c r="N446" s="125"/>
      <c r="O446" s="125"/>
      <c r="V446" s="126"/>
    </row>
    <row r="447" spans="3:22" ht="15.75" customHeight="1">
      <c r="C447" s="127"/>
      <c r="D447" s="127"/>
      <c r="G447" s="127"/>
      <c r="H447" s="128"/>
      <c r="J447" s="127"/>
      <c r="K447" s="127"/>
      <c r="L447" s="127"/>
      <c r="M447" s="124"/>
      <c r="N447" s="125"/>
      <c r="O447" s="125"/>
      <c r="V447" s="126"/>
    </row>
    <row r="448" spans="3:22" ht="15.75" customHeight="1">
      <c r="C448" s="127"/>
      <c r="D448" s="127"/>
      <c r="G448" s="127"/>
      <c r="H448" s="128"/>
      <c r="J448" s="127"/>
      <c r="K448" s="127"/>
      <c r="L448" s="127"/>
      <c r="M448" s="124"/>
      <c r="N448" s="125"/>
      <c r="O448" s="125"/>
      <c r="V448" s="126"/>
    </row>
    <row r="449" spans="3:22" ht="15.75" customHeight="1">
      <c r="C449" s="127"/>
      <c r="D449" s="127"/>
      <c r="G449" s="127"/>
      <c r="H449" s="128"/>
      <c r="J449" s="127"/>
      <c r="K449" s="127"/>
      <c r="L449" s="127"/>
      <c r="M449" s="124"/>
      <c r="N449" s="125"/>
      <c r="O449" s="125"/>
      <c r="V449" s="126"/>
    </row>
    <row r="450" spans="3:22" ht="15.75" customHeight="1">
      <c r="C450" s="127"/>
      <c r="D450" s="127"/>
      <c r="G450" s="127"/>
      <c r="H450" s="128"/>
      <c r="J450" s="127"/>
      <c r="K450" s="127"/>
      <c r="L450" s="127"/>
      <c r="M450" s="124"/>
      <c r="N450" s="125"/>
      <c r="O450" s="125"/>
      <c r="V450" s="126"/>
    </row>
    <row r="451" spans="3:22" ht="15.75" customHeight="1">
      <c r="C451" s="127"/>
      <c r="D451" s="127"/>
      <c r="G451" s="127"/>
      <c r="H451" s="128"/>
      <c r="J451" s="127"/>
      <c r="K451" s="127"/>
      <c r="L451" s="127"/>
      <c r="M451" s="124"/>
      <c r="N451" s="125"/>
      <c r="O451" s="125"/>
      <c r="V451" s="126"/>
    </row>
    <row r="452" spans="3:22" ht="15.75" customHeight="1">
      <c r="C452" s="127"/>
      <c r="D452" s="127"/>
      <c r="G452" s="127"/>
      <c r="H452" s="128"/>
      <c r="J452" s="127"/>
      <c r="K452" s="127"/>
      <c r="L452" s="127"/>
      <c r="M452" s="124"/>
      <c r="N452" s="125"/>
      <c r="O452" s="125"/>
      <c r="V452" s="126"/>
    </row>
    <row r="453" spans="3:22" ht="15.75" customHeight="1">
      <c r="C453" s="127"/>
      <c r="D453" s="127"/>
      <c r="G453" s="127"/>
      <c r="H453" s="128"/>
      <c r="J453" s="127"/>
      <c r="K453" s="127"/>
      <c r="L453" s="127"/>
      <c r="M453" s="124"/>
      <c r="N453" s="125"/>
      <c r="O453" s="125"/>
      <c r="V453" s="126"/>
    </row>
    <row r="454" spans="3:22" ht="15.75" customHeight="1">
      <c r="C454" s="127"/>
      <c r="D454" s="127"/>
      <c r="G454" s="127"/>
      <c r="H454" s="128"/>
      <c r="J454" s="127"/>
      <c r="K454" s="127"/>
      <c r="L454" s="127"/>
      <c r="M454" s="124"/>
      <c r="N454" s="125"/>
      <c r="O454" s="125"/>
      <c r="V454" s="126"/>
    </row>
    <row r="455" spans="3:22" ht="15.75" customHeight="1">
      <c r="C455" s="127"/>
      <c r="D455" s="127"/>
      <c r="G455" s="127"/>
      <c r="H455" s="128"/>
      <c r="J455" s="127"/>
      <c r="K455" s="127"/>
      <c r="L455" s="127"/>
      <c r="M455" s="124"/>
      <c r="N455" s="125"/>
      <c r="O455" s="125"/>
      <c r="V455" s="126"/>
    </row>
    <row r="456" spans="3:22" ht="15.75" customHeight="1">
      <c r="C456" s="127"/>
      <c r="D456" s="127"/>
      <c r="G456" s="127"/>
      <c r="H456" s="128"/>
      <c r="J456" s="127"/>
      <c r="K456" s="127"/>
      <c r="L456" s="127"/>
      <c r="M456" s="124"/>
      <c r="N456" s="125"/>
      <c r="O456" s="125"/>
      <c r="V456" s="126"/>
    </row>
    <row r="457" spans="3:22" ht="15.75" customHeight="1">
      <c r="C457" s="127"/>
      <c r="D457" s="127"/>
      <c r="G457" s="127"/>
      <c r="H457" s="128"/>
      <c r="J457" s="127"/>
      <c r="K457" s="127"/>
      <c r="L457" s="127"/>
      <c r="M457" s="124"/>
      <c r="N457" s="125"/>
      <c r="O457" s="125"/>
      <c r="V457" s="126"/>
    </row>
    <row r="458" spans="3:22" ht="15.75" customHeight="1">
      <c r="C458" s="127"/>
      <c r="D458" s="127"/>
      <c r="G458" s="127"/>
      <c r="H458" s="128"/>
      <c r="J458" s="127"/>
      <c r="K458" s="127"/>
      <c r="L458" s="127"/>
      <c r="M458" s="124"/>
      <c r="N458" s="125"/>
      <c r="O458" s="125"/>
      <c r="V458" s="126"/>
    </row>
    <row r="459" spans="3:22" ht="15.75" customHeight="1">
      <c r="C459" s="127"/>
      <c r="D459" s="127"/>
      <c r="G459" s="127"/>
      <c r="H459" s="128"/>
      <c r="J459" s="127"/>
      <c r="K459" s="127"/>
      <c r="L459" s="127"/>
      <c r="M459" s="124"/>
      <c r="N459" s="125"/>
      <c r="O459" s="125"/>
      <c r="V459" s="126"/>
    </row>
    <row r="460" spans="3:22" ht="15.75" customHeight="1">
      <c r="C460" s="127"/>
      <c r="D460" s="127"/>
      <c r="G460" s="127"/>
      <c r="H460" s="128"/>
      <c r="J460" s="127"/>
      <c r="K460" s="127"/>
      <c r="L460" s="127"/>
      <c r="M460" s="124"/>
      <c r="N460" s="125"/>
      <c r="O460" s="125"/>
      <c r="V460" s="126"/>
    </row>
    <row r="461" spans="3:22" ht="15.75" customHeight="1">
      <c r="C461" s="127"/>
      <c r="D461" s="127"/>
      <c r="G461" s="127"/>
      <c r="H461" s="128"/>
      <c r="J461" s="127"/>
      <c r="K461" s="127"/>
      <c r="L461" s="127"/>
      <c r="M461" s="124"/>
      <c r="N461" s="125"/>
      <c r="O461" s="125"/>
      <c r="V461" s="126"/>
    </row>
    <row r="462" spans="3:22" ht="15.75" customHeight="1">
      <c r="C462" s="127"/>
      <c r="D462" s="127"/>
      <c r="G462" s="127"/>
      <c r="H462" s="128"/>
      <c r="J462" s="127"/>
      <c r="K462" s="127"/>
      <c r="L462" s="127"/>
      <c r="M462" s="124"/>
      <c r="N462" s="125"/>
      <c r="O462" s="125"/>
      <c r="V462" s="126"/>
    </row>
    <row r="463" spans="3:22" ht="15.75" customHeight="1">
      <c r="C463" s="127"/>
      <c r="D463" s="127"/>
      <c r="G463" s="127"/>
      <c r="H463" s="128"/>
      <c r="J463" s="127"/>
      <c r="K463" s="127"/>
      <c r="L463" s="127"/>
      <c r="M463" s="124"/>
      <c r="N463" s="125"/>
      <c r="O463" s="125"/>
      <c r="V463" s="126"/>
    </row>
    <row r="464" spans="3:22" ht="15.75" customHeight="1">
      <c r="C464" s="127"/>
      <c r="D464" s="127"/>
      <c r="G464" s="127"/>
      <c r="H464" s="128"/>
      <c r="J464" s="127"/>
      <c r="K464" s="127"/>
      <c r="L464" s="127"/>
      <c r="M464" s="124"/>
      <c r="N464" s="125"/>
      <c r="O464" s="125"/>
      <c r="V464" s="126"/>
    </row>
    <row r="465" spans="3:22" ht="15.75" customHeight="1">
      <c r="C465" s="127"/>
      <c r="D465" s="127"/>
      <c r="G465" s="127"/>
      <c r="H465" s="128"/>
      <c r="J465" s="127"/>
      <c r="K465" s="127"/>
      <c r="L465" s="127"/>
      <c r="M465" s="124"/>
      <c r="N465" s="125"/>
      <c r="O465" s="125"/>
      <c r="V465" s="126"/>
    </row>
    <row r="466" spans="3:22" ht="15.75" customHeight="1">
      <c r="C466" s="127"/>
      <c r="D466" s="127"/>
      <c r="G466" s="127"/>
      <c r="H466" s="128"/>
      <c r="J466" s="127"/>
      <c r="K466" s="127"/>
      <c r="L466" s="127"/>
      <c r="M466" s="124"/>
      <c r="N466" s="125"/>
      <c r="O466" s="125"/>
      <c r="V466" s="126"/>
    </row>
    <row r="467" spans="3:22" ht="15.75" customHeight="1">
      <c r="C467" s="127"/>
      <c r="D467" s="127"/>
      <c r="G467" s="127"/>
      <c r="H467" s="128"/>
      <c r="J467" s="127"/>
      <c r="K467" s="127"/>
      <c r="L467" s="127"/>
      <c r="M467" s="124"/>
      <c r="N467" s="125"/>
      <c r="O467" s="125"/>
      <c r="V467" s="126"/>
    </row>
    <row r="468" spans="3:22" ht="15.75" customHeight="1">
      <c r="C468" s="127"/>
      <c r="D468" s="127"/>
      <c r="G468" s="127"/>
      <c r="H468" s="128"/>
      <c r="J468" s="127"/>
      <c r="K468" s="127"/>
      <c r="L468" s="127"/>
      <c r="M468" s="124"/>
      <c r="N468" s="125"/>
      <c r="O468" s="125"/>
      <c r="V468" s="126"/>
    </row>
    <row r="469" spans="3:22" ht="15.75" customHeight="1">
      <c r="C469" s="127"/>
      <c r="D469" s="127"/>
      <c r="G469" s="127"/>
      <c r="H469" s="128"/>
      <c r="J469" s="127"/>
      <c r="K469" s="127"/>
      <c r="L469" s="127"/>
      <c r="M469" s="124"/>
      <c r="N469" s="125"/>
      <c r="O469" s="125"/>
      <c r="V469" s="126"/>
    </row>
    <row r="470" spans="3:22" ht="15.75" customHeight="1">
      <c r="C470" s="127"/>
      <c r="D470" s="127"/>
      <c r="G470" s="127"/>
      <c r="H470" s="128"/>
      <c r="J470" s="127"/>
      <c r="K470" s="127"/>
      <c r="L470" s="127"/>
      <c r="M470" s="124"/>
      <c r="N470" s="125"/>
      <c r="O470" s="125"/>
      <c r="V470" s="126"/>
    </row>
    <row r="471" spans="3:22" ht="15.75" customHeight="1">
      <c r="C471" s="127"/>
      <c r="D471" s="127"/>
      <c r="G471" s="127"/>
      <c r="H471" s="128"/>
      <c r="J471" s="127"/>
      <c r="K471" s="127"/>
      <c r="L471" s="127"/>
      <c r="M471" s="124"/>
      <c r="N471" s="125"/>
      <c r="O471" s="125"/>
      <c r="V471" s="126"/>
    </row>
    <row r="472" spans="3:22" ht="15.75" customHeight="1">
      <c r="C472" s="127"/>
      <c r="D472" s="127"/>
      <c r="G472" s="127"/>
      <c r="H472" s="128"/>
      <c r="J472" s="127"/>
      <c r="K472" s="127"/>
      <c r="L472" s="127"/>
      <c r="M472" s="124"/>
      <c r="N472" s="125"/>
      <c r="O472" s="125"/>
      <c r="V472" s="126"/>
    </row>
    <row r="473" spans="3:22" ht="15.75" customHeight="1">
      <c r="C473" s="127"/>
      <c r="D473" s="127"/>
      <c r="G473" s="127"/>
      <c r="H473" s="128"/>
      <c r="J473" s="127"/>
      <c r="K473" s="127"/>
      <c r="L473" s="127"/>
      <c r="M473" s="124"/>
      <c r="N473" s="125"/>
      <c r="O473" s="125"/>
      <c r="V473" s="126"/>
    </row>
    <row r="474" spans="3:22" ht="15.75" customHeight="1">
      <c r="C474" s="127"/>
      <c r="D474" s="127"/>
      <c r="G474" s="127"/>
      <c r="H474" s="128"/>
      <c r="J474" s="127"/>
      <c r="K474" s="127"/>
      <c r="L474" s="127"/>
      <c r="M474" s="124"/>
      <c r="N474" s="125"/>
      <c r="O474" s="125"/>
      <c r="V474" s="126"/>
    </row>
    <row r="475" spans="3:22" ht="15.75" customHeight="1">
      <c r="C475" s="127"/>
      <c r="D475" s="127"/>
      <c r="G475" s="127"/>
      <c r="H475" s="128"/>
      <c r="J475" s="127"/>
      <c r="K475" s="127"/>
      <c r="L475" s="127"/>
      <c r="M475" s="124"/>
      <c r="N475" s="125"/>
      <c r="O475" s="125"/>
      <c r="V475" s="126"/>
    </row>
    <row r="476" spans="3:22" ht="15.75" customHeight="1">
      <c r="C476" s="127"/>
      <c r="D476" s="127"/>
      <c r="G476" s="127"/>
      <c r="H476" s="128"/>
      <c r="J476" s="127"/>
      <c r="K476" s="127"/>
      <c r="L476" s="127"/>
      <c r="M476" s="124"/>
      <c r="N476" s="125"/>
      <c r="O476" s="125"/>
      <c r="V476" s="126"/>
    </row>
    <row r="477" spans="3:22" ht="15.75" customHeight="1">
      <c r="C477" s="127"/>
      <c r="D477" s="127"/>
      <c r="G477" s="127"/>
      <c r="H477" s="128"/>
      <c r="J477" s="127"/>
      <c r="K477" s="127"/>
      <c r="L477" s="127"/>
      <c r="M477" s="124"/>
      <c r="N477" s="125"/>
      <c r="O477" s="125"/>
      <c r="V477" s="126"/>
    </row>
    <row r="478" spans="3:22" ht="15.75" customHeight="1">
      <c r="C478" s="127"/>
      <c r="D478" s="127"/>
      <c r="G478" s="127"/>
      <c r="H478" s="128"/>
      <c r="J478" s="127"/>
      <c r="K478" s="127"/>
      <c r="L478" s="127"/>
      <c r="M478" s="124"/>
      <c r="N478" s="125"/>
      <c r="O478" s="125"/>
      <c r="V478" s="126"/>
    </row>
    <row r="479" spans="3:22" ht="15.75" customHeight="1">
      <c r="C479" s="127"/>
      <c r="D479" s="127"/>
      <c r="G479" s="127"/>
      <c r="H479" s="128"/>
      <c r="J479" s="127"/>
      <c r="K479" s="127"/>
      <c r="L479" s="127"/>
      <c r="M479" s="124"/>
      <c r="N479" s="125"/>
      <c r="O479" s="125"/>
      <c r="V479" s="126"/>
    </row>
    <row r="480" spans="3:22" ht="15.75" customHeight="1">
      <c r="C480" s="127"/>
      <c r="D480" s="127"/>
      <c r="G480" s="127"/>
      <c r="H480" s="128"/>
      <c r="J480" s="127"/>
      <c r="K480" s="127"/>
      <c r="L480" s="127"/>
      <c r="M480" s="124"/>
      <c r="N480" s="125"/>
      <c r="O480" s="125"/>
      <c r="V480" s="126"/>
    </row>
    <row r="481" spans="3:22" ht="15.75" customHeight="1">
      <c r="C481" s="127"/>
      <c r="D481" s="127"/>
      <c r="G481" s="127"/>
      <c r="H481" s="128"/>
      <c r="J481" s="127"/>
      <c r="K481" s="127"/>
      <c r="L481" s="127"/>
      <c r="M481" s="124"/>
      <c r="N481" s="125"/>
      <c r="O481" s="125"/>
      <c r="V481" s="126"/>
    </row>
    <row r="482" spans="3:22" ht="15.75" customHeight="1">
      <c r="C482" s="127"/>
      <c r="D482" s="127"/>
      <c r="G482" s="127"/>
      <c r="H482" s="128"/>
      <c r="J482" s="127"/>
      <c r="K482" s="127"/>
      <c r="L482" s="127"/>
      <c r="M482" s="124"/>
      <c r="N482" s="125"/>
      <c r="O482" s="125"/>
      <c r="V482" s="126"/>
    </row>
    <row r="483" spans="3:22" ht="15.75" customHeight="1">
      <c r="C483" s="127"/>
      <c r="D483" s="127"/>
      <c r="G483" s="127"/>
      <c r="H483" s="128"/>
      <c r="J483" s="127"/>
      <c r="K483" s="127"/>
      <c r="L483" s="127"/>
      <c r="M483" s="124"/>
      <c r="N483" s="125"/>
      <c r="O483" s="125"/>
      <c r="V483" s="126"/>
    </row>
    <row r="484" spans="3:22" ht="15.75" customHeight="1">
      <c r="C484" s="127"/>
      <c r="D484" s="127"/>
      <c r="G484" s="127"/>
      <c r="H484" s="128"/>
      <c r="J484" s="127"/>
      <c r="K484" s="127"/>
      <c r="L484" s="127"/>
      <c r="M484" s="124"/>
      <c r="N484" s="125"/>
      <c r="O484" s="125"/>
      <c r="V484" s="126"/>
    </row>
    <row r="485" spans="3:22" ht="15.75" customHeight="1">
      <c r="C485" s="127"/>
      <c r="D485" s="127"/>
      <c r="G485" s="127"/>
      <c r="H485" s="128"/>
      <c r="J485" s="127"/>
      <c r="K485" s="127"/>
      <c r="L485" s="127"/>
      <c r="M485" s="124"/>
      <c r="N485" s="125"/>
      <c r="O485" s="125"/>
      <c r="V485" s="126"/>
    </row>
    <row r="486" spans="3:22" ht="15.75" customHeight="1">
      <c r="C486" s="127"/>
      <c r="D486" s="127"/>
      <c r="G486" s="127"/>
      <c r="H486" s="128"/>
      <c r="J486" s="127"/>
      <c r="K486" s="127"/>
      <c r="L486" s="127"/>
      <c r="M486" s="124"/>
      <c r="N486" s="125"/>
      <c r="O486" s="125"/>
      <c r="V486" s="126"/>
    </row>
    <row r="487" spans="3:22" ht="15.75" customHeight="1">
      <c r="C487" s="127"/>
      <c r="D487" s="127"/>
      <c r="G487" s="127"/>
      <c r="H487" s="128"/>
      <c r="J487" s="127"/>
      <c r="K487" s="127"/>
      <c r="L487" s="127"/>
      <c r="M487" s="124"/>
      <c r="N487" s="125"/>
      <c r="O487" s="125"/>
      <c r="V487" s="126"/>
    </row>
    <row r="488" spans="3:22" ht="15.75" customHeight="1">
      <c r="C488" s="127"/>
      <c r="D488" s="127"/>
      <c r="G488" s="127"/>
      <c r="H488" s="128"/>
      <c r="J488" s="127"/>
      <c r="K488" s="127"/>
      <c r="L488" s="127"/>
      <c r="M488" s="124"/>
      <c r="N488" s="125"/>
      <c r="O488" s="125"/>
      <c r="V488" s="126"/>
    </row>
    <row r="489" spans="3:22" ht="15.75" customHeight="1">
      <c r="C489" s="127"/>
      <c r="D489" s="127"/>
      <c r="G489" s="127"/>
      <c r="H489" s="128"/>
      <c r="J489" s="127"/>
      <c r="K489" s="127"/>
      <c r="L489" s="127"/>
      <c r="M489" s="124"/>
      <c r="N489" s="125"/>
      <c r="O489" s="125"/>
      <c r="V489" s="126"/>
    </row>
    <row r="490" spans="3:22" ht="15.75" customHeight="1">
      <c r="C490" s="127"/>
      <c r="D490" s="127"/>
      <c r="G490" s="127"/>
      <c r="H490" s="128"/>
      <c r="J490" s="127"/>
      <c r="K490" s="127"/>
      <c r="L490" s="127"/>
      <c r="M490" s="124"/>
      <c r="N490" s="125"/>
      <c r="O490" s="125"/>
      <c r="V490" s="126"/>
    </row>
    <row r="491" spans="3:22" ht="15.75" customHeight="1">
      <c r="C491" s="127"/>
      <c r="D491" s="127"/>
      <c r="G491" s="127"/>
      <c r="H491" s="128"/>
      <c r="J491" s="127"/>
      <c r="K491" s="127"/>
      <c r="L491" s="127"/>
      <c r="M491" s="124"/>
      <c r="N491" s="125"/>
      <c r="O491" s="125"/>
      <c r="V491" s="126"/>
    </row>
    <row r="492" spans="3:22" ht="15.75" customHeight="1">
      <c r="C492" s="127"/>
      <c r="D492" s="127"/>
      <c r="G492" s="127"/>
      <c r="H492" s="128"/>
      <c r="J492" s="127"/>
      <c r="K492" s="127"/>
      <c r="L492" s="127"/>
      <c r="M492" s="124"/>
      <c r="N492" s="125"/>
      <c r="O492" s="125"/>
      <c r="V492" s="126"/>
    </row>
    <row r="493" spans="3:22" ht="15.75" customHeight="1">
      <c r="C493" s="127"/>
      <c r="D493" s="127"/>
      <c r="G493" s="127"/>
      <c r="H493" s="128"/>
      <c r="J493" s="127"/>
      <c r="K493" s="127"/>
      <c r="L493" s="127"/>
      <c r="M493" s="124"/>
      <c r="N493" s="125"/>
      <c r="O493" s="125"/>
      <c r="V493" s="126"/>
    </row>
    <row r="494" spans="3:22" ht="15.75" customHeight="1">
      <c r="C494" s="127"/>
      <c r="D494" s="127"/>
      <c r="G494" s="127"/>
      <c r="H494" s="128"/>
      <c r="J494" s="127"/>
      <c r="K494" s="127"/>
      <c r="L494" s="127"/>
      <c r="M494" s="124"/>
      <c r="N494" s="125"/>
      <c r="O494" s="125"/>
      <c r="V494" s="126"/>
    </row>
    <row r="495" spans="3:22" ht="15.75" customHeight="1">
      <c r="C495" s="127"/>
      <c r="D495" s="127"/>
      <c r="G495" s="127"/>
      <c r="H495" s="128"/>
      <c r="J495" s="127"/>
      <c r="K495" s="127"/>
      <c r="L495" s="127"/>
      <c r="M495" s="124"/>
      <c r="N495" s="125"/>
      <c r="O495" s="125"/>
      <c r="V495" s="126"/>
    </row>
    <row r="496" spans="3:22" ht="15.75" customHeight="1">
      <c r="C496" s="127"/>
      <c r="D496" s="127"/>
      <c r="G496" s="127"/>
      <c r="H496" s="128"/>
      <c r="J496" s="127"/>
      <c r="K496" s="127"/>
      <c r="L496" s="127"/>
      <c r="M496" s="124"/>
      <c r="N496" s="125"/>
      <c r="O496" s="125"/>
      <c r="V496" s="126"/>
    </row>
    <row r="497" spans="3:22" ht="15.75" customHeight="1">
      <c r="C497" s="127"/>
      <c r="D497" s="127"/>
      <c r="G497" s="127"/>
      <c r="H497" s="128"/>
      <c r="J497" s="127"/>
      <c r="K497" s="127"/>
      <c r="L497" s="127"/>
      <c r="M497" s="124"/>
      <c r="N497" s="125"/>
      <c r="O497" s="125"/>
      <c r="V497" s="126"/>
    </row>
    <row r="498" spans="3:22" ht="15.75" customHeight="1">
      <c r="C498" s="127"/>
      <c r="D498" s="127"/>
      <c r="G498" s="127"/>
      <c r="H498" s="128"/>
      <c r="J498" s="127"/>
      <c r="K498" s="127"/>
      <c r="L498" s="127"/>
      <c r="M498" s="124"/>
      <c r="N498" s="125"/>
      <c r="O498" s="125"/>
      <c r="V498" s="126"/>
    </row>
    <row r="499" spans="3:22" ht="15.75" customHeight="1">
      <c r="C499" s="127"/>
      <c r="D499" s="127"/>
      <c r="G499" s="127"/>
      <c r="H499" s="128"/>
      <c r="J499" s="127"/>
      <c r="K499" s="127"/>
      <c r="L499" s="127"/>
      <c r="M499" s="124"/>
      <c r="N499" s="125"/>
      <c r="O499" s="125"/>
      <c r="V499" s="126"/>
    </row>
    <row r="500" spans="3:22" ht="15.75" customHeight="1">
      <c r="C500" s="127"/>
      <c r="D500" s="127"/>
      <c r="G500" s="127"/>
      <c r="H500" s="128"/>
      <c r="J500" s="127"/>
      <c r="K500" s="127"/>
      <c r="L500" s="127"/>
      <c r="M500" s="124"/>
      <c r="N500" s="125"/>
      <c r="O500" s="125"/>
      <c r="V500" s="126"/>
    </row>
    <row r="501" spans="3:22" ht="15.75" customHeight="1">
      <c r="C501" s="127"/>
      <c r="D501" s="127"/>
      <c r="G501" s="127"/>
      <c r="H501" s="128"/>
      <c r="J501" s="127"/>
      <c r="K501" s="127"/>
      <c r="L501" s="127"/>
      <c r="M501" s="124"/>
      <c r="N501" s="125"/>
      <c r="O501" s="125"/>
      <c r="V501" s="126"/>
    </row>
    <row r="502" spans="3:22" ht="15.75" customHeight="1">
      <c r="C502" s="127"/>
      <c r="D502" s="127"/>
      <c r="G502" s="127"/>
      <c r="H502" s="128"/>
      <c r="J502" s="127"/>
      <c r="K502" s="127"/>
      <c r="L502" s="127"/>
      <c r="M502" s="124"/>
      <c r="N502" s="125"/>
      <c r="O502" s="125"/>
      <c r="V502" s="126"/>
    </row>
    <row r="503" spans="3:22" ht="15.75" customHeight="1">
      <c r="C503" s="127"/>
      <c r="D503" s="127"/>
      <c r="G503" s="127"/>
      <c r="H503" s="128"/>
      <c r="J503" s="127"/>
      <c r="K503" s="127"/>
      <c r="L503" s="127"/>
      <c r="M503" s="124"/>
      <c r="N503" s="125"/>
      <c r="O503" s="125"/>
      <c r="V503" s="126"/>
    </row>
    <row r="504" spans="3:22" ht="15.75" customHeight="1">
      <c r="C504" s="127"/>
      <c r="D504" s="127"/>
      <c r="G504" s="127"/>
      <c r="H504" s="128"/>
      <c r="J504" s="127"/>
      <c r="K504" s="127"/>
      <c r="L504" s="127"/>
      <c r="M504" s="124"/>
      <c r="N504" s="125"/>
      <c r="O504" s="125"/>
      <c r="V504" s="126"/>
    </row>
    <row r="505" spans="3:22" ht="15.75" customHeight="1">
      <c r="C505" s="127"/>
      <c r="D505" s="127"/>
      <c r="G505" s="127"/>
      <c r="H505" s="128"/>
      <c r="J505" s="127"/>
      <c r="K505" s="127"/>
      <c r="L505" s="127"/>
      <c r="M505" s="124"/>
      <c r="N505" s="125"/>
      <c r="O505" s="125"/>
      <c r="V505" s="126"/>
    </row>
    <row r="506" spans="3:22" ht="15.75" customHeight="1">
      <c r="C506" s="127"/>
      <c r="D506" s="127"/>
      <c r="G506" s="127"/>
      <c r="H506" s="128"/>
      <c r="J506" s="127"/>
      <c r="K506" s="127"/>
      <c r="L506" s="127"/>
      <c r="M506" s="124"/>
      <c r="N506" s="125"/>
      <c r="O506" s="125"/>
      <c r="V506" s="126"/>
    </row>
    <row r="507" spans="3:22" ht="15.75" customHeight="1">
      <c r="C507" s="127"/>
      <c r="D507" s="127"/>
      <c r="G507" s="127"/>
      <c r="H507" s="128"/>
      <c r="J507" s="127"/>
      <c r="K507" s="127"/>
      <c r="L507" s="127"/>
      <c r="M507" s="124"/>
      <c r="N507" s="125"/>
      <c r="O507" s="125"/>
      <c r="V507" s="126"/>
    </row>
    <row r="508" spans="3:22" ht="15.75" customHeight="1">
      <c r="C508" s="127"/>
      <c r="D508" s="127"/>
      <c r="G508" s="127"/>
      <c r="H508" s="128"/>
      <c r="J508" s="127"/>
      <c r="K508" s="127"/>
      <c r="L508" s="127"/>
      <c r="M508" s="124"/>
      <c r="N508" s="125"/>
      <c r="O508" s="125"/>
      <c r="V508" s="126"/>
    </row>
    <row r="509" spans="3:22" ht="15.75" customHeight="1">
      <c r="C509" s="127"/>
      <c r="D509" s="127"/>
      <c r="G509" s="127"/>
      <c r="H509" s="128"/>
      <c r="J509" s="127"/>
      <c r="K509" s="127"/>
      <c r="L509" s="127"/>
      <c r="M509" s="124"/>
      <c r="N509" s="125"/>
      <c r="O509" s="125"/>
      <c r="V509" s="126"/>
    </row>
    <row r="510" spans="3:22" ht="15.75" customHeight="1">
      <c r="C510" s="127"/>
      <c r="D510" s="127"/>
      <c r="G510" s="127"/>
      <c r="H510" s="128"/>
      <c r="J510" s="127"/>
      <c r="K510" s="127"/>
      <c r="L510" s="127"/>
      <c r="M510" s="124"/>
      <c r="N510" s="125"/>
      <c r="O510" s="125"/>
      <c r="V510" s="126"/>
    </row>
    <row r="511" spans="3:22" ht="15.75" customHeight="1">
      <c r="C511" s="127"/>
      <c r="D511" s="127"/>
      <c r="G511" s="127"/>
      <c r="H511" s="128"/>
      <c r="J511" s="127"/>
      <c r="K511" s="127"/>
      <c r="L511" s="127"/>
      <c r="M511" s="124"/>
      <c r="N511" s="125"/>
      <c r="O511" s="125"/>
      <c r="V511" s="126"/>
    </row>
    <row r="512" spans="3:22" ht="15.75" customHeight="1">
      <c r="C512" s="127"/>
      <c r="D512" s="127"/>
      <c r="G512" s="127"/>
      <c r="H512" s="128"/>
      <c r="J512" s="127"/>
      <c r="K512" s="127"/>
      <c r="L512" s="127"/>
      <c r="M512" s="124"/>
      <c r="N512" s="125"/>
      <c r="O512" s="125"/>
      <c r="V512" s="126"/>
    </row>
    <row r="513" spans="3:22" ht="15.75" customHeight="1">
      <c r="C513" s="127"/>
      <c r="D513" s="127"/>
      <c r="G513" s="127"/>
      <c r="H513" s="128"/>
      <c r="J513" s="127"/>
      <c r="K513" s="127"/>
      <c r="L513" s="127"/>
      <c r="M513" s="124"/>
      <c r="N513" s="125"/>
      <c r="O513" s="125"/>
      <c r="V513" s="126"/>
    </row>
    <row r="514" spans="3:22" ht="15.75" customHeight="1">
      <c r="C514" s="127"/>
      <c r="D514" s="127"/>
      <c r="G514" s="127"/>
      <c r="H514" s="128"/>
      <c r="J514" s="127"/>
      <c r="K514" s="127"/>
      <c r="L514" s="127"/>
      <c r="M514" s="124"/>
      <c r="N514" s="125"/>
      <c r="O514" s="125"/>
      <c r="V514" s="126"/>
    </row>
    <row r="515" spans="3:22" ht="15.75" customHeight="1">
      <c r="C515" s="127"/>
      <c r="D515" s="127"/>
      <c r="G515" s="127"/>
      <c r="H515" s="128"/>
      <c r="J515" s="127"/>
      <c r="K515" s="127"/>
      <c r="L515" s="127"/>
      <c r="M515" s="124"/>
      <c r="N515" s="125"/>
      <c r="O515" s="125"/>
      <c r="V515" s="126"/>
    </row>
    <row r="516" spans="3:22" ht="15.75" customHeight="1">
      <c r="C516" s="127"/>
      <c r="D516" s="127"/>
      <c r="G516" s="127"/>
      <c r="H516" s="128"/>
      <c r="J516" s="127"/>
      <c r="K516" s="127"/>
      <c r="L516" s="127"/>
      <c r="M516" s="124"/>
      <c r="N516" s="125"/>
      <c r="O516" s="125"/>
      <c r="V516" s="126"/>
    </row>
    <row r="517" spans="3:22" ht="15.75" customHeight="1">
      <c r="C517" s="127"/>
      <c r="D517" s="127"/>
      <c r="G517" s="127"/>
      <c r="H517" s="128"/>
      <c r="J517" s="127"/>
      <c r="K517" s="127"/>
      <c r="L517" s="127"/>
      <c r="M517" s="124"/>
      <c r="N517" s="125"/>
      <c r="O517" s="125"/>
      <c r="V517" s="126"/>
    </row>
    <row r="518" spans="3:22" ht="15.75" customHeight="1">
      <c r="C518" s="127"/>
      <c r="D518" s="127"/>
      <c r="G518" s="127"/>
      <c r="H518" s="128"/>
      <c r="J518" s="127"/>
      <c r="K518" s="127"/>
      <c r="L518" s="127"/>
      <c r="M518" s="124"/>
      <c r="N518" s="125"/>
      <c r="O518" s="125"/>
      <c r="V518" s="126"/>
    </row>
    <row r="519" spans="3:22" ht="15.75" customHeight="1">
      <c r="C519" s="127"/>
      <c r="D519" s="127"/>
      <c r="G519" s="127"/>
      <c r="H519" s="128"/>
      <c r="J519" s="127"/>
      <c r="K519" s="127"/>
      <c r="L519" s="127"/>
      <c r="M519" s="124"/>
      <c r="N519" s="125"/>
      <c r="O519" s="125"/>
      <c r="V519" s="126"/>
    </row>
    <row r="520" spans="3:22" ht="15.75" customHeight="1">
      <c r="C520" s="127"/>
      <c r="D520" s="127"/>
      <c r="G520" s="127"/>
      <c r="H520" s="128"/>
      <c r="J520" s="127"/>
      <c r="K520" s="127"/>
      <c r="L520" s="127"/>
      <c r="M520" s="124"/>
      <c r="N520" s="125"/>
      <c r="O520" s="125"/>
      <c r="V520" s="126"/>
    </row>
    <row r="521" spans="3:22" ht="15.75" customHeight="1">
      <c r="C521" s="127"/>
      <c r="D521" s="127"/>
      <c r="G521" s="127"/>
      <c r="H521" s="128"/>
      <c r="J521" s="127"/>
      <c r="K521" s="127"/>
      <c r="L521" s="127"/>
      <c r="M521" s="124"/>
      <c r="N521" s="125"/>
      <c r="O521" s="125"/>
      <c r="V521" s="126"/>
    </row>
    <row r="522" spans="3:22" ht="15.75" customHeight="1">
      <c r="C522" s="127"/>
      <c r="D522" s="127"/>
      <c r="G522" s="127"/>
      <c r="H522" s="128"/>
      <c r="J522" s="127"/>
      <c r="K522" s="127"/>
      <c r="L522" s="127"/>
      <c r="M522" s="124"/>
      <c r="N522" s="125"/>
      <c r="O522" s="125"/>
      <c r="V522" s="126"/>
    </row>
    <row r="523" spans="3:22" ht="15.75" customHeight="1">
      <c r="C523" s="127"/>
      <c r="D523" s="127"/>
      <c r="G523" s="127"/>
      <c r="H523" s="128"/>
      <c r="J523" s="127"/>
      <c r="K523" s="127"/>
      <c r="L523" s="127"/>
      <c r="M523" s="124"/>
      <c r="N523" s="125"/>
      <c r="O523" s="125"/>
      <c r="V523" s="126"/>
    </row>
    <row r="524" spans="3:22" ht="15.75" customHeight="1">
      <c r="C524" s="127"/>
      <c r="D524" s="127"/>
      <c r="G524" s="127"/>
      <c r="H524" s="128"/>
      <c r="J524" s="127"/>
      <c r="K524" s="127"/>
      <c r="L524" s="127"/>
      <c r="M524" s="124"/>
      <c r="N524" s="125"/>
      <c r="O524" s="125"/>
      <c r="V524" s="126"/>
    </row>
    <row r="525" spans="3:22" ht="15.75" customHeight="1">
      <c r="C525" s="127"/>
      <c r="D525" s="127"/>
      <c r="G525" s="127"/>
      <c r="H525" s="128"/>
      <c r="J525" s="127"/>
      <c r="K525" s="127"/>
      <c r="L525" s="127"/>
      <c r="M525" s="124"/>
      <c r="N525" s="125"/>
      <c r="O525" s="125"/>
      <c r="V525" s="126"/>
    </row>
    <row r="526" spans="3:22" ht="15.75" customHeight="1">
      <c r="C526" s="127"/>
      <c r="D526" s="127"/>
      <c r="G526" s="127"/>
      <c r="H526" s="128"/>
      <c r="J526" s="127"/>
      <c r="K526" s="127"/>
      <c r="L526" s="127"/>
      <c r="M526" s="124"/>
      <c r="N526" s="125"/>
      <c r="O526" s="125"/>
      <c r="V526" s="126"/>
    </row>
    <row r="527" spans="3:22" ht="15.75" customHeight="1">
      <c r="C527" s="127"/>
      <c r="D527" s="127"/>
      <c r="G527" s="127"/>
      <c r="H527" s="128"/>
      <c r="J527" s="127"/>
      <c r="K527" s="127"/>
      <c r="L527" s="127"/>
      <c r="M527" s="124"/>
      <c r="N527" s="125"/>
      <c r="O527" s="125"/>
      <c r="V527" s="126"/>
    </row>
    <row r="528" spans="3:22" ht="15.75" customHeight="1">
      <c r="C528" s="127"/>
      <c r="D528" s="127"/>
      <c r="G528" s="127"/>
      <c r="H528" s="128"/>
      <c r="J528" s="127"/>
      <c r="K528" s="127"/>
      <c r="L528" s="127"/>
      <c r="M528" s="124"/>
      <c r="N528" s="125"/>
      <c r="O528" s="125"/>
      <c r="V528" s="126"/>
    </row>
    <row r="529" spans="3:22" ht="15.75" customHeight="1">
      <c r="C529" s="127"/>
      <c r="D529" s="127"/>
      <c r="G529" s="127"/>
      <c r="H529" s="128"/>
      <c r="J529" s="127"/>
      <c r="K529" s="127"/>
      <c r="L529" s="127"/>
      <c r="M529" s="124"/>
      <c r="N529" s="125"/>
      <c r="O529" s="125"/>
      <c r="V529" s="126"/>
    </row>
    <row r="530" spans="3:22" ht="15.75" customHeight="1">
      <c r="C530" s="127"/>
      <c r="D530" s="127"/>
      <c r="G530" s="127"/>
      <c r="H530" s="128"/>
      <c r="J530" s="127"/>
      <c r="K530" s="127"/>
      <c r="L530" s="127"/>
      <c r="M530" s="124"/>
      <c r="N530" s="125"/>
      <c r="O530" s="125"/>
      <c r="V530" s="126"/>
    </row>
    <row r="531" spans="3:22" ht="15.75" customHeight="1">
      <c r="C531" s="127"/>
      <c r="D531" s="127"/>
      <c r="G531" s="127"/>
      <c r="H531" s="128"/>
      <c r="J531" s="127"/>
      <c r="K531" s="127"/>
      <c r="L531" s="127"/>
      <c r="M531" s="124"/>
      <c r="N531" s="125"/>
      <c r="O531" s="125"/>
      <c r="V531" s="126"/>
    </row>
    <row r="532" spans="3:22" ht="15.75" customHeight="1">
      <c r="C532" s="127"/>
      <c r="D532" s="127"/>
      <c r="G532" s="127"/>
      <c r="H532" s="128"/>
      <c r="J532" s="127"/>
      <c r="K532" s="127"/>
      <c r="L532" s="127"/>
      <c r="M532" s="124"/>
      <c r="N532" s="125"/>
      <c r="O532" s="125"/>
      <c r="V532" s="126"/>
    </row>
    <row r="533" spans="3:22" ht="15.75" customHeight="1">
      <c r="C533" s="127"/>
      <c r="D533" s="127"/>
      <c r="G533" s="127"/>
      <c r="H533" s="128"/>
      <c r="J533" s="127"/>
      <c r="K533" s="127"/>
      <c r="L533" s="127"/>
      <c r="M533" s="124"/>
      <c r="N533" s="125"/>
      <c r="O533" s="125"/>
      <c r="V533" s="126"/>
    </row>
    <row r="534" spans="3:22" ht="15.75" customHeight="1">
      <c r="C534" s="127"/>
      <c r="D534" s="127"/>
      <c r="G534" s="127"/>
      <c r="H534" s="128"/>
      <c r="J534" s="127"/>
      <c r="K534" s="127"/>
      <c r="L534" s="127"/>
      <c r="M534" s="124"/>
      <c r="N534" s="125"/>
      <c r="O534" s="125"/>
      <c r="V534" s="126"/>
    </row>
    <row r="535" spans="3:22" ht="15.75" customHeight="1">
      <c r="C535" s="127"/>
      <c r="D535" s="127"/>
      <c r="G535" s="127"/>
      <c r="H535" s="128"/>
      <c r="J535" s="127"/>
      <c r="K535" s="127"/>
      <c r="L535" s="127"/>
      <c r="M535" s="124"/>
      <c r="N535" s="125"/>
      <c r="O535" s="125"/>
      <c r="V535" s="126"/>
    </row>
    <row r="536" spans="3:22" ht="15.75" customHeight="1">
      <c r="C536" s="127"/>
      <c r="D536" s="127"/>
      <c r="G536" s="127"/>
      <c r="H536" s="128"/>
      <c r="J536" s="127"/>
      <c r="K536" s="127"/>
      <c r="L536" s="127"/>
      <c r="M536" s="124"/>
      <c r="N536" s="125"/>
      <c r="O536" s="125"/>
      <c r="V536" s="126"/>
    </row>
    <row r="537" spans="3:22" ht="15.75" customHeight="1">
      <c r="C537" s="127"/>
      <c r="D537" s="127"/>
      <c r="G537" s="127"/>
      <c r="H537" s="128"/>
      <c r="J537" s="127"/>
      <c r="K537" s="127"/>
      <c r="L537" s="127"/>
      <c r="M537" s="124"/>
      <c r="N537" s="125"/>
      <c r="O537" s="125"/>
      <c r="V537" s="126"/>
    </row>
    <row r="538" spans="3:22" ht="15.75" customHeight="1">
      <c r="C538" s="127"/>
      <c r="D538" s="127"/>
      <c r="G538" s="127"/>
      <c r="H538" s="128"/>
      <c r="J538" s="127"/>
      <c r="K538" s="127"/>
      <c r="L538" s="127"/>
      <c r="M538" s="124"/>
      <c r="N538" s="125"/>
      <c r="O538" s="125"/>
      <c r="V538" s="126"/>
    </row>
    <row r="539" spans="3:22" ht="15.75" customHeight="1">
      <c r="C539" s="127"/>
      <c r="D539" s="127"/>
      <c r="G539" s="127"/>
      <c r="H539" s="128"/>
      <c r="J539" s="127"/>
      <c r="K539" s="127"/>
      <c r="L539" s="127"/>
      <c r="M539" s="124"/>
      <c r="N539" s="125"/>
      <c r="O539" s="125"/>
      <c r="V539" s="126"/>
    </row>
    <row r="540" spans="3:22" ht="15.75" customHeight="1">
      <c r="C540" s="127"/>
      <c r="D540" s="127"/>
      <c r="G540" s="127"/>
      <c r="H540" s="128"/>
      <c r="J540" s="127"/>
      <c r="K540" s="127"/>
      <c r="L540" s="127"/>
      <c r="M540" s="124"/>
      <c r="N540" s="125"/>
      <c r="O540" s="125"/>
      <c r="V540" s="126"/>
    </row>
    <row r="541" spans="3:22" ht="15.75" customHeight="1">
      <c r="C541" s="127"/>
      <c r="D541" s="127"/>
      <c r="G541" s="127"/>
      <c r="H541" s="128"/>
      <c r="J541" s="127"/>
      <c r="K541" s="127"/>
      <c r="L541" s="127"/>
      <c r="M541" s="124"/>
      <c r="N541" s="125"/>
      <c r="O541" s="125"/>
      <c r="V541" s="126"/>
    </row>
    <row r="542" spans="3:22" ht="15.75" customHeight="1">
      <c r="C542" s="127"/>
      <c r="D542" s="127"/>
      <c r="G542" s="127"/>
      <c r="H542" s="128"/>
      <c r="J542" s="127"/>
      <c r="K542" s="127"/>
      <c r="L542" s="127"/>
      <c r="M542" s="124"/>
      <c r="N542" s="125"/>
      <c r="O542" s="125"/>
      <c r="V542" s="126"/>
    </row>
    <row r="543" spans="3:22" ht="15.75" customHeight="1">
      <c r="C543" s="127"/>
      <c r="D543" s="127"/>
      <c r="G543" s="127"/>
      <c r="H543" s="128"/>
      <c r="J543" s="127"/>
      <c r="K543" s="127"/>
      <c r="L543" s="127"/>
      <c r="M543" s="124"/>
      <c r="N543" s="125"/>
      <c r="O543" s="125"/>
      <c r="V543" s="126"/>
    </row>
    <row r="544" spans="3:22" ht="15.75" customHeight="1">
      <c r="C544" s="127"/>
      <c r="D544" s="127"/>
      <c r="G544" s="127"/>
      <c r="H544" s="128"/>
      <c r="J544" s="127"/>
      <c r="K544" s="127"/>
      <c r="L544" s="127"/>
      <c r="M544" s="124"/>
      <c r="N544" s="125"/>
      <c r="O544" s="125"/>
      <c r="V544" s="126"/>
    </row>
    <row r="545" spans="3:22" ht="15.75" customHeight="1">
      <c r="C545" s="127"/>
      <c r="D545" s="127"/>
      <c r="G545" s="127"/>
      <c r="H545" s="128"/>
      <c r="J545" s="127"/>
      <c r="K545" s="127"/>
      <c r="L545" s="127"/>
      <c r="M545" s="124"/>
      <c r="N545" s="125"/>
      <c r="O545" s="125"/>
      <c r="V545" s="126"/>
    </row>
    <row r="546" spans="3:22" ht="15.75" customHeight="1">
      <c r="C546" s="127"/>
      <c r="D546" s="127"/>
      <c r="G546" s="127"/>
      <c r="H546" s="128"/>
      <c r="J546" s="127"/>
      <c r="K546" s="127"/>
      <c r="L546" s="127"/>
      <c r="M546" s="124"/>
      <c r="N546" s="125"/>
      <c r="O546" s="125"/>
      <c r="V546" s="126"/>
    </row>
    <row r="547" spans="3:22" ht="15.75" customHeight="1">
      <c r="C547" s="127"/>
      <c r="D547" s="127"/>
      <c r="G547" s="127"/>
      <c r="H547" s="128"/>
      <c r="J547" s="127"/>
      <c r="K547" s="127"/>
      <c r="L547" s="127"/>
      <c r="M547" s="124"/>
      <c r="N547" s="125"/>
      <c r="O547" s="125"/>
      <c r="V547" s="126"/>
    </row>
    <row r="548" spans="3:22" ht="15.75" customHeight="1">
      <c r="C548" s="127"/>
      <c r="D548" s="127"/>
      <c r="G548" s="127"/>
      <c r="H548" s="128"/>
      <c r="J548" s="127"/>
      <c r="K548" s="127"/>
      <c r="L548" s="127"/>
      <c r="M548" s="124"/>
      <c r="N548" s="125"/>
      <c r="O548" s="125"/>
      <c r="V548" s="126"/>
    </row>
    <row r="549" spans="3:22" ht="15.75" customHeight="1">
      <c r="C549" s="127"/>
      <c r="D549" s="127"/>
      <c r="G549" s="127"/>
      <c r="H549" s="128"/>
      <c r="J549" s="127"/>
      <c r="K549" s="127"/>
      <c r="L549" s="127"/>
      <c r="M549" s="124"/>
      <c r="N549" s="125"/>
      <c r="O549" s="125"/>
      <c r="V549" s="126"/>
    </row>
    <row r="550" spans="3:22" ht="15.75" customHeight="1">
      <c r="C550" s="127"/>
      <c r="D550" s="127"/>
      <c r="G550" s="127"/>
      <c r="H550" s="128"/>
      <c r="J550" s="127"/>
      <c r="K550" s="127"/>
      <c r="L550" s="127"/>
      <c r="M550" s="124"/>
      <c r="N550" s="125"/>
      <c r="O550" s="125"/>
      <c r="V550" s="126"/>
    </row>
    <row r="551" spans="3:22" ht="15.75" customHeight="1">
      <c r="C551" s="127"/>
      <c r="D551" s="127"/>
      <c r="G551" s="127"/>
      <c r="H551" s="128"/>
      <c r="J551" s="127"/>
      <c r="K551" s="127"/>
      <c r="L551" s="127"/>
      <c r="M551" s="124"/>
      <c r="N551" s="125"/>
      <c r="O551" s="125"/>
      <c r="V551" s="126"/>
    </row>
    <row r="552" spans="3:22" ht="15.75" customHeight="1">
      <c r="C552" s="127"/>
      <c r="D552" s="127"/>
      <c r="G552" s="127"/>
      <c r="H552" s="128"/>
      <c r="J552" s="127"/>
      <c r="K552" s="127"/>
      <c r="L552" s="127"/>
      <c r="M552" s="124"/>
      <c r="N552" s="125"/>
      <c r="O552" s="125"/>
      <c r="V552" s="126"/>
    </row>
    <row r="553" spans="3:22" ht="15.75" customHeight="1">
      <c r="C553" s="127"/>
      <c r="D553" s="127"/>
      <c r="G553" s="127"/>
      <c r="H553" s="128"/>
      <c r="J553" s="127"/>
      <c r="K553" s="127"/>
      <c r="L553" s="127"/>
      <c r="M553" s="124"/>
      <c r="N553" s="125"/>
      <c r="O553" s="125"/>
      <c r="V553" s="126"/>
    </row>
    <row r="554" spans="3:22" ht="15.75" customHeight="1">
      <c r="C554" s="127"/>
      <c r="D554" s="127"/>
      <c r="G554" s="127"/>
      <c r="H554" s="128"/>
      <c r="J554" s="127"/>
      <c r="K554" s="127"/>
      <c r="L554" s="127"/>
      <c r="M554" s="124"/>
      <c r="N554" s="125"/>
      <c r="O554" s="125"/>
      <c r="V554" s="126"/>
    </row>
    <row r="555" spans="3:22" ht="15.75" customHeight="1">
      <c r="C555" s="127"/>
      <c r="D555" s="127"/>
      <c r="G555" s="127"/>
      <c r="H555" s="128"/>
      <c r="J555" s="127"/>
      <c r="K555" s="127"/>
      <c r="L555" s="127"/>
      <c r="M555" s="124"/>
      <c r="N555" s="125"/>
      <c r="O555" s="125"/>
      <c r="V555" s="126"/>
    </row>
    <row r="556" spans="3:22" ht="15.75" customHeight="1">
      <c r="C556" s="127"/>
      <c r="D556" s="127"/>
      <c r="G556" s="127"/>
      <c r="H556" s="128"/>
      <c r="J556" s="127"/>
      <c r="K556" s="127"/>
      <c r="L556" s="127"/>
      <c r="M556" s="124"/>
      <c r="N556" s="125"/>
      <c r="O556" s="125"/>
      <c r="V556" s="126"/>
    </row>
    <row r="557" spans="3:22" ht="15.75" customHeight="1">
      <c r="C557" s="127"/>
      <c r="D557" s="127"/>
      <c r="G557" s="127"/>
      <c r="H557" s="128"/>
      <c r="J557" s="127"/>
      <c r="K557" s="127"/>
      <c r="L557" s="127"/>
      <c r="M557" s="124"/>
      <c r="N557" s="125"/>
      <c r="O557" s="125"/>
      <c r="V557" s="126"/>
    </row>
    <row r="558" spans="3:22" ht="15.75" customHeight="1">
      <c r="C558" s="127"/>
      <c r="D558" s="127"/>
      <c r="G558" s="127"/>
      <c r="H558" s="128"/>
      <c r="J558" s="127"/>
      <c r="K558" s="127"/>
      <c r="L558" s="127"/>
      <c r="M558" s="124"/>
      <c r="N558" s="125"/>
      <c r="O558" s="125"/>
      <c r="V558" s="126"/>
    </row>
    <row r="559" spans="3:22" ht="15.75" customHeight="1">
      <c r="C559" s="127"/>
      <c r="D559" s="127"/>
      <c r="G559" s="127"/>
      <c r="H559" s="128"/>
      <c r="J559" s="127"/>
      <c r="K559" s="127"/>
      <c r="L559" s="127"/>
      <c r="M559" s="124"/>
      <c r="N559" s="125"/>
      <c r="O559" s="125"/>
      <c r="V559" s="126"/>
    </row>
    <row r="560" spans="3:22" ht="15.75" customHeight="1">
      <c r="C560" s="127"/>
      <c r="D560" s="127"/>
      <c r="G560" s="127"/>
      <c r="H560" s="128"/>
      <c r="J560" s="127"/>
      <c r="K560" s="127"/>
      <c r="L560" s="127"/>
      <c r="M560" s="124"/>
      <c r="N560" s="125"/>
      <c r="O560" s="125"/>
      <c r="V560" s="126"/>
    </row>
    <row r="561" spans="3:22" ht="15.75" customHeight="1">
      <c r="C561" s="127"/>
      <c r="D561" s="127"/>
      <c r="G561" s="127"/>
      <c r="H561" s="128"/>
      <c r="J561" s="127"/>
      <c r="K561" s="127"/>
      <c r="L561" s="127"/>
      <c r="M561" s="124"/>
      <c r="N561" s="125"/>
      <c r="O561" s="125"/>
      <c r="V561" s="126"/>
    </row>
    <row r="562" spans="3:22" ht="15.75" customHeight="1">
      <c r="C562" s="127"/>
      <c r="D562" s="127"/>
      <c r="G562" s="127"/>
      <c r="H562" s="128"/>
      <c r="J562" s="127"/>
      <c r="K562" s="127"/>
      <c r="L562" s="127"/>
      <c r="M562" s="124"/>
      <c r="N562" s="125"/>
      <c r="O562" s="125"/>
      <c r="V562" s="126"/>
    </row>
    <row r="563" spans="3:22" ht="15.75" customHeight="1">
      <c r="C563" s="127"/>
      <c r="D563" s="127"/>
      <c r="G563" s="127"/>
      <c r="H563" s="128"/>
      <c r="J563" s="127"/>
      <c r="K563" s="127"/>
      <c r="L563" s="127"/>
      <c r="M563" s="124"/>
      <c r="N563" s="125"/>
      <c r="O563" s="125"/>
      <c r="V563" s="126"/>
    </row>
    <row r="564" spans="3:22" ht="15.75" customHeight="1">
      <c r="C564" s="127"/>
      <c r="D564" s="127"/>
      <c r="G564" s="127"/>
      <c r="H564" s="128"/>
      <c r="J564" s="127"/>
      <c r="K564" s="127"/>
      <c r="L564" s="127"/>
      <c r="M564" s="124"/>
      <c r="N564" s="125"/>
      <c r="O564" s="125"/>
      <c r="V564" s="126"/>
    </row>
    <row r="565" spans="3:22" ht="15.75" customHeight="1">
      <c r="C565" s="127"/>
      <c r="D565" s="127"/>
      <c r="G565" s="127"/>
      <c r="H565" s="128"/>
      <c r="J565" s="127"/>
      <c r="K565" s="127"/>
      <c r="L565" s="127"/>
      <c r="M565" s="124"/>
      <c r="N565" s="125"/>
      <c r="O565" s="125"/>
      <c r="V565" s="126"/>
    </row>
    <row r="566" spans="3:22" ht="15.75" customHeight="1">
      <c r="C566" s="127"/>
      <c r="D566" s="127"/>
      <c r="G566" s="127"/>
      <c r="H566" s="128"/>
      <c r="J566" s="127"/>
      <c r="K566" s="127"/>
      <c r="L566" s="127"/>
      <c r="M566" s="124"/>
      <c r="N566" s="125"/>
      <c r="O566" s="125"/>
      <c r="V566" s="126"/>
    </row>
    <row r="567" spans="3:22" ht="15.75" customHeight="1">
      <c r="C567" s="127"/>
      <c r="D567" s="127"/>
      <c r="G567" s="127"/>
      <c r="H567" s="128"/>
      <c r="J567" s="127"/>
      <c r="K567" s="127"/>
      <c r="L567" s="127"/>
      <c r="M567" s="124"/>
      <c r="N567" s="125"/>
      <c r="O567" s="125"/>
      <c r="V567" s="126"/>
    </row>
    <row r="568" spans="3:22" ht="15.75" customHeight="1">
      <c r="C568" s="127"/>
      <c r="D568" s="127"/>
      <c r="G568" s="127"/>
      <c r="H568" s="128"/>
      <c r="J568" s="127"/>
      <c r="K568" s="127"/>
      <c r="L568" s="127"/>
      <c r="M568" s="124"/>
      <c r="N568" s="125"/>
      <c r="O568" s="125"/>
      <c r="V568" s="126"/>
    </row>
    <row r="569" spans="3:22" ht="15.75" customHeight="1">
      <c r="C569" s="127"/>
      <c r="D569" s="127"/>
      <c r="G569" s="127"/>
      <c r="H569" s="128"/>
      <c r="J569" s="127"/>
      <c r="K569" s="127"/>
      <c r="L569" s="127"/>
      <c r="M569" s="124"/>
      <c r="N569" s="125"/>
      <c r="O569" s="125"/>
      <c r="V569" s="126"/>
    </row>
    <row r="570" spans="3:22" ht="15.75" customHeight="1">
      <c r="C570" s="127"/>
      <c r="D570" s="127"/>
      <c r="G570" s="127"/>
      <c r="H570" s="128"/>
      <c r="J570" s="127"/>
      <c r="K570" s="127"/>
      <c r="L570" s="127"/>
      <c r="M570" s="124"/>
      <c r="N570" s="125"/>
      <c r="O570" s="125"/>
      <c r="V570" s="126"/>
    </row>
    <row r="571" spans="3:22" ht="15.75" customHeight="1">
      <c r="C571" s="127"/>
      <c r="D571" s="127"/>
      <c r="G571" s="127"/>
      <c r="H571" s="128"/>
      <c r="J571" s="127"/>
      <c r="K571" s="127"/>
      <c r="L571" s="127"/>
      <c r="M571" s="124"/>
      <c r="N571" s="125"/>
      <c r="O571" s="125"/>
      <c r="V571" s="126"/>
    </row>
    <row r="572" spans="3:22" ht="15.75" customHeight="1">
      <c r="C572" s="127"/>
      <c r="D572" s="127"/>
      <c r="G572" s="127"/>
      <c r="H572" s="128"/>
      <c r="J572" s="127"/>
      <c r="K572" s="127"/>
      <c r="L572" s="127"/>
      <c r="M572" s="124"/>
      <c r="N572" s="125"/>
      <c r="O572" s="125"/>
      <c r="V572" s="126"/>
    </row>
    <row r="573" spans="3:22" ht="15.75" customHeight="1">
      <c r="C573" s="127"/>
      <c r="D573" s="127"/>
      <c r="G573" s="127"/>
      <c r="H573" s="128"/>
      <c r="J573" s="127"/>
      <c r="K573" s="127"/>
      <c r="L573" s="127"/>
      <c r="M573" s="124"/>
      <c r="N573" s="125"/>
      <c r="O573" s="125"/>
      <c r="V573" s="126"/>
    </row>
    <row r="574" spans="3:22" ht="15.75" customHeight="1">
      <c r="C574" s="127"/>
      <c r="D574" s="127"/>
      <c r="G574" s="127"/>
      <c r="H574" s="128"/>
      <c r="J574" s="127"/>
      <c r="K574" s="127"/>
      <c r="L574" s="127"/>
      <c r="M574" s="124"/>
      <c r="N574" s="125"/>
      <c r="O574" s="125"/>
      <c r="V574" s="126"/>
    </row>
    <row r="575" spans="3:22" ht="15.75" customHeight="1">
      <c r="C575" s="127"/>
      <c r="D575" s="127"/>
      <c r="G575" s="127"/>
      <c r="H575" s="128"/>
      <c r="J575" s="127"/>
      <c r="K575" s="127"/>
      <c r="L575" s="127"/>
      <c r="M575" s="124"/>
      <c r="N575" s="125"/>
      <c r="O575" s="125"/>
      <c r="V575" s="126"/>
    </row>
    <row r="576" spans="3:22" ht="15.75" customHeight="1">
      <c r="C576" s="127"/>
      <c r="D576" s="127"/>
      <c r="G576" s="127"/>
      <c r="H576" s="128"/>
      <c r="J576" s="127"/>
      <c r="K576" s="127"/>
      <c r="L576" s="127"/>
      <c r="M576" s="124"/>
      <c r="N576" s="125"/>
      <c r="O576" s="125"/>
      <c r="V576" s="126"/>
    </row>
    <row r="577" spans="3:22" ht="15.75" customHeight="1">
      <c r="C577" s="127"/>
      <c r="D577" s="127"/>
      <c r="G577" s="127"/>
      <c r="H577" s="128"/>
      <c r="J577" s="127"/>
      <c r="K577" s="127"/>
      <c r="L577" s="127"/>
      <c r="M577" s="124"/>
      <c r="N577" s="125"/>
      <c r="O577" s="125"/>
      <c r="V577" s="126"/>
    </row>
    <row r="578" spans="3:22" ht="15.75" customHeight="1">
      <c r="C578" s="127"/>
      <c r="D578" s="127"/>
      <c r="G578" s="127"/>
      <c r="H578" s="128"/>
      <c r="J578" s="127"/>
      <c r="K578" s="127"/>
      <c r="L578" s="127"/>
      <c r="M578" s="124"/>
      <c r="N578" s="125"/>
      <c r="O578" s="125"/>
      <c r="V578" s="126"/>
    </row>
    <row r="579" spans="3:22" ht="15.75" customHeight="1">
      <c r="C579" s="127"/>
      <c r="D579" s="127"/>
      <c r="G579" s="127"/>
      <c r="H579" s="128"/>
      <c r="J579" s="127"/>
      <c r="K579" s="127"/>
      <c r="L579" s="127"/>
      <c r="M579" s="124"/>
      <c r="N579" s="125"/>
      <c r="O579" s="125"/>
      <c r="V579" s="126"/>
    </row>
    <row r="580" spans="3:22" ht="15.75" customHeight="1">
      <c r="C580" s="127"/>
      <c r="D580" s="127"/>
      <c r="G580" s="127"/>
      <c r="H580" s="128"/>
      <c r="J580" s="127"/>
      <c r="K580" s="127"/>
      <c r="L580" s="127"/>
      <c r="M580" s="124"/>
      <c r="N580" s="125"/>
      <c r="O580" s="125"/>
      <c r="V580" s="126"/>
    </row>
    <row r="581" spans="3:22" ht="15.75" customHeight="1">
      <c r="C581" s="127"/>
      <c r="D581" s="127"/>
      <c r="G581" s="127"/>
      <c r="H581" s="128"/>
      <c r="J581" s="127"/>
      <c r="K581" s="127"/>
      <c r="L581" s="127"/>
      <c r="M581" s="124"/>
      <c r="N581" s="125"/>
      <c r="O581" s="125"/>
      <c r="V581" s="126"/>
    </row>
    <row r="582" spans="3:22" ht="15.75" customHeight="1">
      <c r="C582" s="127"/>
      <c r="D582" s="127"/>
      <c r="G582" s="127"/>
      <c r="H582" s="128"/>
      <c r="J582" s="127"/>
      <c r="K582" s="127"/>
      <c r="L582" s="127"/>
      <c r="M582" s="124"/>
      <c r="N582" s="125"/>
      <c r="O582" s="125"/>
      <c r="V582" s="126"/>
    </row>
    <row r="583" spans="3:22" ht="15.75" customHeight="1">
      <c r="C583" s="127"/>
      <c r="D583" s="127"/>
      <c r="G583" s="127"/>
      <c r="H583" s="128"/>
      <c r="J583" s="127"/>
      <c r="K583" s="127"/>
      <c r="L583" s="127"/>
      <c r="M583" s="124"/>
      <c r="N583" s="125"/>
      <c r="O583" s="125"/>
      <c r="V583" s="126"/>
    </row>
    <row r="584" spans="3:22" ht="15.75" customHeight="1">
      <c r="C584" s="127"/>
      <c r="D584" s="127"/>
      <c r="G584" s="127"/>
      <c r="H584" s="128"/>
      <c r="J584" s="127"/>
      <c r="K584" s="127"/>
      <c r="L584" s="127"/>
      <c r="M584" s="124"/>
      <c r="N584" s="125"/>
      <c r="O584" s="125"/>
      <c r="V584" s="126"/>
    </row>
    <row r="585" spans="3:22" ht="15.75" customHeight="1">
      <c r="C585" s="127"/>
      <c r="D585" s="127"/>
      <c r="G585" s="127"/>
      <c r="H585" s="128"/>
      <c r="J585" s="127"/>
      <c r="K585" s="127"/>
      <c r="L585" s="127"/>
      <c r="M585" s="124"/>
      <c r="N585" s="125"/>
      <c r="O585" s="125"/>
      <c r="V585" s="126"/>
    </row>
    <row r="586" spans="3:22" ht="15.75" customHeight="1">
      <c r="C586" s="127"/>
      <c r="D586" s="127"/>
      <c r="G586" s="127"/>
      <c r="H586" s="128"/>
      <c r="J586" s="127"/>
      <c r="K586" s="127"/>
      <c r="L586" s="127"/>
      <c r="M586" s="124"/>
      <c r="N586" s="125"/>
      <c r="O586" s="125"/>
      <c r="V586" s="126"/>
    </row>
    <row r="587" spans="3:22" ht="15.75" customHeight="1">
      <c r="C587" s="127"/>
      <c r="D587" s="127"/>
      <c r="G587" s="127"/>
      <c r="H587" s="128"/>
      <c r="J587" s="127"/>
      <c r="K587" s="127"/>
      <c r="L587" s="127"/>
      <c r="M587" s="124"/>
      <c r="N587" s="125"/>
      <c r="O587" s="125"/>
      <c r="V587" s="126"/>
    </row>
    <row r="588" spans="3:22" ht="15.75" customHeight="1">
      <c r="C588" s="127"/>
      <c r="D588" s="127"/>
      <c r="G588" s="127"/>
      <c r="H588" s="128"/>
      <c r="J588" s="127"/>
      <c r="K588" s="127"/>
      <c r="L588" s="127"/>
      <c r="M588" s="124"/>
      <c r="N588" s="125"/>
      <c r="O588" s="125"/>
      <c r="V588" s="126"/>
    </row>
    <row r="589" spans="3:22" ht="15.75" customHeight="1">
      <c r="C589" s="127"/>
      <c r="D589" s="127"/>
      <c r="G589" s="127"/>
      <c r="H589" s="128"/>
      <c r="J589" s="127"/>
      <c r="K589" s="127"/>
      <c r="L589" s="127"/>
      <c r="M589" s="124"/>
      <c r="N589" s="125"/>
      <c r="O589" s="125"/>
      <c r="V589" s="126"/>
    </row>
    <row r="590" spans="3:22" ht="15.75" customHeight="1">
      <c r="C590" s="127"/>
      <c r="D590" s="127"/>
      <c r="G590" s="127"/>
      <c r="H590" s="128"/>
      <c r="J590" s="127"/>
      <c r="K590" s="127"/>
      <c r="L590" s="127"/>
      <c r="M590" s="124"/>
      <c r="N590" s="125"/>
      <c r="O590" s="125"/>
      <c r="V590" s="126"/>
    </row>
    <row r="591" spans="3:22" ht="15.75" customHeight="1">
      <c r="C591" s="127"/>
      <c r="D591" s="127"/>
      <c r="G591" s="127"/>
      <c r="H591" s="128"/>
      <c r="J591" s="127"/>
      <c r="K591" s="127"/>
      <c r="L591" s="127"/>
      <c r="M591" s="124"/>
      <c r="N591" s="125"/>
      <c r="O591" s="125"/>
      <c r="V591" s="126"/>
    </row>
    <row r="592" spans="3:22" ht="15.75" customHeight="1">
      <c r="C592" s="127"/>
      <c r="D592" s="127"/>
      <c r="G592" s="127"/>
      <c r="H592" s="128"/>
      <c r="J592" s="127"/>
      <c r="K592" s="127"/>
      <c r="L592" s="127"/>
      <c r="M592" s="124"/>
      <c r="N592" s="125"/>
      <c r="O592" s="125"/>
      <c r="V592" s="126"/>
    </row>
    <row r="593" spans="3:22" ht="15.75" customHeight="1">
      <c r="C593" s="127"/>
      <c r="D593" s="127"/>
      <c r="G593" s="127"/>
      <c r="H593" s="128"/>
      <c r="J593" s="127"/>
      <c r="K593" s="127"/>
      <c r="L593" s="127"/>
      <c r="M593" s="124"/>
      <c r="N593" s="125"/>
      <c r="O593" s="125"/>
      <c r="V593" s="126"/>
    </row>
    <row r="594" spans="3:22" ht="15.75" customHeight="1">
      <c r="C594" s="127"/>
      <c r="D594" s="127"/>
      <c r="G594" s="127"/>
      <c r="H594" s="128"/>
      <c r="J594" s="127"/>
      <c r="K594" s="127"/>
      <c r="L594" s="127"/>
      <c r="M594" s="124"/>
      <c r="N594" s="125"/>
      <c r="O594" s="125"/>
      <c r="V594" s="126"/>
    </row>
    <row r="595" spans="3:22" ht="15.75" customHeight="1">
      <c r="C595" s="127"/>
      <c r="D595" s="127"/>
      <c r="G595" s="127"/>
      <c r="H595" s="128"/>
      <c r="J595" s="127"/>
      <c r="K595" s="127"/>
      <c r="L595" s="127"/>
      <c r="M595" s="124"/>
      <c r="N595" s="125"/>
      <c r="O595" s="125"/>
      <c r="V595" s="126"/>
    </row>
    <row r="596" spans="3:22" ht="15.75" customHeight="1">
      <c r="C596" s="127"/>
      <c r="D596" s="127"/>
      <c r="G596" s="127"/>
      <c r="H596" s="128"/>
      <c r="J596" s="127"/>
      <c r="K596" s="127"/>
      <c r="L596" s="127"/>
      <c r="M596" s="124"/>
      <c r="N596" s="125"/>
      <c r="O596" s="125"/>
      <c r="V596" s="126"/>
    </row>
    <row r="597" spans="3:22" ht="15.75" customHeight="1">
      <c r="C597" s="127"/>
      <c r="D597" s="127"/>
      <c r="G597" s="127"/>
      <c r="H597" s="128"/>
      <c r="J597" s="127"/>
      <c r="K597" s="127"/>
      <c r="L597" s="127"/>
      <c r="M597" s="124"/>
      <c r="N597" s="125"/>
      <c r="O597" s="125"/>
      <c r="V597" s="126"/>
    </row>
    <row r="598" spans="3:22" ht="15.75" customHeight="1">
      <c r="C598" s="127"/>
      <c r="D598" s="127"/>
      <c r="G598" s="127"/>
      <c r="H598" s="128"/>
      <c r="J598" s="127"/>
      <c r="K598" s="127"/>
      <c r="L598" s="127"/>
      <c r="M598" s="124"/>
      <c r="N598" s="125"/>
      <c r="O598" s="125"/>
      <c r="V598" s="126"/>
    </row>
    <row r="599" spans="3:22" ht="15.75" customHeight="1">
      <c r="C599" s="127"/>
      <c r="D599" s="127"/>
      <c r="G599" s="127"/>
      <c r="H599" s="128"/>
      <c r="J599" s="127"/>
      <c r="K599" s="127"/>
      <c r="L599" s="127"/>
      <c r="M599" s="124"/>
      <c r="N599" s="125"/>
      <c r="O599" s="125"/>
      <c r="V599" s="126"/>
    </row>
    <row r="600" spans="3:22" ht="15.75" customHeight="1">
      <c r="C600" s="127"/>
      <c r="D600" s="127"/>
      <c r="G600" s="127"/>
      <c r="H600" s="128"/>
      <c r="J600" s="127"/>
      <c r="K600" s="127"/>
      <c r="L600" s="127"/>
      <c r="M600" s="124"/>
      <c r="N600" s="125"/>
      <c r="O600" s="125"/>
      <c r="V600" s="126"/>
    </row>
    <row r="601" spans="3:22" ht="15.75" customHeight="1">
      <c r="C601" s="127"/>
      <c r="D601" s="127"/>
      <c r="G601" s="127"/>
      <c r="H601" s="128"/>
      <c r="J601" s="127"/>
      <c r="K601" s="127"/>
      <c r="L601" s="127"/>
      <c r="M601" s="124"/>
      <c r="N601" s="125"/>
      <c r="O601" s="125"/>
      <c r="V601" s="126"/>
    </row>
    <row r="602" spans="3:22" ht="15.75" customHeight="1">
      <c r="C602" s="127"/>
      <c r="D602" s="127"/>
      <c r="G602" s="127"/>
      <c r="H602" s="128"/>
      <c r="J602" s="127"/>
      <c r="K602" s="127"/>
      <c r="L602" s="127"/>
      <c r="M602" s="124"/>
      <c r="N602" s="125"/>
      <c r="O602" s="125"/>
      <c r="V602" s="126"/>
    </row>
    <row r="603" spans="3:22" ht="15.75" customHeight="1">
      <c r="C603" s="127"/>
      <c r="D603" s="127"/>
      <c r="G603" s="127"/>
      <c r="H603" s="128"/>
      <c r="J603" s="127"/>
      <c r="K603" s="127"/>
      <c r="L603" s="127"/>
      <c r="M603" s="124"/>
      <c r="N603" s="125"/>
      <c r="O603" s="125"/>
      <c r="V603" s="126"/>
    </row>
    <row r="604" spans="3:22" ht="15.75" customHeight="1">
      <c r="C604" s="127"/>
      <c r="D604" s="127"/>
      <c r="G604" s="127"/>
      <c r="H604" s="128"/>
      <c r="J604" s="127"/>
      <c r="K604" s="127"/>
      <c r="L604" s="127"/>
      <c r="M604" s="124"/>
      <c r="N604" s="125"/>
      <c r="O604" s="125"/>
      <c r="V604" s="126"/>
    </row>
    <row r="605" spans="3:22" ht="15.75" customHeight="1">
      <c r="C605" s="127"/>
      <c r="D605" s="127"/>
      <c r="G605" s="127"/>
      <c r="H605" s="128"/>
      <c r="J605" s="127"/>
      <c r="K605" s="127"/>
      <c r="L605" s="127"/>
      <c r="M605" s="124"/>
      <c r="N605" s="125"/>
      <c r="O605" s="125"/>
      <c r="V605" s="126"/>
    </row>
    <row r="606" spans="3:22" ht="15.75" customHeight="1">
      <c r="C606" s="127"/>
      <c r="D606" s="127"/>
      <c r="G606" s="127"/>
      <c r="H606" s="128"/>
      <c r="J606" s="127"/>
      <c r="K606" s="127"/>
      <c r="L606" s="127"/>
      <c r="M606" s="124"/>
      <c r="N606" s="125"/>
      <c r="O606" s="125"/>
      <c r="V606" s="126"/>
    </row>
    <row r="607" spans="3:22" ht="15.75" customHeight="1">
      <c r="C607" s="127"/>
      <c r="D607" s="127"/>
      <c r="G607" s="127"/>
      <c r="H607" s="128"/>
      <c r="J607" s="127"/>
      <c r="K607" s="127"/>
      <c r="L607" s="127"/>
      <c r="M607" s="124"/>
      <c r="N607" s="125"/>
      <c r="O607" s="125"/>
      <c r="V607" s="126"/>
    </row>
    <row r="608" spans="3:22" ht="15.75" customHeight="1">
      <c r="C608" s="127"/>
      <c r="D608" s="127"/>
      <c r="G608" s="127"/>
      <c r="H608" s="128"/>
      <c r="J608" s="127"/>
      <c r="K608" s="127"/>
      <c r="L608" s="127"/>
      <c r="M608" s="124"/>
      <c r="N608" s="125"/>
      <c r="O608" s="125"/>
      <c r="V608" s="126"/>
    </row>
    <row r="609" spans="3:22" ht="15.75" customHeight="1">
      <c r="C609" s="127"/>
      <c r="D609" s="127"/>
      <c r="G609" s="127"/>
      <c r="H609" s="128"/>
      <c r="J609" s="127"/>
      <c r="K609" s="127"/>
      <c r="L609" s="127"/>
      <c r="M609" s="124"/>
      <c r="N609" s="125"/>
      <c r="O609" s="125"/>
      <c r="V609" s="126"/>
    </row>
    <row r="610" spans="3:22" ht="15.75" customHeight="1">
      <c r="C610" s="127"/>
      <c r="D610" s="127"/>
      <c r="G610" s="127"/>
      <c r="H610" s="128"/>
      <c r="J610" s="127"/>
      <c r="K610" s="127"/>
      <c r="L610" s="127"/>
      <c r="M610" s="124"/>
      <c r="N610" s="125"/>
      <c r="O610" s="125"/>
      <c r="V610" s="126"/>
    </row>
    <row r="611" spans="3:22" ht="15.75" customHeight="1">
      <c r="C611" s="127"/>
      <c r="D611" s="127"/>
      <c r="G611" s="127"/>
      <c r="H611" s="128"/>
      <c r="J611" s="127"/>
      <c r="K611" s="127"/>
      <c r="L611" s="127"/>
      <c r="M611" s="124"/>
      <c r="N611" s="125"/>
      <c r="O611" s="125"/>
      <c r="V611" s="126"/>
    </row>
    <row r="612" spans="3:22" ht="15.75" customHeight="1">
      <c r="C612" s="127"/>
      <c r="D612" s="127"/>
      <c r="G612" s="127"/>
      <c r="H612" s="128"/>
      <c r="J612" s="127"/>
      <c r="K612" s="127"/>
      <c r="L612" s="127"/>
      <c r="M612" s="124"/>
      <c r="N612" s="125"/>
      <c r="O612" s="125"/>
      <c r="V612" s="126"/>
    </row>
    <row r="613" spans="3:22" ht="15.75" customHeight="1">
      <c r="C613" s="127"/>
      <c r="D613" s="127"/>
      <c r="G613" s="127"/>
      <c r="H613" s="128"/>
      <c r="J613" s="127"/>
      <c r="K613" s="127"/>
      <c r="L613" s="127"/>
      <c r="M613" s="124"/>
      <c r="N613" s="125"/>
      <c r="O613" s="125"/>
      <c r="V613" s="126"/>
    </row>
    <row r="614" spans="3:22" ht="15.75" customHeight="1">
      <c r="C614" s="127"/>
      <c r="D614" s="127"/>
      <c r="G614" s="127"/>
      <c r="H614" s="128"/>
      <c r="J614" s="127"/>
      <c r="K614" s="127"/>
      <c r="L614" s="127"/>
      <c r="M614" s="124"/>
      <c r="N614" s="125"/>
      <c r="O614" s="125"/>
      <c r="V614" s="126"/>
    </row>
    <row r="615" spans="3:22" ht="15.75" customHeight="1">
      <c r="C615" s="127"/>
      <c r="D615" s="127"/>
      <c r="G615" s="127"/>
      <c r="H615" s="128"/>
      <c r="J615" s="127"/>
      <c r="K615" s="127"/>
      <c r="L615" s="127"/>
      <c r="M615" s="124"/>
      <c r="N615" s="125"/>
      <c r="O615" s="125"/>
      <c r="V615" s="126"/>
    </row>
    <row r="616" spans="3:22" ht="15.75" customHeight="1">
      <c r="C616" s="127"/>
      <c r="D616" s="127"/>
      <c r="G616" s="127"/>
      <c r="H616" s="128"/>
      <c r="J616" s="127"/>
      <c r="K616" s="127"/>
      <c r="L616" s="127"/>
      <c r="M616" s="124"/>
      <c r="N616" s="125"/>
      <c r="O616" s="125"/>
      <c r="V616" s="126"/>
    </row>
    <row r="617" spans="3:22" ht="15.75" customHeight="1">
      <c r="C617" s="127"/>
      <c r="D617" s="127"/>
      <c r="G617" s="127"/>
      <c r="H617" s="128"/>
      <c r="J617" s="127"/>
      <c r="K617" s="127"/>
      <c r="L617" s="127"/>
      <c r="M617" s="124"/>
      <c r="N617" s="125"/>
      <c r="O617" s="125"/>
      <c r="V617" s="126"/>
    </row>
    <row r="618" spans="3:22" ht="15.75" customHeight="1">
      <c r="C618" s="127"/>
      <c r="D618" s="127"/>
      <c r="G618" s="127"/>
      <c r="H618" s="128"/>
      <c r="J618" s="127"/>
      <c r="K618" s="127"/>
      <c r="L618" s="127"/>
      <c r="M618" s="124"/>
      <c r="N618" s="125"/>
      <c r="O618" s="125"/>
      <c r="V618" s="126"/>
    </row>
    <row r="619" spans="3:22" ht="15.75" customHeight="1">
      <c r="C619" s="127"/>
      <c r="D619" s="127"/>
      <c r="G619" s="127"/>
      <c r="H619" s="128"/>
      <c r="J619" s="127"/>
      <c r="K619" s="127"/>
      <c r="L619" s="127"/>
      <c r="M619" s="124"/>
      <c r="N619" s="125"/>
      <c r="O619" s="125"/>
      <c r="V619" s="126"/>
    </row>
    <row r="620" spans="3:22" ht="15.75" customHeight="1">
      <c r="C620" s="127"/>
      <c r="D620" s="127"/>
      <c r="G620" s="127"/>
      <c r="H620" s="128"/>
      <c r="J620" s="127"/>
      <c r="K620" s="127"/>
      <c r="L620" s="127"/>
      <c r="M620" s="124"/>
      <c r="N620" s="125"/>
      <c r="O620" s="125"/>
      <c r="V620" s="126"/>
    </row>
    <row r="621" spans="3:22" ht="15.75" customHeight="1">
      <c r="C621" s="127"/>
      <c r="D621" s="127"/>
      <c r="G621" s="127"/>
      <c r="H621" s="128"/>
      <c r="J621" s="127"/>
      <c r="K621" s="127"/>
      <c r="L621" s="127"/>
      <c r="M621" s="124"/>
      <c r="N621" s="125"/>
      <c r="O621" s="125"/>
      <c r="V621" s="126"/>
    </row>
    <row r="622" spans="3:22" ht="15.75" customHeight="1">
      <c r="C622" s="127"/>
      <c r="D622" s="127"/>
      <c r="G622" s="127"/>
      <c r="H622" s="128"/>
      <c r="J622" s="127"/>
      <c r="K622" s="127"/>
      <c r="L622" s="127"/>
      <c r="M622" s="124"/>
      <c r="N622" s="125"/>
      <c r="O622" s="125"/>
      <c r="V622" s="126"/>
    </row>
    <row r="623" spans="3:22" ht="15.75" customHeight="1">
      <c r="C623" s="127"/>
      <c r="D623" s="127"/>
      <c r="G623" s="127"/>
      <c r="H623" s="128"/>
      <c r="J623" s="127"/>
      <c r="K623" s="127"/>
      <c r="L623" s="127"/>
      <c r="M623" s="124"/>
      <c r="N623" s="125"/>
      <c r="O623" s="125"/>
      <c r="V623" s="126"/>
    </row>
    <row r="624" spans="3:22" ht="15.75" customHeight="1">
      <c r="C624" s="127"/>
      <c r="D624" s="127"/>
      <c r="G624" s="127"/>
      <c r="H624" s="128"/>
      <c r="J624" s="127"/>
      <c r="K624" s="127"/>
      <c r="L624" s="127"/>
      <c r="M624" s="124"/>
      <c r="N624" s="125"/>
      <c r="O624" s="125"/>
      <c r="V624" s="126"/>
    </row>
    <row r="625" spans="3:22" ht="15.75" customHeight="1">
      <c r="C625" s="127"/>
      <c r="D625" s="127"/>
      <c r="G625" s="127"/>
      <c r="H625" s="128"/>
      <c r="J625" s="127"/>
      <c r="K625" s="127"/>
      <c r="L625" s="127"/>
      <c r="M625" s="124"/>
      <c r="N625" s="125"/>
      <c r="O625" s="125"/>
      <c r="V625" s="126"/>
    </row>
    <row r="626" spans="3:22" ht="15.75" customHeight="1">
      <c r="C626" s="127"/>
      <c r="D626" s="127"/>
      <c r="G626" s="127"/>
      <c r="H626" s="128"/>
      <c r="J626" s="127"/>
      <c r="K626" s="127"/>
      <c r="L626" s="127"/>
      <c r="M626" s="124"/>
      <c r="N626" s="125"/>
      <c r="O626" s="125"/>
      <c r="V626" s="126"/>
    </row>
    <row r="627" spans="3:22" ht="15.75" customHeight="1">
      <c r="C627" s="127"/>
      <c r="D627" s="127"/>
      <c r="G627" s="127"/>
      <c r="H627" s="128"/>
      <c r="J627" s="127"/>
      <c r="K627" s="127"/>
      <c r="L627" s="127"/>
      <c r="M627" s="124"/>
      <c r="N627" s="125"/>
      <c r="O627" s="125"/>
      <c r="V627" s="126"/>
    </row>
    <row r="628" spans="3:22" ht="15.75" customHeight="1">
      <c r="C628" s="127"/>
      <c r="D628" s="127"/>
      <c r="G628" s="127"/>
      <c r="H628" s="128"/>
      <c r="J628" s="127"/>
      <c r="K628" s="127"/>
      <c r="L628" s="127"/>
      <c r="M628" s="124"/>
      <c r="N628" s="125"/>
      <c r="O628" s="125"/>
      <c r="V628" s="126"/>
    </row>
    <row r="629" spans="3:22" ht="15.75" customHeight="1">
      <c r="C629" s="127"/>
      <c r="D629" s="127"/>
      <c r="G629" s="127"/>
      <c r="H629" s="128"/>
      <c r="J629" s="127"/>
      <c r="K629" s="127"/>
      <c r="L629" s="127"/>
      <c r="M629" s="124"/>
      <c r="N629" s="125"/>
      <c r="O629" s="125"/>
      <c r="V629" s="126"/>
    </row>
    <row r="630" spans="3:22" ht="15.75" customHeight="1">
      <c r="C630" s="127"/>
      <c r="D630" s="127"/>
      <c r="G630" s="127"/>
      <c r="H630" s="128"/>
      <c r="J630" s="127"/>
      <c r="K630" s="127"/>
      <c r="L630" s="127"/>
      <c r="M630" s="124"/>
      <c r="N630" s="125"/>
      <c r="O630" s="125"/>
      <c r="V630" s="126"/>
    </row>
    <row r="631" spans="3:22" ht="15.75" customHeight="1">
      <c r="C631" s="127"/>
      <c r="D631" s="127"/>
      <c r="G631" s="127"/>
      <c r="H631" s="128"/>
      <c r="J631" s="127"/>
      <c r="K631" s="127"/>
      <c r="L631" s="127"/>
      <c r="M631" s="124"/>
      <c r="N631" s="125"/>
      <c r="O631" s="125"/>
      <c r="V631" s="126"/>
    </row>
    <row r="632" spans="3:22" ht="15.75" customHeight="1">
      <c r="C632" s="127"/>
      <c r="D632" s="127"/>
      <c r="G632" s="127"/>
      <c r="H632" s="128"/>
      <c r="J632" s="127"/>
      <c r="K632" s="127"/>
      <c r="L632" s="127"/>
      <c r="M632" s="124"/>
      <c r="N632" s="125"/>
      <c r="O632" s="125"/>
      <c r="V632" s="126"/>
    </row>
    <row r="633" spans="3:22" ht="15.75" customHeight="1">
      <c r="C633" s="127"/>
      <c r="D633" s="127"/>
      <c r="G633" s="127"/>
      <c r="H633" s="128"/>
      <c r="J633" s="127"/>
      <c r="K633" s="127"/>
      <c r="L633" s="127"/>
      <c r="M633" s="124"/>
      <c r="N633" s="125"/>
      <c r="O633" s="125"/>
      <c r="V633" s="126"/>
    </row>
    <row r="634" spans="3:22" ht="15.75" customHeight="1">
      <c r="C634" s="127"/>
      <c r="D634" s="127"/>
      <c r="G634" s="127"/>
      <c r="H634" s="128"/>
      <c r="J634" s="127"/>
      <c r="K634" s="127"/>
      <c r="L634" s="127"/>
      <c r="M634" s="124"/>
      <c r="N634" s="125"/>
      <c r="O634" s="125"/>
      <c r="V634" s="126"/>
    </row>
    <row r="635" spans="3:22" ht="15.75" customHeight="1">
      <c r="C635" s="127"/>
      <c r="D635" s="127"/>
      <c r="G635" s="127"/>
      <c r="H635" s="128"/>
      <c r="J635" s="127"/>
      <c r="K635" s="127"/>
      <c r="L635" s="127"/>
      <c r="M635" s="124"/>
      <c r="N635" s="125"/>
      <c r="O635" s="125"/>
      <c r="V635" s="126"/>
    </row>
    <row r="636" spans="3:22" ht="15.75" customHeight="1">
      <c r="C636" s="127"/>
      <c r="D636" s="127"/>
      <c r="G636" s="127"/>
      <c r="H636" s="128"/>
      <c r="J636" s="127"/>
      <c r="K636" s="127"/>
      <c r="L636" s="127"/>
      <c r="M636" s="124"/>
      <c r="N636" s="125"/>
      <c r="O636" s="125"/>
      <c r="V636" s="126"/>
    </row>
    <row r="637" spans="3:22" ht="15.75" customHeight="1">
      <c r="C637" s="127"/>
      <c r="D637" s="127"/>
      <c r="G637" s="127"/>
      <c r="H637" s="128"/>
      <c r="J637" s="127"/>
      <c r="K637" s="127"/>
      <c r="L637" s="127"/>
      <c r="M637" s="124"/>
      <c r="N637" s="125"/>
      <c r="O637" s="125"/>
      <c r="V637" s="126"/>
    </row>
    <row r="638" spans="3:22" ht="15.75" customHeight="1">
      <c r="C638" s="127"/>
      <c r="D638" s="127"/>
      <c r="G638" s="127"/>
      <c r="H638" s="128"/>
      <c r="J638" s="127"/>
      <c r="K638" s="127"/>
      <c r="L638" s="127"/>
      <c r="M638" s="124"/>
      <c r="N638" s="125"/>
      <c r="O638" s="125"/>
      <c r="V638" s="126"/>
    </row>
    <row r="639" spans="3:22" ht="15.75" customHeight="1">
      <c r="C639" s="127"/>
      <c r="D639" s="127"/>
      <c r="G639" s="127"/>
      <c r="H639" s="128"/>
      <c r="J639" s="127"/>
      <c r="K639" s="127"/>
      <c r="L639" s="127"/>
      <c r="M639" s="124"/>
      <c r="N639" s="125"/>
      <c r="O639" s="125"/>
      <c r="V639" s="126"/>
    </row>
    <row r="640" spans="3:22" ht="15.75" customHeight="1">
      <c r="C640" s="127"/>
      <c r="D640" s="127"/>
      <c r="G640" s="127"/>
      <c r="H640" s="128"/>
      <c r="J640" s="127"/>
      <c r="K640" s="127"/>
      <c r="L640" s="127"/>
      <c r="M640" s="124"/>
      <c r="N640" s="125"/>
      <c r="O640" s="125"/>
      <c r="V640" s="126"/>
    </row>
    <row r="641" spans="3:22" ht="15.75" customHeight="1">
      <c r="C641" s="127"/>
      <c r="D641" s="127"/>
      <c r="G641" s="127"/>
      <c r="H641" s="128"/>
      <c r="J641" s="127"/>
      <c r="K641" s="127"/>
      <c r="L641" s="127"/>
      <c r="M641" s="124"/>
      <c r="N641" s="125"/>
      <c r="O641" s="125"/>
      <c r="V641" s="126"/>
    </row>
    <row r="642" spans="3:22" ht="15.75" customHeight="1">
      <c r="C642" s="127"/>
      <c r="D642" s="127"/>
      <c r="G642" s="127"/>
      <c r="H642" s="128"/>
      <c r="J642" s="127"/>
      <c r="K642" s="127"/>
      <c r="L642" s="127"/>
      <c r="M642" s="124"/>
      <c r="N642" s="125"/>
      <c r="O642" s="125"/>
      <c r="V642" s="126"/>
    </row>
    <row r="643" spans="3:22" ht="15.75" customHeight="1">
      <c r="C643" s="127"/>
      <c r="D643" s="127"/>
      <c r="G643" s="127"/>
      <c r="H643" s="128"/>
      <c r="J643" s="127"/>
      <c r="K643" s="127"/>
      <c r="L643" s="127"/>
      <c r="M643" s="124"/>
      <c r="N643" s="125"/>
      <c r="O643" s="125"/>
      <c r="V643" s="126"/>
    </row>
    <row r="644" spans="3:22" ht="15.75" customHeight="1">
      <c r="C644" s="127"/>
      <c r="D644" s="127"/>
      <c r="G644" s="127"/>
      <c r="H644" s="128"/>
      <c r="J644" s="127"/>
      <c r="K644" s="127"/>
      <c r="L644" s="127"/>
      <c r="M644" s="124"/>
      <c r="N644" s="125"/>
      <c r="O644" s="125"/>
      <c r="V644" s="126"/>
    </row>
    <row r="645" spans="3:22" ht="15.75" customHeight="1">
      <c r="C645" s="127"/>
      <c r="D645" s="127"/>
      <c r="G645" s="127"/>
      <c r="H645" s="128"/>
      <c r="J645" s="127"/>
      <c r="K645" s="127"/>
      <c r="L645" s="127"/>
      <c r="M645" s="124"/>
      <c r="N645" s="125"/>
      <c r="O645" s="125"/>
      <c r="V645" s="126"/>
    </row>
    <row r="646" spans="3:22" ht="15.75" customHeight="1">
      <c r="C646" s="127"/>
      <c r="D646" s="127"/>
      <c r="G646" s="127"/>
      <c r="H646" s="128"/>
      <c r="J646" s="127"/>
      <c r="K646" s="127"/>
      <c r="L646" s="127"/>
      <c r="M646" s="124"/>
      <c r="N646" s="125"/>
      <c r="O646" s="125"/>
      <c r="V646" s="126"/>
    </row>
    <row r="647" spans="3:22" ht="15.75" customHeight="1">
      <c r="C647" s="127"/>
      <c r="D647" s="127"/>
      <c r="G647" s="127"/>
      <c r="H647" s="128"/>
      <c r="J647" s="127"/>
      <c r="K647" s="127"/>
      <c r="L647" s="127"/>
      <c r="M647" s="124"/>
      <c r="N647" s="125"/>
      <c r="O647" s="125"/>
      <c r="V647" s="126"/>
    </row>
    <row r="648" spans="3:22" ht="15.75" customHeight="1">
      <c r="C648" s="127"/>
      <c r="D648" s="127"/>
      <c r="G648" s="127"/>
      <c r="H648" s="128"/>
      <c r="J648" s="127"/>
      <c r="K648" s="127"/>
      <c r="L648" s="127"/>
      <c r="M648" s="124"/>
      <c r="N648" s="125"/>
      <c r="O648" s="125"/>
      <c r="V648" s="126"/>
    </row>
    <row r="649" spans="3:22" ht="15.75" customHeight="1">
      <c r="C649" s="127"/>
      <c r="D649" s="127"/>
      <c r="G649" s="127"/>
      <c r="H649" s="128"/>
      <c r="J649" s="127"/>
      <c r="K649" s="127"/>
      <c r="L649" s="127"/>
      <c r="M649" s="124"/>
      <c r="N649" s="125"/>
      <c r="O649" s="125"/>
      <c r="V649" s="126"/>
    </row>
    <row r="650" spans="3:22" ht="15.75" customHeight="1">
      <c r="C650" s="127"/>
      <c r="D650" s="127"/>
      <c r="G650" s="127"/>
      <c r="H650" s="128"/>
      <c r="J650" s="127"/>
      <c r="K650" s="127"/>
      <c r="L650" s="127"/>
      <c r="M650" s="124"/>
      <c r="N650" s="125"/>
      <c r="O650" s="125"/>
      <c r="V650" s="126"/>
    </row>
    <row r="651" spans="3:22" ht="15.75" customHeight="1">
      <c r="C651" s="127"/>
      <c r="D651" s="127"/>
      <c r="G651" s="127"/>
      <c r="H651" s="128"/>
      <c r="J651" s="127"/>
      <c r="K651" s="127"/>
      <c r="L651" s="127"/>
      <c r="M651" s="124"/>
      <c r="N651" s="125"/>
      <c r="O651" s="125"/>
      <c r="V651" s="126"/>
    </row>
    <row r="652" spans="3:22" ht="15.75" customHeight="1">
      <c r="C652" s="127"/>
      <c r="D652" s="127"/>
      <c r="G652" s="127"/>
      <c r="H652" s="128"/>
      <c r="J652" s="127"/>
      <c r="K652" s="127"/>
      <c r="L652" s="127"/>
      <c r="M652" s="124"/>
      <c r="N652" s="125"/>
      <c r="O652" s="125"/>
      <c r="V652" s="126"/>
    </row>
    <row r="653" spans="3:22" ht="15.75" customHeight="1">
      <c r="C653" s="127"/>
      <c r="D653" s="127"/>
      <c r="G653" s="127"/>
      <c r="H653" s="128"/>
      <c r="J653" s="127"/>
      <c r="K653" s="127"/>
      <c r="L653" s="127"/>
      <c r="M653" s="124"/>
      <c r="N653" s="125"/>
      <c r="O653" s="125"/>
      <c r="V653" s="126"/>
    </row>
    <row r="654" spans="3:22" ht="15.75" customHeight="1">
      <c r="C654" s="127"/>
      <c r="D654" s="127"/>
      <c r="G654" s="127"/>
      <c r="H654" s="128"/>
      <c r="J654" s="127"/>
      <c r="K654" s="127"/>
      <c r="L654" s="127"/>
      <c r="M654" s="124"/>
      <c r="N654" s="125"/>
      <c r="O654" s="125"/>
      <c r="V654" s="126"/>
    </row>
    <row r="655" spans="3:22" ht="15.75" customHeight="1">
      <c r="C655" s="127"/>
      <c r="D655" s="127"/>
      <c r="G655" s="127"/>
      <c r="H655" s="128"/>
      <c r="J655" s="127"/>
      <c r="K655" s="127"/>
      <c r="L655" s="127"/>
      <c r="M655" s="124"/>
      <c r="N655" s="125"/>
      <c r="O655" s="125"/>
      <c r="V655" s="126"/>
    </row>
    <row r="656" spans="3:22" ht="15.75" customHeight="1">
      <c r="C656" s="127"/>
      <c r="D656" s="127"/>
      <c r="G656" s="127"/>
      <c r="H656" s="128"/>
      <c r="J656" s="127"/>
      <c r="K656" s="127"/>
      <c r="L656" s="127"/>
      <c r="M656" s="124"/>
      <c r="N656" s="125"/>
      <c r="O656" s="125"/>
      <c r="V656" s="126"/>
    </row>
    <row r="657" spans="3:22" ht="15.75" customHeight="1">
      <c r="C657" s="127"/>
      <c r="D657" s="127"/>
      <c r="G657" s="127"/>
      <c r="H657" s="128"/>
      <c r="J657" s="127"/>
      <c r="K657" s="127"/>
      <c r="L657" s="127"/>
      <c r="M657" s="124"/>
      <c r="N657" s="125"/>
      <c r="O657" s="125"/>
      <c r="V657" s="126"/>
    </row>
    <row r="658" spans="3:22" ht="15.75" customHeight="1">
      <c r="C658" s="127"/>
      <c r="D658" s="127"/>
      <c r="G658" s="127"/>
      <c r="H658" s="128"/>
      <c r="J658" s="127"/>
      <c r="K658" s="127"/>
      <c r="L658" s="127"/>
      <c r="M658" s="124"/>
      <c r="N658" s="125"/>
      <c r="O658" s="125"/>
      <c r="V658" s="126"/>
    </row>
    <row r="659" spans="3:22" ht="15.75" customHeight="1">
      <c r="C659" s="127"/>
      <c r="D659" s="127"/>
      <c r="G659" s="127"/>
      <c r="H659" s="128"/>
      <c r="J659" s="127"/>
      <c r="K659" s="127"/>
      <c r="L659" s="127"/>
      <c r="M659" s="124"/>
      <c r="N659" s="125"/>
      <c r="O659" s="125"/>
      <c r="V659" s="126"/>
    </row>
    <row r="660" spans="3:22" ht="15.75" customHeight="1">
      <c r="C660" s="127"/>
      <c r="D660" s="127"/>
      <c r="G660" s="127"/>
      <c r="H660" s="128"/>
      <c r="J660" s="127"/>
      <c r="K660" s="127"/>
      <c r="L660" s="127"/>
      <c r="M660" s="124"/>
      <c r="N660" s="125"/>
      <c r="O660" s="125"/>
      <c r="V660" s="126"/>
    </row>
    <row r="661" spans="3:22" ht="15.75" customHeight="1">
      <c r="C661" s="127"/>
      <c r="D661" s="127"/>
      <c r="G661" s="127"/>
      <c r="H661" s="128"/>
      <c r="J661" s="127"/>
      <c r="K661" s="127"/>
      <c r="L661" s="127"/>
      <c r="M661" s="124"/>
      <c r="N661" s="125"/>
      <c r="O661" s="125"/>
      <c r="V661" s="126"/>
    </row>
    <row r="662" spans="3:22" ht="15.75" customHeight="1">
      <c r="C662" s="127"/>
      <c r="D662" s="127"/>
      <c r="G662" s="127"/>
      <c r="H662" s="128"/>
      <c r="J662" s="127"/>
      <c r="K662" s="127"/>
      <c r="L662" s="127"/>
      <c r="M662" s="124"/>
      <c r="N662" s="125"/>
      <c r="O662" s="125"/>
      <c r="V662" s="126"/>
    </row>
    <row r="663" spans="3:22" ht="15.75" customHeight="1">
      <c r="C663" s="127"/>
      <c r="D663" s="127"/>
      <c r="G663" s="127"/>
      <c r="H663" s="128"/>
      <c r="J663" s="127"/>
      <c r="K663" s="127"/>
      <c r="L663" s="127"/>
      <c r="M663" s="124"/>
      <c r="N663" s="125"/>
      <c r="O663" s="125"/>
      <c r="V663" s="126"/>
    </row>
    <row r="664" spans="3:22" ht="15.75" customHeight="1">
      <c r="C664" s="127"/>
      <c r="D664" s="127"/>
      <c r="G664" s="127"/>
      <c r="H664" s="128"/>
      <c r="J664" s="127"/>
      <c r="K664" s="127"/>
      <c r="L664" s="127"/>
      <c r="M664" s="124"/>
      <c r="N664" s="125"/>
      <c r="O664" s="125"/>
      <c r="V664" s="126"/>
    </row>
    <row r="665" spans="3:22" ht="15.75" customHeight="1">
      <c r="C665" s="127"/>
      <c r="D665" s="127"/>
      <c r="G665" s="127"/>
      <c r="H665" s="128"/>
      <c r="J665" s="127"/>
      <c r="K665" s="127"/>
      <c r="L665" s="127"/>
      <c r="M665" s="124"/>
      <c r="N665" s="125"/>
      <c r="O665" s="125"/>
      <c r="V665" s="126"/>
    </row>
    <row r="666" spans="3:22" ht="15.75" customHeight="1">
      <c r="C666" s="127"/>
      <c r="D666" s="127"/>
      <c r="G666" s="127"/>
      <c r="H666" s="128"/>
      <c r="J666" s="127"/>
      <c r="K666" s="127"/>
      <c r="L666" s="127"/>
      <c r="M666" s="124"/>
      <c r="N666" s="125"/>
      <c r="O666" s="125"/>
      <c r="V666" s="126"/>
    </row>
    <row r="667" spans="3:22" ht="15.75" customHeight="1">
      <c r="C667" s="127"/>
      <c r="D667" s="127"/>
      <c r="G667" s="127"/>
      <c r="H667" s="128"/>
      <c r="J667" s="127"/>
      <c r="K667" s="127"/>
      <c r="L667" s="127"/>
      <c r="M667" s="124"/>
      <c r="N667" s="125"/>
      <c r="O667" s="125"/>
      <c r="V667" s="126"/>
    </row>
    <row r="668" spans="3:22" ht="15.75" customHeight="1">
      <c r="C668" s="127"/>
      <c r="D668" s="127"/>
      <c r="G668" s="127"/>
      <c r="H668" s="128"/>
      <c r="J668" s="127"/>
      <c r="K668" s="127"/>
      <c r="L668" s="127"/>
      <c r="M668" s="124"/>
      <c r="N668" s="125"/>
      <c r="O668" s="125"/>
      <c r="V668" s="126"/>
    </row>
    <row r="669" spans="3:22" ht="15.75" customHeight="1">
      <c r="C669" s="127"/>
      <c r="D669" s="127"/>
      <c r="G669" s="127"/>
      <c r="H669" s="128"/>
      <c r="J669" s="127"/>
      <c r="K669" s="127"/>
      <c r="L669" s="127"/>
      <c r="M669" s="124"/>
      <c r="N669" s="125"/>
      <c r="O669" s="125"/>
      <c r="V669" s="126"/>
    </row>
    <row r="670" spans="3:22" ht="15.75" customHeight="1">
      <c r="C670" s="127"/>
      <c r="D670" s="127"/>
      <c r="G670" s="127"/>
      <c r="H670" s="128"/>
      <c r="J670" s="127"/>
      <c r="K670" s="127"/>
      <c r="L670" s="127"/>
      <c r="M670" s="124"/>
      <c r="N670" s="125"/>
      <c r="O670" s="125"/>
      <c r="V670" s="126"/>
    </row>
    <row r="671" spans="3:22" ht="15.75" customHeight="1">
      <c r="C671" s="127"/>
      <c r="D671" s="127"/>
      <c r="G671" s="127"/>
      <c r="H671" s="128"/>
      <c r="J671" s="127"/>
      <c r="K671" s="127"/>
      <c r="L671" s="127"/>
      <c r="M671" s="124"/>
      <c r="N671" s="125"/>
      <c r="O671" s="125"/>
      <c r="V671" s="126"/>
    </row>
    <row r="672" spans="3:22" ht="15.75" customHeight="1">
      <c r="C672" s="127"/>
      <c r="D672" s="127"/>
      <c r="G672" s="127"/>
      <c r="H672" s="128"/>
      <c r="J672" s="127"/>
      <c r="K672" s="127"/>
      <c r="L672" s="127"/>
      <c r="M672" s="124"/>
      <c r="N672" s="125"/>
      <c r="O672" s="125"/>
      <c r="V672" s="126"/>
    </row>
    <row r="673" spans="3:22" ht="15.75" customHeight="1">
      <c r="C673" s="127"/>
      <c r="D673" s="127"/>
      <c r="G673" s="127"/>
      <c r="H673" s="128"/>
      <c r="J673" s="127"/>
      <c r="K673" s="127"/>
      <c r="L673" s="127"/>
      <c r="M673" s="124"/>
      <c r="N673" s="125"/>
      <c r="O673" s="125"/>
      <c r="V673" s="126"/>
    </row>
    <row r="674" spans="3:22" ht="15.75" customHeight="1">
      <c r="C674" s="127"/>
      <c r="D674" s="127"/>
      <c r="G674" s="127"/>
      <c r="H674" s="128"/>
      <c r="J674" s="127"/>
      <c r="K674" s="127"/>
      <c r="L674" s="127"/>
      <c r="M674" s="124"/>
      <c r="N674" s="125"/>
      <c r="O674" s="125"/>
      <c r="V674" s="126"/>
    </row>
    <row r="675" spans="3:22" ht="15.75" customHeight="1">
      <c r="C675" s="127"/>
      <c r="D675" s="127"/>
      <c r="G675" s="127"/>
      <c r="H675" s="128"/>
      <c r="J675" s="127"/>
      <c r="K675" s="127"/>
      <c r="L675" s="127"/>
      <c r="M675" s="124"/>
      <c r="N675" s="125"/>
      <c r="O675" s="125"/>
      <c r="V675" s="126"/>
    </row>
    <row r="676" spans="3:22" ht="15.75" customHeight="1">
      <c r="C676" s="127"/>
      <c r="D676" s="127"/>
      <c r="G676" s="127"/>
      <c r="H676" s="128"/>
      <c r="J676" s="127"/>
      <c r="K676" s="127"/>
      <c r="L676" s="127"/>
      <c r="M676" s="124"/>
      <c r="N676" s="125"/>
      <c r="O676" s="125"/>
      <c r="V676" s="126"/>
    </row>
    <row r="677" spans="3:22" ht="15.75" customHeight="1">
      <c r="C677" s="127"/>
      <c r="D677" s="127"/>
      <c r="G677" s="127"/>
      <c r="H677" s="128"/>
      <c r="J677" s="127"/>
      <c r="K677" s="127"/>
      <c r="L677" s="127"/>
      <c r="M677" s="124"/>
      <c r="N677" s="125"/>
      <c r="O677" s="125"/>
      <c r="V677" s="126"/>
    </row>
    <row r="678" spans="3:22" ht="15.75" customHeight="1">
      <c r="C678" s="127"/>
      <c r="D678" s="127"/>
      <c r="G678" s="127"/>
      <c r="H678" s="128"/>
      <c r="J678" s="127"/>
      <c r="K678" s="127"/>
      <c r="L678" s="127"/>
      <c r="M678" s="124"/>
      <c r="N678" s="125"/>
      <c r="O678" s="125"/>
      <c r="V678" s="126"/>
    </row>
    <row r="679" spans="3:22" ht="15.75" customHeight="1">
      <c r="C679" s="127"/>
      <c r="D679" s="127"/>
      <c r="G679" s="127"/>
      <c r="H679" s="128"/>
      <c r="J679" s="127"/>
      <c r="K679" s="127"/>
      <c r="L679" s="127"/>
      <c r="M679" s="124"/>
      <c r="N679" s="125"/>
      <c r="O679" s="125"/>
      <c r="V679" s="126"/>
    </row>
    <row r="680" spans="3:22" ht="15.75" customHeight="1">
      <c r="C680" s="127"/>
      <c r="D680" s="127"/>
      <c r="G680" s="127"/>
      <c r="H680" s="128"/>
      <c r="J680" s="127"/>
      <c r="K680" s="127"/>
      <c r="L680" s="127"/>
      <c r="M680" s="124"/>
      <c r="N680" s="125"/>
      <c r="O680" s="125"/>
      <c r="V680" s="126"/>
    </row>
    <row r="681" spans="3:22" ht="15.75" customHeight="1">
      <c r="C681" s="127"/>
      <c r="D681" s="127"/>
      <c r="G681" s="127"/>
      <c r="H681" s="128"/>
      <c r="J681" s="127"/>
      <c r="K681" s="127"/>
      <c r="L681" s="127"/>
      <c r="M681" s="124"/>
      <c r="N681" s="125"/>
      <c r="O681" s="125"/>
      <c r="V681" s="126"/>
    </row>
    <row r="682" spans="3:22" ht="15.75" customHeight="1">
      <c r="C682" s="127"/>
      <c r="D682" s="127"/>
      <c r="G682" s="127"/>
      <c r="H682" s="128"/>
      <c r="J682" s="127"/>
      <c r="K682" s="127"/>
      <c r="L682" s="127"/>
      <c r="M682" s="124"/>
      <c r="N682" s="125"/>
      <c r="O682" s="125"/>
      <c r="V682" s="126"/>
    </row>
    <row r="683" spans="3:22" ht="15.75" customHeight="1">
      <c r="C683" s="127"/>
      <c r="D683" s="127"/>
      <c r="G683" s="127"/>
      <c r="H683" s="128"/>
      <c r="J683" s="127"/>
      <c r="K683" s="127"/>
      <c r="L683" s="127"/>
      <c r="M683" s="124"/>
      <c r="N683" s="125"/>
      <c r="O683" s="125"/>
      <c r="V683" s="126"/>
    </row>
    <row r="684" spans="3:22" ht="15.75" customHeight="1">
      <c r="C684" s="127"/>
      <c r="D684" s="127"/>
      <c r="G684" s="127"/>
      <c r="H684" s="128"/>
      <c r="J684" s="127"/>
      <c r="K684" s="127"/>
      <c r="L684" s="127"/>
      <c r="M684" s="124"/>
      <c r="N684" s="125"/>
      <c r="O684" s="125"/>
      <c r="V684" s="126"/>
    </row>
    <row r="685" spans="3:22" ht="15.75" customHeight="1">
      <c r="C685" s="127"/>
      <c r="D685" s="127"/>
      <c r="G685" s="127"/>
      <c r="H685" s="128"/>
      <c r="J685" s="127"/>
      <c r="K685" s="127"/>
      <c r="L685" s="127"/>
      <c r="M685" s="124"/>
      <c r="N685" s="125"/>
      <c r="O685" s="125"/>
      <c r="V685" s="126"/>
    </row>
    <row r="686" spans="3:22" ht="15.75" customHeight="1">
      <c r="C686" s="127"/>
      <c r="D686" s="127"/>
      <c r="G686" s="127"/>
      <c r="H686" s="128"/>
      <c r="J686" s="127"/>
      <c r="K686" s="127"/>
      <c r="L686" s="127"/>
      <c r="M686" s="124"/>
      <c r="N686" s="125"/>
      <c r="O686" s="125"/>
      <c r="V686" s="126"/>
    </row>
    <row r="687" spans="3:22" ht="15.75" customHeight="1">
      <c r="C687" s="127"/>
      <c r="D687" s="127"/>
      <c r="G687" s="127"/>
      <c r="H687" s="128"/>
      <c r="J687" s="127"/>
      <c r="K687" s="127"/>
      <c r="L687" s="127"/>
      <c r="M687" s="124"/>
      <c r="N687" s="125"/>
      <c r="O687" s="125"/>
      <c r="V687" s="126"/>
    </row>
    <row r="688" spans="3:22" ht="15.75" customHeight="1">
      <c r="C688" s="127"/>
      <c r="D688" s="127"/>
      <c r="G688" s="127"/>
      <c r="H688" s="128"/>
      <c r="J688" s="127"/>
      <c r="K688" s="127"/>
      <c r="L688" s="127"/>
      <c r="M688" s="124"/>
      <c r="N688" s="125"/>
      <c r="O688" s="125"/>
      <c r="V688" s="126"/>
    </row>
    <row r="689" spans="3:22" ht="15.75" customHeight="1">
      <c r="C689" s="127"/>
      <c r="D689" s="127"/>
      <c r="G689" s="127"/>
      <c r="H689" s="128"/>
      <c r="J689" s="127"/>
      <c r="K689" s="127"/>
      <c r="L689" s="127"/>
      <c r="M689" s="124"/>
      <c r="N689" s="125"/>
      <c r="O689" s="125"/>
      <c r="V689" s="126"/>
    </row>
    <row r="690" spans="3:22" ht="15.75" customHeight="1">
      <c r="C690" s="127"/>
      <c r="D690" s="127"/>
      <c r="G690" s="127"/>
      <c r="H690" s="128"/>
      <c r="J690" s="127"/>
      <c r="K690" s="127"/>
      <c r="L690" s="127"/>
      <c r="M690" s="124"/>
      <c r="N690" s="125"/>
      <c r="O690" s="125"/>
      <c r="V690" s="126"/>
    </row>
    <row r="691" spans="3:22" ht="15.75" customHeight="1">
      <c r="C691" s="127"/>
      <c r="D691" s="127"/>
      <c r="G691" s="127"/>
      <c r="H691" s="128"/>
      <c r="J691" s="127"/>
      <c r="K691" s="127"/>
      <c r="L691" s="127"/>
      <c r="M691" s="124"/>
      <c r="N691" s="125"/>
      <c r="O691" s="125"/>
      <c r="V691" s="126"/>
    </row>
    <row r="692" spans="3:22" ht="15.75" customHeight="1">
      <c r="C692" s="127"/>
      <c r="D692" s="127"/>
      <c r="G692" s="127"/>
      <c r="H692" s="128"/>
      <c r="J692" s="127"/>
      <c r="K692" s="127"/>
      <c r="L692" s="127"/>
      <c r="M692" s="124"/>
      <c r="N692" s="125"/>
      <c r="O692" s="125"/>
      <c r="V692" s="126"/>
    </row>
    <row r="693" spans="3:22" ht="15.75" customHeight="1">
      <c r="C693" s="127"/>
      <c r="D693" s="127"/>
      <c r="G693" s="127"/>
      <c r="H693" s="128"/>
      <c r="J693" s="127"/>
      <c r="K693" s="127"/>
      <c r="L693" s="127"/>
      <c r="M693" s="124"/>
      <c r="N693" s="125"/>
      <c r="O693" s="125"/>
      <c r="V693" s="126"/>
    </row>
    <row r="694" spans="3:22" ht="15.75" customHeight="1">
      <c r="C694" s="127"/>
      <c r="D694" s="127"/>
      <c r="G694" s="127"/>
      <c r="H694" s="128"/>
      <c r="J694" s="127"/>
      <c r="K694" s="127"/>
      <c r="L694" s="127"/>
      <c r="M694" s="124"/>
      <c r="N694" s="125"/>
      <c r="O694" s="125"/>
      <c r="V694" s="126"/>
    </row>
    <row r="695" spans="3:22" ht="15.75" customHeight="1">
      <c r="C695" s="127"/>
      <c r="D695" s="127"/>
      <c r="G695" s="127"/>
      <c r="H695" s="128"/>
      <c r="J695" s="127"/>
      <c r="K695" s="127"/>
      <c r="L695" s="127"/>
      <c r="M695" s="124"/>
      <c r="N695" s="125"/>
      <c r="O695" s="125"/>
      <c r="V695" s="126"/>
    </row>
    <row r="696" spans="3:22" ht="15.75" customHeight="1">
      <c r="C696" s="127"/>
      <c r="D696" s="127"/>
      <c r="G696" s="127"/>
      <c r="H696" s="128"/>
      <c r="J696" s="127"/>
      <c r="K696" s="127"/>
      <c r="L696" s="127"/>
      <c r="M696" s="124"/>
      <c r="N696" s="125"/>
      <c r="O696" s="125"/>
      <c r="V696" s="126"/>
    </row>
    <row r="697" spans="3:22" ht="15.75" customHeight="1">
      <c r="C697" s="127"/>
      <c r="D697" s="127"/>
      <c r="G697" s="127"/>
      <c r="H697" s="128"/>
      <c r="J697" s="127"/>
      <c r="K697" s="127"/>
      <c r="L697" s="127"/>
      <c r="M697" s="124"/>
      <c r="N697" s="125"/>
      <c r="O697" s="125"/>
      <c r="V697" s="126"/>
    </row>
    <row r="698" spans="3:22" ht="15.75" customHeight="1">
      <c r="C698" s="127"/>
      <c r="D698" s="127"/>
      <c r="G698" s="127"/>
      <c r="H698" s="128"/>
      <c r="J698" s="127"/>
      <c r="K698" s="127"/>
      <c r="L698" s="127"/>
      <c r="M698" s="124"/>
      <c r="N698" s="125"/>
      <c r="O698" s="125"/>
      <c r="V698" s="126"/>
    </row>
    <row r="699" spans="3:22" ht="15.75" customHeight="1">
      <c r="C699" s="127"/>
      <c r="D699" s="127"/>
      <c r="G699" s="127"/>
      <c r="H699" s="128"/>
      <c r="J699" s="127"/>
      <c r="K699" s="127"/>
      <c r="L699" s="127"/>
      <c r="M699" s="124"/>
      <c r="N699" s="125"/>
      <c r="O699" s="125"/>
      <c r="V699" s="126"/>
    </row>
    <row r="700" spans="3:22" ht="15.75" customHeight="1">
      <c r="C700" s="127"/>
      <c r="D700" s="127"/>
      <c r="G700" s="127"/>
      <c r="H700" s="128"/>
      <c r="J700" s="127"/>
      <c r="K700" s="127"/>
      <c r="L700" s="127"/>
      <c r="M700" s="124"/>
      <c r="N700" s="125"/>
      <c r="O700" s="125"/>
      <c r="V700" s="126"/>
    </row>
    <row r="701" spans="3:22" ht="15.75" customHeight="1">
      <c r="C701" s="127"/>
      <c r="D701" s="127"/>
      <c r="G701" s="127"/>
      <c r="H701" s="128"/>
      <c r="J701" s="127"/>
      <c r="K701" s="127"/>
      <c r="L701" s="127"/>
      <c r="M701" s="124"/>
      <c r="N701" s="125"/>
      <c r="O701" s="125"/>
      <c r="V701" s="126"/>
    </row>
    <row r="702" spans="3:22" ht="15.75" customHeight="1">
      <c r="C702" s="127"/>
      <c r="D702" s="127"/>
      <c r="G702" s="127"/>
      <c r="H702" s="128"/>
      <c r="J702" s="127"/>
      <c r="K702" s="127"/>
      <c r="L702" s="127"/>
      <c r="M702" s="124"/>
      <c r="N702" s="125"/>
      <c r="O702" s="125"/>
      <c r="V702" s="126"/>
    </row>
    <row r="703" spans="3:22" ht="15.75" customHeight="1">
      <c r="C703" s="127"/>
      <c r="D703" s="127"/>
      <c r="G703" s="127"/>
      <c r="H703" s="128"/>
      <c r="J703" s="127"/>
      <c r="K703" s="127"/>
      <c r="L703" s="127"/>
      <c r="M703" s="124"/>
      <c r="N703" s="125"/>
      <c r="O703" s="125"/>
      <c r="V703" s="126"/>
    </row>
    <row r="704" spans="3:22" ht="15.75" customHeight="1">
      <c r="C704" s="127"/>
      <c r="D704" s="127"/>
      <c r="G704" s="127"/>
      <c r="H704" s="128"/>
      <c r="J704" s="127"/>
      <c r="K704" s="127"/>
      <c r="L704" s="127"/>
      <c r="M704" s="124"/>
      <c r="N704" s="125"/>
      <c r="O704" s="125"/>
      <c r="V704" s="126"/>
    </row>
    <row r="705" spans="3:22" ht="15.75" customHeight="1">
      <c r="C705" s="127"/>
      <c r="D705" s="127"/>
      <c r="G705" s="127"/>
      <c r="H705" s="128"/>
      <c r="J705" s="127"/>
      <c r="K705" s="127"/>
      <c r="L705" s="127"/>
      <c r="M705" s="124"/>
      <c r="N705" s="125"/>
      <c r="O705" s="125"/>
      <c r="V705" s="126"/>
    </row>
    <row r="706" spans="3:22" ht="15.75" customHeight="1">
      <c r="C706" s="127"/>
      <c r="D706" s="127"/>
      <c r="G706" s="127"/>
      <c r="H706" s="128"/>
      <c r="J706" s="127"/>
      <c r="K706" s="127"/>
      <c r="L706" s="127"/>
      <c r="M706" s="124"/>
      <c r="N706" s="125"/>
      <c r="O706" s="125"/>
      <c r="V706" s="126"/>
    </row>
    <row r="707" spans="3:22" ht="15.75" customHeight="1">
      <c r="C707" s="127"/>
      <c r="D707" s="127"/>
      <c r="G707" s="127"/>
      <c r="H707" s="128"/>
      <c r="J707" s="127"/>
      <c r="K707" s="127"/>
      <c r="L707" s="127"/>
      <c r="M707" s="124"/>
      <c r="N707" s="125"/>
      <c r="O707" s="125"/>
      <c r="V707" s="126"/>
    </row>
    <row r="708" spans="3:22" ht="15.75" customHeight="1">
      <c r="C708" s="127"/>
      <c r="D708" s="127"/>
      <c r="G708" s="127"/>
      <c r="H708" s="128"/>
      <c r="J708" s="127"/>
      <c r="K708" s="127"/>
      <c r="L708" s="127"/>
      <c r="M708" s="124"/>
      <c r="N708" s="125"/>
      <c r="O708" s="125"/>
      <c r="V708" s="126"/>
    </row>
    <row r="709" spans="3:22" ht="15.75" customHeight="1">
      <c r="C709" s="127"/>
      <c r="D709" s="127"/>
      <c r="G709" s="127"/>
      <c r="H709" s="128"/>
      <c r="J709" s="127"/>
      <c r="K709" s="127"/>
      <c r="L709" s="127"/>
      <c r="M709" s="124"/>
      <c r="N709" s="125"/>
      <c r="O709" s="125"/>
      <c r="V709" s="126"/>
    </row>
    <row r="710" spans="3:22" ht="15.75" customHeight="1">
      <c r="C710" s="127"/>
      <c r="D710" s="127"/>
      <c r="G710" s="127"/>
      <c r="H710" s="128"/>
      <c r="J710" s="127"/>
      <c r="K710" s="127"/>
      <c r="L710" s="127"/>
      <c r="M710" s="124"/>
      <c r="N710" s="125"/>
      <c r="O710" s="125"/>
      <c r="V710" s="126"/>
    </row>
    <row r="711" spans="3:22" ht="15.75" customHeight="1">
      <c r="C711" s="127"/>
      <c r="D711" s="127"/>
      <c r="G711" s="127"/>
      <c r="H711" s="128"/>
      <c r="J711" s="127"/>
      <c r="K711" s="127"/>
      <c r="L711" s="127"/>
      <c r="M711" s="124"/>
      <c r="N711" s="125"/>
      <c r="O711" s="125"/>
      <c r="V711" s="126"/>
    </row>
    <row r="712" spans="3:22" ht="15.75" customHeight="1">
      <c r="C712" s="127"/>
      <c r="D712" s="127"/>
      <c r="G712" s="127"/>
      <c r="H712" s="128"/>
      <c r="J712" s="127"/>
      <c r="K712" s="127"/>
      <c r="L712" s="127"/>
      <c r="M712" s="124"/>
      <c r="N712" s="125"/>
      <c r="O712" s="125"/>
      <c r="V712" s="126"/>
    </row>
    <row r="713" spans="3:22" ht="15.75" customHeight="1">
      <c r="C713" s="127"/>
      <c r="D713" s="127"/>
      <c r="G713" s="127"/>
      <c r="H713" s="128"/>
      <c r="J713" s="127"/>
      <c r="K713" s="127"/>
      <c r="L713" s="127"/>
      <c r="M713" s="124"/>
      <c r="N713" s="125"/>
      <c r="O713" s="125"/>
      <c r="V713" s="126"/>
    </row>
    <row r="714" spans="3:22" ht="15.75" customHeight="1">
      <c r="C714" s="127"/>
      <c r="D714" s="127"/>
      <c r="G714" s="127"/>
      <c r="H714" s="128"/>
      <c r="J714" s="127"/>
      <c r="K714" s="127"/>
      <c r="L714" s="127"/>
      <c r="M714" s="124"/>
      <c r="N714" s="125"/>
      <c r="O714" s="125"/>
      <c r="V714" s="126"/>
    </row>
    <row r="715" spans="3:22" ht="15.75" customHeight="1">
      <c r="C715" s="127"/>
      <c r="D715" s="127"/>
      <c r="G715" s="127"/>
      <c r="H715" s="128"/>
      <c r="J715" s="127"/>
      <c r="K715" s="127"/>
      <c r="L715" s="127"/>
      <c r="M715" s="124"/>
      <c r="N715" s="125"/>
      <c r="O715" s="125"/>
      <c r="V715" s="126"/>
    </row>
    <row r="716" spans="3:22" ht="15.75" customHeight="1">
      <c r="C716" s="127"/>
      <c r="D716" s="127"/>
      <c r="G716" s="127"/>
      <c r="H716" s="128"/>
      <c r="J716" s="127"/>
      <c r="K716" s="127"/>
      <c r="L716" s="127"/>
      <c r="M716" s="124"/>
      <c r="N716" s="125"/>
      <c r="O716" s="125"/>
      <c r="V716" s="126"/>
    </row>
    <row r="717" spans="3:22" ht="15.75" customHeight="1">
      <c r="C717" s="127"/>
      <c r="D717" s="127"/>
      <c r="G717" s="127"/>
      <c r="H717" s="128"/>
      <c r="J717" s="127"/>
      <c r="K717" s="127"/>
      <c r="L717" s="127"/>
      <c r="M717" s="124"/>
      <c r="N717" s="125"/>
      <c r="O717" s="125"/>
      <c r="V717" s="126"/>
    </row>
    <row r="718" spans="3:22" ht="15.75" customHeight="1">
      <c r="C718" s="127"/>
      <c r="D718" s="127"/>
      <c r="G718" s="127"/>
      <c r="H718" s="128"/>
      <c r="J718" s="127"/>
      <c r="K718" s="127"/>
      <c r="L718" s="127"/>
      <c r="M718" s="124"/>
      <c r="N718" s="125"/>
      <c r="O718" s="125"/>
      <c r="V718" s="126"/>
    </row>
    <row r="719" spans="3:22" ht="15.75" customHeight="1">
      <c r="C719" s="127"/>
      <c r="D719" s="127"/>
      <c r="G719" s="127"/>
      <c r="H719" s="128"/>
      <c r="J719" s="127"/>
      <c r="K719" s="127"/>
      <c r="L719" s="127"/>
      <c r="M719" s="124"/>
      <c r="N719" s="125"/>
      <c r="O719" s="125"/>
      <c r="V719" s="126"/>
    </row>
    <row r="720" spans="3:22" ht="15.75" customHeight="1">
      <c r="C720" s="127"/>
      <c r="D720" s="127"/>
      <c r="G720" s="127"/>
      <c r="H720" s="128"/>
      <c r="J720" s="127"/>
      <c r="K720" s="127"/>
      <c r="L720" s="127"/>
      <c r="M720" s="124"/>
      <c r="N720" s="125"/>
      <c r="O720" s="125"/>
      <c r="V720" s="126"/>
    </row>
    <row r="721" spans="3:22" ht="15.75" customHeight="1">
      <c r="C721" s="127"/>
      <c r="D721" s="127"/>
      <c r="G721" s="127"/>
      <c r="H721" s="128"/>
      <c r="J721" s="127"/>
      <c r="K721" s="127"/>
      <c r="L721" s="127"/>
      <c r="M721" s="124"/>
      <c r="N721" s="125"/>
      <c r="O721" s="125"/>
      <c r="V721" s="126"/>
    </row>
    <row r="722" spans="3:22" ht="15.75" customHeight="1">
      <c r="C722" s="127"/>
      <c r="D722" s="127"/>
      <c r="G722" s="127"/>
      <c r="H722" s="128"/>
      <c r="J722" s="127"/>
      <c r="K722" s="127"/>
      <c r="L722" s="127"/>
      <c r="M722" s="124"/>
      <c r="N722" s="125"/>
      <c r="O722" s="125"/>
      <c r="V722" s="126"/>
    </row>
    <row r="723" spans="3:22" ht="15.75" customHeight="1">
      <c r="C723" s="127"/>
      <c r="D723" s="127"/>
      <c r="G723" s="127"/>
      <c r="H723" s="128"/>
      <c r="J723" s="127"/>
      <c r="K723" s="127"/>
      <c r="L723" s="127"/>
      <c r="M723" s="124"/>
      <c r="N723" s="125"/>
      <c r="O723" s="125"/>
      <c r="V723" s="126"/>
    </row>
    <row r="724" spans="3:22" ht="15.75" customHeight="1">
      <c r="C724" s="127"/>
      <c r="D724" s="127"/>
      <c r="G724" s="127"/>
      <c r="H724" s="128"/>
      <c r="J724" s="127"/>
      <c r="K724" s="127"/>
      <c r="L724" s="127"/>
      <c r="M724" s="124"/>
      <c r="N724" s="125"/>
      <c r="O724" s="125"/>
      <c r="V724" s="126"/>
    </row>
    <row r="725" spans="3:22" ht="15.75" customHeight="1">
      <c r="C725" s="127"/>
      <c r="D725" s="127"/>
      <c r="G725" s="127"/>
      <c r="H725" s="128"/>
      <c r="J725" s="127"/>
      <c r="K725" s="127"/>
      <c r="L725" s="127"/>
      <c r="M725" s="124"/>
      <c r="N725" s="125"/>
      <c r="O725" s="125"/>
      <c r="V725" s="126"/>
    </row>
    <row r="726" spans="3:22" ht="15.75" customHeight="1">
      <c r="C726" s="127"/>
      <c r="D726" s="127"/>
      <c r="G726" s="127"/>
      <c r="H726" s="128"/>
      <c r="J726" s="127"/>
      <c r="K726" s="127"/>
      <c r="L726" s="127"/>
      <c r="M726" s="124"/>
      <c r="N726" s="125"/>
      <c r="O726" s="125"/>
      <c r="V726" s="126"/>
    </row>
    <row r="727" spans="3:22" ht="15.75" customHeight="1">
      <c r="C727" s="127"/>
      <c r="D727" s="127"/>
      <c r="G727" s="127"/>
      <c r="H727" s="128"/>
      <c r="J727" s="127"/>
      <c r="K727" s="127"/>
      <c r="L727" s="127"/>
      <c r="M727" s="124"/>
      <c r="N727" s="125"/>
      <c r="O727" s="125"/>
      <c r="V727" s="126"/>
    </row>
    <row r="728" spans="3:22" ht="15.75" customHeight="1">
      <c r="C728" s="127"/>
      <c r="D728" s="127"/>
      <c r="G728" s="127"/>
      <c r="H728" s="128"/>
      <c r="J728" s="127"/>
      <c r="K728" s="127"/>
      <c r="L728" s="127"/>
      <c r="M728" s="124"/>
      <c r="N728" s="125"/>
      <c r="O728" s="125"/>
      <c r="V728" s="126"/>
    </row>
    <row r="729" spans="3:22" ht="15.75" customHeight="1">
      <c r="C729" s="127"/>
      <c r="D729" s="127"/>
      <c r="G729" s="127"/>
      <c r="H729" s="128"/>
      <c r="J729" s="127"/>
      <c r="K729" s="127"/>
      <c r="L729" s="127"/>
      <c r="M729" s="124"/>
      <c r="N729" s="125"/>
      <c r="O729" s="125"/>
      <c r="V729" s="126"/>
    </row>
    <row r="730" spans="3:22" ht="15.75" customHeight="1">
      <c r="C730" s="127"/>
      <c r="D730" s="127"/>
      <c r="G730" s="127"/>
      <c r="H730" s="128"/>
      <c r="J730" s="127"/>
      <c r="K730" s="127"/>
      <c r="L730" s="127"/>
      <c r="M730" s="124"/>
      <c r="N730" s="125"/>
      <c r="O730" s="125"/>
      <c r="V730" s="126"/>
    </row>
    <row r="731" spans="3:22" ht="15.75" customHeight="1">
      <c r="C731" s="127"/>
      <c r="D731" s="127"/>
      <c r="G731" s="127"/>
      <c r="H731" s="128"/>
      <c r="J731" s="127"/>
      <c r="K731" s="127"/>
      <c r="L731" s="127"/>
      <c r="M731" s="124"/>
      <c r="N731" s="125"/>
      <c r="O731" s="125"/>
      <c r="V731" s="126"/>
    </row>
    <row r="732" spans="3:22" ht="15.75" customHeight="1">
      <c r="C732" s="127"/>
      <c r="D732" s="127"/>
      <c r="G732" s="127"/>
      <c r="H732" s="128"/>
      <c r="J732" s="127"/>
      <c r="K732" s="127"/>
      <c r="L732" s="127"/>
      <c r="M732" s="124"/>
      <c r="N732" s="125"/>
      <c r="O732" s="125"/>
      <c r="V732" s="126"/>
    </row>
    <row r="733" spans="3:22" ht="15.75" customHeight="1">
      <c r="C733" s="127"/>
      <c r="D733" s="127"/>
      <c r="G733" s="127"/>
      <c r="H733" s="128"/>
      <c r="J733" s="127"/>
      <c r="K733" s="127"/>
      <c r="L733" s="127"/>
      <c r="M733" s="124"/>
      <c r="N733" s="125"/>
      <c r="O733" s="125"/>
      <c r="V733" s="126"/>
    </row>
    <row r="734" spans="3:22" ht="15.75" customHeight="1">
      <c r="C734" s="127"/>
      <c r="D734" s="127"/>
      <c r="G734" s="127"/>
      <c r="H734" s="128"/>
      <c r="J734" s="127"/>
      <c r="K734" s="127"/>
      <c r="L734" s="127"/>
      <c r="M734" s="124"/>
      <c r="N734" s="125"/>
      <c r="O734" s="125"/>
      <c r="V734" s="126"/>
    </row>
    <row r="735" spans="3:22" ht="15.75" customHeight="1">
      <c r="C735" s="127"/>
      <c r="D735" s="127"/>
      <c r="G735" s="127"/>
      <c r="H735" s="128"/>
      <c r="J735" s="127"/>
      <c r="K735" s="127"/>
      <c r="L735" s="127"/>
      <c r="M735" s="124"/>
      <c r="N735" s="125"/>
      <c r="O735" s="125"/>
      <c r="V735" s="126"/>
    </row>
    <row r="736" spans="3:22" ht="15.75" customHeight="1">
      <c r="C736" s="127"/>
      <c r="D736" s="127"/>
      <c r="G736" s="127"/>
      <c r="H736" s="128"/>
      <c r="J736" s="127"/>
      <c r="K736" s="127"/>
      <c r="L736" s="127"/>
      <c r="M736" s="124"/>
      <c r="N736" s="125"/>
      <c r="O736" s="125"/>
      <c r="V736" s="126"/>
    </row>
    <row r="737" spans="3:22" ht="15.75" customHeight="1">
      <c r="C737" s="127"/>
      <c r="D737" s="127"/>
      <c r="G737" s="127"/>
      <c r="H737" s="128"/>
      <c r="J737" s="127"/>
      <c r="K737" s="127"/>
      <c r="L737" s="127"/>
      <c r="M737" s="124"/>
      <c r="N737" s="125"/>
      <c r="O737" s="125"/>
      <c r="V737" s="126"/>
    </row>
    <row r="738" spans="3:22" ht="15.75" customHeight="1">
      <c r="C738" s="127"/>
      <c r="D738" s="127"/>
      <c r="G738" s="127"/>
      <c r="H738" s="128"/>
      <c r="J738" s="127"/>
      <c r="K738" s="127"/>
      <c r="L738" s="127"/>
      <c r="M738" s="124"/>
      <c r="N738" s="125"/>
      <c r="O738" s="125"/>
      <c r="V738" s="126"/>
    </row>
    <row r="739" spans="3:22" ht="15.75" customHeight="1">
      <c r="C739" s="127"/>
      <c r="D739" s="127"/>
      <c r="G739" s="127"/>
      <c r="H739" s="128"/>
      <c r="J739" s="127"/>
      <c r="K739" s="127"/>
      <c r="L739" s="127"/>
      <c r="M739" s="124"/>
      <c r="N739" s="125"/>
      <c r="O739" s="125"/>
      <c r="V739" s="126"/>
    </row>
    <row r="740" spans="3:22" ht="15.75" customHeight="1">
      <c r="C740" s="127"/>
      <c r="D740" s="127"/>
      <c r="G740" s="127"/>
      <c r="H740" s="128"/>
      <c r="J740" s="127"/>
      <c r="K740" s="127"/>
      <c r="L740" s="127"/>
      <c r="M740" s="124"/>
      <c r="N740" s="125"/>
      <c r="O740" s="125"/>
      <c r="V740" s="126"/>
    </row>
    <row r="741" spans="3:22" ht="15.75" customHeight="1">
      <c r="C741" s="127"/>
      <c r="D741" s="127"/>
      <c r="G741" s="127"/>
      <c r="H741" s="128"/>
      <c r="J741" s="127"/>
      <c r="K741" s="127"/>
      <c r="L741" s="127"/>
      <c r="M741" s="124"/>
      <c r="N741" s="125"/>
      <c r="O741" s="125"/>
      <c r="V741" s="126"/>
    </row>
    <row r="742" spans="3:22" ht="15.75" customHeight="1">
      <c r="C742" s="127"/>
      <c r="D742" s="127"/>
      <c r="G742" s="127"/>
      <c r="H742" s="128"/>
      <c r="J742" s="127"/>
      <c r="K742" s="127"/>
      <c r="L742" s="127"/>
      <c r="M742" s="124"/>
      <c r="N742" s="125"/>
      <c r="O742" s="125"/>
      <c r="V742" s="126"/>
    </row>
    <row r="743" spans="3:22" ht="15.75" customHeight="1">
      <c r="C743" s="127"/>
      <c r="D743" s="127"/>
      <c r="G743" s="127"/>
      <c r="H743" s="128"/>
      <c r="J743" s="127"/>
      <c r="K743" s="127"/>
      <c r="L743" s="127"/>
      <c r="M743" s="124"/>
      <c r="N743" s="125"/>
      <c r="O743" s="125"/>
      <c r="V743" s="126"/>
    </row>
    <row r="744" spans="3:22" ht="15.75" customHeight="1">
      <c r="C744" s="127"/>
      <c r="D744" s="127"/>
      <c r="G744" s="127"/>
      <c r="H744" s="128"/>
      <c r="J744" s="127"/>
      <c r="K744" s="127"/>
      <c r="L744" s="127"/>
      <c r="M744" s="124"/>
      <c r="N744" s="125"/>
      <c r="O744" s="125"/>
      <c r="V744" s="126"/>
    </row>
    <row r="745" spans="3:22" ht="15.75" customHeight="1">
      <c r="C745" s="127"/>
      <c r="D745" s="127"/>
      <c r="G745" s="127"/>
      <c r="H745" s="128"/>
      <c r="J745" s="127"/>
      <c r="K745" s="127"/>
      <c r="L745" s="127"/>
      <c r="M745" s="124"/>
      <c r="N745" s="125"/>
      <c r="O745" s="125"/>
      <c r="V745" s="126"/>
    </row>
    <row r="746" spans="3:22" ht="15.75" customHeight="1">
      <c r="C746" s="127"/>
      <c r="D746" s="127"/>
      <c r="G746" s="127"/>
      <c r="H746" s="128"/>
      <c r="J746" s="127"/>
      <c r="K746" s="127"/>
      <c r="L746" s="127"/>
      <c r="M746" s="124"/>
      <c r="N746" s="125"/>
      <c r="O746" s="125"/>
      <c r="V746" s="126"/>
    </row>
    <row r="747" spans="3:22" ht="15.75" customHeight="1">
      <c r="C747" s="127"/>
      <c r="D747" s="127"/>
      <c r="G747" s="127"/>
      <c r="H747" s="128"/>
      <c r="J747" s="127"/>
      <c r="K747" s="127"/>
      <c r="L747" s="127"/>
      <c r="M747" s="124"/>
      <c r="N747" s="125"/>
      <c r="O747" s="125"/>
      <c r="V747" s="126"/>
    </row>
    <row r="748" spans="3:22" ht="15.75" customHeight="1">
      <c r="C748" s="127"/>
      <c r="D748" s="127"/>
      <c r="G748" s="127"/>
      <c r="H748" s="128"/>
      <c r="J748" s="127"/>
      <c r="K748" s="127"/>
      <c r="L748" s="127"/>
      <c r="M748" s="124"/>
      <c r="N748" s="125"/>
      <c r="O748" s="125"/>
      <c r="V748" s="126"/>
    </row>
    <row r="749" spans="3:22" ht="15.75" customHeight="1">
      <c r="C749" s="127"/>
      <c r="D749" s="127"/>
      <c r="G749" s="127"/>
      <c r="H749" s="128"/>
      <c r="J749" s="127"/>
      <c r="K749" s="127"/>
      <c r="L749" s="127"/>
      <c r="M749" s="124"/>
      <c r="N749" s="125"/>
      <c r="O749" s="125"/>
      <c r="V749" s="126"/>
    </row>
    <row r="750" spans="3:22" ht="15.75" customHeight="1">
      <c r="C750" s="127"/>
      <c r="D750" s="127"/>
      <c r="G750" s="127"/>
      <c r="H750" s="128"/>
      <c r="J750" s="127"/>
      <c r="K750" s="127"/>
      <c r="L750" s="127"/>
      <c r="M750" s="124"/>
      <c r="N750" s="125"/>
      <c r="O750" s="125"/>
      <c r="V750" s="126"/>
    </row>
    <row r="751" spans="3:22" ht="15.75" customHeight="1">
      <c r="C751" s="127"/>
      <c r="D751" s="127"/>
      <c r="G751" s="127"/>
      <c r="H751" s="128"/>
      <c r="J751" s="127"/>
      <c r="K751" s="127"/>
      <c r="L751" s="127"/>
      <c r="M751" s="124"/>
      <c r="N751" s="125"/>
      <c r="O751" s="125"/>
      <c r="V751" s="126"/>
    </row>
    <row r="752" spans="3:22" ht="15.75" customHeight="1">
      <c r="C752" s="127"/>
      <c r="D752" s="127"/>
      <c r="G752" s="127"/>
      <c r="H752" s="128"/>
      <c r="J752" s="127"/>
      <c r="K752" s="127"/>
      <c r="L752" s="127"/>
      <c r="M752" s="124"/>
      <c r="N752" s="125"/>
      <c r="O752" s="125"/>
      <c r="V752" s="126"/>
    </row>
    <row r="753" spans="3:22" ht="15.75" customHeight="1">
      <c r="C753" s="127"/>
      <c r="D753" s="127"/>
      <c r="G753" s="127"/>
      <c r="H753" s="128"/>
      <c r="J753" s="127"/>
      <c r="K753" s="127"/>
      <c r="L753" s="127"/>
      <c r="M753" s="124"/>
      <c r="N753" s="125"/>
      <c r="O753" s="125"/>
      <c r="V753" s="126"/>
    </row>
    <row r="754" spans="3:22" ht="15.75" customHeight="1">
      <c r="C754" s="127"/>
      <c r="D754" s="127"/>
      <c r="G754" s="127"/>
      <c r="H754" s="128"/>
      <c r="J754" s="127"/>
      <c r="K754" s="127"/>
      <c r="L754" s="127"/>
      <c r="M754" s="124"/>
      <c r="N754" s="125"/>
      <c r="O754" s="125"/>
      <c r="V754" s="126"/>
    </row>
    <row r="755" spans="3:22" ht="15.75" customHeight="1">
      <c r="C755" s="127"/>
      <c r="D755" s="127"/>
      <c r="G755" s="127"/>
      <c r="H755" s="128"/>
      <c r="J755" s="127"/>
      <c r="K755" s="127"/>
      <c r="L755" s="127"/>
      <c r="M755" s="124"/>
      <c r="N755" s="125"/>
      <c r="O755" s="125"/>
      <c r="V755" s="126"/>
    </row>
    <row r="756" spans="3:22" ht="15.75" customHeight="1">
      <c r="C756" s="127"/>
      <c r="D756" s="127"/>
      <c r="G756" s="127"/>
      <c r="H756" s="128"/>
      <c r="J756" s="127"/>
      <c r="K756" s="127"/>
      <c r="L756" s="127"/>
      <c r="M756" s="124"/>
      <c r="N756" s="125"/>
      <c r="O756" s="125"/>
      <c r="V756" s="126"/>
    </row>
    <row r="757" spans="3:22" ht="15.75" customHeight="1">
      <c r="C757" s="127"/>
      <c r="D757" s="127"/>
      <c r="G757" s="127"/>
      <c r="H757" s="128"/>
      <c r="J757" s="127"/>
      <c r="K757" s="127"/>
      <c r="L757" s="127"/>
      <c r="M757" s="124"/>
      <c r="N757" s="125"/>
      <c r="O757" s="125"/>
      <c r="V757" s="126"/>
    </row>
    <row r="758" spans="3:22" ht="15.75" customHeight="1">
      <c r="C758" s="127"/>
      <c r="D758" s="127"/>
      <c r="G758" s="127"/>
      <c r="H758" s="128"/>
      <c r="J758" s="127"/>
      <c r="K758" s="127"/>
      <c r="L758" s="127"/>
      <c r="M758" s="124"/>
      <c r="N758" s="125"/>
      <c r="O758" s="125"/>
      <c r="V758" s="126"/>
    </row>
    <row r="759" spans="3:22" ht="15.75" customHeight="1">
      <c r="C759" s="127"/>
      <c r="D759" s="127"/>
      <c r="G759" s="127"/>
      <c r="H759" s="128"/>
      <c r="J759" s="127"/>
      <c r="K759" s="127"/>
      <c r="L759" s="127"/>
      <c r="M759" s="124"/>
      <c r="N759" s="125"/>
      <c r="O759" s="125"/>
      <c r="V759" s="126"/>
    </row>
    <row r="760" spans="3:22" ht="15.75" customHeight="1">
      <c r="C760" s="127"/>
      <c r="D760" s="127"/>
      <c r="G760" s="127"/>
      <c r="H760" s="128"/>
      <c r="J760" s="127"/>
      <c r="K760" s="127"/>
      <c r="L760" s="127"/>
      <c r="M760" s="124"/>
      <c r="N760" s="125"/>
      <c r="O760" s="125"/>
      <c r="V760" s="126"/>
    </row>
    <row r="761" spans="3:22" ht="15.75" customHeight="1">
      <c r="C761" s="127"/>
      <c r="D761" s="127"/>
      <c r="G761" s="127"/>
      <c r="H761" s="128"/>
      <c r="J761" s="127"/>
      <c r="K761" s="127"/>
      <c r="L761" s="127"/>
      <c r="M761" s="124"/>
      <c r="N761" s="125"/>
      <c r="O761" s="125"/>
      <c r="V761" s="126"/>
    </row>
    <row r="762" spans="3:22" ht="15.75" customHeight="1">
      <c r="C762" s="127"/>
      <c r="D762" s="127"/>
      <c r="G762" s="127"/>
      <c r="H762" s="128"/>
      <c r="J762" s="127"/>
      <c r="K762" s="127"/>
      <c r="L762" s="127"/>
      <c r="M762" s="124"/>
      <c r="N762" s="125"/>
      <c r="O762" s="125"/>
      <c r="V762" s="126"/>
    </row>
    <row r="763" spans="3:22" ht="15.75" customHeight="1">
      <c r="C763" s="127"/>
      <c r="D763" s="127"/>
      <c r="G763" s="127"/>
      <c r="H763" s="128"/>
      <c r="J763" s="127"/>
      <c r="K763" s="127"/>
      <c r="L763" s="127"/>
      <c r="M763" s="124"/>
      <c r="N763" s="125"/>
      <c r="O763" s="125"/>
      <c r="V763" s="126"/>
    </row>
    <row r="764" spans="3:22" ht="15.75" customHeight="1">
      <c r="C764" s="127"/>
      <c r="D764" s="127"/>
      <c r="G764" s="127"/>
      <c r="H764" s="128"/>
      <c r="J764" s="127"/>
      <c r="K764" s="127"/>
      <c r="L764" s="127"/>
      <c r="M764" s="124"/>
      <c r="N764" s="125"/>
      <c r="O764" s="125"/>
      <c r="V764" s="126"/>
    </row>
    <row r="765" spans="3:22" ht="15.75" customHeight="1">
      <c r="C765" s="127"/>
      <c r="D765" s="127"/>
      <c r="G765" s="127"/>
      <c r="H765" s="128"/>
      <c r="J765" s="127"/>
      <c r="K765" s="127"/>
      <c r="L765" s="127"/>
      <c r="M765" s="124"/>
      <c r="N765" s="125"/>
      <c r="O765" s="125"/>
      <c r="V765" s="126"/>
    </row>
    <row r="766" spans="3:22" ht="15.75" customHeight="1">
      <c r="C766" s="127"/>
      <c r="D766" s="127"/>
      <c r="G766" s="127"/>
      <c r="H766" s="128"/>
      <c r="J766" s="127"/>
      <c r="K766" s="127"/>
      <c r="L766" s="127"/>
      <c r="M766" s="124"/>
      <c r="N766" s="125"/>
      <c r="O766" s="125"/>
      <c r="V766" s="126"/>
    </row>
    <row r="767" spans="3:22" ht="15.75" customHeight="1">
      <c r="C767" s="127"/>
      <c r="D767" s="127"/>
      <c r="G767" s="127"/>
      <c r="H767" s="128"/>
      <c r="J767" s="127"/>
      <c r="K767" s="127"/>
      <c r="L767" s="127"/>
      <c r="M767" s="124"/>
      <c r="N767" s="125"/>
      <c r="O767" s="125"/>
      <c r="V767" s="126"/>
    </row>
    <row r="768" spans="3:22" ht="15.75" customHeight="1">
      <c r="C768" s="127"/>
      <c r="D768" s="127"/>
      <c r="G768" s="127"/>
      <c r="H768" s="128"/>
      <c r="J768" s="127"/>
      <c r="K768" s="127"/>
      <c r="L768" s="127"/>
      <c r="M768" s="124"/>
      <c r="N768" s="125"/>
      <c r="O768" s="125"/>
      <c r="V768" s="126"/>
    </row>
    <row r="769" spans="3:22" ht="15.75" customHeight="1">
      <c r="C769" s="127"/>
      <c r="D769" s="127"/>
      <c r="G769" s="127"/>
      <c r="H769" s="128"/>
      <c r="J769" s="127"/>
      <c r="K769" s="127"/>
      <c r="L769" s="127"/>
      <c r="M769" s="124"/>
      <c r="N769" s="125"/>
      <c r="O769" s="125"/>
      <c r="V769" s="126"/>
    </row>
    <row r="770" spans="3:22" ht="15.75" customHeight="1">
      <c r="C770" s="127"/>
      <c r="D770" s="127"/>
      <c r="G770" s="127"/>
      <c r="H770" s="128"/>
      <c r="J770" s="127"/>
      <c r="K770" s="127"/>
      <c r="L770" s="127"/>
      <c r="M770" s="124"/>
      <c r="N770" s="125"/>
      <c r="O770" s="125"/>
      <c r="V770" s="126"/>
    </row>
    <row r="771" spans="3:22" ht="15.75" customHeight="1">
      <c r="C771" s="127"/>
      <c r="D771" s="127"/>
      <c r="G771" s="127"/>
      <c r="H771" s="128"/>
      <c r="J771" s="127"/>
      <c r="K771" s="127"/>
      <c r="L771" s="127"/>
      <c r="M771" s="124"/>
      <c r="N771" s="125"/>
      <c r="O771" s="125"/>
      <c r="V771" s="126"/>
    </row>
    <row r="772" spans="3:22" ht="15.75" customHeight="1">
      <c r="C772" s="127"/>
      <c r="D772" s="127"/>
      <c r="G772" s="127"/>
      <c r="H772" s="128"/>
      <c r="J772" s="127"/>
      <c r="K772" s="127"/>
      <c r="L772" s="127"/>
      <c r="M772" s="124"/>
      <c r="N772" s="125"/>
      <c r="O772" s="125"/>
      <c r="V772" s="126"/>
    </row>
    <row r="773" spans="3:22" ht="15.75" customHeight="1">
      <c r="C773" s="127"/>
      <c r="D773" s="127"/>
      <c r="G773" s="127"/>
      <c r="H773" s="128"/>
      <c r="J773" s="127"/>
      <c r="K773" s="127"/>
      <c r="L773" s="127"/>
      <c r="M773" s="124"/>
      <c r="N773" s="125"/>
      <c r="O773" s="125"/>
      <c r="V773" s="126"/>
    </row>
    <row r="774" spans="3:22" ht="15.75" customHeight="1">
      <c r="C774" s="127"/>
      <c r="D774" s="127"/>
      <c r="G774" s="127"/>
      <c r="H774" s="128"/>
      <c r="J774" s="127"/>
      <c r="K774" s="127"/>
      <c r="L774" s="127"/>
      <c r="M774" s="124"/>
      <c r="N774" s="125"/>
      <c r="O774" s="125"/>
      <c r="V774" s="126"/>
    </row>
    <row r="775" spans="3:22" ht="15.75" customHeight="1">
      <c r="C775" s="127"/>
      <c r="D775" s="127"/>
      <c r="G775" s="127"/>
      <c r="H775" s="128"/>
      <c r="J775" s="127"/>
      <c r="K775" s="127"/>
      <c r="L775" s="127"/>
      <c r="M775" s="124"/>
      <c r="N775" s="125"/>
      <c r="O775" s="125"/>
      <c r="V775" s="126"/>
    </row>
    <row r="776" spans="3:22" ht="15.75" customHeight="1">
      <c r="C776" s="127"/>
      <c r="D776" s="127"/>
      <c r="G776" s="127"/>
      <c r="H776" s="128"/>
      <c r="J776" s="127"/>
      <c r="K776" s="127"/>
      <c r="L776" s="127"/>
      <c r="M776" s="124"/>
      <c r="N776" s="125"/>
      <c r="O776" s="125"/>
      <c r="V776" s="126"/>
    </row>
    <row r="777" spans="3:22" ht="15.75" customHeight="1">
      <c r="C777" s="127"/>
      <c r="D777" s="127"/>
      <c r="G777" s="127"/>
      <c r="H777" s="128"/>
      <c r="J777" s="127"/>
      <c r="K777" s="127"/>
      <c r="L777" s="127"/>
      <c r="M777" s="124"/>
      <c r="N777" s="125"/>
      <c r="O777" s="125"/>
      <c r="V777" s="126"/>
    </row>
    <row r="778" spans="3:22" ht="15.75" customHeight="1">
      <c r="C778" s="127"/>
      <c r="D778" s="127"/>
      <c r="G778" s="127"/>
      <c r="H778" s="128"/>
      <c r="J778" s="127"/>
      <c r="K778" s="127"/>
      <c r="L778" s="127"/>
      <c r="M778" s="124"/>
      <c r="N778" s="125"/>
      <c r="O778" s="125"/>
      <c r="V778" s="126"/>
    </row>
    <row r="779" spans="3:22" ht="15.75" customHeight="1">
      <c r="C779" s="127"/>
      <c r="D779" s="127"/>
      <c r="G779" s="127"/>
      <c r="H779" s="128"/>
      <c r="J779" s="127"/>
      <c r="K779" s="127"/>
      <c r="L779" s="127"/>
      <c r="M779" s="124"/>
      <c r="N779" s="125"/>
      <c r="O779" s="125"/>
      <c r="V779" s="126"/>
    </row>
    <row r="780" spans="3:22" ht="15.75" customHeight="1">
      <c r="C780" s="127"/>
      <c r="D780" s="127"/>
      <c r="G780" s="127"/>
      <c r="H780" s="128"/>
      <c r="J780" s="127"/>
      <c r="K780" s="127"/>
      <c r="L780" s="127"/>
      <c r="M780" s="124"/>
      <c r="N780" s="125"/>
      <c r="O780" s="125"/>
      <c r="V780" s="126"/>
    </row>
    <row r="781" spans="3:22" ht="15.75" customHeight="1">
      <c r="C781" s="127"/>
      <c r="D781" s="127"/>
      <c r="G781" s="127"/>
      <c r="H781" s="128"/>
      <c r="J781" s="127"/>
      <c r="K781" s="127"/>
      <c r="L781" s="127"/>
      <c r="M781" s="124"/>
      <c r="N781" s="125"/>
      <c r="O781" s="125"/>
      <c r="V781" s="126"/>
    </row>
    <row r="782" spans="3:22" ht="15.75" customHeight="1">
      <c r="C782" s="127"/>
      <c r="D782" s="127"/>
      <c r="G782" s="127"/>
      <c r="H782" s="128"/>
      <c r="J782" s="127"/>
      <c r="K782" s="127"/>
      <c r="L782" s="127"/>
      <c r="M782" s="124"/>
      <c r="N782" s="125"/>
      <c r="O782" s="125"/>
      <c r="V782" s="126"/>
    </row>
    <row r="783" spans="3:22" ht="15.75" customHeight="1">
      <c r="C783" s="127"/>
      <c r="D783" s="127"/>
      <c r="G783" s="127"/>
      <c r="H783" s="128"/>
      <c r="J783" s="127"/>
      <c r="K783" s="127"/>
      <c r="L783" s="127"/>
      <c r="M783" s="124"/>
      <c r="N783" s="125"/>
      <c r="O783" s="125"/>
      <c r="V783" s="126"/>
    </row>
    <row r="784" spans="3:22" ht="15.75" customHeight="1">
      <c r="C784" s="127"/>
      <c r="D784" s="127"/>
      <c r="G784" s="127"/>
      <c r="H784" s="128"/>
      <c r="J784" s="127"/>
      <c r="K784" s="127"/>
      <c r="L784" s="127"/>
      <c r="M784" s="124"/>
      <c r="N784" s="125"/>
      <c r="O784" s="125"/>
      <c r="V784" s="126"/>
    </row>
    <row r="785" spans="3:22" ht="15.75" customHeight="1">
      <c r="C785" s="127"/>
      <c r="D785" s="127"/>
      <c r="G785" s="127"/>
      <c r="H785" s="128"/>
      <c r="J785" s="127"/>
      <c r="K785" s="127"/>
      <c r="L785" s="127"/>
      <c r="M785" s="124"/>
      <c r="N785" s="125"/>
      <c r="O785" s="125"/>
      <c r="V785" s="126"/>
    </row>
    <row r="786" spans="3:22" ht="15.75" customHeight="1">
      <c r="C786" s="127"/>
      <c r="D786" s="127"/>
      <c r="G786" s="127"/>
      <c r="H786" s="128"/>
      <c r="J786" s="127"/>
      <c r="K786" s="127"/>
      <c r="L786" s="127"/>
      <c r="M786" s="124"/>
      <c r="N786" s="125"/>
      <c r="O786" s="125"/>
      <c r="V786" s="126"/>
    </row>
    <row r="787" spans="3:22" ht="15.75" customHeight="1">
      <c r="C787" s="127"/>
      <c r="D787" s="127"/>
      <c r="G787" s="127"/>
      <c r="H787" s="128"/>
      <c r="J787" s="127"/>
      <c r="K787" s="127"/>
      <c r="L787" s="127"/>
      <c r="M787" s="124"/>
      <c r="N787" s="125"/>
      <c r="O787" s="125"/>
      <c r="V787" s="126"/>
    </row>
    <row r="788" spans="3:22" ht="15.75" customHeight="1">
      <c r="C788" s="127"/>
      <c r="D788" s="127"/>
      <c r="G788" s="127"/>
      <c r="H788" s="128"/>
      <c r="J788" s="127"/>
      <c r="K788" s="127"/>
      <c r="L788" s="127"/>
      <c r="M788" s="124"/>
      <c r="N788" s="125"/>
      <c r="O788" s="125"/>
      <c r="V788" s="126"/>
    </row>
    <row r="789" spans="3:22" ht="15.75" customHeight="1">
      <c r="C789" s="127"/>
      <c r="D789" s="127"/>
      <c r="G789" s="127"/>
      <c r="H789" s="128"/>
      <c r="J789" s="127"/>
      <c r="K789" s="127"/>
      <c r="L789" s="127"/>
      <c r="M789" s="124"/>
      <c r="N789" s="125"/>
      <c r="O789" s="125"/>
      <c r="V789" s="126"/>
    </row>
    <row r="790" spans="3:22" ht="15.75" customHeight="1">
      <c r="C790" s="127"/>
      <c r="D790" s="127"/>
      <c r="G790" s="127"/>
      <c r="H790" s="128"/>
      <c r="J790" s="127"/>
      <c r="K790" s="127"/>
      <c r="L790" s="127"/>
      <c r="M790" s="124"/>
      <c r="N790" s="125"/>
      <c r="O790" s="125"/>
      <c r="V790" s="126"/>
    </row>
    <row r="791" spans="3:22" ht="15.75" customHeight="1">
      <c r="C791" s="127"/>
      <c r="D791" s="127"/>
      <c r="G791" s="127"/>
      <c r="H791" s="128"/>
      <c r="J791" s="127"/>
      <c r="K791" s="127"/>
      <c r="L791" s="127"/>
      <c r="M791" s="124"/>
      <c r="N791" s="125"/>
      <c r="O791" s="125"/>
      <c r="V791" s="126"/>
    </row>
    <row r="792" spans="3:22" ht="15.75" customHeight="1">
      <c r="C792" s="127"/>
      <c r="D792" s="127"/>
      <c r="G792" s="127"/>
      <c r="H792" s="128"/>
      <c r="J792" s="127"/>
      <c r="K792" s="127"/>
      <c r="L792" s="127"/>
      <c r="M792" s="124"/>
      <c r="N792" s="125"/>
      <c r="O792" s="125"/>
      <c r="V792" s="126"/>
    </row>
    <row r="793" spans="3:22" ht="15.75" customHeight="1">
      <c r="C793" s="127"/>
      <c r="D793" s="127"/>
      <c r="G793" s="127"/>
      <c r="H793" s="128"/>
      <c r="J793" s="127"/>
      <c r="K793" s="127"/>
      <c r="L793" s="127"/>
      <c r="M793" s="124"/>
      <c r="N793" s="125"/>
      <c r="O793" s="125"/>
      <c r="V793" s="126"/>
    </row>
    <row r="794" spans="3:22" ht="15.75" customHeight="1">
      <c r="C794" s="127"/>
      <c r="D794" s="127"/>
      <c r="G794" s="127"/>
      <c r="H794" s="128"/>
      <c r="J794" s="127"/>
      <c r="K794" s="127"/>
      <c r="L794" s="127"/>
      <c r="M794" s="124"/>
      <c r="N794" s="125"/>
      <c r="O794" s="125"/>
      <c r="V794" s="126"/>
    </row>
    <row r="795" spans="3:22" ht="15.75" customHeight="1">
      <c r="C795" s="127"/>
      <c r="D795" s="127"/>
      <c r="G795" s="127"/>
      <c r="H795" s="128"/>
      <c r="J795" s="127"/>
      <c r="K795" s="127"/>
      <c r="L795" s="127"/>
      <c r="M795" s="124"/>
      <c r="N795" s="125"/>
      <c r="O795" s="125"/>
      <c r="V795" s="126"/>
    </row>
    <row r="796" spans="3:22" ht="15.75" customHeight="1">
      <c r="C796" s="127"/>
      <c r="D796" s="127"/>
      <c r="G796" s="127"/>
      <c r="H796" s="128"/>
      <c r="J796" s="127"/>
      <c r="K796" s="127"/>
      <c r="L796" s="127"/>
      <c r="M796" s="124"/>
      <c r="N796" s="125"/>
      <c r="O796" s="125"/>
      <c r="V796" s="126"/>
    </row>
    <row r="797" spans="3:22" ht="15.75" customHeight="1">
      <c r="C797" s="127"/>
      <c r="D797" s="127"/>
      <c r="G797" s="127"/>
      <c r="H797" s="128"/>
      <c r="J797" s="127"/>
      <c r="K797" s="127"/>
      <c r="L797" s="127"/>
      <c r="M797" s="124"/>
      <c r="N797" s="125"/>
      <c r="O797" s="125"/>
      <c r="V797" s="126"/>
    </row>
    <row r="798" spans="3:22" ht="15.75" customHeight="1">
      <c r="C798" s="127"/>
      <c r="D798" s="127"/>
      <c r="G798" s="127"/>
      <c r="H798" s="128"/>
      <c r="J798" s="127"/>
      <c r="K798" s="127"/>
      <c r="L798" s="127"/>
      <c r="M798" s="124"/>
      <c r="N798" s="125"/>
      <c r="O798" s="125"/>
      <c r="V798" s="126"/>
    </row>
    <row r="799" spans="3:22" ht="15.75" customHeight="1">
      <c r="C799" s="127"/>
      <c r="D799" s="127"/>
      <c r="G799" s="127"/>
      <c r="H799" s="128"/>
      <c r="J799" s="127"/>
      <c r="K799" s="127"/>
      <c r="L799" s="127"/>
      <c r="M799" s="124"/>
      <c r="N799" s="125"/>
      <c r="O799" s="125"/>
      <c r="V799" s="126"/>
    </row>
    <row r="800" spans="3:22" ht="15.75" customHeight="1">
      <c r="C800" s="127"/>
      <c r="D800" s="127"/>
      <c r="G800" s="127"/>
      <c r="H800" s="128"/>
      <c r="J800" s="127"/>
      <c r="K800" s="127"/>
      <c r="L800" s="127"/>
      <c r="M800" s="124"/>
      <c r="N800" s="125"/>
      <c r="O800" s="125"/>
      <c r="V800" s="126"/>
    </row>
    <row r="801" spans="3:22" ht="15.75" customHeight="1">
      <c r="C801" s="127"/>
      <c r="D801" s="127"/>
      <c r="G801" s="127"/>
      <c r="H801" s="128"/>
      <c r="J801" s="127"/>
      <c r="K801" s="127"/>
      <c r="L801" s="127"/>
      <c r="M801" s="124"/>
      <c r="N801" s="125"/>
      <c r="O801" s="125"/>
      <c r="V801" s="126"/>
    </row>
    <row r="802" spans="3:22" ht="15.75" customHeight="1">
      <c r="C802" s="127"/>
      <c r="D802" s="127"/>
      <c r="G802" s="127"/>
      <c r="H802" s="128"/>
      <c r="J802" s="127"/>
      <c r="K802" s="127"/>
      <c r="L802" s="127"/>
      <c r="M802" s="124"/>
      <c r="N802" s="125"/>
      <c r="O802" s="125"/>
      <c r="V802" s="126"/>
    </row>
    <row r="803" spans="3:22" ht="15.75" customHeight="1">
      <c r="C803" s="127"/>
      <c r="D803" s="127"/>
      <c r="G803" s="127"/>
      <c r="H803" s="128"/>
      <c r="J803" s="127"/>
      <c r="K803" s="127"/>
      <c r="L803" s="127"/>
      <c r="M803" s="124"/>
      <c r="N803" s="125"/>
      <c r="O803" s="125"/>
      <c r="V803" s="126"/>
    </row>
    <row r="804" spans="3:22" ht="15.75" customHeight="1">
      <c r="C804" s="127"/>
      <c r="D804" s="127"/>
      <c r="G804" s="127"/>
      <c r="H804" s="128"/>
      <c r="J804" s="127"/>
      <c r="K804" s="127"/>
      <c r="L804" s="127"/>
      <c r="M804" s="124"/>
      <c r="N804" s="125"/>
      <c r="O804" s="125"/>
      <c r="V804" s="126"/>
    </row>
    <row r="805" spans="3:22" ht="15.75" customHeight="1">
      <c r="C805" s="127"/>
      <c r="D805" s="127"/>
      <c r="G805" s="127"/>
      <c r="H805" s="128"/>
      <c r="J805" s="127"/>
      <c r="K805" s="127"/>
      <c r="L805" s="127"/>
      <c r="M805" s="124"/>
      <c r="N805" s="125"/>
      <c r="O805" s="125"/>
      <c r="V805" s="126"/>
    </row>
    <row r="806" spans="3:22" ht="15.75" customHeight="1">
      <c r="C806" s="127"/>
      <c r="D806" s="127"/>
      <c r="G806" s="127"/>
      <c r="H806" s="128"/>
      <c r="J806" s="127"/>
      <c r="K806" s="127"/>
      <c r="L806" s="127"/>
      <c r="M806" s="124"/>
      <c r="N806" s="125"/>
      <c r="O806" s="125"/>
      <c r="V806" s="126"/>
    </row>
    <row r="807" spans="3:22" ht="15.75" customHeight="1">
      <c r="C807" s="127"/>
      <c r="D807" s="127"/>
      <c r="G807" s="127"/>
      <c r="H807" s="128"/>
      <c r="J807" s="127"/>
      <c r="K807" s="127"/>
      <c r="L807" s="127"/>
      <c r="M807" s="124"/>
      <c r="N807" s="125"/>
      <c r="O807" s="125"/>
      <c r="V807" s="126"/>
    </row>
    <row r="808" spans="3:22" ht="15.75" customHeight="1">
      <c r="C808" s="127"/>
      <c r="D808" s="127"/>
      <c r="G808" s="127"/>
      <c r="H808" s="128"/>
      <c r="J808" s="127"/>
      <c r="K808" s="127"/>
      <c r="L808" s="127"/>
      <c r="M808" s="124"/>
      <c r="N808" s="125"/>
      <c r="O808" s="125"/>
      <c r="V808" s="126"/>
    </row>
    <row r="809" spans="3:22" ht="15.75" customHeight="1">
      <c r="C809" s="127"/>
      <c r="D809" s="127"/>
      <c r="G809" s="127"/>
      <c r="H809" s="128"/>
      <c r="J809" s="127"/>
      <c r="K809" s="127"/>
      <c r="L809" s="127"/>
      <c r="M809" s="124"/>
      <c r="N809" s="125"/>
      <c r="O809" s="125"/>
      <c r="V809" s="126"/>
    </row>
    <row r="810" spans="3:22" ht="15.75" customHeight="1">
      <c r="C810" s="127"/>
      <c r="D810" s="127"/>
      <c r="G810" s="127"/>
      <c r="H810" s="128"/>
      <c r="J810" s="127"/>
      <c r="K810" s="127"/>
      <c r="L810" s="127"/>
      <c r="M810" s="124"/>
      <c r="N810" s="125"/>
      <c r="O810" s="125"/>
      <c r="V810" s="126"/>
    </row>
    <row r="811" spans="3:22" ht="15.75" customHeight="1">
      <c r="C811" s="127"/>
      <c r="D811" s="127"/>
      <c r="G811" s="127"/>
      <c r="H811" s="128"/>
      <c r="J811" s="127"/>
      <c r="K811" s="127"/>
      <c r="L811" s="127"/>
      <c r="M811" s="124"/>
      <c r="N811" s="125"/>
      <c r="O811" s="125"/>
      <c r="V811" s="126"/>
    </row>
    <row r="812" spans="3:22" ht="15.75" customHeight="1">
      <c r="C812" s="127"/>
      <c r="D812" s="127"/>
      <c r="G812" s="127"/>
      <c r="H812" s="128"/>
      <c r="J812" s="127"/>
      <c r="K812" s="127"/>
      <c r="L812" s="127"/>
      <c r="M812" s="124"/>
      <c r="N812" s="125"/>
      <c r="O812" s="125"/>
      <c r="V812" s="126"/>
    </row>
    <row r="813" spans="3:22" ht="15.75" customHeight="1">
      <c r="C813" s="127"/>
      <c r="D813" s="127"/>
      <c r="G813" s="127"/>
      <c r="H813" s="128"/>
      <c r="J813" s="127"/>
      <c r="K813" s="127"/>
      <c r="L813" s="127"/>
      <c r="M813" s="124"/>
      <c r="N813" s="125"/>
      <c r="O813" s="125"/>
      <c r="V813" s="126"/>
    </row>
    <row r="814" spans="3:22" ht="15.75" customHeight="1">
      <c r="C814" s="127"/>
      <c r="D814" s="127"/>
      <c r="G814" s="127"/>
      <c r="H814" s="128"/>
      <c r="J814" s="127"/>
      <c r="K814" s="127"/>
      <c r="L814" s="127"/>
      <c r="M814" s="124"/>
      <c r="N814" s="125"/>
      <c r="O814" s="125"/>
      <c r="V814" s="126"/>
    </row>
    <row r="815" spans="3:22" ht="15.75" customHeight="1">
      <c r="C815" s="127"/>
      <c r="D815" s="127"/>
      <c r="G815" s="127"/>
      <c r="H815" s="128"/>
      <c r="J815" s="127"/>
      <c r="K815" s="127"/>
      <c r="L815" s="127"/>
      <c r="M815" s="124"/>
      <c r="N815" s="125"/>
      <c r="O815" s="125"/>
      <c r="V815" s="126"/>
    </row>
    <row r="816" spans="3:22" ht="15.75" customHeight="1">
      <c r="C816" s="127"/>
      <c r="D816" s="127"/>
      <c r="G816" s="127"/>
      <c r="H816" s="128"/>
      <c r="J816" s="127"/>
      <c r="K816" s="127"/>
      <c r="L816" s="127"/>
      <c r="M816" s="124"/>
      <c r="N816" s="125"/>
      <c r="O816" s="125"/>
      <c r="V816" s="126"/>
    </row>
    <row r="817" spans="3:22" ht="15.75" customHeight="1">
      <c r="C817" s="127"/>
      <c r="D817" s="127"/>
      <c r="G817" s="127"/>
      <c r="H817" s="128"/>
      <c r="J817" s="127"/>
      <c r="K817" s="127"/>
      <c r="L817" s="127"/>
      <c r="M817" s="124"/>
      <c r="N817" s="125"/>
      <c r="O817" s="125"/>
      <c r="V817" s="126"/>
    </row>
    <row r="818" spans="3:22" ht="15.75" customHeight="1">
      <c r="C818" s="127"/>
      <c r="D818" s="127"/>
      <c r="G818" s="127"/>
      <c r="H818" s="128"/>
      <c r="J818" s="127"/>
      <c r="K818" s="127"/>
      <c r="L818" s="127"/>
      <c r="M818" s="124"/>
      <c r="N818" s="125"/>
      <c r="O818" s="125"/>
      <c r="V818" s="126"/>
    </row>
    <row r="819" spans="3:22" ht="15.75" customHeight="1">
      <c r="C819" s="127"/>
      <c r="D819" s="127"/>
      <c r="G819" s="127"/>
      <c r="H819" s="128"/>
      <c r="J819" s="127"/>
      <c r="K819" s="127"/>
      <c r="L819" s="127"/>
      <c r="M819" s="124"/>
      <c r="N819" s="125"/>
      <c r="O819" s="125"/>
      <c r="V819" s="126"/>
    </row>
    <row r="820" spans="3:22" ht="15.75" customHeight="1">
      <c r="C820" s="127"/>
      <c r="D820" s="127"/>
      <c r="G820" s="127"/>
      <c r="H820" s="128"/>
      <c r="J820" s="127"/>
      <c r="K820" s="127"/>
      <c r="L820" s="127"/>
      <c r="M820" s="124"/>
      <c r="N820" s="125"/>
      <c r="O820" s="125"/>
      <c r="V820" s="126"/>
    </row>
    <row r="821" spans="3:22" ht="15.75" customHeight="1">
      <c r="C821" s="127"/>
      <c r="D821" s="127"/>
      <c r="G821" s="127"/>
      <c r="H821" s="128"/>
      <c r="J821" s="127"/>
      <c r="K821" s="127"/>
      <c r="L821" s="127"/>
      <c r="M821" s="124"/>
      <c r="N821" s="125"/>
      <c r="O821" s="125"/>
      <c r="V821" s="126"/>
    </row>
    <row r="822" spans="3:22" ht="15.75" customHeight="1">
      <c r="C822" s="127"/>
      <c r="D822" s="127"/>
      <c r="G822" s="127"/>
      <c r="H822" s="128"/>
      <c r="J822" s="127"/>
      <c r="K822" s="127"/>
      <c r="L822" s="127"/>
      <c r="M822" s="124"/>
      <c r="N822" s="125"/>
      <c r="O822" s="125"/>
      <c r="V822" s="126"/>
    </row>
    <row r="823" spans="3:22" ht="15.75" customHeight="1">
      <c r="C823" s="127"/>
      <c r="D823" s="127"/>
      <c r="G823" s="127"/>
      <c r="H823" s="128"/>
      <c r="J823" s="127"/>
      <c r="K823" s="127"/>
      <c r="L823" s="127"/>
      <c r="M823" s="124"/>
      <c r="N823" s="125"/>
      <c r="O823" s="125"/>
      <c r="V823" s="126"/>
    </row>
    <row r="824" spans="3:22" ht="15.75" customHeight="1">
      <c r="C824" s="127"/>
      <c r="D824" s="127"/>
      <c r="G824" s="127"/>
      <c r="H824" s="128"/>
      <c r="J824" s="127"/>
      <c r="K824" s="127"/>
      <c r="L824" s="127"/>
      <c r="M824" s="124"/>
      <c r="N824" s="125"/>
      <c r="O824" s="125"/>
      <c r="V824" s="126"/>
    </row>
    <row r="825" spans="3:22" ht="15.75" customHeight="1">
      <c r="C825" s="127"/>
      <c r="D825" s="127"/>
      <c r="G825" s="127"/>
      <c r="H825" s="128"/>
      <c r="J825" s="127"/>
      <c r="K825" s="127"/>
      <c r="L825" s="127"/>
      <c r="M825" s="124"/>
      <c r="N825" s="125"/>
      <c r="O825" s="125"/>
      <c r="V825" s="126"/>
    </row>
    <row r="826" spans="3:22" ht="15.75" customHeight="1">
      <c r="C826" s="127"/>
      <c r="D826" s="127"/>
      <c r="G826" s="127"/>
      <c r="H826" s="128"/>
      <c r="J826" s="127"/>
      <c r="K826" s="127"/>
      <c r="L826" s="127"/>
      <c r="M826" s="124"/>
      <c r="N826" s="125"/>
      <c r="O826" s="125"/>
      <c r="V826" s="126"/>
    </row>
    <row r="827" spans="3:22" ht="15.75" customHeight="1">
      <c r="C827" s="127"/>
      <c r="D827" s="127"/>
      <c r="G827" s="127"/>
      <c r="H827" s="128"/>
      <c r="J827" s="127"/>
      <c r="K827" s="127"/>
      <c r="L827" s="127"/>
      <c r="M827" s="124"/>
      <c r="N827" s="125"/>
      <c r="O827" s="125"/>
      <c r="V827" s="126"/>
    </row>
    <row r="828" spans="3:22" ht="15.75" customHeight="1">
      <c r="C828" s="127"/>
      <c r="D828" s="127"/>
      <c r="G828" s="127"/>
      <c r="H828" s="128"/>
      <c r="J828" s="127"/>
      <c r="K828" s="127"/>
      <c r="L828" s="127"/>
      <c r="M828" s="124"/>
      <c r="N828" s="125"/>
      <c r="O828" s="125"/>
      <c r="V828" s="126"/>
    </row>
    <row r="829" spans="3:22" ht="15.75" customHeight="1">
      <c r="C829" s="127"/>
      <c r="D829" s="127"/>
      <c r="G829" s="127"/>
      <c r="H829" s="128"/>
      <c r="J829" s="127"/>
      <c r="K829" s="127"/>
      <c r="L829" s="127"/>
      <c r="M829" s="124"/>
      <c r="N829" s="125"/>
      <c r="O829" s="125"/>
      <c r="V829" s="126"/>
    </row>
    <row r="830" spans="3:22" ht="15.75" customHeight="1">
      <c r="C830" s="127"/>
      <c r="D830" s="127"/>
      <c r="G830" s="127"/>
      <c r="H830" s="128"/>
      <c r="J830" s="127"/>
      <c r="K830" s="127"/>
      <c r="L830" s="127"/>
      <c r="M830" s="124"/>
      <c r="N830" s="125"/>
      <c r="O830" s="125"/>
      <c r="V830" s="126"/>
    </row>
    <row r="831" spans="3:22" ht="15.75" customHeight="1">
      <c r="C831" s="127"/>
      <c r="D831" s="127"/>
      <c r="G831" s="127"/>
      <c r="H831" s="128"/>
      <c r="J831" s="127"/>
      <c r="K831" s="127"/>
      <c r="L831" s="127"/>
      <c r="M831" s="124"/>
      <c r="N831" s="125"/>
      <c r="O831" s="125"/>
      <c r="V831" s="126"/>
    </row>
    <row r="832" spans="3:22" ht="15.75" customHeight="1">
      <c r="C832" s="127"/>
      <c r="D832" s="127"/>
      <c r="G832" s="127"/>
      <c r="H832" s="128"/>
      <c r="J832" s="127"/>
      <c r="K832" s="127"/>
      <c r="L832" s="127"/>
      <c r="M832" s="124"/>
      <c r="N832" s="125"/>
      <c r="O832" s="125"/>
      <c r="V832" s="126"/>
    </row>
    <row r="833" spans="3:22" ht="15.75" customHeight="1">
      <c r="C833" s="127"/>
      <c r="D833" s="127"/>
      <c r="G833" s="127"/>
      <c r="H833" s="128"/>
      <c r="J833" s="127"/>
      <c r="K833" s="127"/>
      <c r="L833" s="127"/>
      <c r="M833" s="124"/>
      <c r="N833" s="125"/>
      <c r="O833" s="125"/>
      <c r="V833" s="126"/>
    </row>
    <row r="834" spans="3:22" ht="15.75" customHeight="1">
      <c r="C834" s="127"/>
      <c r="D834" s="127"/>
      <c r="G834" s="127"/>
      <c r="H834" s="128"/>
      <c r="J834" s="127"/>
      <c r="K834" s="127"/>
      <c r="L834" s="127"/>
      <c r="M834" s="124"/>
      <c r="N834" s="125"/>
      <c r="O834" s="125"/>
      <c r="V834" s="126"/>
    </row>
    <row r="835" spans="3:22" ht="15.75" customHeight="1">
      <c r="C835" s="127"/>
      <c r="D835" s="127"/>
      <c r="G835" s="127"/>
      <c r="H835" s="128"/>
      <c r="J835" s="127"/>
      <c r="K835" s="127"/>
      <c r="L835" s="127"/>
      <c r="M835" s="124"/>
      <c r="N835" s="125"/>
      <c r="O835" s="125"/>
      <c r="V835" s="126"/>
    </row>
    <row r="836" spans="3:22" ht="15.75" customHeight="1">
      <c r="C836" s="127"/>
      <c r="D836" s="127"/>
      <c r="G836" s="127"/>
      <c r="H836" s="128"/>
      <c r="J836" s="127"/>
      <c r="K836" s="127"/>
      <c r="L836" s="127"/>
      <c r="M836" s="124"/>
      <c r="N836" s="125"/>
      <c r="O836" s="125"/>
      <c r="V836" s="126"/>
    </row>
    <row r="837" spans="3:22" ht="15.75" customHeight="1">
      <c r="C837" s="127"/>
      <c r="D837" s="127"/>
      <c r="G837" s="127"/>
      <c r="H837" s="128"/>
      <c r="J837" s="127"/>
      <c r="K837" s="127"/>
      <c r="L837" s="127"/>
      <c r="M837" s="124"/>
      <c r="N837" s="125"/>
      <c r="O837" s="125"/>
      <c r="V837" s="126"/>
    </row>
    <row r="838" spans="3:22" ht="15.75" customHeight="1">
      <c r="C838" s="127"/>
      <c r="D838" s="127"/>
      <c r="G838" s="127"/>
      <c r="H838" s="128"/>
      <c r="J838" s="127"/>
      <c r="K838" s="127"/>
      <c r="L838" s="127"/>
      <c r="M838" s="124"/>
      <c r="N838" s="125"/>
      <c r="O838" s="125"/>
      <c r="V838" s="126"/>
    </row>
    <row r="839" spans="3:22" ht="15.75" customHeight="1">
      <c r="C839" s="127"/>
      <c r="D839" s="127"/>
      <c r="G839" s="127"/>
      <c r="H839" s="128"/>
      <c r="J839" s="127"/>
      <c r="K839" s="127"/>
      <c r="L839" s="127"/>
      <c r="M839" s="124"/>
      <c r="N839" s="125"/>
      <c r="O839" s="125"/>
      <c r="V839" s="126"/>
    </row>
    <row r="840" spans="3:22" ht="15.75" customHeight="1">
      <c r="C840" s="127"/>
      <c r="D840" s="127"/>
      <c r="G840" s="127"/>
      <c r="H840" s="128"/>
      <c r="J840" s="127"/>
      <c r="K840" s="127"/>
      <c r="L840" s="127"/>
      <c r="M840" s="124"/>
      <c r="N840" s="125"/>
      <c r="O840" s="125"/>
      <c r="V840" s="126"/>
    </row>
    <row r="841" spans="3:22" ht="15.75" customHeight="1">
      <c r="C841" s="127"/>
      <c r="D841" s="127"/>
      <c r="G841" s="127"/>
      <c r="H841" s="128"/>
      <c r="J841" s="127"/>
      <c r="K841" s="127"/>
      <c r="L841" s="127"/>
      <c r="M841" s="124"/>
      <c r="N841" s="125"/>
      <c r="O841" s="125"/>
      <c r="V841" s="126"/>
    </row>
    <row r="842" spans="3:22" ht="15.75" customHeight="1">
      <c r="C842" s="127"/>
      <c r="D842" s="127"/>
      <c r="G842" s="127"/>
      <c r="H842" s="128"/>
      <c r="J842" s="127"/>
      <c r="K842" s="127"/>
      <c r="L842" s="127"/>
      <c r="M842" s="124"/>
      <c r="N842" s="125"/>
      <c r="O842" s="125"/>
      <c r="V842" s="126"/>
    </row>
    <row r="843" spans="3:22" ht="15.75" customHeight="1">
      <c r="C843" s="127"/>
      <c r="D843" s="127"/>
      <c r="G843" s="127"/>
      <c r="H843" s="128"/>
      <c r="J843" s="127"/>
      <c r="K843" s="127"/>
      <c r="L843" s="127"/>
      <c r="M843" s="124"/>
      <c r="N843" s="125"/>
      <c r="O843" s="125"/>
      <c r="V843" s="126"/>
    </row>
    <row r="844" spans="3:22" ht="15.75" customHeight="1">
      <c r="C844" s="127"/>
      <c r="D844" s="127"/>
      <c r="G844" s="127"/>
      <c r="H844" s="128"/>
      <c r="J844" s="127"/>
      <c r="K844" s="127"/>
      <c r="L844" s="127"/>
      <c r="M844" s="124"/>
      <c r="N844" s="125"/>
      <c r="O844" s="125"/>
      <c r="V844" s="126"/>
    </row>
    <row r="845" spans="3:22" ht="15.75" customHeight="1">
      <c r="C845" s="127"/>
      <c r="D845" s="127"/>
      <c r="G845" s="127"/>
      <c r="H845" s="128"/>
      <c r="J845" s="127"/>
      <c r="K845" s="127"/>
      <c r="L845" s="127"/>
      <c r="M845" s="124"/>
      <c r="N845" s="125"/>
      <c r="O845" s="125"/>
      <c r="V845" s="126"/>
    </row>
    <row r="846" spans="3:22" ht="15.75" customHeight="1">
      <c r="C846" s="127"/>
      <c r="D846" s="127"/>
      <c r="G846" s="127"/>
      <c r="H846" s="128"/>
      <c r="J846" s="127"/>
      <c r="K846" s="127"/>
      <c r="L846" s="127"/>
      <c r="M846" s="124"/>
      <c r="N846" s="125"/>
      <c r="O846" s="125"/>
      <c r="V846" s="126"/>
    </row>
    <row r="847" spans="3:22" ht="15.75" customHeight="1">
      <c r="C847" s="127"/>
      <c r="D847" s="127"/>
      <c r="G847" s="127"/>
      <c r="H847" s="128"/>
      <c r="J847" s="127"/>
      <c r="K847" s="127"/>
      <c r="L847" s="127"/>
      <c r="M847" s="124"/>
      <c r="N847" s="125"/>
      <c r="O847" s="125"/>
      <c r="V847" s="126"/>
    </row>
    <row r="848" spans="3:22" ht="15.75" customHeight="1">
      <c r="C848" s="127"/>
      <c r="D848" s="127"/>
      <c r="G848" s="127"/>
      <c r="H848" s="128"/>
      <c r="J848" s="127"/>
      <c r="K848" s="127"/>
      <c r="L848" s="127"/>
      <c r="M848" s="124"/>
      <c r="N848" s="125"/>
      <c r="O848" s="125"/>
      <c r="V848" s="126"/>
    </row>
    <row r="849" spans="3:22" ht="15.75" customHeight="1">
      <c r="C849" s="127"/>
      <c r="D849" s="127"/>
      <c r="G849" s="127"/>
      <c r="H849" s="128"/>
      <c r="J849" s="127"/>
      <c r="K849" s="127"/>
      <c r="L849" s="127"/>
      <c r="M849" s="124"/>
      <c r="N849" s="125"/>
      <c r="O849" s="125"/>
      <c r="V849" s="126"/>
    </row>
    <row r="850" spans="3:22" ht="15.75" customHeight="1">
      <c r="C850" s="127"/>
      <c r="D850" s="127"/>
      <c r="G850" s="127"/>
      <c r="H850" s="128"/>
      <c r="J850" s="127"/>
      <c r="K850" s="127"/>
      <c r="L850" s="127"/>
      <c r="M850" s="124"/>
      <c r="N850" s="125"/>
      <c r="O850" s="125"/>
      <c r="V850" s="126"/>
    </row>
    <row r="851" spans="3:22" ht="15.75" customHeight="1">
      <c r="C851" s="127"/>
      <c r="D851" s="127"/>
      <c r="G851" s="127"/>
      <c r="H851" s="128"/>
      <c r="J851" s="127"/>
      <c r="K851" s="127"/>
      <c r="L851" s="127"/>
      <c r="M851" s="124"/>
      <c r="N851" s="125"/>
      <c r="O851" s="125"/>
      <c r="V851" s="126"/>
    </row>
    <row r="852" spans="3:22" ht="15.75" customHeight="1">
      <c r="C852" s="127"/>
      <c r="D852" s="127"/>
      <c r="G852" s="127"/>
      <c r="H852" s="128"/>
      <c r="J852" s="127"/>
      <c r="K852" s="127"/>
      <c r="L852" s="127"/>
      <c r="M852" s="124"/>
      <c r="N852" s="125"/>
      <c r="O852" s="125"/>
      <c r="V852" s="126"/>
    </row>
    <row r="853" spans="3:22" ht="15.75" customHeight="1">
      <c r="C853" s="127"/>
      <c r="D853" s="127"/>
      <c r="G853" s="127"/>
      <c r="H853" s="128"/>
      <c r="J853" s="127"/>
      <c r="K853" s="127"/>
      <c r="L853" s="127"/>
      <c r="M853" s="124"/>
      <c r="N853" s="125"/>
      <c r="O853" s="125"/>
      <c r="V853" s="126"/>
    </row>
    <row r="854" spans="3:22" ht="15.75" customHeight="1">
      <c r="C854" s="127"/>
      <c r="D854" s="127"/>
      <c r="G854" s="127"/>
      <c r="H854" s="128"/>
      <c r="J854" s="127"/>
      <c r="K854" s="127"/>
      <c r="L854" s="127"/>
      <c r="M854" s="124"/>
      <c r="N854" s="125"/>
      <c r="O854" s="125"/>
      <c r="V854" s="126"/>
    </row>
    <row r="855" spans="3:22" ht="15.75" customHeight="1">
      <c r="C855" s="127"/>
      <c r="D855" s="127"/>
      <c r="G855" s="127"/>
      <c r="H855" s="128"/>
      <c r="J855" s="127"/>
      <c r="K855" s="127"/>
      <c r="L855" s="127"/>
      <c r="M855" s="124"/>
      <c r="N855" s="125"/>
      <c r="O855" s="125"/>
      <c r="V855" s="126"/>
    </row>
    <row r="856" spans="3:22" ht="15.75" customHeight="1">
      <c r="C856" s="127"/>
      <c r="D856" s="127"/>
      <c r="G856" s="127"/>
      <c r="H856" s="128"/>
      <c r="J856" s="127"/>
      <c r="K856" s="127"/>
      <c r="L856" s="127"/>
      <c r="M856" s="124"/>
      <c r="N856" s="125"/>
      <c r="O856" s="125"/>
      <c r="V856" s="126"/>
    </row>
    <row r="857" spans="3:22" ht="15.75" customHeight="1">
      <c r="C857" s="127"/>
      <c r="D857" s="127"/>
      <c r="G857" s="127"/>
      <c r="H857" s="128"/>
      <c r="J857" s="127"/>
      <c r="K857" s="127"/>
      <c r="L857" s="127"/>
      <c r="M857" s="124"/>
      <c r="N857" s="125"/>
      <c r="O857" s="125"/>
      <c r="V857" s="126"/>
    </row>
    <row r="858" spans="3:22" ht="15.75" customHeight="1">
      <c r="C858" s="127"/>
      <c r="D858" s="127"/>
      <c r="G858" s="127"/>
      <c r="H858" s="128"/>
      <c r="J858" s="127"/>
      <c r="K858" s="127"/>
      <c r="L858" s="127"/>
      <c r="M858" s="124"/>
      <c r="N858" s="125"/>
      <c r="O858" s="125"/>
      <c r="V858" s="126"/>
    </row>
    <row r="859" spans="3:22" ht="15.75" customHeight="1">
      <c r="C859" s="127"/>
      <c r="D859" s="127"/>
      <c r="G859" s="127"/>
      <c r="H859" s="128"/>
      <c r="J859" s="127"/>
      <c r="K859" s="127"/>
      <c r="L859" s="127"/>
      <c r="M859" s="124"/>
      <c r="N859" s="125"/>
      <c r="O859" s="125"/>
      <c r="V859" s="126"/>
    </row>
    <row r="860" spans="3:22" ht="15.75" customHeight="1">
      <c r="C860" s="127"/>
      <c r="D860" s="127"/>
      <c r="G860" s="127"/>
      <c r="H860" s="128"/>
      <c r="J860" s="127"/>
      <c r="K860" s="127"/>
      <c r="L860" s="127"/>
      <c r="M860" s="124"/>
      <c r="N860" s="125"/>
      <c r="O860" s="125"/>
      <c r="V860" s="126"/>
    </row>
    <row r="861" spans="3:22" ht="15.75" customHeight="1">
      <c r="C861" s="127"/>
      <c r="D861" s="127"/>
      <c r="G861" s="127"/>
      <c r="H861" s="128"/>
      <c r="J861" s="127"/>
      <c r="K861" s="127"/>
      <c r="L861" s="127"/>
      <c r="M861" s="124"/>
      <c r="N861" s="125"/>
      <c r="O861" s="125"/>
      <c r="V861" s="126"/>
    </row>
    <row r="862" spans="3:22" ht="15.75" customHeight="1">
      <c r="C862" s="127"/>
      <c r="D862" s="127"/>
      <c r="G862" s="127"/>
      <c r="H862" s="128"/>
      <c r="J862" s="127"/>
      <c r="K862" s="127"/>
      <c r="L862" s="127"/>
      <c r="M862" s="124"/>
      <c r="N862" s="125"/>
      <c r="O862" s="125"/>
      <c r="V862" s="126"/>
    </row>
    <row r="863" spans="3:22" ht="15.75" customHeight="1">
      <c r="C863" s="127"/>
      <c r="D863" s="127"/>
      <c r="G863" s="127"/>
      <c r="H863" s="128"/>
      <c r="J863" s="127"/>
      <c r="K863" s="127"/>
      <c r="L863" s="127"/>
      <c r="M863" s="124"/>
      <c r="N863" s="125"/>
      <c r="O863" s="125"/>
      <c r="V863" s="126"/>
    </row>
    <row r="864" spans="3:22" ht="15.75" customHeight="1">
      <c r="C864" s="127"/>
      <c r="D864" s="127"/>
      <c r="G864" s="127"/>
      <c r="H864" s="128"/>
      <c r="J864" s="127"/>
      <c r="K864" s="127"/>
      <c r="L864" s="127"/>
      <c r="M864" s="124"/>
      <c r="N864" s="125"/>
      <c r="O864" s="125"/>
      <c r="V864" s="126"/>
    </row>
    <row r="865" spans="3:22" ht="15.75" customHeight="1">
      <c r="C865" s="127"/>
      <c r="D865" s="127"/>
      <c r="G865" s="127"/>
      <c r="H865" s="128"/>
      <c r="J865" s="127"/>
      <c r="K865" s="127"/>
      <c r="L865" s="127"/>
      <c r="M865" s="124"/>
      <c r="N865" s="125"/>
      <c r="O865" s="125"/>
      <c r="V865" s="126"/>
    </row>
    <row r="866" spans="3:22" ht="15.75" customHeight="1">
      <c r="C866" s="127"/>
      <c r="D866" s="127"/>
      <c r="G866" s="127"/>
      <c r="H866" s="128"/>
      <c r="J866" s="127"/>
      <c r="K866" s="127"/>
      <c r="L866" s="127"/>
      <c r="M866" s="124"/>
      <c r="N866" s="125"/>
      <c r="O866" s="125"/>
      <c r="V866" s="126"/>
    </row>
    <row r="867" spans="3:22" ht="15.75" customHeight="1">
      <c r="C867" s="127"/>
      <c r="D867" s="127"/>
      <c r="G867" s="127"/>
      <c r="H867" s="128"/>
      <c r="J867" s="127"/>
      <c r="K867" s="127"/>
      <c r="L867" s="127"/>
      <c r="M867" s="124"/>
      <c r="N867" s="125"/>
      <c r="O867" s="125"/>
      <c r="V867" s="126"/>
    </row>
    <row r="868" spans="3:22" ht="15.75" customHeight="1">
      <c r="C868" s="127"/>
      <c r="D868" s="127"/>
      <c r="G868" s="127"/>
      <c r="H868" s="128"/>
      <c r="J868" s="127"/>
      <c r="K868" s="127"/>
      <c r="L868" s="127"/>
      <c r="M868" s="124"/>
      <c r="N868" s="125"/>
      <c r="O868" s="125"/>
      <c r="V868" s="126"/>
    </row>
    <row r="869" spans="3:22" ht="15.75" customHeight="1">
      <c r="C869" s="127"/>
      <c r="D869" s="127"/>
      <c r="G869" s="127"/>
      <c r="H869" s="128"/>
      <c r="J869" s="127"/>
      <c r="K869" s="127"/>
      <c r="L869" s="127"/>
      <c r="M869" s="124"/>
      <c r="N869" s="125"/>
      <c r="O869" s="125"/>
      <c r="V869" s="126"/>
    </row>
    <row r="870" spans="3:22" ht="15.75" customHeight="1">
      <c r="C870" s="127"/>
      <c r="D870" s="127"/>
      <c r="G870" s="127"/>
      <c r="H870" s="128"/>
      <c r="J870" s="127"/>
      <c r="K870" s="127"/>
      <c r="L870" s="127"/>
      <c r="M870" s="124"/>
      <c r="N870" s="125"/>
      <c r="O870" s="125"/>
      <c r="V870" s="126"/>
    </row>
    <row r="871" spans="3:22" ht="15.75" customHeight="1">
      <c r="C871" s="127"/>
      <c r="D871" s="127"/>
      <c r="G871" s="127"/>
      <c r="H871" s="128"/>
      <c r="J871" s="127"/>
      <c r="K871" s="127"/>
      <c r="L871" s="127"/>
      <c r="M871" s="124"/>
      <c r="N871" s="125"/>
      <c r="O871" s="125"/>
      <c r="V871" s="126"/>
    </row>
    <row r="872" spans="3:22" ht="15.75" customHeight="1">
      <c r="C872" s="127"/>
      <c r="D872" s="127"/>
      <c r="G872" s="127"/>
      <c r="H872" s="128"/>
      <c r="J872" s="127"/>
      <c r="K872" s="127"/>
      <c r="L872" s="127"/>
      <c r="M872" s="124"/>
      <c r="N872" s="125"/>
      <c r="O872" s="125"/>
      <c r="V872" s="126"/>
    </row>
    <row r="873" spans="3:22" ht="15.75" customHeight="1">
      <c r="C873" s="127"/>
      <c r="D873" s="127"/>
      <c r="G873" s="127"/>
      <c r="H873" s="128"/>
      <c r="J873" s="127"/>
      <c r="K873" s="127"/>
      <c r="L873" s="127"/>
      <c r="M873" s="124"/>
      <c r="N873" s="125"/>
      <c r="O873" s="125"/>
      <c r="V873" s="126"/>
    </row>
    <row r="874" spans="3:22" ht="15.75" customHeight="1">
      <c r="C874" s="127"/>
      <c r="D874" s="127"/>
      <c r="G874" s="127"/>
      <c r="H874" s="128"/>
      <c r="J874" s="127"/>
      <c r="K874" s="127"/>
      <c r="L874" s="127"/>
      <c r="M874" s="124"/>
      <c r="N874" s="125"/>
      <c r="O874" s="125"/>
      <c r="V874" s="126"/>
    </row>
    <row r="875" spans="3:22" ht="15.75" customHeight="1">
      <c r="C875" s="127"/>
      <c r="D875" s="127"/>
      <c r="G875" s="127"/>
      <c r="H875" s="128"/>
      <c r="J875" s="127"/>
      <c r="K875" s="127"/>
      <c r="L875" s="127"/>
      <c r="M875" s="124"/>
      <c r="N875" s="125"/>
      <c r="O875" s="125"/>
      <c r="V875" s="126"/>
    </row>
    <row r="876" spans="3:22" ht="15.75" customHeight="1">
      <c r="C876" s="127"/>
      <c r="D876" s="127"/>
      <c r="G876" s="127"/>
      <c r="H876" s="128"/>
      <c r="J876" s="127"/>
      <c r="K876" s="127"/>
      <c r="L876" s="127"/>
      <c r="M876" s="124"/>
      <c r="N876" s="125"/>
      <c r="O876" s="125"/>
      <c r="V876" s="126"/>
    </row>
    <row r="877" spans="3:22" ht="15.75" customHeight="1">
      <c r="C877" s="127"/>
      <c r="D877" s="127"/>
      <c r="G877" s="127"/>
      <c r="H877" s="128"/>
      <c r="J877" s="127"/>
      <c r="K877" s="127"/>
      <c r="L877" s="127"/>
      <c r="M877" s="124"/>
      <c r="N877" s="125"/>
      <c r="O877" s="125"/>
      <c r="V877" s="126"/>
    </row>
    <row r="878" spans="3:22" ht="15.75" customHeight="1">
      <c r="C878" s="127"/>
      <c r="D878" s="127"/>
      <c r="G878" s="127"/>
      <c r="H878" s="128"/>
      <c r="J878" s="127"/>
      <c r="K878" s="127"/>
      <c r="L878" s="127"/>
      <c r="M878" s="124"/>
      <c r="N878" s="125"/>
      <c r="O878" s="125"/>
      <c r="V878" s="126"/>
    </row>
    <row r="879" spans="3:22" ht="15.75" customHeight="1">
      <c r="C879" s="127"/>
      <c r="D879" s="127"/>
      <c r="G879" s="127"/>
      <c r="H879" s="128"/>
      <c r="J879" s="127"/>
      <c r="K879" s="127"/>
      <c r="L879" s="127"/>
      <c r="M879" s="124"/>
      <c r="N879" s="125"/>
      <c r="O879" s="125"/>
      <c r="V879" s="126"/>
    </row>
    <row r="880" spans="3:22" ht="15.75" customHeight="1">
      <c r="C880" s="127"/>
      <c r="D880" s="127"/>
      <c r="G880" s="127"/>
      <c r="H880" s="128"/>
      <c r="J880" s="127"/>
      <c r="K880" s="127"/>
      <c r="L880" s="127"/>
      <c r="M880" s="124"/>
      <c r="N880" s="125"/>
      <c r="O880" s="125"/>
      <c r="V880" s="126"/>
    </row>
    <row r="881" spans="3:22" ht="15.75" customHeight="1">
      <c r="C881" s="127"/>
      <c r="D881" s="127"/>
      <c r="G881" s="127"/>
      <c r="H881" s="128"/>
      <c r="J881" s="127"/>
      <c r="K881" s="127"/>
      <c r="L881" s="127"/>
      <c r="M881" s="124"/>
      <c r="N881" s="125"/>
      <c r="O881" s="125"/>
      <c r="V881" s="126"/>
    </row>
    <row r="882" spans="3:22" ht="15.75" customHeight="1">
      <c r="C882" s="127"/>
      <c r="D882" s="127"/>
      <c r="G882" s="127"/>
      <c r="H882" s="128"/>
      <c r="J882" s="127"/>
      <c r="K882" s="127"/>
      <c r="L882" s="127"/>
      <c r="M882" s="124"/>
      <c r="N882" s="125"/>
      <c r="O882" s="125"/>
      <c r="V882" s="126"/>
    </row>
    <row r="883" spans="3:22" ht="15.75" customHeight="1">
      <c r="C883" s="127"/>
      <c r="D883" s="127"/>
      <c r="G883" s="127"/>
      <c r="H883" s="128"/>
      <c r="J883" s="127"/>
      <c r="K883" s="127"/>
      <c r="L883" s="127"/>
      <c r="M883" s="124"/>
      <c r="N883" s="125"/>
      <c r="O883" s="125"/>
      <c r="V883" s="126"/>
    </row>
    <row r="884" spans="3:22" ht="15.75" customHeight="1">
      <c r="C884" s="127"/>
      <c r="D884" s="127"/>
      <c r="G884" s="127"/>
      <c r="H884" s="128"/>
      <c r="J884" s="127"/>
      <c r="K884" s="127"/>
      <c r="L884" s="127"/>
      <c r="M884" s="124"/>
      <c r="N884" s="125"/>
      <c r="O884" s="125"/>
      <c r="V884" s="126"/>
    </row>
    <row r="885" spans="3:22" ht="15.75" customHeight="1">
      <c r="C885" s="127"/>
      <c r="D885" s="127"/>
      <c r="G885" s="127"/>
      <c r="H885" s="128"/>
      <c r="J885" s="127"/>
      <c r="K885" s="127"/>
      <c r="L885" s="127"/>
      <c r="M885" s="124"/>
      <c r="N885" s="125"/>
      <c r="O885" s="125"/>
      <c r="V885" s="126"/>
    </row>
    <row r="886" spans="3:22" ht="15.75" customHeight="1">
      <c r="C886" s="127"/>
      <c r="D886" s="127"/>
      <c r="G886" s="127"/>
      <c r="H886" s="128"/>
      <c r="J886" s="127"/>
      <c r="K886" s="127"/>
      <c r="L886" s="127"/>
      <c r="M886" s="124"/>
      <c r="N886" s="125"/>
      <c r="O886" s="125"/>
      <c r="V886" s="126"/>
    </row>
    <row r="887" spans="3:22" ht="15.75" customHeight="1">
      <c r="C887" s="127"/>
      <c r="D887" s="127"/>
      <c r="G887" s="127"/>
      <c r="H887" s="128"/>
      <c r="J887" s="127"/>
      <c r="K887" s="127"/>
      <c r="L887" s="127"/>
      <c r="M887" s="124"/>
      <c r="N887" s="125"/>
      <c r="O887" s="125"/>
      <c r="V887" s="126"/>
    </row>
    <row r="888" spans="3:22" ht="15.75" customHeight="1">
      <c r="C888" s="127"/>
      <c r="D888" s="127"/>
      <c r="G888" s="127"/>
      <c r="H888" s="128"/>
      <c r="J888" s="127"/>
      <c r="K888" s="127"/>
      <c r="L888" s="127"/>
      <c r="M888" s="124"/>
      <c r="N888" s="125"/>
      <c r="O888" s="125"/>
      <c r="V888" s="126"/>
    </row>
    <row r="889" spans="3:22" ht="15.75" customHeight="1">
      <c r="C889" s="127"/>
      <c r="D889" s="127"/>
      <c r="G889" s="127"/>
      <c r="H889" s="128"/>
      <c r="J889" s="127"/>
      <c r="K889" s="127"/>
      <c r="L889" s="127"/>
      <c r="M889" s="124"/>
      <c r="N889" s="125"/>
      <c r="O889" s="125"/>
      <c r="V889" s="126"/>
    </row>
    <row r="890" spans="3:22" ht="15.75" customHeight="1">
      <c r="C890" s="127"/>
      <c r="D890" s="127"/>
      <c r="G890" s="127"/>
      <c r="H890" s="128"/>
      <c r="J890" s="127"/>
      <c r="K890" s="127"/>
      <c r="L890" s="127"/>
      <c r="M890" s="124"/>
      <c r="N890" s="125"/>
      <c r="O890" s="125"/>
      <c r="V890" s="126"/>
    </row>
    <row r="891" spans="3:22" ht="15.75" customHeight="1">
      <c r="C891" s="127"/>
      <c r="D891" s="127"/>
      <c r="G891" s="127"/>
      <c r="H891" s="128"/>
      <c r="J891" s="127"/>
      <c r="K891" s="127"/>
      <c r="L891" s="127"/>
      <c r="M891" s="124"/>
      <c r="N891" s="125"/>
      <c r="O891" s="125"/>
      <c r="V891" s="126"/>
    </row>
    <row r="892" spans="3:22" ht="15.75" customHeight="1">
      <c r="C892" s="127"/>
      <c r="D892" s="127"/>
      <c r="G892" s="127"/>
      <c r="H892" s="128"/>
      <c r="J892" s="127"/>
      <c r="K892" s="127"/>
      <c r="L892" s="127"/>
      <c r="M892" s="124"/>
      <c r="N892" s="125"/>
      <c r="O892" s="125"/>
      <c r="V892" s="126"/>
    </row>
    <row r="893" spans="3:22" ht="15.75" customHeight="1">
      <c r="C893" s="127"/>
      <c r="D893" s="127"/>
      <c r="G893" s="127"/>
      <c r="H893" s="128"/>
      <c r="J893" s="127"/>
      <c r="K893" s="127"/>
      <c r="L893" s="127"/>
      <c r="M893" s="124"/>
      <c r="N893" s="125"/>
      <c r="O893" s="125"/>
      <c r="V893" s="126"/>
    </row>
    <row r="894" spans="3:22" ht="15.75" customHeight="1">
      <c r="C894" s="127"/>
      <c r="D894" s="127"/>
      <c r="G894" s="127"/>
      <c r="H894" s="128"/>
      <c r="J894" s="127"/>
      <c r="K894" s="127"/>
      <c r="L894" s="127"/>
      <c r="M894" s="124"/>
      <c r="N894" s="125"/>
      <c r="O894" s="125"/>
      <c r="V894" s="126"/>
    </row>
    <row r="895" spans="3:22" ht="15.75" customHeight="1">
      <c r="C895" s="127"/>
      <c r="D895" s="127"/>
      <c r="G895" s="127"/>
      <c r="H895" s="128"/>
      <c r="J895" s="127"/>
      <c r="K895" s="127"/>
      <c r="L895" s="127"/>
      <c r="M895" s="124"/>
      <c r="N895" s="125"/>
      <c r="O895" s="125"/>
      <c r="V895" s="126"/>
    </row>
    <row r="896" spans="3:22" ht="15.75" customHeight="1">
      <c r="C896" s="127"/>
      <c r="D896" s="127"/>
      <c r="G896" s="127"/>
      <c r="H896" s="128"/>
      <c r="J896" s="127"/>
      <c r="K896" s="127"/>
      <c r="L896" s="127"/>
      <c r="M896" s="124"/>
      <c r="N896" s="125"/>
      <c r="O896" s="125"/>
      <c r="V896" s="126"/>
    </row>
    <row r="897" spans="3:22" ht="15.75" customHeight="1">
      <c r="C897" s="127"/>
      <c r="D897" s="127"/>
      <c r="G897" s="127"/>
      <c r="H897" s="128"/>
      <c r="J897" s="127"/>
      <c r="K897" s="127"/>
      <c r="L897" s="127"/>
      <c r="M897" s="124"/>
      <c r="N897" s="125"/>
      <c r="O897" s="125"/>
      <c r="V897" s="126"/>
    </row>
    <row r="898" spans="3:22" ht="15.75" customHeight="1">
      <c r="C898" s="127"/>
      <c r="D898" s="127"/>
      <c r="G898" s="127"/>
      <c r="H898" s="128"/>
      <c r="J898" s="127"/>
      <c r="K898" s="127"/>
      <c r="L898" s="127"/>
      <c r="M898" s="124"/>
      <c r="N898" s="125"/>
      <c r="O898" s="125"/>
      <c r="V898" s="126"/>
    </row>
    <row r="899" spans="3:22" ht="15.75" customHeight="1">
      <c r="C899" s="127"/>
      <c r="D899" s="127"/>
      <c r="G899" s="127"/>
      <c r="H899" s="128"/>
      <c r="J899" s="127"/>
      <c r="K899" s="127"/>
      <c r="L899" s="127"/>
      <c r="M899" s="124"/>
      <c r="N899" s="125"/>
      <c r="O899" s="125"/>
      <c r="V899" s="126"/>
    </row>
    <row r="900" spans="3:22" ht="15.75" customHeight="1">
      <c r="C900" s="127"/>
      <c r="D900" s="127"/>
      <c r="G900" s="127"/>
      <c r="H900" s="128"/>
      <c r="J900" s="127"/>
      <c r="K900" s="127"/>
      <c r="L900" s="127"/>
      <c r="M900" s="124"/>
      <c r="N900" s="125"/>
      <c r="O900" s="125"/>
      <c r="V900" s="126"/>
    </row>
    <row r="901" spans="3:22" ht="15.75" customHeight="1">
      <c r="C901" s="127"/>
      <c r="D901" s="127"/>
      <c r="G901" s="127"/>
      <c r="H901" s="128"/>
      <c r="J901" s="127"/>
      <c r="K901" s="127"/>
      <c r="L901" s="127"/>
      <c r="M901" s="124"/>
      <c r="N901" s="125"/>
      <c r="O901" s="125"/>
      <c r="V901" s="126"/>
    </row>
    <row r="902" spans="3:22" ht="15.75" customHeight="1">
      <c r="C902" s="127"/>
      <c r="D902" s="127"/>
      <c r="G902" s="127"/>
      <c r="H902" s="128"/>
      <c r="J902" s="127"/>
      <c r="K902" s="127"/>
      <c r="L902" s="127"/>
      <c r="M902" s="124"/>
      <c r="N902" s="125"/>
      <c r="O902" s="125"/>
      <c r="V902" s="126"/>
    </row>
    <row r="903" spans="3:22" ht="15.75" customHeight="1">
      <c r="C903" s="127"/>
      <c r="D903" s="127"/>
      <c r="G903" s="127"/>
      <c r="H903" s="128"/>
      <c r="J903" s="127"/>
      <c r="K903" s="127"/>
      <c r="L903" s="127"/>
      <c r="M903" s="124"/>
      <c r="N903" s="125"/>
      <c r="O903" s="125"/>
      <c r="V903" s="126"/>
    </row>
    <row r="904" spans="3:22" ht="15.75" customHeight="1">
      <c r="C904" s="127"/>
      <c r="D904" s="127"/>
      <c r="G904" s="127"/>
      <c r="H904" s="128"/>
      <c r="J904" s="127"/>
      <c r="K904" s="127"/>
      <c r="L904" s="127"/>
      <c r="M904" s="124"/>
      <c r="N904" s="125"/>
      <c r="O904" s="125"/>
      <c r="V904" s="126"/>
    </row>
    <row r="905" spans="3:22" ht="15.75" customHeight="1">
      <c r="C905" s="127"/>
      <c r="D905" s="127"/>
      <c r="G905" s="127"/>
      <c r="H905" s="128"/>
      <c r="J905" s="127"/>
      <c r="K905" s="127"/>
      <c r="L905" s="127"/>
      <c r="M905" s="124"/>
      <c r="N905" s="125"/>
      <c r="O905" s="125"/>
      <c r="V905" s="126"/>
    </row>
    <row r="906" spans="3:22" ht="15.75" customHeight="1">
      <c r="C906" s="127"/>
      <c r="D906" s="127"/>
      <c r="G906" s="127"/>
      <c r="H906" s="128"/>
      <c r="J906" s="127"/>
      <c r="K906" s="127"/>
      <c r="L906" s="127"/>
      <c r="M906" s="124"/>
      <c r="N906" s="125"/>
      <c r="O906" s="125"/>
      <c r="V906" s="126"/>
    </row>
    <row r="907" spans="3:22" ht="15.75" customHeight="1">
      <c r="C907" s="127"/>
      <c r="D907" s="127"/>
      <c r="G907" s="127"/>
      <c r="H907" s="128"/>
      <c r="J907" s="127"/>
      <c r="K907" s="127"/>
      <c r="L907" s="127"/>
      <c r="M907" s="124"/>
      <c r="N907" s="125"/>
      <c r="O907" s="125"/>
      <c r="V907" s="126"/>
    </row>
    <row r="908" spans="3:22" ht="15.75" customHeight="1">
      <c r="C908" s="127"/>
      <c r="D908" s="127"/>
      <c r="G908" s="127"/>
      <c r="H908" s="128"/>
      <c r="J908" s="127"/>
      <c r="K908" s="127"/>
      <c r="L908" s="127"/>
      <c r="M908" s="124"/>
      <c r="N908" s="125"/>
      <c r="O908" s="125"/>
      <c r="V908" s="126"/>
    </row>
    <row r="909" spans="3:22" ht="15.75" customHeight="1">
      <c r="C909" s="127"/>
      <c r="D909" s="127"/>
      <c r="G909" s="127"/>
      <c r="H909" s="128"/>
      <c r="J909" s="127"/>
      <c r="K909" s="127"/>
      <c r="L909" s="127"/>
      <c r="M909" s="124"/>
      <c r="N909" s="125"/>
      <c r="O909" s="125"/>
      <c r="V909" s="126"/>
    </row>
    <row r="910" spans="3:22" ht="15.75" customHeight="1">
      <c r="C910" s="127"/>
      <c r="D910" s="127"/>
      <c r="G910" s="127"/>
      <c r="H910" s="128"/>
      <c r="J910" s="127"/>
      <c r="K910" s="127"/>
      <c r="L910" s="127"/>
      <c r="M910" s="124"/>
      <c r="N910" s="125"/>
      <c r="O910" s="125"/>
      <c r="V910" s="126"/>
    </row>
    <row r="911" spans="3:22" ht="15.75" customHeight="1">
      <c r="C911" s="127"/>
      <c r="D911" s="127"/>
      <c r="G911" s="127"/>
      <c r="H911" s="128"/>
      <c r="J911" s="127"/>
      <c r="K911" s="127"/>
      <c r="L911" s="127"/>
      <c r="M911" s="124"/>
      <c r="N911" s="125"/>
      <c r="O911" s="125"/>
      <c r="V911" s="126"/>
    </row>
    <row r="912" spans="3:22" ht="15.75" customHeight="1">
      <c r="C912" s="127"/>
      <c r="D912" s="127"/>
      <c r="G912" s="127"/>
      <c r="H912" s="128"/>
      <c r="J912" s="127"/>
      <c r="K912" s="127"/>
      <c r="L912" s="127"/>
      <c r="M912" s="124"/>
      <c r="N912" s="125"/>
      <c r="O912" s="125"/>
      <c r="V912" s="126"/>
    </row>
    <row r="913" spans="3:22" ht="15.75" customHeight="1">
      <c r="C913" s="127"/>
      <c r="D913" s="127"/>
      <c r="G913" s="127"/>
      <c r="H913" s="128"/>
      <c r="J913" s="127"/>
      <c r="K913" s="127"/>
      <c r="L913" s="127"/>
      <c r="M913" s="124"/>
      <c r="N913" s="125"/>
      <c r="O913" s="125"/>
      <c r="V913" s="126"/>
    </row>
    <row r="914" spans="3:22" ht="15.75" customHeight="1">
      <c r="C914" s="127"/>
      <c r="D914" s="127"/>
      <c r="G914" s="127"/>
      <c r="H914" s="128"/>
      <c r="J914" s="127"/>
      <c r="K914" s="127"/>
      <c r="L914" s="127"/>
      <c r="M914" s="124"/>
      <c r="N914" s="125"/>
      <c r="O914" s="125"/>
      <c r="V914" s="126"/>
    </row>
    <row r="915" spans="3:22" ht="15.75" customHeight="1">
      <c r="C915" s="127"/>
      <c r="D915" s="127"/>
      <c r="G915" s="127"/>
      <c r="H915" s="128"/>
      <c r="J915" s="127"/>
      <c r="K915" s="127"/>
      <c r="L915" s="127"/>
      <c r="M915" s="124"/>
      <c r="N915" s="125"/>
      <c r="O915" s="125"/>
      <c r="V915" s="126"/>
    </row>
    <row r="916" spans="3:22" ht="15.75" customHeight="1">
      <c r="C916" s="127"/>
      <c r="D916" s="127"/>
      <c r="G916" s="127"/>
      <c r="H916" s="128"/>
      <c r="J916" s="127"/>
      <c r="K916" s="127"/>
      <c r="L916" s="127"/>
      <c r="M916" s="124"/>
      <c r="N916" s="125"/>
      <c r="O916" s="125"/>
      <c r="V916" s="126"/>
    </row>
    <row r="917" spans="3:22" ht="15.75" customHeight="1">
      <c r="C917" s="127"/>
      <c r="D917" s="127"/>
      <c r="G917" s="127"/>
      <c r="H917" s="128"/>
      <c r="J917" s="127"/>
      <c r="K917" s="127"/>
      <c r="L917" s="127"/>
      <c r="M917" s="124"/>
      <c r="N917" s="125"/>
      <c r="O917" s="125"/>
      <c r="V917" s="126"/>
    </row>
    <row r="918" spans="3:22" ht="15.75" customHeight="1">
      <c r="C918" s="127"/>
      <c r="D918" s="127"/>
      <c r="G918" s="127"/>
      <c r="H918" s="128"/>
      <c r="J918" s="127"/>
      <c r="K918" s="127"/>
      <c r="L918" s="127"/>
      <c r="M918" s="124"/>
      <c r="N918" s="125"/>
      <c r="O918" s="125"/>
      <c r="V918" s="126"/>
    </row>
    <row r="919" spans="3:22" ht="15.75" customHeight="1">
      <c r="C919" s="127"/>
      <c r="D919" s="127"/>
      <c r="G919" s="127"/>
      <c r="H919" s="128"/>
      <c r="J919" s="127"/>
      <c r="K919" s="127"/>
      <c r="L919" s="127"/>
      <c r="M919" s="124"/>
      <c r="N919" s="125"/>
      <c r="O919" s="125"/>
      <c r="V919" s="126"/>
    </row>
    <row r="920" spans="3:22" ht="15.75" customHeight="1">
      <c r="C920" s="127"/>
      <c r="D920" s="127"/>
      <c r="G920" s="127"/>
      <c r="H920" s="128"/>
      <c r="J920" s="127"/>
      <c r="K920" s="127"/>
      <c r="L920" s="127"/>
      <c r="M920" s="124"/>
      <c r="N920" s="125"/>
      <c r="O920" s="125"/>
      <c r="V920" s="126"/>
    </row>
    <row r="921" spans="3:22" ht="15.75" customHeight="1">
      <c r="C921" s="127"/>
      <c r="D921" s="127"/>
      <c r="G921" s="127"/>
      <c r="H921" s="128"/>
      <c r="J921" s="127"/>
      <c r="K921" s="127"/>
      <c r="L921" s="127"/>
      <c r="M921" s="124"/>
      <c r="N921" s="125"/>
      <c r="O921" s="125"/>
      <c r="V921" s="126"/>
    </row>
    <row r="922" spans="3:22" ht="15.75" customHeight="1">
      <c r="C922" s="127"/>
      <c r="D922" s="127"/>
      <c r="G922" s="127"/>
      <c r="H922" s="128"/>
      <c r="J922" s="127"/>
      <c r="K922" s="127"/>
      <c r="L922" s="127"/>
      <c r="M922" s="124"/>
      <c r="N922" s="125"/>
      <c r="O922" s="125"/>
      <c r="V922" s="126"/>
    </row>
    <row r="923" spans="3:22" ht="15.75" customHeight="1">
      <c r="C923" s="127"/>
      <c r="D923" s="127"/>
      <c r="G923" s="127"/>
      <c r="H923" s="128"/>
      <c r="J923" s="127"/>
      <c r="K923" s="127"/>
      <c r="L923" s="127"/>
      <c r="M923" s="124"/>
      <c r="N923" s="125"/>
      <c r="O923" s="125"/>
      <c r="V923" s="126"/>
    </row>
    <row r="924" spans="3:22" ht="15.75" customHeight="1">
      <c r="C924" s="127"/>
      <c r="D924" s="127"/>
      <c r="G924" s="127"/>
      <c r="H924" s="128"/>
      <c r="J924" s="127"/>
      <c r="K924" s="127"/>
      <c r="L924" s="127"/>
      <c r="M924" s="124"/>
      <c r="N924" s="125"/>
      <c r="O924" s="125"/>
      <c r="V924" s="126"/>
    </row>
    <row r="925" spans="3:22" ht="15.75" customHeight="1">
      <c r="C925" s="127"/>
      <c r="D925" s="127"/>
      <c r="G925" s="127"/>
      <c r="H925" s="128"/>
      <c r="J925" s="127"/>
      <c r="K925" s="127"/>
      <c r="L925" s="127"/>
      <c r="M925" s="124"/>
      <c r="N925" s="125"/>
      <c r="O925" s="125"/>
      <c r="V925" s="126"/>
    </row>
    <row r="926" spans="3:22" ht="15.75" customHeight="1">
      <c r="C926" s="127"/>
      <c r="D926" s="127"/>
      <c r="G926" s="127"/>
      <c r="H926" s="128"/>
      <c r="J926" s="127"/>
      <c r="K926" s="127"/>
      <c r="L926" s="127"/>
      <c r="M926" s="124"/>
      <c r="N926" s="125"/>
      <c r="O926" s="125"/>
      <c r="V926" s="126"/>
    </row>
    <row r="927" spans="3:22" ht="15.75" customHeight="1">
      <c r="C927" s="127"/>
      <c r="D927" s="127"/>
      <c r="G927" s="127"/>
      <c r="H927" s="128"/>
      <c r="J927" s="127"/>
      <c r="K927" s="127"/>
      <c r="L927" s="127"/>
      <c r="M927" s="124"/>
      <c r="N927" s="125"/>
      <c r="O927" s="125"/>
      <c r="V927" s="126"/>
    </row>
    <row r="928" spans="3:22" ht="15.75" customHeight="1">
      <c r="C928" s="127"/>
      <c r="D928" s="127"/>
      <c r="G928" s="127"/>
      <c r="H928" s="128"/>
      <c r="J928" s="127"/>
      <c r="K928" s="127"/>
      <c r="L928" s="127"/>
      <c r="M928" s="124"/>
      <c r="N928" s="125"/>
      <c r="O928" s="125"/>
      <c r="V928" s="126"/>
    </row>
    <row r="929" spans="3:22" ht="15.75" customHeight="1">
      <c r="C929" s="127"/>
      <c r="D929" s="127"/>
      <c r="G929" s="127"/>
      <c r="H929" s="128"/>
      <c r="J929" s="127"/>
      <c r="K929" s="127"/>
      <c r="L929" s="127"/>
      <c r="M929" s="124"/>
      <c r="N929" s="125"/>
      <c r="O929" s="125"/>
      <c r="V929" s="126"/>
    </row>
    <row r="930" spans="3:22" ht="15.75" customHeight="1">
      <c r="C930" s="127"/>
      <c r="D930" s="127"/>
      <c r="G930" s="127"/>
      <c r="H930" s="128"/>
      <c r="J930" s="127"/>
      <c r="K930" s="127"/>
      <c r="L930" s="127"/>
      <c r="M930" s="124"/>
      <c r="N930" s="125"/>
      <c r="O930" s="125"/>
      <c r="V930" s="126"/>
    </row>
    <row r="931" spans="3:22" ht="15.75" customHeight="1">
      <c r="C931" s="127"/>
      <c r="D931" s="127"/>
      <c r="G931" s="127"/>
      <c r="H931" s="128"/>
      <c r="J931" s="127"/>
      <c r="K931" s="127"/>
      <c r="L931" s="127"/>
      <c r="M931" s="124"/>
      <c r="N931" s="125"/>
      <c r="O931" s="125"/>
      <c r="V931" s="126"/>
    </row>
    <row r="932" spans="3:22" ht="15.75" customHeight="1">
      <c r="C932" s="127"/>
      <c r="D932" s="127"/>
      <c r="G932" s="127"/>
      <c r="H932" s="128"/>
      <c r="J932" s="127"/>
      <c r="K932" s="127"/>
      <c r="L932" s="127"/>
      <c r="M932" s="124"/>
      <c r="N932" s="125"/>
      <c r="O932" s="125"/>
      <c r="V932" s="126"/>
    </row>
    <row r="933" spans="3:22" ht="15.75" customHeight="1">
      <c r="C933" s="127"/>
      <c r="D933" s="127"/>
      <c r="G933" s="127"/>
      <c r="H933" s="128"/>
      <c r="J933" s="127"/>
      <c r="K933" s="127"/>
      <c r="L933" s="127"/>
      <c r="M933" s="124"/>
      <c r="N933" s="125"/>
      <c r="O933" s="125"/>
      <c r="V933" s="126"/>
    </row>
    <row r="934" spans="3:22" ht="15.75" customHeight="1">
      <c r="C934" s="127"/>
      <c r="D934" s="127"/>
      <c r="G934" s="127"/>
      <c r="H934" s="128"/>
      <c r="J934" s="127"/>
      <c r="K934" s="127"/>
      <c r="L934" s="127"/>
      <c r="M934" s="124"/>
      <c r="N934" s="125"/>
      <c r="O934" s="125"/>
      <c r="V934" s="126"/>
    </row>
    <row r="935" spans="3:22" ht="15.75" customHeight="1">
      <c r="C935" s="127"/>
      <c r="D935" s="127"/>
      <c r="G935" s="127"/>
      <c r="H935" s="128"/>
      <c r="J935" s="127"/>
      <c r="K935" s="127"/>
      <c r="L935" s="127"/>
      <c r="M935" s="124"/>
      <c r="N935" s="125"/>
      <c r="O935" s="125"/>
      <c r="V935" s="126"/>
    </row>
    <row r="936" spans="3:22" ht="15.75" customHeight="1">
      <c r="C936" s="127"/>
      <c r="D936" s="127"/>
      <c r="G936" s="127"/>
      <c r="H936" s="128"/>
      <c r="J936" s="127"/>
      <c r="K936" s="127"/>
      <c r="L936" s="127"/>
      <c r="M936" s="124"/>
      <c r="N936" s="125"/>
      <c r="O936" s="125"/>
      <c r="V936" s="126"/>
    </row>
    <row r="937" spans="3:22" ht="15.75" customHeight="1">
      <c r="C937" s="127"/>
      <c r="D937" s="127"/>
      <c r="G937" s="127"/>
      <c r="H937" s="128"/>
      <c r="J937" s="127"/>
      <c r="K937" s="127"/>
      <c r="L937" s="127"/>
      <c r="M937" s="124"/>
      <c r="N937" s="125"/>
      <c r="O937" s="125"/>
      <c r="V937" s="126"/>
    </row>
    <row r="938" spans="3:22" ht="15.75" customHeight="1">
      <c r="C938" s="127"/>
      <c r="D938" s="127"/>
      <c r="G938" s="127"/>
      <c r="H938" s="128"/>
      <c r="J938" s="127"/>
      <c r="K938" s="127"/>
      <c r="L938" s="127"/>
      <c r="M938" s="124"/>
      <c r="N938" s="125"/>
      <c r="O938" s="125"/>
      <c r="V938" s="126"/>
    </row>
    <row r="939" spans="3:22" ht="15.75" customHeight="1">
      <c r="C939" s="127"/>
      <c r="D939" s="127"/>
      <c r="G939" s="127"/>
      <c r="H939" s="128"/>
      <c r="J939" s="127"/>
      <c r="K939" s="127"/>
      <c r="L939" s="127"/>
      <c r="M939" s="124"/>
      <c r="N939" s="125"/>
      <c r="O939" s="125"/>
      <c r="V939" s="126"/>
    </row>
    <row r="940" spans="3:22" ht="15.75" customHeight="1">
      <c r="C940" s="127"/>
      <c r="D940" s="127"/>
      <c r="G940" s="127"/>
      <c r="H940" s="128"/>
      <c r="J940" s="127"/>
      <c r="K940" s="127"/>
      <c r="L940" s="127"/>
      <c r="M940" s="124"/>
      <c r="N940" s="125"/>
      <c r="O940" s="125"/>
      <c r="V940" s="126"/>
    </row>
    <row r="941" spans="3:22" ht="15.75" customHeight="1">
      <c r="C941" s="127"/>
      <c r="D941" s="127"/>
      <c r="G941" s="127"/>
      <c r="H941" s="128"/>
      <c r="J941" s="127"/>
      <c r="K941" s="127"/>
      <c r="L941" s="127"/>
      <c r="M941" s="124"/>
      <c r="N941" s="125"/>
      <c r="O941" s="125"/>
      <c r="V941" s="126"/>
    </row>
    <row r="942" spans="3:22" ht="15.75" customHeight="1">
      <c r="C942" s="127"/>
      <c r="D942" s="127"/>
      <c r="G942" s="127"/>
      <c r="H942" s="128"/>
      <c r="J942" s="127"/>
      <c r="K942" s="127"/>
      <c r="L942" s="127"/>
      <c r="M942" s="124"/>
      <c r="N942" s="125"/>
      <c r="O942" s="125"/>
      <c r="V942" s="126"/>
    </row>
    <row r="943" spans="3:22" ht="15.75" customHeight="1">
      <c r="C943" s="127"/>
      <c r="D943" s="127"/>
      <c r="G943" s="127"/>
      <c r="H943" s="128"/>
      <c r="J943" s="127"/>
      <c r="K943" s="127"/>
      <c r="L943" s="127"/>
      <c r="M943" s="124"/>
      <c r="N943" s="125"/>
      <c r="O943" s="125"/>
      <c r="V943" s="126"/>
    </row>
    <row r="944" spans="3:22" ht="15.75" customHeight="1">
      <c r="C944" s="127"/>
      <c r="D944" s="127"/>
      <c r="G944" s="127"/>
      <c r="H944" s="128"/>
      <c r="J944" s="127"/>
      <c r="K944" s="127"/>
      <c r="L944" s="127"/>
      <c r="M944" s="124"/>
      <c r="N944" s="125"/>
      <c r="O944" s="125"/>
      <c r="V944" s="126"/>
    </row>
    <row r="945" spans="3:22" ht="15.75" customHeight="1">
      <c r="C945" s="127"/>
      <c r="D945" s="127"/>
      <c r="G945" s="127"/>
      <c r="H945" s="128"/>
      <c r="J945" s="127"/>
      <c r="K945" s="127"/>
      <c r="L945" s="127"/>
      <c r="M945" s="124"/>
      <c r="N945" s="125"/>
      <c r="O945" s="125"/>
      <c r="V945" s="126"/>
    </row>
    <row r="946" spans="3:22" ht="15.75" customHeight="1">
      <c r="C946" s="127"/>
      <c r="D946" s="127"/>
      <c r="G946" s="127"/>
      <c r="H946" s="128"/>
      <c r="J946" s="127"/>
      <c r="K946" s="127"/>
      <c r="L946" s="127"/>
      <c r="M946" s="124"/>
      <c r="N946" s="125"/>
      <c r="O946" s="125"/>
      <c r="V946" s="126"/>
    </row>
    <row r="947" spans="3:22" ht="15.75" customHeight="1">
      <c r="C947" s="127"/>
      <c r="D947" s="127"/>
      <c r="G947" s="127"/>
      <c r="H947" s="128"/>
      <c r="J947" s="127"/>
      <c r="K947" s="127"/>
      <c r="L947" s="127"/>
      <c r="M947" s="124"/>
      <c r="N947" s="125"/>
      <c r="O947" s="125"/>
      <c r="V947" s="126"/>
    </row>
    <row r="948" spans="3:22" ht="15.75" customHeight="1">
      <c r="C948" s="127"/>
      <c r="D948" s="127"/>
      <c r="G948" s="127"/>
      <c r="H948" s="128"/>
      <c r="J948" s="127"/>
      <c r="K948" s="127"/>
      <c r="L948" s="127"/>
      <c r="M948" s="124"/>
      <c r="N948" s="125"/>
      <c r="O948" s="125"/>
      <c r="V948" s="126"/>
    </row>
    <row r="949" spans="3:22" ht="15.75" customHeight="1">
      <c r="C949" s="127"/>
      <c r="D949" s="127"/>
      <c r="G949" s="127"/>
      <c r="H949" s="128"/>
      <c r="J949" s="127"/>
      <c r="K949" s="127"/>
      <c r="L949" s="127"/>
      <c r="M949" s="124"/>
      <c r="N949" s="125"/>
      <c r="O949" s="125"/>
      <c r="V949" s="126"/>
    </row>
    <row r="950" spans="3:22" ht="15.75" customHeight="1">
      <c r="C950" s="127"/>
      <c r="D950" s="127"/>
      <c r="G950" s="127"/>
      <c r="H950" s="128"/>
      <c r="J950" s="127"/>
      <c r="K950" s="127"/>
      <c r="L950" s="127"/>
      <c r="M950" s="124"/>
      <c r="N950" s="125"/>
      <c r="O950" s="125"/>
      <c r="V950" s="126"/>
    </row>
    <row r="951" spans="3:22" ht="15.75" customHeight="1">
      <c r="C951" s="127"/>
      <c r="D951" s="127"/>
      <c r="G951" s="127"/>
      <c r="H951" s="128"/>
      <c r="J951" s="127"/>
      <c r="K951" s="127"/>
      <c r="L951" s="127"/>
      <c r="M951" s="124"/>
      <c r="N951" s="125"/>
      <c r="O951" s="125"/>
      <c r="V951" s="126"/>
    </row>
    <row r="952" spans="3:22" ht="15.75" customHeight="1">
      <c r="C952" s="127"/>
      <c r="D952" s="127"/>
      <c r="G952" s="127"/>
      <c r="H952" s="128"/>
      <c r="J952" s="127"/>
      <c r="K952" s="127"/>
      <c r="L952" s="127"/>
      <c r="M952" s="124"/>
      <c r="N952" s="125"/>
      <c r="O952" s="125"/>
      <c r="V952" s="126"/>
    </row>
    <row r="953" spans="3:22" ht="15.75" customHeight="1">
      <c r="C953" s="127"/>
      <c r="D953" s="127"/>
      <c r="G953" s="127"/>
      <c r="H953" s="128"/>
      <c r="J953" s="127"/>
      <c r="K953" s="127"/>
      <c r="L953" s="127"/>
      <c r="M953" s="124"/>
      <c r="N953" s="125"/>
      <c r="O953" s="125"/>
      <c r="V953" s="126"/>
    </row>
    <row r="954" spans="3:22" ht="15.75" customHeight="1">
      <c r="C954" s="127"/>
      <c r="D954" s="127"/>
      <c r="G954" s="127"/>
      <c r="H954" s="128"/>
      <c r="J954" s="127"/>
      <c r="K954" s="127"/>
      <c r="L954" s="127"/>
      <c r="M954" s="124"/>
      <c r="N954" s="125"/>
      <c r="O954" s="125"/>
      <c r="V954" s="126"/>
    </row>
    <row r="955" spans="3:22" ht="15.75" customHeight="1">
      <c r="C955" s="127"/>
      <c r="D955" s="127"/>
      <c r="G955" s="127"/>
      <c r="H955" s="128"/>
      <c r="J955" s="127"/>
      <c r="K955" s="127"/>
      <c r="L955" s="127"/>
      <c r="M955" s="124"/>
      <c r="N955" s="125"/>
      <c r="O955" s="125"/>
      <c r="V955" s="126"/>
    </row>
    <row r="956" spans="3:22" ht="15.75" customHeight="1">
      <c r="C956" s="127"/>
      <c r="D956" s="127"/>
      <c r="G956" s="127"/>
      <c r="H956" s="128"/>
      <c r="J956" s="127"/>
      <c r="K956" s="127"/>
      <c r="L956" s="127"/>
      <c r="M956" s="124"/>
      <c r="N956" s="125"/>
      <c r="O956" s="125"/>
      <c r="V956" s="126"/>
    </row>
    <row r="957" spans="3:22" ht="15.75" customHeight="1">
      <c r="C957" s="127"/>
      <c r="D957" s="127"/>
      <c r="G957" s="127"/>
      <c r="H957" s="128"/>
      <c r="J957" s="127"/>
      <c r="K957" s="127"/>
      <c r="L957" s="127"/>
      <c r="M957" s="124"/>
      <c r="N957" s="125"/>
      <c r="O957" s="125"/>
      <c r="V957" s="126"/>
    </row>
    <row r="958" spans="3:22" ht="15.75" customHeight="1">
      <c r="C958" s="127"/>
      <c r="D958" s="127"/>
      <c r="G958" s="127"/>
      <c r="H958" s="128"/>
      <c r="J958" s="127"/>
      <c r="K958" s="127"/>
      <c r="L958" s="127"/>
      <c r="M958" s="124"/>
      <c r="N958" s="125"/>
      <c r="O958" s="125"/>
      <c r="V958" s="126"/>
    </row>
    <row r="959" spans="3:22" ht="15.75" customHeight="1">
      <c r="C959" s="127"/>
      <c r="D959" s="127"/>
      <c r="G959" s="127"/>
      <c r="H959" s="128"/>
      <c r="J959" s="127"/>
      <c r="K959" s="127"/>
      <c r="L959" s="127"/>
      <c r="M959" s="124"/>
      <c r="N959" s="125"/>
      <c r="O959" s="125"/>
      <c r="V959" s="126"/>
    </row>
    <row r="960" spans="3:22" ht="15.75" customHeight="1">
      <c r="C960" s="127"/>
      <c r="D960" s="127"/>
      <c r="G960" s="127"/>
      <c r="H960" s="128"/>
      <c r="J960" s="127"/>
      <c r="K960" s="127"/>
      <c r="L960" s="127"/>
      <c r="M960" s="124"/>
      <c r="N960" s="125"/>
      <c r="O960" s="125"/>
      <c r="V960" s="126"/>
    </row>
    <row r="961" spans="3:22" ht="15.75" customHeight="1">
      <c r="C961" s="127"/>
      <c r="D961" s="127"/>
      <c r="G961" s="127"/>
      <c r="H961" s="128"/>
      <c r="J961" s="127"/>
      <c r="K961" s="127"/>
      <c r="L961" s="127"/>
      <c r="M961" s="124"/>
      <c r="N961" s="125"/>
      <c r="O961" s="125"/>
      <c r="V961" s="126"/>
    </row>
    <row r="962" spans="3:22" ht="15.75" customHeight="1">
      <c r="C962" s="127"/>
      <c r="D962" s="127"/>
      <c r="G962" s="127"/>
      <c r="H962" s="128"/>
      <c r="J962" s="127"/>
      <c r="K962" s="127"/>
      <c r="L962" s="127"/>
      <c r="M962" s="124"/>
      <c r="N962" s="125"/>
      <c r="O962" s="125"/>
      <c r="V962" s="126"/>
    </row>
    <row r="963" spans="3:22" ht="15.75" customHeight="1">
      <c r="C963" s="127"/>
      <c r="D963" s="127"/>
      <c r="G963" s="127"/>
      <c r="H963" s="128"/>
      <c r="J963" s="127"/>
      <c r="K963" s="127"/>
      <c r="L963" s="127"/>
      <c r="M963" s="124"/>
      <c r="N963" s="125"/>
      <c r="O963" s="125"/>
      <c r="V963" s="126"/>
    </row>
    <row r="964" spans="3:22" ht="15.75" customHeight="1">
      <c r="C964" s="127"/>
      <c r="D964" s="127"/>
      <c r="G964" s="127"/>
      <c r="H964" s="128"/>
      <c r="J964" s="127"/>
      <c r="K964" s="127"/>
      <c r="L964" s="127"/>
      <c r="M964" s="124"/>
      <c r="N964" s="125"/>
      <c r="O964" s="125"/>
      <c r="V964" s="126"/>
    </row>
    <row r="965" spans="3:22" ht="15.75" customHeight="1">
      <c r="C965" s="127"/>
      <c r="D965" s="127"/>
      <c r="G965" s="127"/>
      <c r="H965" s="128"/>
      <c r="J965" s="127"/>
      <c r="K965" s="127"/>
      <c r="L965" s="127"/>
      <c r="M965" s="124"/>
      <c r="N965" s="125"/>
      <c r="O965" s="125"/>
      <c r="V965" s="126"/>
    </row>
    <row r="966" spans="3:22" ht="15.75" customHeight="1">
      <c r="C966" s="127"/>
      <c r="D966" s="127"/>
      <c r="G966" s="127"/>
      <c r="H966" s="128"/>
      <c r="J966" s="127"/>
      <c r="K966" s="127"/>
      <c r="L966" s="127"/>
      <c r="M966" s="124"/>
      <c r="N966" s="125"/>
      <c r="O966" s="125"/>
      <c r="V966" s="126"/>
    </row>
    <row r="967" spans="3:22" ht="15.75" customHeight="1">
      <c r="C967" s="127"/>
      <c r="D967" s="127"/>
      <c r="G967" s="127"/>
      <c r="H967" s="128"/>
      <c r="J967" s="127"/>
      <c r="K967" s="127"/>
      <c r="L967" s="127"/>
      <c r="M967" s="124"/>
      <c r="N967" s="125"/>
      <c r="O967" s="125"/>
      <c r="V967" s="126"/>
    </row>
    <row r="968" spans="3:22" ht="15.75" customHeight="1">
      <c r="C968" s="127"/>
      <c r="D968" s="127"/>
      <c r="G968" s="127"/>
      <c r="H968" s="128"/>
      <c r="J968" s="127"/>
      <c r="K968" s="127"/>
      <c r="L968" s="127"/>
      <c r="M968" s="124"/>
      <c r="N968" s="125"/>
      <c r="O968" s="125"/>
      <c r="V968" s="126"/>
    </row>
    <row r="969" spans="3:22" ht="15.75" customHeight="1">
      <c r="C969" s="127"/>
      <c r="D969" s="127"/>
      <c r="G969" s="127"/>
      <c r="H969" s="128"/>
      <c r="J969" s="127"/>
      <c r="K969" s="127"/>
      <c r="L969" s="127"/>
      <c r="M969" s="124"/>
      <c r="N969" s="125"/>
      <c r="O969" s="125"/>
      <c r="V969" s="126"/>
    </row>
    <row r="970" spans="3:22" ht="15.75" customHeight="1">
      <c r="C970" s="127"/>
      <c r="D970" s="127"/>
      <c r="G970" s="127"/>
      <c r="H970" s="128"/>
      <c r="J970" s="127"/>
      <c r="K970" s="127"/>
      <c r="L970" s="127"/>
      <c r="M970" s="124"/>
      <c r="N970" s="125"/>
      <c r="O970" s="125"/>
      <c r="V970" s="126"/>
    </row>
    <row r="971" spans="3:22" ht="15.75" customHeight="1">
      <c r="C971" s="127"/>
      <c r="D971" s="127"/>
      <c r="G971" s="127"/>
      <c r="H971" s="128"/>
      <c r="J971" s="127"/>
      <c r="K971" s="127"/>
      <c r="L971" s="127"/>
      <c r="M971" s="124"/>
      <c r="N971" s="125"/>
      <c r="O971" s="125"/>
      <c r="V971" s="126"/>
    </row>
    <row r="972" spans="3:22" ht="15.75" customHeight="1">
      <c r="C972" s="127"/>
      <c r="D972" s="127"/>
      <c r="G972" s="127"/>
      <c r="H972" s="128"/>
      <c r="J972" s="127"/>
      <c r="K972" s="127"/>
      <c r="L972" s="127"/>
      <c r="M972" s="124"/>
      <c r="N972" s="125"/>
      <c r="O972" s="125"/>
      <c r="V972" s="126"/>
    </row>
    <row r="973" spans="3:22" ht="15.75" customHeight="1">
      <c r="C973" s="127"/>
      <c r="D973" s="127"/>
      <c r="G973" s="127"/>
      <c r="H973" s="128"/>
      <c r="J973" s="127"/>
      <c r="K973" s="127"/>
      <c r="L973" s="127"/>
      <c r="M973" s="124"/>
      <c r="N973" s="125"/>
      <c r="O973" s="125"/>
      <c r="V973" s="126"/>
    </row>
    <row r="974" spans="3:22" ht="15.75" customHeight="1">
      <c r="C974" s="127"/>
      <c r="D974" s="127"/>
      <c r="G974" s="127"/>
      <c r="H974" s="128"/>
      <c r="J974" s="127"/>
      <c r="K974" s="127"/>
      <c r="L974" s="127"/>
      <c r="M974" s="124"/>
      <c r="N974" s="125"/>
      <c r="O974" s="125"/>
      <c r="V974" s="126"/>
    </row>
    <row r="975" spans="3:22" ht="15.75" customHeight="1">
      <c r="C975" s="127"/>
      <c r="D975" s="127"/>
      <c r="G975" s="127"/>
      <c r="H975" s="128"/>
      <c r="J975" s="127"/>
      <c r="K975" s="127"/>
      <c r="L975" s="127"/>
      <c r="M975" s="124"/>
      <c r="N975" s="125"/>
      <c r="O975" s="125"/>
      <c r="V975" s="126"/>
    </row>
    <row r="976" spans="3:22" ht="15.75" customHeight="1">
      <c r="C976" s="127"/>
      <c r="D976" s="127"/>
      <c r="G976" s="127"/>
      <c r="H976" s="128"/>
      <c r="J976" s="127"/>
      <c r="K976" s="127"/>
      <c r="L976" s="127"/>
      <c r="M976" s="124"/>
      <c r="N976" s="125"/>
      <c r="O976" s="125"/>
      <c r="V976" s="126"/>
    </row>
    <row r="977" spans="3:22" ht="15.75" customHeight="1">
      <c r="C977" s="127"/>
      <c r="D977" s="127"/>
      <c r="G977" s="127"/>
      <c r="H977" s="128"/>
      <c r="J977" s="127"/>
      <c r="K977" s="127"/>
      <c r="L977" s="127"/>
      <c r="M977" s="124"/>
      <c r="N977" s="125"/>
      <c r="O977" s="125"/>
      <c r="V977" s="126"/>
    </row>
    <row r="978" spans="3:22" ht="15.75" customHeight="1">
      <c r="C978" s="127"/>
      <c r="D978" s="127"/>
      <c r="G978" s="127"/>
      <c r="H978" s="128"/>
      <c r="J978" s="127"/>
      <c r="K978" s="127"/>
      <c r="L978" s="127"/>
      <c r="M978" s="124"/>
      <c r="N978" s="125"/>
      <c r="O978" s="125"/>
      <c r="V978" s="126"/>
    </row>
    <row r="979" spans="3:22" ht="15.75" customHeight="1">
      <c r="C979" s="127"/>
      <c r="D979" s="127"/>
      <c r="G979" s="127"/>
      <c r="H979" s="128"/>
      <c r="J979" s="127"/>
      <c r="K979" s="127"/>
      <c r="L979" s="127"/>
      <c r="M979" s="124"/>
      <c r="N979" s="125"/>
      <c r="O979" s="125"/>
      <c r="V979" s="126"/>
    </row>
    <row r="980" spans="3:22" ht="15.75" customHeight="1">
      <c r="C980" s="127"/>
      <c r="D980" s="127"/>
      <c r="G980" s="127"/>
      <c r="H980" s="128"/>
      <c r="J980" s="127"/>
      <c r="K980" s="127"/>
      <c r="L980" s="127"/>
      <c r="M980" s="124"/>
      <c r="N980" s="125"/>
      <c r="O980" s="125"/>
      <c r="V980" s="126"/>
    </row>
    <row r="981" spans="3:22" ht="15.75" customHeight="1">
      <c r="C981" s="127"/>
      <c r="D981" s="127"/>
      <c r="G981" s="127"/>
      <c r="H981" s="128"/>
      <c r="J981" s="127"/>
      <c r="K981" s="127"/>
      <c r="L981" s="127"/>
      <c r="M981" s="124"/>
      <c r="N981" s="125"/>
      <c r="O981" s="125"/>
      <c r="V981" s="126"/>
    </row>
    <row r="982" spans="3:22" ht="15.75" customHeight="1">
      <c r="C982" s="127"/>
      <c r="D982" s="127"/>
      <c r="G982" s="127"/>
      <c r="H982" s="128"/>
      <c r="J982" s="127"/>
      <c r="K982" s="127"/>
      <c r="L982" s="127"/>
      <c r="M982" s="124"/>
      <c r="N982" s="125"/>
      <c r="O982" s="125"/>
      <c r="V982" s="126"/>
    </row>
    <row r="983" spans="3:22" ht="15.75" customHeight="1">
      <c r="C983" s="127"/>
      <c r="D983" s="127"/>
      <c r="G983" s="127"/>
      <c r="H983" s="128"/>
      <c r="J983" s="127"/>
      <c r="K983" s="127"/>
      <c r="L983" s="127"/>
      <c r="M983" s="124"/>
      <c r="N983" s="125"/>
      <c r="O983" s="125"/>
      <c r="V983" s="126"/>
    </row>
    <row r="984" spans="3:22" ht="15.75" customHeight="1">
      <c r="C984" s="127"/>
      <c r="D984" s="127"/>
      <c r="G984" s="127"/>
      <c r="H984" s="128"/>
      <c r="J984" s="127"/>
      <c r="K984" s="127"/>
      <c r="L984" s="127"/>
      <c r="M984" s="124"/>
      <c r="N984" s="125"/>
      <c r="O984" s="125"/>
      <c r="V984" s="126"/>
    </row>
    <row r="985" spans="3:22" ht="15.75" customHeight="1">
      <c r="C985" s="127"/>
      <c r="D985" s="127"/>
      <c r="G985" s="127"/>
      <c r="H985" s="128"/>
      <c r="J985" s="127"/>
      <c r="K985" s="127"/>
      <c r="L985" s="127"/>
      <c r="M985" s="124"/>
      <c r="N985" s="125"/>
      <c r="O985" s="125"/>
      <c r="V985" s="126"/>
    </row>
    <row r="986" spans="3:22" ht="15.75" customHeight="1">
      <c r="C986" s="127"/>
      <c r="D986" s="127"/>
      <c r="G986" s="127"/>
      <c r="H986" s="128"/>
      <c r="J986" s="127"/>
      <c r="K986" s="127"/>
      <c r="L986" s="127"/>
      <c r="M986" s="124"/>
      <c r="N986" s="125"/>
      <c r="O986" s="125"/>
      <c r="V986" s="126"/>
    </row>
    <row r="987" spans="3:22" ht="15.75" customHeight="1">
      <c r="C987" s="127"/>
      <c r="D987" s="127"/>
      <c r="G987" s="127"/>
      <c r="H987" s="128"/>
      <c r="J987" s="127"/>
      <c r="K987" s="127"/>
      <c r="L987" s="127"/>
      <c r="M987" s="124"/>
      <c r="N987" s="125"/>
      <c r="O987" s="125"/>
      <c r="V987" s="126"/>
    </row>
    <row r="988" spans="3:22" ht="15.75" customHeight="1">
      <c r="C988" s="127"/>
      <c r="D988" s="127"/>
      <c r="G988" s="127"/>
      <c r="H988" s="128"/>
      <c r="J988" s="127"/>
      <c r="K988" s="127"/>
      <c r="L988" s="127"/>
      <c r="M988" s="124"/>
      <c r="N988" s="125"/>
      <c r="O988" s="125"/>
      <c r="V988" s="126"/>
    </row>
    <row r="989" spans="3:22" ht="15.75" customHeight="1">
      <c r="C989" s="127"/>
      <c r="D989" s="127"/>
      <c r="G989" s="127"/>
      <c r="H989" s="128"/>
      <c r="J989" s="127"/>
      <c r="K989" s="127"/>
      <c r="L989" s="127"/>
      <c r="M989" s="124"/>
      <c r="N989" s="125"/>
      <c r="O989" s="125"/>
      <c r="V989" s="126"/>
    </row>
    <row r="990" spans="3:22" ht="15.75" customHeight="1">
      <c r="C990" s="127"/>
      <c r="D990" s="127"/>
      <c r="G990" s="127"/>
      <c r="H990" s="128"/>
      <c r="J990" s="127"/>
      <c r="K990" s="127"/>
      <c r="L990" s="127"/>
      <c r="M990" s="124"/>
      <c r="N990" s="125"/>
      <c r="O990" s="125"/>
      <c r="V990" s="126"/>
    </row>
    <row r="991" spans="3:22" ht="15.75" customHeight="1">
      <c r="C991" s="127"/>
      <c r="D991" s="127"/>
      <c r="G991" s="127"/>
      <c r="H991" s="128"/>
      <c r="J991" s="127"/>
      <c r="K991" s="127"/>
      <c r="L991" s="127"/>
      <c r="M991" s="124"/>
      <c r="N991" s="125"/>
      <c r="O991" s="125"/>
      <c r="V991" s="126"/>
    </row>
    <row r="992" spans="3:22" ht="15.75" customHeight="1">
      <c r="C992" s="127"/>
      <c r="D992" s="127"/>
      <c r="G992" s="127"/>
      <c r="H992" s="128"/>
      <c r="J992" s="127"/>
      <c r="K992" s="127"/>
      <c r="L992" s="127"/>
      <c r="M992" s="124"/>
      <c r="N992" s="125"/>
      <c r="O992" s="125"/>
      <c r="V992" s="126"/>
    </row>
    <row r="993" spans="3:22" ht="15.75" customHeight="1">
      <c r="C993" s="127"/>
      <c r="D993" s="127"/>
      <c r="G993" s="127"/>
      <c r="H993" s="128"/>
      <c r="J993" s="127"/>
      <c r="K993" s="127"/>
      <c r="L993" s="127"/>
      <c r="M993" s="124"/>
      <c r="N993" s="125"/>
      <c r="O993" s="125"/>
      <c r="V993" s="126"/>
    </row>
    <row r="994" spans="3:22" ht="15.75" customHeight="1">
      <c r="C994" s="127"/>
      <c r="D994" s="127"/>
      <c r="G994" s="127"/>
      <c r="H994" s="128"/>
      <c r="J994" s="127"/>
      <c r="K994" s="127"/>
      <c r="L994" s="127"/>
      <c r="M994" s="124"/>
      <c r="N994" s="125"/>
      <c r="O994" s="125"/>
      <c r="V994" s="126"/>
    </row>
    <row r="995" spans="3:22" ht="15.75" customHeight="1">
      <c r="C995" s="127"/>
      <c r="D995" s="127"/>
      <c r="G995" s="127"/>
      <c r="H995" s="128"/>
      <c r="J995" s="127"/>
      <c r="K995" s="127"/>
      <c r="L995" s="127"/>
      <c r="M995" s="124"/>
      <c r="N995" s="125"/>
      <c r="O995" s="125"/>
      <c r="V995" s="126"/>
    </row>
    <row r="996" spans="3:22" ht="15.75" customHeight="1">
      <c r="C996" s="127"/>
      <c r="D996" s="127"/>
      <c r="G996" s="127"/>
      <c r="H996" s="128"/>
      <c r="J996" s="127"/>
      <c r="K996" s="127"/>
      <c r="L996" s="127"/>
      <c r="M996" s="124"/>
      <c r="N996" s="125"/>
      <c r="O996" s="125"/>
      <c r="V996" s="126"/>
    </row>
    <row r="997" spans="3:22" ht="15.75" customHeight="1">
      <c r="C997" s="127"/>
      <c r="D997" s="127"/>
      <c r="G997" s="127"/>
      <c r="H997" s="128"/>
      <c r="J997" s="127"/>
      <c r="K997" s="127"/>
      <c r="L997" s="127"/>
      <c r="M997" s="124"/>
      <c r="N997" s="125"/>
      <c r="O997" s="125"/>
      <c r="V997" s="126"/>
    </row>
    <row r="998" spans="3:22" ht="15.75" customHeight="1">
      <c r="C998" s="127"/>
      <c r="D998" s="127"/>
      <c r="G998" s="127"/>
      <c r="H998" s="128"/>
      <c r="J998" s="127"/>
      <c r="K998" s="127"/>
      <c r="L998" s="127"/>
      <c r="M998" s="124"/>
      <c r="N998" s="125"/>
      <c r="O998" s="125"/>
      <c r="V998" s="126"/>
    </row>
    <row r="999" spans="3:22" ht="15.75" customHeight="1">
      <c r="C999" s="127"/>
      <c r="D999" s="127"/>
      <c r="G999" s="127"/>
      <c r="H999" s="128"/>
      <c r="J999" s="127"/>
      <c r="K999" s="127"/>
      <c r="L999" s="127"/>
      <c r="M999" s="124"/>
      <c r="N999" s="125"/>
      <c r="O999" s="125"/>
      <c r="V999" s="126"/>
    </row>
    <row r="1000" spans="3:22" ht="15.75" customHeight="1">
      <c r="C1000" s="127"/>
      <c r="D1000" s="127"/>
      <c r="G1000" s="127"/>
      <c r="H1000" s="128"/>
      <c r="J1000" s="127"/>
      <c r="K1000" s="127"/>
      <c r="L1000" s="127"/>
      <c r="M1000" s="124"/>
      <c r="N1000" s="125"/>
      <c r="O1000" s="125"/>
      <c r="V1000" s="126"/>
    </row>
  </sheetData>
  <autoFilter ref="A2:V40" xr:uid="{00000000-0009-0000-0000-000002000000}"/>
  <hyperlinks>
    <hyperlink ref="B4" location="'2'!A1" display="'2'!A1" xr:uid="{00000000-0004-0000-0200-000000000000}"/>
    <hyperlink ref="B3" location="'1'!A1" display="'1'!A1" xr:uid="{00000000-0004-0000-0200-000001000000}"/>
    <hyperlink ref="B5" location="'3'!A1" display="'3'!A1" xr:uid="{00000000-0004-0000-0200-000002000000}"/>
  </hyperlink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outlinePr summaryBelow="0" summaryRight="0"/>
  </sheetPr>
  <dimension ref="A1:BK1000"/>
  <sheetViews>
    <sheetView rightToLeft="1"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J12" sqref="BJ12"/>
    </sheetView>
  </sheetViews>
  <sheetFormatPr baseColWidth="10" defaultColWidth="14.5" defaultRowHeight="15" customHeight="1"/>
  <cols>
    <col min="1" max="1" width="9.6640625" customWidth="1"/>
    <col min="2" max="2" width="13.5" customWidth="1"/>
    <col min="3" max="3" width="20.5" customWidth="1"/>
    <col min="4" max="4" width="20.5" style="60" customWidth="1"/>
    <col min="5" max="5" width="16.83203125" customWidth="1"/>
    <col min="6" max="6" width="28.5" customWidth="1"/>
    <col min="7" max="7" width="39.6640625" customWidth="1"/>
    <col min="8" max="8" width="41.6640625" customWidth="1"/>
    <col min="9" max="10" width="37.5" customWidth="1"/>
    <col min="11" max="25" width="41.5" customWidth="1"/>
    <col min="26" max="26" width="39.6640625" customWidth="1"/>
    <col min="27" max="40" width="44.1640625" customWidth="1"/>
    <col min="41" max="41" width="44.1640625" style="293" customWidth="1"/>
    <col min="42" max="42" width="17.5" style="294" customWidth="1"/>
    <col min="43" max="43" width="17.83203125" style="294" customWidth="1"/>
    <col min="44" max="44" width="16.6640625" style="294" customWidth="1"/>
    <col min="45" max="45" width="17.5" style="294" customWidth="1"/>
    <col min="46" max="46" width="22.5" style="295" customWidth="1"/>
    <col min="47" max="49" width="14.5" style="295"/>
    <col min="50" max="50" width="27.83203125" style="295" customWidth="1"/>
    <col min="51" max="51" width="28.33203125" style="295" customWidth="1"/>
    <col min="52" max="52" width="30.33203125" style="295" customWidth="1"/>
    <col min="53" max="53" width="31" style="295" customWidth="1"/>
    <col min="54" max="54" width="26.1640625" style="295" customWidth="1"/>
    <col min="55" max="55" width="26.33203125" style="295" customWidth="1"/>
    <col min="56" max="56" width="25.5" style="295" customWidth="1"/>
    <col min="57" max="57" width="27.5" style="295" customWidth="1"/>
    <col min="58" max="58" width="27.33203125" style="295" customWidth="1"/>
    <col min="59" max="59" width="26.5" style="295" customWidth="1"/>
    <col min="60" max="60" width="25.83203125" style="295" customWidth="1"/>
    <col min="61" max="61" width="26.5" style="295" customWidth="1"/>
    <col min="62" max="62" width="22" style="295" customWidth="1"/>
    <col min="63" max="63" width="23" style="295" customWidth="1"/>
  </cols>
  <sheetData>
    <row r="1" spans="1:63" ht="15" customHeight="1">
      <c r="A1" s="3"/>
      <c r="B1" s="3" t="s">
        <v>14</v>
      </c>
      <c r="C1" s="3" t="s">
        <v>15</v>
      </c>
      <c r="D1" s="222" t="s">
        <v>1153</v>
      </c>
      <c r="E1" s="3"/>
      <c r="F1" s="4" t="s">
        <v>16</v>
      </c>
      <c r="G1" s="4">
        <v>1</v>
      </c>
      <c r="H1" s="4">
        <v>2</v>
      </c>
      <c r="I1" s="4">
        <v>3</v>
      </c>
      <c r="J1" s="4">
        <v>4</v>
      </c>
      <c r="K1" s="4">
        <v>5</v>
      </c>
      <c r="L1" s="4">
        <v>6</v>
      </c>
      <c r="M1" s="4">
        <v>7</v>
      </c>
      <c r="N1" s="4">
        <v>8</v>
      </c>
      <c r="O1" s="4">
        <v>9</v>
      </c>
      <c r="P1" s="4">
        <v>10</v>
      </c>
      <c r="Q1" s="4">
        <v>11</v>
      </c>
      <c r="R1" s="4">
        <v>12</v>
      </c>
      <c r="S1" s="4">
        <v>13</v>
      </c>
      <c r="T1" s="4">
        <v>14</v>
      </c>
      <c r="U1" s="4">
        <v>15</v>
      </c>
      <c r="V1" s="4">
        <v>16</v>
      </c>
      <c r="W1" s="4">
        <v>17</v>
      </c>
      <c r="X1" s="4">
        <v>18</v>
      </c>
      <c r="Y1" s="4">
        <v>19</v>
      </c>
      <c r="Z1" s="4">
        <v>20</v>
      </c>
      <c r="AA1" s="4">
        <v>21</v>
      </c>
      <c r="AB1" s="4">
        <v>22</v>
      </c>
      <c r="AC1" s="4">
        <v>23</v>
      </c>
      <c r="AD1" s="4">
        <v>24</v>
      </c>
      <c r="AE1" s="4">
        <v>25</v>
      </c>
      <c r="AF1" s="4">
        <v>26</v>
      </c>
      <c r="AG1" s="4">
        <v>27</v>
      </c>
      <c r="AH1" s="4">
        <v>28</v>
      </c>
      <c r="AI1" s="4">
        <v>29</v>
      </c>
      <c r="AJ1" s="4">
        <v>30</v>
      </c>
      <c r="AK1" s="4">
        <v>31</v>
      </c>
      <c r="AL1" s="4">
        <v>32</v>
      </c>
      <c r="AM1" s="4">
        <v>33</v>
      </c>
      <c r="AN1" s="4">
        <v>34</v>
      </c>
      <c r="AO1" s="288">
        <v>35</v>
      </c>
      <c r="AP1" s="295">
        <v>36</v>
      </c>
      <c r="AQ1" s="295">
        <v>37</v>
      </c>
      <c r="AR1" s="295">
        <v>38</v>
      </c>
      <c r="AS1" s="295">
        <v>39</v>
      </c>
      <c r="AT1" s="295">
        <v>40</v>
      </c>
      <c r="AU1" s="295">
        <v>41</v>
      </c>
      <c r="AV1" s="295">
        <v>42</v>
      </c>
      <c r="AW1" s="295">
        <v>43</v>
      </c>
      <c r="AX1" s="295">
        <v>44</v>
      </c>
      <c r="AY1" s="295">
        <v>45</v>
      </c>
      <c r="AZ1" s="295">
        <v>46</v>
      </c>
      <c r="BA1" s="295">
        <v>47</v>
      </c>
      <c r="BB1" s="295">
        <v>48</v>
      </c>
      <c r="BC1" s="295">
        <v>49</v>
      </c>
      <c r="BD1" s="295">
        <v>50</v>
      </c>
      <c r="BE1" s="295">
        <v>51</v>
      </c>
      <c r="BF1" s="295">
        <v>52</v>
      </c>
      <c r="BG1" s="295">
        <v>53</v>
      </c>
      <c r="BH1" s="295">
        <v>54</v>
      </c>
      <c r="BI1" s="295">
        <v>55</v>
      </c>
      <c r="BJ1" s="295">
        <v>56</v>
      </c>
      <c r="BK1" s="295">
        <v>57</v>
      </c>
    </row>
    <row r="2" spans="1:63" ht="32">
      <c r="A2" s="3">
        <v>1</v>
      </c>
      <c r="B2" s="3" t="s">
        <v>17</v>
      </c>
      <c r="C2" s="3" t="s">
        <v>18</v>
      </c>
      <c r="D2" s="222" t="s">
        <v>1154</v>
      </c>
      <c r="E2" s="3"/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5" t="s">
        <v>30</v>
      </c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  <c r="W2" s="4" t="s">
        <v>36</v>
      </c>
      <c r="X2" s="4" t="s">
        <v>37</v>
      </c>
      <c r="Y2" s="4" t="s">
        <v>38</v>
      </c>
      <c r="Z2" s="4" t="s">
        <v>39</v>
      </c>
      <c r="AA2" s="4" t="s">
        <v>40</v>
      </c>
      <c r="AB2" s="4" t="s">
        <v>41</v>
      </c>
      <c r="AC2" s="4" t="s">
        <v>42</v>
      </c>
      <c r="AD2" s="4" t="s">
        <v>43</v>
      </c>
      <c r="AE2" s="4" t="s">
        <v>44</v>
      </c>
      <c r="AF2" s="4" t="s">
        <v>1050</v>
      </c>
      <c r="AG2" s="4" t="s">
        <v>1047</v>
      </c>
      <c r="AH2" s="4" t="s">
        <v>1051</v>
      </c>
      <c r="AI2" s="4" t="s">
        <v>1048</v>
      </c>
      <c r="AJ2" s="4" t="s">
        <v>1049</v>
      </c>
      <c r="AK2" s="4" t="s">
        <v>1052</v>
      </c>
      <c r="AL2" s="4" t="s">
        <v>1053</v>
      </c>
      <c r="AM2" s="4" t="s">
        <v>1054</v>
      </c>
      <c r="AN2" s="4" t="s">
        <v>1046</v>
      </c>
      <c r="AO2" s="288" t="s">
        <v>1529</v>
      </c>
      <c r="AP2" s="295" t="s">
        <v>1530</v>
      </c>
      <c r="AQ2" s="295" t="s">
        <v>1531</v>
      </c>
      <c r="AR2" s="295" t="s">
        <v>1532</v>
      </c>
      <c r="AS2" s="295" t="s">
        <v>1533</v>
      </c>
      <c r="AT2" s="295" t="s">
        <v>1534</v>
      </c>
      <c r="AU2" s="295" t="s">
        <v>1535</v>
      </c>
      <c r="AV2" s="295" t="s">
        <v>1536</v>
      </c>
      <c r="AW2" s="295" t="s">
        <v>1537</v>
      </c>
      <c r="AX2" s="295" t="s">
        <v>1538</v>
      </c>
      <c r="AY2" s="295" t="s">
        <v>1539</v>
      </c>
      <c r="AZ2" s="295" t="s">
        <v>1540</v>
      </c>
      <c r="BA2" s="295" t="s">
        <v>1541</v>
      </c>
      <c r="BB2" s="295" t="s">
        <v>1542</v>
      </c>
      <c r="BC2" s="295" t="s">
        <v>1543</v>
      </c>
      <c r="BD2" s="295" t="s">
        <v>1544</v>
      </c>
      <c r="BE2" s="295" t="s">
        <v>1545</v>
      </c>
      <c r="BF2" s="295" t="s">
        <v>1546</v>
      </c>
      <c r="BG2" s="295" t="s">
        <v>1547</v>
      </c>
      <c r="BH2" s="295" t="s">
        <v>1548</v>
      </c>
      <c r="BI2" s="295" t="s">
        <v>1549</v>
      </c>
      <c r="BJ2" s="295" t="s">
        <v>1550</v>
      </c>
      <c r="BK2" s="295" t="s">
        <v>1551</v>
      </c>
    </row>
    <row r="3" spans="1:63">
      <c r="A3" s="3">
        <v>2</v>
      </c>
      <c r="B3" s="3"/>
      <c r="C3" s="3"/>
      <c r="D3" s="222"/>
      <c r="E3" s="6" t="str">
        <f t="shared" ref="E3:E100" si="0">G3</f>
        <v>1385/05/06</v>
      </c>
      <c r="F3" s="7" t="s">
        <v>1</v>
      </c>
      <c r="G3" s="8" t="s">
        <v>45</v>
      </c>
      <c r="H3" s="8" t="s">
        <v>46</v>
      </c>
      <c r="I3" s="8" t="s">
        <v>47</v>
      </c>
      <c r="J3" s="8" t="s">
        <v>48</v>
      </c>
      <c r="K3" s="8" t="s">
        <v>49</v>
      </c>
      <c r="L3" s="8" t="s">
        <v>49</v>
      </c>
      <c r="M3" s="8" t="s">
        <v>49</v>
      </c>
      <c r="N3" s="8" t="s">
        <v>50</v>
      </c>
      <c r="O3" s="8" t="s">
        <v>51</v>
      </c>
      <c r="P3" s="8" t="s">
        <v>52</v>
      </c>
      <c r="Q3" s="8" t="s">
        <v>53</v>
      </c>
      <c r="R3" s="8" t="s">
        <v>52</v>
      </c>
      <c r="S3" s="8"/>
      <c r="T3" s="8" t="s">
        <v>54</v>
      </c>
      <c r="U3" s="8" t="s">
        <v>55</v>
      </c>
      <c r="V3" s="8" t="s">
        <v>56</v>
      </c>
      <c r="W3" s="8"/>
      <c r="X3" s="8" t="s">
        <v>57</v>
      </c>
      <c r="Y3" s="8"/>
      <c r="Z3" s="8" t="s">
        <v>58</v>
      </c>
      <c r="AA3" s="8" t="s">
        <v>59</v>
      </c>
      <c r="AB3" s="8" t="s">
        <v>60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289"/>
    </row>
    <row r="4" spans="1:63">
      <c r="A4" s="3">
        <v>3</v>
      </c>
      <c r="B4" s="3"/>
      <c r="C4" s="3"/>
      <c r="D4" s="222"/>
      <c r="E4" s="3">
        <f t="shared" si="0"/>
        <v>0</v>
      </c>
      <c r="F4" s="4" t="s">
        <v>61</v>
      </c>
      <c r="G4" s="4"/>
      <c r="H4" s="4"/>
      <c r="I4" s="4"/>
      <c r="J4" s="4"/>
      <c r="K4" s="4"/>
      <c r="L4" s="4"/>
      <c r="M4" s="4"/>
      <c r="N4" s="4" t="s">
        <v>62</v>
      </c>
      <c r="O4" s="4" t="s">
        <v>63</v>
      </c>
      <c r="P4" s="4" t="s">
        <v>62</v>
      </c>
      <c r="Q4" s="4" t="s">
        <v>62</v>
      </c>
      <c r="R4" s="4"/>
      <c r="S4" s="4"/>
      <c r="T4" s="4" t="s">
        <v>64</v>
      </c>
      <c r="U4" s="4" t="s">
        <v>62</v>
      </c>
      <c r="V4" s="4" t="s">
        <v>62</v>
      </c>
      <c r="W4" s="4"/>
      <c r="X4" s="4" t="s">
        <v>62</v>
      </c>
      <c r="Y4" s="4"/>
      <c r="Z4" s="4" t="s">
        <v>65</v>
      </c>
      <c r="AA4" s="4" t="s">
        <v>66</v>
      </c>
      <c r="AB4" s="4" t="s">
        <v>62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288"/>
    </row>
    <row r="5" spans="1:63">
      <c r="A5" s="3">
        <v>4</v>
      </c>
      <c r="B5" s="3"/>
      <c r="C5" s="3"/>
      <c r="D5" s="222"/>
      <c r="E5" s="3">
        <f t="shared" si="0"/>
        <v>0</v>
      </c>
      <c r="F5" s="4" t="s">
        <v>3</v>
      </c>
      <c r="G5" s="4"/>
      <c r="H5" s="4"/>
      <c r="I5" s="4"/>
      <c r="J5" s="4"/>
      <c r="K5" s="4"/>
      <c r="L5" s="4"/>
      <c r="M5" s="4"/>
      <c r="N5" s="4" t="s">
        <v>62</v>
      </c>
      <c r="O5" s="4"/>
      <c r="P5" s="4" t="s">
        <v>62</v>
      </c>
      <c r="Q5" s="4" t="s">
        <v>62</v>
      </c>
      <c r="R5" s="4"/>
      <c r="S5" s="4"/>
      <c r="T5" s="4" t="s">
        <v>64</v>
      </c>
      <c r="U5" s="4" t="s">
        <v>62</v>
      </c>
      <c r="V5" s="4" t="s">
        <v>62</v>
      </c>
      <c r="W5" s="4"/>
      <c r="X5" s="4" t="s">
        <v>62</v>
      </c>
      <c r="Y5" s="4"/>
      <c r="Z5" s="4" t="s">
        <v>65</v>
      </c>
      <c r="AA5" s="4" t="s">
        <v>66</v>
      </c>
      <c r="AB5" s="4" t="s">
        <v>62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288"/>
    </row>
    <row r="6" spans="1:63">
      <c r="A6" s="3">
        <v>5</v>
      </c>
      <c r="B6" s="3"/>
      <c r="C6" s="3"/>
      <c r="D6" s="222"/>
      <c r="E6" s="3" t="str">
        <f t="shared" si="0"/>
        <v>عبدالحکیم</v>
      </c>
      <c r="F6" s="4" t="s">
        <v>67</v>
      </c>
      <c r="G6" s="4" t="s">
        <v>68</v>
      </c>
      <c r="H6" s="4" t="s">
        <v>69</v>
      </c>
      <c r="I6" s="4" t="s">
        <v>70</v>
      </c>
      <c r="J6" s="4" t="s">
        <v>71</v>
      </c>
      <c r="K6" s="4" t="s">
        <v>72</v>
      </c>
      <c r="L6" s="4" t="s">
        <v>72</v>
      </c>
      <c r="M6" s="4" t="s">
        <v>72</v>
      </c>
      <c r="N6" s="4" t="s">
        <v>73</v>
      </c>
      <c r="O6" s="4" t="s">
        <v>74</v>
      </c>
      <c r="P6" s="4" t="s">
        <v>75</v>
      </c>
      <c r="Q6" s="4" t="s">
        <v>71</v>
      </c>
      <c r="R6" s="4"/>
      <c r="S6" s="4"/>
      <c r="T6" s="4" t="s">
        <v>76</v>
      </c>
      <c r="U6" s="4" t="s">
        <v>77</v>
      </c>
      <c r="V6" s="4" t="s">
        <v>78</v>
      </c>
      <c r="W6" s="4"/>
      <c r="X6" s="4" t="s">
        <v>79</v>
      </c>
      <c r="Y6" s="4"/>
      <c r="Z6" s="4" t="s">
        <v>80</v>
      </c>
      <c r="AA6" s="4" t="s">
        <v>81</v>
      </c>
      <c r="AB6" s="4" t="s">
        <v>81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288"/>
    </row>
    <row r="7" spans="1:63">
      <c r="A7" s="3">
        <v>6</v>
      </c>
      <c r="B7" s="3"/>
      <c r="C7" s="3"/>
      <c r="D7" s="222"/>
      <c r="E7" s="3">
        <f t="shared" si="0"/>
        <v>0</v>
      </c>
      <c r="F7" s="4" t="s">
        <v>82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 t="s">
        <v>83</v>
      </c>
      <c r="U7" s="4" t="s">
        <v>84</v>
      </c>
      <c r="V7" s="4" t="s">
        <v>85</v>
      </c>
      <c r="W7" s="4" t="s">
        <v>86</v>
      </c>
      <c r="X7" s="4" t="s">
        <v>87</v>
      </c>
      <c r="Y7" s="4"/>
      <c r="Z7" s="4" t="s">
        <v>87</v>
      </c>
      <c r="AA7" s="4" t="s">
        <v>88</v>
      </c>
      <c r="AB7" s="4" t="s">
        <v>88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288"/>
    </row>
    <row r="8" spans="1:63">
      <c r="A8" s="3">
        <v>7</v>
      </c>
      <c r="B8" s="3"/>
      <c r="C8" s="3"/>
      <c r="D8" s="222"/>
      <c r="E8" s="3" t="str">
        <f t="shared" si="0"/>
        <v>دختر</v>
      </c>
      <c r="F8" s="4" t="s">
        <v>89</v>
      </c>
      <c r="G8" s="4" t="s">
        <v>2</v>
      </c>
      <c r="H8" s="4" t="s">
        <v>2</v>
      </c>
      <c r="I8" s="4" t="s">
        <v>2</v>
      </c>
      <c r="J8" s="4" t="s">
        <v>2</v>
      </c>
      <c r="K8" s="4" t="s">
        <v>2</v>
      </c>
      <c r="L8" s="4" t="s">
        <v>2</v>
      </c>
      <c r="M8" s="4" t="s">
        <v>2</v>
      </c>
      <c r="N8" s="4" t="s">
        <v>2</v>
      </c>
      <c r="O8" s="4" t="s">
        <v>2</v>
      </c>
      <c r="P8" s="4" t="s">
        <v>2</v>
      </c>
      <c r="Q8" s="4" t="s">
        <v>2</v>
      </c>
      <c r="R8" s="4" t="s">
        <v>2</v>
      </c>
      <c r="S8" s="4" t="s">
        <v>2</v>
      </c>
      <c r="T8" s="4" t="s">
        <v>2</v>
      </c>
      <c r="U8" s="4" t="s">
        <v>2</v>
      </c>
      <c r="V8" s="4" t="s">
        <v>2</v>
      </c>
      <c r="W8" s="4" t="s">
        <v>2</v>
      </c>
      <c r="X8" s="4" t="s">
        <v>2</v>
      </c>
      <c r="Y8" s="4" t="s">
        <v>2</v>
      </c>
      <c r="Z8" s="4" t="s">
        <v>2</v>
      </c>
      <c r="AA8" s="4" t="s">
        <v>2</v>
      </c>
      <c r="AB8" s="4" t="s">
        <v>2</v>
      </c>
      <c r="AC8" s="4" t="s">
        <v>90</v>
      </c>
      <c r="AD8" s="4" t="s">
        <v>90</v>
      </c>
      <c r="AE8" s="4" t="s">
        <v>2</v>
      </c>
      <c r="AF8" s="4" t="s">
        <v>2</v>
      </c>
      <c r="AG8" s="4" t="s">
        <v>2</v>
      </c>
      <c r="AH8" s="4" t="s">
        <v>2</v>
      </c>
      <c r="AI8" s="4" t="s">
        <v>2</v>
      </c>
      <c r="AJ8" s="4" t="s">
        <v>2</v>
      </c>
      <c r="AK8" s="4" t="s">
        <v>2</v>
      </c>
      <c r="AL8" s="4" t="s">
        <v>2</v>
      </c>
      <c r="AM8" s="4" t="s">
        <v>2</v>
      </c>
      <c r="AN8" s="4" t="s">
        <v>2</v>
      </c>
      <c r="AO8" s="288" t="s">
        <v>2</v>
      </c>
      <c r="AP8" s="288" t="s">
        <v>2</v>
      </c>
      <c r="AQ8" s="288" t="s">
        <v>2</v>
      </c>
      <c r="AR8" s="288" t="s">
        <v>2</v>
      </c>
      <c r="AS8" s="288" t="s">
        <v>2</v>
      </c>
      <c r="AT8" s="288" t="s">
        <v>2</v>
      </c>
      <c r="AU8" s="288" t="s">
        <v>2</v>
      </c>
      <c r="AV8" s="288" t="s">
        <v>2</v>
      </c>
      <c r="AW8" s="288" t="s">
        <v>2</v>
      </c>
      <c r="AX8" s="288" t="s">
        <v>2</v>
      </c>
      <c r="AY8" s="295" t="s">
        <v>90</v>
      </c>
      <c r="AZ8" s="295" t="s">
        <v>90</v>
      </c>
      <c r="BA8" s="295" t="s">
        <v>90</v>
      </c>
      <c r="BB8" s="295" t="s">
        <v>90</v>
      </c>
      <c r="BC8" s="295" t="s">
        <v>90</v>
      </c>
      <c r="BD8" s="295" t="s">
        <v>90</v>
      </c>
      <c r="BE8" s="295" t="s">
        <v>90</v>
      </c>
      <c r="BF8" s="295" t="s">
        <v>90</v>
      </c>
      <c r="BG8" s="295" t="s">
        <v>90</v>
      </c>
      <c r="BH8" s="295" t="s">
        <v>2</v>
      </c>
      <c r="BI8" s="295" t="s">
        <v>2</v>
      </c>
      <c r="BJ8" s="295" t="s">
        <v>2</v>
      </c>
      <c r="BK8" s="295" t="s">
        <v>2</v>
      </c>
    </row>
    <row r="9" spans="1:63">
      <c r="A9" s="3">
        <v>8</v>
      </c>
      <c r="B9" s="3"/>
      <c r="C9" s="3"/>
      <c r="D9" s="222"/>
      <c r="E9" s="3">
        <f t="shared" si="0"/>
        <v>0</v>
      </c>
      <c r="F9" s="4" t="s">
        <v>91</v>
      </c>
      <c r="G9" s="4"/>
      <c r="H9" s="4">
        <v>928744272</v>
      </c>
      <c r="I9" s="4">
        <v>928539733</v>
      </c>
      <c r="J9" s="4">
        <v>928779262</v>
      </c>
      <c r="K9" s="4"/>
      <c r="L9" s="4"/>
      <c r="M9" s="4"/>
      <c r="N9" s="4">
        <v>928280098</v>
      </c>
      <c r="O9" s="4">
        <v>91020180399</v>
      </c>
      <c r="P9" s="4" t="s">
        <v>92</v>
      </c>
      <c r="Q9" s="4" t="s">
        <v>93</v>
      </c>
      <c r="R9" s="4"/>
      <c r="S9" s="4"/>
      <c r="T9" s="4" t="s">
        <v>94</v>
      </c>
      <c r="U9" s="4" t="s">
        <v>95</v>
      </c>
      <c r="V9" s="4" t="s">
        <v>96</v>
      </c>
      <c r="W9" s="4" t="s">
        <v>97</v>
      </c>
      <c r="X9" s="4" t="s">
        <v>98</v>
      </c>
      <c r="Y9" s="4" t="s">
        <v>99</v>
      </c>
      <c r="Z9" s="4" t="s">
        <v>100</v>
      </c>
      <c r="AA9" s="4">
        <v>6500294351</v>
      </c>
      <c r="AB9" s="4" t="s">
        <v>101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288"/>
    </row>
    <row r="10" spans="1:63">
      <c r="A10" s="3">
        <v>9</v>
      </c>
      <c r="B10" s="3"/>
      <c r="C10" s="3"/>
      <c r="D10" s="222"/>
      <c r="E10" s="3" t="str">
        <f t="shared" si="0"/>
        <v>مدرسه حضرت خدیجه</v>
      </c>
      <c r="F10" s="4" t="s">
        <v>102</v>
      </c>
      <c r="G10" s="4" t="s">
        <v>103</v>
      </c>
      <c r="H10" s="4" t="s">
        <v>103</v>
      </c>
      <c r="I10" s="4" t="s">
        <v>103</v>
      </c>
      <c r="J10" s="4" t="s">
        <v>103</v>
      </c>
      <c r="K10" s="4" t="s">
        <v>103</v>
      </c>
      <c r="L10" s="4" t="s">
        <v>103</v>
      </c>
      <c r="M10" s="4" t="s">
        <v>103</v>
      </c>
      <c r="N10" s="4" t="s">
        <v>104</v>
      </c>
      <c r="O10" s="4" t="s">
        <v>103</v>
      </c>
      <c r="P10" s="4" t="s">
        <v>103</v>
      </c>
      <c r="Q10" s="4" t="s">
        <v>103</v>
      </c>
      <c r="R10" s="4" t="s">
        <v>104</v>
      </c>
      <c r="S10" s="4" t="s">
        <v>105</v>
      </c>
      <c r="T10" s="4" t="s">
        <v>106</v>
      </c>
      <c r="U10" s="4" t="s">
        <v>107</v>
      </c>
      <c r="V10" s="4" t="s">
        <v>107</v>
      </c>
      <c r="W10" s="4" t="s">
        <v>107</v>
      </c>
      <c r="X10" s="4" t="s">
        <v>107</v>
      </c>
      <c r="Y10" s="4" t="s">
        <v>108</v>
      </c>
      <c r="Z10" s="4" t="s">
        <v>107</v>
      </c>
      <c r="AA10" s="4" t="s">
        <v>109</v>
      </c>
      <c r="AB10" s="4" t="s">
        <v>109</v>
      </c>
      <c r="AC10" s="4" t="s">
        <v>109</v>
      </c>
      <c r="AD10" s="4" t="s">
        <v>109</v>
      </c>
      <c r="AE10" s="4" t="s">
        <v>110</v>
      </c>
      <c r="AF10" s="4" t="s">
        <v>132</v>
      </c>
      <c r="AG10" s="4" t="s">
        <v>133</v>
      </c>
      <c r="AH10" s="4"/>
      <c r="AI10" s="4" t="s">
        <v>133</v>
      </c>
      <c r="AJ10" s="4"/>
      <c r="AK10" s="4"/>
      <c r="AL10" s="4"/>
      <c r="AM10" s="4"/>
      <c r="AN10" s="4"/>
      <c r="AO10" s="288"/>
    </row>
    <row r="11" spans="1:63">
      <c r="A11" s="3">
        <v>10</v>
      </c>
      <c r="B11" s="3"/>
      <c r="C11" s="3"/>
      <c r="D11" s="222"/>
      <c r="E11" s="3">
        <f t="shared" si="0"/>
        <v>0</v>
      </c>
      <c r="F11" s="4" t="s">
        <v>111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288"/>
    </row>
    <row r="12" spans="1:63">
      <c r="A12" s="3">
        <v>11</v>
      </c>
      <c r="B12" s="3"/>
      <c r="C12" s="3"/>
      <c r="D12" s="222"/>
      <c r="E12" s="3" t="str">
        <f t="shared" si="0"/>
        <v>رسالت 136- خیابان امام خمینی- امام خمینی 2 پلاک 36</v>
      </c>
      <c r="F12" s="4" t="s">
        <v>112</v>
      </c>
      <c r="G12" s="9" t="s">
        <v>113</v>
      </c>
      <c r="H12" s="9" t="s">
        <v>114</v>
      </c>
      <c r="I12" s="9" t="s">
        <v>115</v>
      </c>
      <c r="J12" s="9" t="s">
        <v>116</v>
      </c>
      <c r="K12" s="9" t="s">
        <v>117</v>
      </c>
      <c r="L12" s="9" t="s">
        <v>117</v>
      </c>
      <c r="M12" s="9" t="s">
        <v>117</v>
      </c>
      <c r="N12" s="9" t="s">
        <v>118</v>
      </c>
      <c r="O12" s="9" t="s">
        <v>119</v>
      </c>
      <c r="P12" s="9" t="s">
        <v>120</v>
      </c>
      <c r="Q12" s="9" t="s">
        <v>121</v>
      </c>
      <c r="R12" s="9" t="s">
        <v>122</v>
      </c>
      <c r="S12" s="9"/>
      <c r="T12" s="9" t="s">
        <v>123</v>
      </c>
      <c r="U12" s="9" t="s">
        <v>124</v>
      </c>
      <c r="V12" s="9" t="s">
        <v>125</v>
      </c>
      <c r="W12" s="9" t="s">
        <v>126</v>
      </c>
      <c r="X12" s="9" t="s">
        <v>127</v>
      </c>
      <c r="Y12" s="9"/>
      <c r="Z12" s="9" t="s">
        <v>128</v>
      </c>
      <c r="AA12" s="9" t="s">
        <v>129</v>
      </c>
      <c r="AB12" s="9" t="s">
        <v>129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290"/>
    </row>
    <row r="13" spans="1:63">
      <c r="A13" s="3">
        <v>12</v>
      </c>
      <c r="B13" s="3"/>
      <c r="C13" s="3"/>
      <c r="D13" s="222"/>
      <c r="E13" s="3">
        <f t="shared" si="0"/>
        <v>0</v>
      </c>
      <c r="F13" s="4" t="s">
        <v>130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288"/>
    </row>
    <row r="14" spans="1:63">
      <c r="A14" s="3">
        <v>13</v>
      </c>
      <c r="B14" s="3"/>
      <c r="C14" s="3"/>
      <c r="D14" s="222"/>
      <c r="E14" s="3" t="str">
        <f t="shared" si="0"/>
        <v>خانم توکلی</v>
      </c>
      <c r="F14" s="4" t="s">
        <v>131</v>
      </c>
      <c r="G14" s="4" t="s">
        <v>132</v>
      </c>
      <c r="H14" s="4" t="s">
        <v>132</v>
      </c>
      <c r="I14" s="4" t="s">
        <v>132</v>
      </c>
      <c r="J14" s="4" t="s">
        <v>132</v>
      </c>
      <c r="K14" s="4" t="s">
        <v>132</v>
      </c>
      <c r="L14" s="4" t="s">
        <v>132</v>
      </c>
      <c r="M14" s="4" t="s">
        <v>132</v>
      </c>
      <c r="N14" s="4" t="s">
        <v>133</v>
      </c>
      <c r="O14" s="4" t="s">
        <v>132</v>
      </c>
      <c r="P14" s="4" t="s">
        <v>132</v>
      </c>
      <c r="Q14" s="4" t="s">
        <v>132</v>
      </c>
      <c r="R14" s="4" t="s">
        <v>132</v>
      </c>
      <c r="S14" s="4" t="s">
        <v>134</v>
      </c>
      <c r="T14" s="4" t="s">
        <v>106</v>
      </c>
      <c r="U14" s="4" t="s">
        <v>134</v>
      </c>
      <c r="V14" s="4" t="s">
        <v>134</v>
      </c>
      <c r="W14" s="4" t="s">
        <v>134</v>
      </c>
      <c r="X14" s="4" t="s">
        <v>134</v>
      </c>
      <c r="Y14" s="4"/>
      <c r="Z14" s="4" t="s">
        <v>134</v>
      </c>
      <c r="AA14" s="4" t="s">
        <v>109</v>
      </c>
      <c r="AB14" s="4" t="s">
        <v>109</v>
      </c>
      <c r="AC14" s="4" t="s">
        <v>109</v>
      </c>
      <c r="AD14" s="4" t="s">
        <v>109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288"/>
    </row>
    <row r="15" spans="1:63">
      <c r="A15" s="3">
        <v>14</v>
      </c>
      <c r="B15" s="3"/>
      <c r="C15" s="3"/>
      <c r="D15" s="222"/>
      <c r="E15" s="3">
        <f t="shared" si="0"/>
        <v>0</v>
      </c>
      <c r="F15" s="4" t="s">
        <v>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288"/>
    </row>
    <row r="16" spans="1:63">
      <c r="A16" s="3">
        <v>15</v>
      </c>
      <c r="B16" s="3"/>
      <c r="C16" s="3"/>
      <c r="D16" s="222"/>
      <c r="E16" s="3">
        <f t="shared" si="0"/>
        <v>9381233298</v>
      </c>
      <c r="F16" s="4" t="s">
        <v>4</v>
      </c>
      <c r="G16" s="4">
        <v>9381233298</v>
      </c>
      <c r="H16" s="4">
        <v>9392569929</v>
      </c>
      <c r="I16" s="4">
        <v>9373250328</v>
      </c>
      <c r="J16" s="4" t="s">
        <v>135</v>
      </c>
      <c r="K16" s="4" t="s">
        <v>136</v>
      </c>
      <c r="L16" s="4" t="s">
        <v>136</v>
      </c>
      <c r="M16" s="4" t="s">
        <v>136</v>
      </c>
      <c r="N16" s="4">
        <v>9900785044</v>
      </c>
      <c r="O16" s="4" t="s">
        <v>137</v>
      </c>
      <c r="P16" s="4" t="s">
        <v>138</v>
      </c>
      <c r="Q16" s="4" t="s">
        <v>139</v>
      </c>
      <c r="R16" s="4" t="s">
        <v>140</v>
      </c>
      <c r="S16" s="4" t="s">
        <v>141</v>
      </c>
      <c r="T16" s="4" t="s">
        <v>142</v>
      </c>
      <c r="U16" s="4" t="s">
        <v>143</v>
      </c>
      <c r="V16" s="4" t="s">
        <v>144</v>
      </c>
      <c r="W16" s="4" t="s">
        <v>145</v>
      </c>
      <c r="X16" s="4" t="s">
        <v>146</v>
      </c>
      <c r="Y16" s="4">
        <v>9156194069</v>
      </c>
      <c r="Z16" s="4" t="s">
        <v>147</v>
      </c>
      <c r="AA16" s="4" t="s">
        <v>148</v>
      </c>
      <c r="AB16" s="4" t="s">
        <v>148</v>
      </c>
      <c r="AC16" s="4" t="s">
        <v>149</v>
      </c>
      <c r="AD16" s="4" t="s">
        <v>149</v>
      </c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288"/>
    </row>
    <row r="17" spans="1:41">
      <c r="A17" s="3">
        <v>16</v>
      </c>
      <c r="B17" s="3"/>
      <c r="C17" s="3"/>
      <c r="D17" s="222"/>
      <c r="E17" s="3" t="str">
        <f t="shared" si="0"/>
        <v>دبیرستان سال یازدهم</v>
      </c>
      <c r="F17" s="4" t="s">
        <v>150</v>
      </c>
      <c r="G17" s="4" t="s">
        <v>151</v>
      </c>
      <c r="H17" s="4" t="s">
        <v>152</v>
      </c>
      <c r="I17" s="4" t="s">
        <v>152</v>
      </c>
      <c r="J17" s="4" t="s">
        <v>152</v>
      </c>
      <c r="K17" s="4" t="s">
        <v>152</v>
      </c>
      <c r="L17" s="4" t="s">
        <v>152</v>
      </c>
      <c r="M17" s="4" t="s">
        <v>152</v>
      </c>
      <c r="N17" s="4" t="s">
        <v>153</v>
      </c>
      <c r="O17" s="4" t="s">
        <v>153</v>
      </c>
      <c r="P17" s="4" t="s">
        <v>153</v>
      </c>
      <c r="Q17" s="4" t="s">
        <v>152</v>
      </c>
      <c r="R17" s="4" t="s">
        <v>152</v>
      </c>
      <c r="S17" s="4" t="s">
        <v>153</v>
      </c>
      <c r="T17" s="4" t="s">
        <v>151</v>
      </c>
      <c r="U17" s="4" t="s">
        <v>152</v>
      </c>
      <c r="V17" s="4" t="s">
        <v>151</v>
      </c>
      <c r="W17" s="4" t="s">
        <v>152</v>
      </c>
      <c r="X17" s="4" t="s">
        <v>152</v>
      </c>
      <c r="Y17" s="4" t="s">
        <v>153</v>
      </c>
      <c r="Z17" s="10" t="s">
        <v>152</v>
      </c>
      <c r="AA17" s="10" t="s">
        <v>154</v>
      </c>
      <c r="AB17" s="10" t="s">
        <v>155</v>
      </c>
      <c r="AC17" s="10" t="s">
        <v>155</v>
      </c>
      <c r="AD17" s="10" t="s">
        <v>156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291"/>
    </row>
    <row r="18" spans="1:41" ht="15" customHeight="1">
      <c r="A18" s="3">
        <v>17</v>
      </c>
      <c r="B18" s="3"/>
      <c r="C18" s="3"/>
      <c r="D18" s="222"/>
      <c r="E18" s="3" t="str">
        <f t="shared" si="0"/>
        <v>ریاضی</v>
      </c>
      <c r="F18" s="4" t="s">
        <v>8</v>
      </c>
      <c r="G18" s="4" t="s">
        <v>157</v>
      </c>
      <c r="H18" s="4" t="s">
        <v>158</v>
      </c>
      <c r="I18" s="4" t="s">
        <v>157</v>
      </c>
      <c r="J18" s="4" t="s">
        <v>159</v>
      </c>
      <c r="K18" s="4" t="s">
        <v>159</v>
      </c>
      <c r="L18" s="4" t="s">
        <v>157</v>
      </c>
      <c r="M18" s="4" t="s">
        <v>158</v>
      </c>
      <c r="N18" s="4" t="s">
        <v>159</v>
      </c>
      <c r="O18" s="4" t="s">
        <v>159</v>
      </c>
      <c r="P18" s="4" t="s">
        <v>157</v>
      </c>
      <c r="Q18" s="4" t="s">
        <v>159</v>
      </c>
      <c r="R18" s="4" t="s">
        <v>158</v>
      </c>
      <c r="S18" s="4" t="s">
        <v>159</v>
      </c>
      <c r="T18" s="4" t="s">
        <v>159</v>
      </c>
      <c r="U18" s="4" t="s">
        <v>159</v>
      </c>
      <c r="V18" s="4" t="s">
        <v>159</v>
      </c>
      <c r="W18" s="4" t="s">
        <v>158</v>
      </c>
      <c r="X18" s="4" t="s">
        <v>159</v>
      </c>
      <c r="Y18" s="4" t="s">
        <v>157</v>
      </c>
      <c r="Z18" s="4" t="s">
        <v>159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288"/>
    </row>
    <row r="19" spans="1:41" ht="15" customHeight="1">
      <c r="A19" s="3">
        <v>18</v>
      </c>
      <c r="B19" s="3"/>
      <c r="C19" s="3"/>
      <c r="D19" s="222"/>
      <c r="E19" s="3" t="str">
        <f t="shared" si="0"/>
        <v>18/22</v>
      </c>
      <c r="F19" s="4" t="s">
        <v>160</v>
      </c>
      <c r="G19" s="4" t="s">
        <v>161</v>
      </c>
      <c r="H19" s="4" t="s">
        <v>162</v>
      </c>
      <c r="I19" s="4" t="s">
        <v>163</v>
      </c>
      <c r="J19" s="4" t="s">
        <v>164</v>
      </c>
      <c r="K19" s="4" t="s">
        <v>165</v>
      </c>
      <c r="L19" s="4" t="s">
        <v>166</v>
      </c>
      <c r="M19" s="4" t="s">
        <v>167</v>
      </c>
      <c r="N19" s="4" t="s">
        <v>168</v>
      </c>
      <c r="O19" s="4" t="s">
        <v>169</v>
      </c>
      <c r="P19" s="4" t="s">
        <v>170</v>
      </c>
      <c r="Q19" s="4" t="s">
        <v>171</v>
      </c>
      <c r="R19" s="4"/>
      <c r="S19" s="4"/>
      <c r="T19" s="4" t="s">
        <v>172</v>
      </c>
      <c r="U19" s="4" t="s">
        <v>173</v>
      </c>
      <c r="V19" s="4">
        <v>17</v>
      </c>
      <c r="W19" s="4" t="s">
        <v>174</v>
      </c>
      <c r="X19" s="4" t="s">
        <v>171</v>
      </c>
      <c r="Y19" s="4"/>
      <c r="Z19" s="4" t="s">
        <v>175</v>
      </c>
      <c r="AA19" s="4"/>
      <c r="AB19" s="4" t="s">
        <v>176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288"/>
    </row>
    <row r="20" spans="1:41" ht="15" customHeight="1">
      <c r="A20" s="3">
        <v>19</v>
      </c>
      <c r="B20" s="3"/>
      <c r="C20" s="3"/>
      <c r="D20" s="222"/>
      <c r="E20" s="3" t="str">
        <f t="shared" si="0"/>
        <v>مدرسه حضرت خدیجه- ناحیه تباتکان</v>
      </c>
      <c r="F20" s="4" t="s">
        <v>177</v>
      </c>
      <c r="G20" s="4" t="s">
        <v>178</v>
      </c>
      <c r="H20" s="4" t="s">
        <v>178</v>
      </c>
      <c r="I20" s="4" t="s">
        <v>178</v>
      </c>
      <c r="J20" s="4" t="s">
        <v>178</v>
      </c>
      <c r="K20" s="4" t="s">
        <v>178</v>
      </c>
      <c r="L20" s="4" t="s">
        <v>104</v>
      </c>
      <c r="M20" s="4" t="s">
        <v>178</v>
      </c>
      <c r="N20" s="4" t="s">
        <v>104</v>
      </c>
      <c r="O20" s="4" t="s">
        <v>178</v>
      </c>
      <c r="P20" s="4" t="s">
        <v>178</v>
      </c>
      <c r="Q20" s="4" t="s">
        <v>178</v>
      </c>
      <c r="R20" s="4" t="s">
        <v>104</v>
      </c>
      <c r="S20" s="4"/>
      <c r="T20" s="4" t="s">
        <v>179</v>
      </c>
      <c r="U20" s="4" t="s">
        <v>180</v>
      </c>
      <c r="V20" s="4" t="s">
        <v>180</v>
      </c>
      <c r="W20" s="4" t="s">
        <v>180</v>
      </c>
      <c r="X20" s="4" t="s">
        <v>180</v>
      </c>
      <c r="Y20" s="4" t="s">
        <v>108</v>
      </c>
      <c r="Z20" s="4" t="s">
        <v>180</v>
      </c>
      <c r="AA20" s="4" t="s">
        <v>181</v>
      </c>
      <c r="AB20" s="4" t="s">
        <v>181</v>
      </c>
      <c r="AC20" s="4" t="s">
        <v>182</v>
      </c>
      <c r="AD20" s="4" t="s">
        <v>182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288"/>
    </row>
    <row r="21" spans="1:41" ht="15" customHeight="1">
      <c r="A21" s="3">
        <v>20</v>
      </c>
      <c r="B21" s="3"/>
      <c r="C21" s="3"/>
      <c r="D21" s="222"/>
      <c r="E21" s="3">
        <f t="shared" si="0"/>
        <v>9155008954</v>
      </c>
      <c r="F21" s="4" t="s">
        <v>183</v>
      </c>
      <c r="G21" s="4">
        <v>9155008954</v>
      </c>
      <c r="H21" s="4">
        <v>9155008954</v>
      </c>
      <c r="I21" s="4">
        <v>9155008954</v>
      </c>
      <c r="J21" s="4">
        <v>9155008954</v>
      </c>
      <c r="K21" s="4">
        <v>9155008954</v>
      </c>
      <c r="L21" s="4">
        <v>5136655064</v>
      </c>
      <c r="M21" s="4">
        <v>9155008954</v>
      </c>
      <c r="N21" s="4">
        <v>5136655064</v>
      </c>
      <c r="O21" s="4">
        <v>9155008954</v>
      </c>
      <c r="P21" s="4">
        <v>9155008954</v>
      </c>
      <c r="Q21" s="4">
        <v>9155008954</v>
      </c>
      <c r="R21" s="4">
        <v>5136655064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288"/>
    </row>
    <row r="22" spans="1:41" ht="15" customHeight="1">
      <c r="A22" s="3">
        <v>21</v>
      </c>
      <c r="B22" s="3"/>
      <c r="C22" s="3"/>
      <c r="D22" s="222"/>
      <c r="E22" s="3" t="str">
        <f t="shared" si="0"/>
        <v>زبان انگلیسی و کره ای</v>
      </c>
      <c r="F22" s="4" t="s">
        <v>12</v>
      </c>
      <c r="G22" s="4" t="s">
        <v>184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288"/>
    </row>
    <row r="23" spans="1:41" ht="15" customHeight="1">
      <c r="A23" s="3">
        <v>22</v>
      </c>
      <c r="B23" s="3"/>
      <c r="C23" s="3"/>
      <c r="D23" s="222"/>
      <c r="E23" s="3" t="str">
        <f t="shared" si="0"/>
        <v>کارآفرینی</v>
      </c>
      <c r="F23" s="4" t="s">
        <v>13</v>
      </c>
      <c r="G23" s="4" t="s">
        <v>185</v>
      </c>
      <c r="H23" s="4" t="s">
        <v>186</v>
      </c>
      <c r="I23" s="4" t="s">
        <v>187</v>
      </c>
      <c r="J23" s="4" t="s">
        <v>188</v>
      </c>
      <c r="K23" s="4" t="s">
        <v>188</v>
      </c>
      <c r="L23" s="4" t="s">
        <v>189</v>
      </c>
      <c r="M23" s="4" t="s">
        <v>190</v>
      </c>
      <c r="N23" s="4" t="s">
        <v>188</v>
      </c>
      <c r="O23" s="4" t="s">
        <v>188</v>
      </c>
      <c r="P23" s="4" t="s">
        <v>191</v>
      </c>
      <c r="Q23" s="4" t="s">
        <v>191</v>
      </c>
      <c r="R23" s="4" t="s">
        <v>186</v>
      </c>
      <c r="S23" s="4" t="s">
        <v>192</v>
      </c>
      <c r="T23" s="4" t="s">
        <v>192</v>
      </c>
      <c r="U23" s="4" t="s">
        <v>192</v>
      </c>
      <c r="V23" s="4" t="s">
        <v>193</v>
      </c>
      <c r="W23" s="4" t="s">
        <v>193</v>
      </c>
      <c r="X23" s="4" t="s">
        <v>194</v>
      </c>
      <c r="Y23" s="4" t="s">
        <v>195</v>
      </c>
      <c r="Z23" s="4" t="s">
        <v>194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288"/>
    </row>
    <row r="24" spans="1:41" ht="15" customHeight="1">
      <c r="A24" s="3">
        <v>23</v>
      </c>
      <c r="B24" s="3"/>
      <c r="C24" s="3"/>
      <c r="D24" s="222"/>
      <c r="E24" s="6" t="str">
        <f t="shared" si="0"/>
        <v>1401/06/15</v>
      </c>
      <c r="F24" s="7" t="s">
        <v>0</v>
      </c>
      <c r="G24" s="8" t="s">
        <v>196</v>
      </c>
      <c r="H24" s="8" t="s">
        <v>196</v>
      </c>
      <c r="I24" s="8" t="s">
        <v>196</v>
      </c>
      <c r="J24" s="8" t="s">
        <v>196</v>
      </c>
      <c r="K24" s="8" t="s">
        <v>196</v>
      </c>
      <c r="L24" s="8" t="s">
        <v>196</v>
      </c>
      <c r="M24" s="8" t="s">
        <v>196</v>
      </c>
      <c r="N24" s="8" t="s">
        <v>196</v>
      </c>
      <c r="O24" s="8" t="s">
        <v>196</v>
      </c>
      <c r="P24" s="8" t="s">
        <v>196</v>
      </c>
      <c r="Q24" s="8" t="s">
        <v>196</v>
      </c>
      <c r="R24" s="8" t="s">
        <v>196</v>
      </c>
      <c r="S24" s="8" t="s">
        <v>196</v>
      </c>
      <c r="T24" s="8" t="s">
        <v>196</v>
      </c>
      <c r="U24" s="8" t="s">
        <v>196</v>
      </c>
      <c r="V24" s="8" t="s">
        <v>196</v>
      </c>
      <c r="W24" s="8" t="s">
        <v>196</v>
      </c>
      <c r="X24" s="8" t="s">
        <v>196</v>
      </c>
      <c r="Y24" s="8"/>
      <c r="Z24" s="8" t="s">
        <v>196</v>
      </c>
      <c r="AA24" s="8" t="s">
        <v>196</v>
      </c>
      <c r="AB24" s="8" t="s">
        <v>196</v>
      </c>
      <c r="AC24" s="8" t="s">
        <v>196</v>
      </c>
      <c r="AD24" s="8" t="s">
        <v>196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289"/>
    </row>
    <row r="25" spans="1:41" ht="15" customHeight="1">
      <c r="A25" s="3">
        <v>24</v>
      </c>
      <c r="B25" s="3"/>
      <c r="C25" s="3"/>
      <c r="D25" s="222"/>
      <c r="E25" s="3" t="str">
        <f t="shared" si="0"/>
        <v>افسردگی و ناامیدی شدید</v>
      </c>
      <c r="F25" s="4" t="s">
        <v>6</v>
      </c>
      <c r="G25" s="4" t="s">
        <v>197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288"/>
    </row>
    <row r="26" spans="1:41" ht="15" customHeight="1">
      <c r="A26" s="3">
        <v>25</v>
      </c>
      <c r="B26" s="3"/>
      <c r="C26" s="3"/>
      <c r="D26" s="222"/>
      <c r="E26" s="3" t="str">
        <f t="shared" si="0"/>
        <v>ندارد</v>
      </c>
      <c r="F26" s="4" t="s">
        <v>198</v>
      </c>
      <c r="G26" s="4" t="s">
        <v>199</v>
      </c>
      <c r="H26" s="4" t="s">
        <v>199</v>
      </c>
      <c r="I26" s="4" t="s">
        <v>199</v>
      </c>
      <c r="J26" s="4" t="s">
        <v>199</v>
      </c>
      <c r="K26" s="4" t="s">
        <v>199</v>
      </c>
      <c r="L26" s="4" t="s">
        <v>199</v>
      </c>
      <c r="M26" s="4" t="s">
        <v>199</v>
      </c>
      <c r="N26" s="4" t="s">
        <v>199</v>
      </c>
      <c r="O26" s="4" t="s">
        <v>199</v>
      </c>
      <c r="P26" s="4" t="s">
        <v>199</v>
      </c>
      <c r="Q26" s="4" t="s">
        <v>199</v>
      </c>
      <c r="R26" s="4" t="s">
        <v>199</v>
      </c>
      <c r="S26" s="4" t="s">
        <v>199</v>
      </c>
      <c r="T26" s="4" t="s">
        <v>199</v>
      </c>
      <c r="U26" s="4" t="s">
        <v>199</v>
      </c>
      <c r="V26" s="4" t="s">
        <v>200</v>
      </c>
      <c r="W26" s="4" t="s">
        <v>199</v>
      </c>
      <c r="X26" s="4" t="s">
        <v>199</v>
      </c>
      <c r="Y26" s="4" t="s">
        <v>199</v>
      </c>
      <c r="Z26" s="4" t="s">
        <v>199</v>
      </c>
      <c r="AA26" s="4" t="s">
        <v>199</v>
      </c>
      <c r="AB26" s="4" t="s">
        <v>199</v>
      </c>
      <c r="AC26" s="4" t="s">
        <v>199</v>
      </c>
      <c r="AD26" s="4" t="s">
        <v>199</v>
      </c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288"/>
    </row>
    <row r="27" spans="1:41" ht="15" customHeight="1">
      <c r="A27" s="3">
        <v>26</v>
      </c>
      <c r="B27" s="3"/>
      <c r="C27" s="3"/>
      <c r="D27" s="222"/>
      <c r="E27" s="3">
        <f t="shared" si="0"/>
        <v>0</v>
      </c>
      <c r="F27" s="4" t="s">
        <v>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 t="s">
        <v>201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288"/>
    </row>
    <row r="28" spans="1:41" ht="15" customHeight="1">
      <c r="A28" s="3">
        <v>27</v>
      </c>
      <c r="B28" s="3"/>
      <c r="C28" s="3"/>
      <c r="D28" s="222"/>
      <c r="E28" s="3">
        <f t="shared" si="0"/>
        <v>0</v>
      </c>
      <c r="F28" s="4" t="s">
        <v>202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288"/>
    </row>
    <row r="29" spans="1:41" ht="15" customHeight="1">
      <c r="A29" s="3">
        <v>28</v>
      </c>
      <c r="B29" s="3"/>
      <c r="C29" s="3"/>
      <c r="D29" s="222"/>
      <c r="E29" s="3" t="str">
        <f t="shared" si="0"/>
        <v>ندارد</v>
      </c>
      <c r="F29" s="11" t="s">
        <v>203</v>
      </c>
      <c r="G29" s="4" t="s">
        <v>199</v>
      </c>
      <c r="H29" s="4" t="s">
        <v>199</v>
      </c>
      <c r="I29" s="4" t="s">
        <v>204</v>
      </c>
      <c r="J29" s="4"/>
      <c r="K29" s="4"/>
      <c r="L29" s="4"/>
      <c r="M29" s="4"/>
      <c r="N29" s="4"/>
      <c r="O29" s="4"/>
      <c r="P29" s="4" t="s">
        <v>205</v>
      </c>
      <c r="Q29" s="4"/>
      <c r="R29" s="4" t="s">
        <v>206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288"/>
    </row>
    <row r="30" spans="1:41" ht="15" customHeight="1">
      <c r="A30" s="3">
        <v>29</v>
      </c>
      <c r="B30" s="3"/>
      <c r="C30" s="3"/>
      <c r="D30" s="222"/>
      <c r="E30" s="3" t="str">
        <f t="shared" si="0"/>
        <v>نداد</v>
      </c>
      <c r="F30" s="4" t="s">
        <v>207</v>
      </c>
      <c r="G30" s="4" t="s">
        <v>208</v>
      </c>
      <c r="H30" s="4" t="s">
        <v>208</v>
      </c>
      <c r="I30" s="4" t="s">
        <v>199</v>
      </c>
      <c r="J30" s="4" t="s">
        <v>199</v>
      </c>
      <c r="K30" s="4" t="s">
        <v>199</v>
      </c>
      <c r="L30" s="4" t="s">
        <v>199</v>
      </c>
      <c r="M30" s="4" t="s">
        <v>199</v>
      </c>
      <c r="N30" s="4" t="s">
        <v>199</v>
      </c>
      <c r="O30" s="4" t="s">
        <v>199</v>
      </c>
      <c r="P30" s="4" t="s">
        <v>199</v>
      </c>
      <c r="Q30" s="4" t="s">
        <v>199</v>
      </c>
      <c r="R30" s="4" t="s">
        <v>199</v>
      </c>
      <c r="S30" s="4" t="s">
        <v>199</v>
      </c>
      <c r="T30" s="4" t="s">
        <v>199</v>
      </c>
      <c r="U30" s="4" t="s">
        <v>199</v>
      </c>
      <c r="V30" s="4" t="s">
        <v>199</v>
      </c>
      <c r="W30" s="4" t="s">
        <v>199</v>
      </c>
      <c r="X30" s="4" t="s">
        <v>199</v>
      </c>
      <c r="Y30" s="4" t="s">
        <v>199</v>
      </c>
      <c r="Z30" s="4" t="s">
        <v>199</v>
      </c>
      <c r="AA30" s="4" t="s">
        <v>199</v>
      </c>
      <c r="AB30" s="4" t="s">
        <v>199</v>
      </c>
      <c r="AC30" s="4" t="s">
        <v>199</v>
      </c>
      <c r="AD30" s="4" t="s">
        <v>199</v>
      </c>
      <c r="AE30" s="4" t="s">
        <v>199</v>
      </c>
      <c r="AF30" s="4" t="s">
        <v>199</v>
      </c>
      <c r="AG30" s="4" t="s">
        <v>199</v>
      </c>
      <c r="AH30" s="4" t="s">
        <v>199</v>
      </c>
      <c r="AI30" s="4" t="s">
        <v>199</v>
      </c>
      <c r="AJ30" s="4" t="s">
        <v>199</v>
      </c>
      <c r="AK30" s="4" t="s">
        <v>199</v>
      </c>
      <c r="AL30" s="4" t="s">
        <v>199</v>
      </c>
      <c r="AM30" s="4" t="s">
        <v>199</v>
      </c>
      <c r="AN30" s="4" t="s">
        <v>199</v>
      </c>
      <c r="AO30" s="288" t="s">
        <v>199</v>
      </c>
    </row>
    <row r="31" spans="1:41" ht="15" customHeight="1">
      <c r="A31" s="3">
        <v>30</v>
      </c>
      <c r="B31" s="3"/>
      <c r="C31" s="3"/>
      <c r="D31" s="222"/>
      <c r="E31" s="3" t="str">
        <f t="shared" si="0"/>
        <v>‍‍</v>
      </c>
      <c r="F31" s="3"/>
      <c r="G31" s="3" t="s">
        <v>209</v>
      </c>
      <c r="H31" s="3" t="s">
        <v>209</v>
      </c>
      <c r="I31" s="3" t="s">
        <v>209</v>
      </c>
      <c r="J31" s="3" t="s">
        <v>209</v>
      </c>
      <c r="K31" s="3" t="s">
        <v>209</v>
      </c>
      <c r="L31" s="3" t="s">
        <v>209</v>
      </c>
      <c r="M31" s="3" t="s">
        <v>209</v>
      </c>
      <c r="N31" s="3" t="s">
        <v>209</v>
      </c>
      <c r="O31" s="3" t="s">
        <v>209</v>
      </c>
      <c r="P31" s="3" t="s">
        <v>209</v>
      </c>
      <c r="Q31" s="3" t="s">
        <v>209</v>
      </c>
      <c r="R31" s="3" t="s">
        <v>209</v>
      </c>
      <c r="S31" s="3" t="s">
        <v>209</v>
      </c>
      <c r="T31" s="3" t="s">
        <v>209</v>
      </c>
      <c r="U31" s="3" t="s">
        <v>209</v>
      </c>
      <c r="V31" s="3" t="s">
        <v>209</v>
      </c>
      <c r="W31" s="3" t="s">
        <v>209</v>
      </c>
      <c r="X31" s="3" t="s">
        <v>209</v>
      </c>
      <c r="Y31" s="3" t="s">
        <v>209</v>
      </c>
      <c r="Z31" s="3" t="s">
        <v>209</v>
      </c>
      <c r="AA31" s="3" t="s">
        <v>209</v>
      </c>
      <c r="AB31" s="3" t="s">
        <v>209</v>
      </c>
      <c r="AC31" s="3" t="s">
        <v>209</v>
      </c>
      <c r="AD31" s="3" t="s">
        <v>209</v>
      </c>
      <c r="AE31" s="3" t="s">
        <v>209</v>
      </c>
      <c r="AF31" s="3" t="s">
        <v>209</v>
      </c>
      <c r="AG31" s="3" t="s">
        <v>209</v>
      </c>
      <c r="AH31" s="3" t="s">
        <v>209</v>
      </c>
      <c r="AI31" s="3" t="s">
        <v>209</v>
      </c>
      <c r="AJ31" s="3" t="s">
        <v>209</v>
      </c>
      <c r="AK31" s="3" t="s">
        <v>209</v>
      </c>
      <c r="AL31" s="3" t="s">
        <v>209</v>
      </c>
      <c r="AM31" s="3" t="s">
        <v>209</v>
      </c>
      <c r="AN31" s="3" t="s">
        <v>209</v>
      </c>
      <c r="AO31" s="292" t="s">
        <v>209</v>
      </c>
    </row>
    <row r="32" spans="1:41" ht="15" customHeight="1">
      <c r="A32" s="3">
        <v>31</v>
      </c>
      <c r="B32" s="3"/>
      <c r="C32" s="3"/>
      <c r="D32" s="222"/>
      <c r="E32" s="3">
        <f t="shared" si="0"/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292"/>
    </row>
    <row r="33" spans="1:41" ht="15" customHeight="1">
      <c r="A33" s="3">
        <v>32</v>
      </c>
      <c r="B33" s="3"/>
      <c r="C33" s="3"/>
      <c r="D33" s="222"/>
      <c r="E33" s="3">
        <f t="shared" si="0"/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292"/>
    </row>
    <row r="34" spans="1:41" ht="15" customHeight="1">
      <c r="A34" s="3">
        <v>33</v>
      </c>
      <c r="B34" s="3"/>
      <c r="C34" s="3"/>
      <c r="D34" s="222"/>
      <c r="E34" s="3">
        <f t="shared" si="0"/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292"/>
    </row>
    <row r="35" spans="1:41" ht="15" customHeight="1">
      <c r="A35" s="3">
        <v>34</v>
      </c>
      <c r="B35" s="3"/>
      <c r="C35" s="3"/>
      <c r="D35" s="222"/>
      <c r="E35" s="3">
        <f t="shared" si="0"/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292"/>
    </row>
    <row r="36" spans="1:41" ht="15" customHeight="1">
      <c r="A36" s="3">
        <v>35</v>
      </c>
      <c r="B36" s="3"/>
      <c r="C36" s="3"/>
      <c r="D36" s="222"/>
      <c r="E36" s="3">
        <f t="shared" si="0"/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292"/>
    </row>
    <row r="37" spans="1:41" ht="15" customHeight="1">
      <c r="A37" s="3">
        <v>36</v>
      </c>
      <c r="B37" s="3"/>
      <c r="C37" s="3"/>
      <c r="D37" s="222"/>
      <c r="E37" s="3">
        <f t="shared" si="0"/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292"/>
    </row>
    <row r="38" spans="1:41" ht="15" customHeight="1">
      <c r="A38" s="3">
        <v>37</v>
      </c>
      <c r="B38" s="3"/>
      <c r="C38" s="3"/>
      <c r="D38" s="222"/>
      <c r="E38" s="3">
        <f t="shared" si="0"/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292"/>
    </row>
    <row r="39" spans="1:41" ht="15" customHeight="1">
      <c r="A39" s="3">
        <v>38</v>
      </c>
      <c r="B39" s="3"/>
      <c r="C39" s="3"/>
      <c r="D39" s="222"/>
      <c r="E39" s="3">
        <f t="shared" si="0"/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292"/>
    </row>
    <row r="40" spans="1:41" ht="15" customHeight="1">
      <c r="A40" s="3">
        <v>39</v>
      </c>
      <c r="B40" s="3"/>
      <c r="C40" s="3"/>
      <c r="D40" s="222"/>
      <c r="E40" s="3">
        <f t="shared" si="0"/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292"/>
    </row>
    <row r="41" spans="1:41" ht="15" customHeight="1">
      <c r="A41" s="3">
        <v>40</v>
      </c>
      <c r="B41" s="3"/>
      <c r="C41" s="3"/>
      <c r="D41" s="222"/>
      <c r="E41" s="3">
        <f t="shared" si="0"/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292"/>
    </row>
    <row r="42" spans="1:41" ht="15" customHeight="1">
      <c r="A42" s="3">
        <v>41</v>
      </c>
      <c r="B42" s="3"/>
      <c r="C42" s="3"/>
      <c r="D42" s="222"/>
      <c r="E42" s="3">
        <f t="shared" si="0"/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292"/>
    </row>
    <row r="43" spans="1:41" ht="15" customHeight="1">
      <c r="A43" s="3">
        <v>42</v>
      </c>
      <c r="B43" s="3"/>
      <c r="C43" s="3"/>
      <c r="D43" s="222"/>
      <c r="E43" s="3">
        <f t="shared" si="0"/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292"/>
    </row>
    <row r="44" spans="1:41" ht="15" customHeight="1">
      <c r="A44" s="3">
        <v>43</v>
      </c>
      <c r="B44" s="3"/>
      <c r="C44" s="3"/>
      <c r="D44" s="222"/>
      <c r="E44" s="3">
        <f t="shared" si="0"/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292"/>
    </row>
    <row r="45" spans="1:41" ht="15" customHeight="1">
      <c r="A45" s="3">
        <v>44</v>
      </c>
      <c r="B45" s="3"/>
      <c r="C45" s="3"/>
      <c r="D45" s="222"/>
      <c r="E45" s="3">
        <f t="shared" si="0"/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292"/>
    </row>
    <row r="46" spans="1:41" ht="15" customHeight="1">
      <c r="A46" s="3">
        <v>45</v>
      </c>
      <c r="B46" s="3"/>
      <c r="C46" s="3"/>
      <c r="D46" s="222"/>
      <c r="E46" s="3">
        <f t="shared" si="0"/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292"/>
    </row>
    <row r="47" spans="1:41" ht="15" customHeight="1">
      <c r="A47" s="3">
        <v>46</v>
      </c>
      <c r="B47" s="3"/>
      <c r="C47" s="3"/>
      <c r="D47" s="222"/>
      <c r="E47" s="3">
        <f t="shared" si="0"/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292"/>
    </row>
    <row r="48" spans="1:41" ht="15" customHeight="1">
      <c r="A48" s="3">
        <v>47</v>
      </c>
      <c r="B48" s="3"/>
      <c r="C48" s="3"/>
      <c r="D48" s="222"/>
      <c r="E48" s="3">
        <f t="shared" si="0"/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292"/>
    </row>
    <row r="49" spans="1:41" ht="15" customHeight="1">
      <c r="A49" s="3">
        <v>48</v>
      </c>
      <c r="B49" s="3"/>
      <c r="C49" s="3"/>
      <c r="D49" s="222"/>
      <c r="E49" s="3">
        <f t="shared" si="0"/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292"/>
    </row>
    <row r="50" spans="1:41" ht="15" customHeight="1">
      <c r="A50" s="3">
        <v>49</v>
      </c>
      <c r="B50" s="3"/>
      <c r="C50" s="3"/>
      <c r="D50" s="222"/>
      <c r="E50" s="3">
        <f t="shared" si="0"/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292"/>
    </row>
    <row r="51" spans="1:41" ht="15" customHeight="1">
      <c r="A51" s="3">
        <v>50</v>
      </c>
      <c r="B51" s="3"/>
      <c r="C51" s="3"/>
      <c r="D51" s="222"/>
      <c r="E51" s="3">
        <f t="shared" si="0"/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292"/>
    </row>
    <row r="52" spans="1:41" ht="15" customHeight="1">
      <c r="A52" s="3">
        <v>51</v>
      </c>
      <c r="B52" s="3"/>
      <c r="C52" s="3"/>
      <c r="D52" s="222"/>
      <c r="E52" s="3">
        <f t="shared" si="0"/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292"/>
    </row>
    <row r="53" spans="1:41" ht="15" customHeight="1">
      <c r="A53" s="3">
        <v>52</v>
      </c>
      <c r="B53" s="3"/>
      <c r="C53" s="3"/>
      <c r="D53" s="222"/>
      <c r="E53" s="3">
        <f t="shared" si="0"/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292"/>
    </row>
    <row r="54" spans="1:41" ht="15" customHeight="1">
      <c r="A54" s="3">
        <v>53</v>
      </c>
      <c r="B54" s="3"/>
      <c r="C54" s="3"/>
      <c r="D54" s="222"/>
      <c r="E54" s="3">
        <f t="shared" si="0"/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292"/>
    </row>
    <row r="55" spans="1:41" ht="15" customHeight="1">
      <c r="A55" s="3">
        <v>54</v>
      </c>
      <c r="B55" s="3"/>
      <c r="C55" s="3"/>
      <c r="D55" s="222"/>
      <c r="E55" s="3">
        <f t="shared" si="0"/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292"/>
    </row>
    <row r="56" spans="1:41" ht="15" customHeight="1">
      <c r="A56" s="3">
        <v>55</v>
      </c>
      <c r="B56" s="3"/>
      <c r="C56" s="3"/>
      <c r="D56" s="222"/>
      <c r="E56" s="3">
        <f t="shared" si="0"/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292"/>
    </row>
    <row r="57" spans="1:41" ht="15" customHeight="1">
      <c r="A57" s="3">
        <v>56</v>
      </c>
      <c r="B57" s="3"/>
      <c r="C57" s="3"/>
      <c r="D57" s="222"/>
      <c r="E57" s="3">
        <f t="shared" si="0"/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292"/>
    </row>
    <row r="58" spans="1:41" ht="15" customHeight="1">
      <c r="A58" s="3">
        <v>57</v>
      </c>
      <c r="B58" s="3"/>
      <c r="C58" s="3"/>
      <c r="D58" s="222"/>
      <c r="E58" s="3">
        <f t="shared" si="0"/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292"/>
    </row>
    <row r="59" spans="1:41" ht="15" customHeight="1">
      <c r="A59" s="3">
        <v>58</v>
      </c>
      <c r="B59" s="3"/>
      <c r="C59" s="3"/>
      <c r="D59" s="222"/>
      <c r="E59" s="3">
        <f t="shared" si="0"/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292"/>
    </row>
    <row r="60" spans="1:41" ht="15" customHeight="1">
      <c r="A60" s="3">
        <v>59</v>
      </c>
      <c r="B60" s="3"/>
      <c r="C60" s="3"/>
      <c r="D60" s="222"/>
      <c r="E60" s="3">
        <f t="shared" si="0"/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292"/>
    </row>
    <row r="61" spans="1:41" ht="15" customHeight="1">
      <c r="A61" s="3">
        <v>60</v>
      </c>
      <c r="B61" s="3"/>
      <c r="C61" s="3"/>
      <c r="D61" s="222"/>
      <c r="E61" s="3">
        <f t="shared" si="0"/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292"/>
    </row>
    <row r="62" spans="1:41" ht="15" customHeight="1">
      <c r="A62" s="3">
        <v>61</v>
      </c>
      <c r="B62" s="3"/>
      <c r="C62" s="3"/>
      <c r="D62" s="222"/>
      <c r="E62" s="3">
        <f t="shared" si="0"/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292"/>
    </row>
    <row r="63" spans="1:41" ht="15" customHeight="1">
      <c r="A63" s="3">
        <v>62</v>
      </c>
      <c r="B63" s="3"/>
      <c r="C63" s="3"/>
      <c r="D63" s="222"/>
      <c r="E63" s="3">
        <f t="shared" si="0"/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292"/>
    </row>
    <row r="64" spans="1:41" ht="15" customHeight="1">
      <c r="A64" s="3">
        <v>63</v>
      </c>
      <c r="B64" s="3"/>
      <c r="C64" s="3"/>
      <c r="D64" s="222"/>
      <c r="E64" s="3">
        <f t="shared" si="0"/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292"/>
    </row>
    <row r="65" spans="1:41" ht="15" customHeight="1">
      <c r="A65" s="3">
        <v>64</v>
      </c>
      <c r="B65" s="3"/>
      <c r="C65" s="3"/>
      <c r="D65" s="222"/>
      <c r="E65" s="3">
        <f t="shared" si="0"/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292"/>
    </row>
    <row r="66" spans="1:41" ht="15" customHeight="1">
      <c r="A66" s="3">
        <v>65</v>
      </c>
      <c r="B66" s="3"/>
      <c r="C66" s="3"/>
      <c r="D66" s="222"/>
      <c r="E66" s="3">
        <f t="shared" si="0"/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292"/>
    </row>
    <row r="67" spans="1:41" ht="15" customHeight="1">
      <c r="A67" s="3">
        <v>66</v>
      </c>
      <c r="B67" s="3"/>
      <c r="C67" s="3"/>
      <c r="D67" s="222"/>
      <c r="E67" s="3">
        <f t="shared" si="0"/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292"/>
    </row>
    <row r="68" spans="1:41" ht="15" customHeight="1">
      <c r="A68" s="3">
        <v>67</v>
      </c>
      <c r="B68" s="3"/>
      <c r="C68" s="3"/>
      <c r="D68" s="222"/>
      <c r="E68" s="3">
        <f t="shared" si="0"/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292"/>
    </row>
    <row r="69" spans="1:41" ht="15" customHeight="1">
      <c r="A69" s="3">
        <v>68</v>
      </c>
      <c r="B69" s="3"/>
      <c r="C69" s="3"/>
      <c r="D69" s="222"/>
      <c r="E69" s="3">
        <f t="shared" si="0"/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292"/>
    </row>
    <row r="70" spans="1:41" ht="15" customHeight="1">
      <c r="A70" s="3">
        <v>69</v>
      </c>
      <c r="B70" s="3"/>
      <c r="C70" s="3"/>
      <c r="D70" s="222"/>
      <c r="E70" s="3">
        <f t="shared" si="0"/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292"/>
    </row>
    <row r="71" spans="1:41" ht="15" customHeight="1">
      <c r="A71" s="3">
        <v>70</v>
      </c>
      <c r="B71" s="3"/>
      <c r="C71" s="3"/>
      <c r="D71" s="222"/>
      <c r="E71" s="3">
        <f t="shared" si="0"/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292"/>
    </row>
    <row r="72" spans="1:41" ht="15" customHeight="1">
      <c r="A72" s="3">
        <v>71</v>
      </c>
      <c r="B72" s="3"/>
      <c r="C72" s="3"/>
      <c r="D72" s="222"/>
      <c r="E72" s="3">
        <f t="shared" si="0"/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292"/>
    </row>
    <row r="73" spans="1:41" ht="15" customHeight="1">
      <c r="A73" s="3">
        <v>72</v>
      </c>
      <c r="B73" s="3"/>
      <c r="C73" s="3"/>
      <c r="D73" s="222"/>
      <c r="E73" s="3">
        <f t="shared" si="0"/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292"/>
    </row>
    <row r="74" spans="1:41" ht="15" customHeight="1">
      <c r="A74" s="3">
        <v>73</v>
      </c>
      <c r="B74" s="3"/>
      <c r="C74" s="3"/>
      <c r="D74" s="222"/>
      <c r="E74" s="3">
        <f t="shared" si="0"/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292"/>
    </row>
    <row r="75" spans="1:41" ht="15" customHeight="1">
      <c r="A75" s="3">
        <v>74</v>
      </c>
      <c r="B75" s="3"/>
      <c r="C75" s="3"/>
      <c r="D75" s="222"/>
      <c r="E75" s="3">
        <f t="shared" si="0"/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292"/>
    </row>
    <row r="76" spans="1:41" ht="15" customHeight="1">
      <c r="A76" s="3">
        <v>75</v>
      </c>
      <c r="B76" s="3"/>
      <c r="C76" s="3"/>
      <c r="D76" s="222"/>
      <c r="E76" s="3">
        <f t="shared" si="0"/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292"/>
    </row>
    <row r="77" spans="1:41" ht="15" customHeight="1">
      <c r="A77" s="3">
        <v>76</v>
      </c>
      <c r="B77" s="3"/>
      <c r="C77" s="3"/>
      <c r="D77" s="222"/>
      <c r="E77" s="3">
        <f t="shared" si="0"/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292"/>
    </row>
    <row r="78" spans="1:41" ht="15" customHeight="1">
      <c r="A78" s="3">
        <v>77</v>
      </c>
      <c r="B78" s="3"/>
      <c r="C78" s="3"/>
      <c r="D78" s="222"/>
      <c r="E78" s="3">
        <f t="shared" si="0"/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292"/>
    </row>
    <row r="79" spans="1:41" ht="15" customHeight="1">
      <c r="A79" s="3">
        <v>78</v>
      </c>
      <c r="B79" s="3"/>
      <c r="C79" s="3"/>
      <c r="D79" s="222"/>
      <c r="E79" s="3">
        <f t="shared" si="0"/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292"/>
    </row>
    <row r="80" spans="1:41" ht="15" customHeight="1">
      <c r="A80" s="3">
        <v>79</v>
      </c>
      <c r="B80" s="3"/>
      <c r="C80" s="3"/>
      <c r="D80" s="222"/>
      <c r="E80" s="3">
        <f t="shared" si="0"/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292"/>
    </row>
    <row r="81" spans="1:41" ht="15" customHeight="1">
      <c r="A81" s="3">
        <v>80</v>
      </c>
      <c r="B81" s="3"/>
      <c r="C81" s="3"/>
      <c r="D81" s="222"/>
      <c r="E81" s="3">
        <f t="shared" si="0"/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292"/>
    </row>
    <row r="82" spans="1:41" ht="15" customHeight="1">
      <c r="A82" s="3">
        <v>81</v>
      </c>
      <c r="B82" s="3"/>
      <c r="C82" s="3"/>
      <c r="D82" s="222"/>
      <c r="E82" s="3">
        <f t="shared" si="0"/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292"/>
    </row>
    <row r="83" spans="1:41" ht="15" customHeight="1">
      <c r="A83" s="3">
        <v>82</v>
      </c>
      <c r="B83" s="3"/>
      <c r="C83" s="3"/>
      <c r="D83" s="222"/>
      <c r="E83" s="3">
        <f t="shared" si="0"/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292"/>
    </row>
    <row r="84" spans="1:41" ht="15" customHeight="1">
      <c r="A84" s="3">
        <v>83</v>
      </c>
      <c r="B84" s="3"/>
      <c r="C84" s="3"/>
      <c r="D84" s="222"/>
      <c r="E84" s="3">
        <f t="shared" si="0"/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292"/>
    </row>
    <row r="85" spans="1:41" ht="15" customHeight="1">
      <c r="A85" s="3">
        <v>84</v>
      </c>
      <c r="B85" s="3"/>
      <c r="C85" s="3"/>
      <c r="D85" s="222"/>
      <c r="E85" s="3">
        <f t="shared" si="0"/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292"/>
    </row>
    <row r="86" spans="1:41" ht="15" customHeight="1">
      <c r="A86" s="3">
        <v>85</v>
      </c>
      <c r="B86" s="3"/>
      <c r="C86" s="3"/>
      <c r="D86" s="222"/>
      <c r="E86" s="3">
        <f t="shared" si="0"/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292"/>
    </row>
    <row r="87" spans="1:41" ht="15" customHeight="1">
      <c r="A87" s="3">
        <v>86</v>
      </c>
      <c r="B87" s="3"/>
      <c r="C87" s="3"/>
      <c r="D87" s="222"/>
      <c r="E87" s="3">
        <f t="shared" si="0"/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292"/>
    </row>
    <row r="88" spans="1:41" ht="15" customHeight="1">
      <c r="A88" s="3">
        <v>87</v>
      </c>
      <c r="B88" s="3"/>
      <c r="C88" s="3"/>
      <c r="D88" s="222"/>
      <c r="E88" s="3">
        <f t="shared" si="0"/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292"/>
    </row>
    <row r="89" spans="1:41" ht="15" customHeight="1">
      <c r="A89" s="3">
        <v>88</v>
      </c>
      <c r="B89" s="3"/>
      <c r="C89" s="3"/>
      <c r="D89" s="222"/>
      <c r="E89" s="3">
        <f t="shared" si="0"/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292"/>
    </row>
    <row r="90" spans="1:41" ht="15" customHeight="1">
      <c r="A90" s="3">
        <v>89</v>
      </c>
      <c r="B90" s="3"/>
      <c r="C90" s="3"/>
      <c r="D90" s="222"/>
      <c r="E90" s="3">
        <f t="shared" si="0"/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292"/>
    </row>
    <row r="91" spans="1:41" ht="15" customHeight="1">
      <c r="A91" s="3">
        <v>90</v>
      </c>
      <c r="B91" s="3"/>
      <c r="C91" s="3"/>
      <c r="D91" s="222"/>
      <c r="E91" s="3">
        <f t="shared" si="0"/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292"/>
    </row>
    <row r="92" spans="1:41" ht="15" customHeight="1">
      <c r="A92" s="3">
        <v>91</v>
      </c>
      <c r="B92" s="3"/>
      <c r="C92" s="3"/>
      <c r="D92" s="222"/>
      <c r="E92" s="3">
        <f t="shared" si="0"/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292"/>
    </row>
    <row r="93" spans="1:41" ht="15" customHeight="1">
      <c r="A93" s="3">
        <v>92</v>
      </c>
      <c r="B93" s="3"/>
      <c r="C93" s="3"/>
      <c r="D93" s="222"/>
      <c r="E93" s="3">
        <f t="shared" si="0"/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292"/>
    </row>
    <row r="94" spans="1:41" ht="15" customHeight="1">
      <c r="A94" s="3">
        <v>93</v>
      </c>
      <c r="B94" s="3"/>
      <c r="C94" s="3"/>
      <c r="D94" s="222"/>
      <c r="E94" s="3">
        <f t="shared" si="0"/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292"/>
    </row>
    <row r="95" spans="1:41" ht="15" customHeight="1">
      <c r="A95" s="3">
        <v>94</v>
      </c>
      <c r="B95" s="3"/>
      <c r="C95" s="3"/>
      <c r="D95" s="222"/>
      <c r="E95" s="3">
        <f t="shared" si="0"/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292"/>
    </row>
    <row r="96" spans="1:41" ht="15" customHeight="1">
      <c r="A96" s="3">
        <v>95</v>
      </c>
      <c r="B96" s="3"/>
      <c r="C96" s="3"/>
      <c r="D96" s="222"/>
      <c r="E96" s="3">
        <f t="shared" si="0"/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292"/>
    </row>
    <row r="97" spans="1:41" ht="15" customHeight="1">
      <c r="A97" s="3">
        <v>96</v>
      </c>
      <c r="B97" s="3"/>
      <c r="C97" s="3"/>
      <c r="D97" s="222"/>
      <c r="E97" s="3">
        <f t="shared" si="0"/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292"/>
    </row>
    <row r="98" spans="1:41" ht="15" customHeight="1">
      <c r="A98" s="3">
        <v>97</v>
      </c>
      <c r="B98" s="3"/>
      <c r="C98" s="3"/>
      <c r="D98" s="222"/>
      <c r="E98" s="3">
        <f t="shared" si="0"/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292"/>
    </row>
    <row r="99" spans="1:41" ht="15" customHeight="1">
      <c r="A99" s="3">
        <v>98</v>
      </c>
      <c r="B99" s="3"/>
      <c r="C99" s="3"/>
      <c r="D99" s="222"/>
      <c r="E99" s="3">
        <f t="shared" si="0"/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292"/>
    </row>
    <row r="100" spans="1:41" ht="15" customHeight="1">
      <c r="A100" s="3">
        <v>99</v>
      </c>
      <c r="B100" s="3"/>
      <c r="C100" s="3"/>
      <c r="D100" s="222"/>
      <c r="E100" s="3">
        <f t="shared" si="0"/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292"/>
    </row>
    <row r="101" spans="1:41" ht="15.75" customHeight="1">
      <c r="A101" s="3"/>
      <c r="B101" s="3"/>
      <c r="C101" s="3"/>
      <c r="D101" s="22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292"/>
    </row>
    <row r="102" spans="1:41" ht="15.75" customHeight="1">
      <c r="A102" s="3"/>
      <c r="B102" s="3"/>
      <c r="C102" s="3"/>
      <c r="D102" s="22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292"/>
    </row>
    <row r="103" spans="1:41" ht="15.75" customHeight="1">
      <c r="A103" s="3"/>
      <c r="B103" s="3"/>
      <c r="C103" s="3"/>
      <c r="D103" s="22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292"/>
    </row>
    <row r="104" spans="1:41" ht="15.75" customHeight="1">
      <c r="A104" s="3"/>
      <c r="B104" s="3"/>
      <c r="C104" s="3"/>
      <c r="D104" s="22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292"/>
    </row>
    <row r="105" spans="1:41" ht="15.75" customHeight="1">
      <c r="A105" s="3"/>
      <c r="B105" s="3"/>
      <c r="C105" s="3"/>
      <c r="D105" s="22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292"/>
    </row>
    <row r="106" spans="1:41" ht="15.75" customHeight="1">
      <c r="A106" s="3"/>
      <c r="B106" s="3"/>
      <c r="C106" s="3"/>
      <c r="D106" s="22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292"/>
    </row>
    <row r="107" spans="1:41" ht="15.75" customHeight="1">
      <c r="A107" s="3"/>
      <c r="B107" s="3"/>
      <c r="C107" s="3"/>
      <c r="D107" s="22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292"/>
    </row>
    <row r="108" spans="1:41" ht="15.75" customHeight="1">
      <c r="A108" s="3"/>
      <c r="B108" s="3"/>
      <c r="C108" s="3"/>
      <c r="D108" s="22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292"/>
    </row>
    <row r="109" spans="1:41" ht="15.75" customHeight="1">
      <c r="A109" s="3"/>
      <c r="B109" s="3"/>
      <c r="C109" s="3"/>
      <c r="D109" s="22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292"/>
    </row>
    <row r="110" spans="1:41" ht="15.75" customHeight="1">
      <c r="A110" s="3"/>
      <c r="B110" s="3"/>
      <c r="C110" s="3"/>
      <c r="D110" s="22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292"/>
    </row>
    <row r="111" spans="1:41" ht="15.75" customHeight="1">
      <c r="A111" s="3"/>
      <c r="B111" s="3"/>
      <c r="C111" s="3"/>
      <c r="D111" s="22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292"/>
    </row>
    <row r="112" spans="1:41" ht="15.75" customHeight="1">
      <c r="A112" s="3"/>
      <c r="B112" s="3"/>
      <c r="C112" s="3"/>
      <c r="D112" s="22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292"/>
    </row>
    <row r="113" spans="1:41" ht="15.75" customHeight="1">
      <c r="A113" s="3"/>
      <c r="B113" s="3"/>
      <c r="C113" s="3"/>
      <c r="D113" s="22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292"/>
    </row>
    <row r="114" spans="1:41" ht="15.75" customHeight="1">
      <c r="A114" s="3"/>
      <c r="B114" s="3"/>
      <c r="C114" s="3"/>
      <c r="D114" s="22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292"/>
    </row>
    <row r="115" spans="1:41" ht="15.75" customHeight="1">
      <c r="A115" s="3"/>
      <c r="B115" s="3"/>
      <c r="C115" s="3"/>
      <c r="D115" s="22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292"/>
    </row>
    <row r="116" spans="1:41" ht="15.75" customHeight="1">
      <c r="A116" s="3"/>
      <c r="B116" s="3"/>
      <c r="C116" s="3"/>
      <c r="D116" s="22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292"/>
    </row>
    <row r="117" spans="1:41" ht="15.75" customHeight="1">
      <c r="A117" s="3"/>
      <c r="B117" s="3"/>
      <c r="C117" s="3"/>
      <c r="D117" s="22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292"/>
    </row>
    <row r="118" spans="1:41" ht="15.75" customHeight="1">
      <c r="A118" s="3"/>
      <c r="B118" s="3"/>
      <c r="C118" s="3"/>
      <c r="D118" s="2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292"/>
    </row>
    <row r="119" spans="1:41" ht="15.75" customHeight="1">
      <c r="A119" s="3"/>
      <c r="B119" s="3"/>
      <c r="C119" s="3"/>
      <c r="D119" s="2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292"/>
    </row>
    <row r="120" spans="1:41" ht="15.75" customHeight="1">
      <c r="A120" s="3"/>
      <c r="B120" s="3"/>
      <c r="C120" s="3"/>
      <c r="D120" s="2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292"/>
    </row>
    <row r="121" spans="1:41" ht="15.75" customHeight="1">
      <c r="A121" s="3"/>
      <c r="B121" s="3"/>
      <c r="C121" s="3"/>
      <c r="D121" s="2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292"/>
    </row>
    <row r="122" spans="1:41" ht="15.75" customHeight="1">
      <c r="A122" s="3"/>
      <c r="B122" s="3"/>
      <c r="C122" s="3"/>
      <c r="D122" s="2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292"/>
    </row>
    <row r="123" spans="1:41" ht="15.75" customHeight="1">
      <c r="A123" s="3"/>
      <c r="B123" s="3"/>
      <c r="C123" s="3"/>
      <c r="D123" s="2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292"/>
    </row>
    <row r="124" spans="1:41" ht="15.75" customHeight="1">
      <c r="A124" s="3"/>
      <c r="B124" s="3"/>
      <c r="C124" s="3"/>
      <c r="D124" s="2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292"/>
    </row>
    <row r="125" spans="1:41" ht="15.75" customHeight="1">
      <c r="A125" s="3"/>
      <c r="B125" s="3"/>
      <c r="C125" s="3"/>
      <c r="D125" s="2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292"/>
    </row>
    <row r="126" spans="1:41" ht="15.75" customHeight="1">
      <c r="A126" s="3"/>
      <c r="B126" s="3"/>
      <c r="C126" s="3"/>
      <c r="D126" s="22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292"/>
    </row>
    <row r="127" spans="1:41" ht="15.75" customHeight="1">
      <c r="A127" s="3"/>
      <c r="B127" s="3"/>
      <c r="C127" s="3"/>
      <c r="D127" s="22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292"/>
    </row>
    <row r="128" spans="1:41" ht="15.75" customHeight="1">
      <c r="A128" s="3"/>
      <c r="B128" s="3"/>
      <c r="C128" s="3"/>
      <c r="D128" s="22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292"/>
    </row>
    <row r="129" spans="1:41" ht="15.75" customHeight="1">
      <c r="A129" s="3"/>
      <c r="B129" s="3"/>
      <c r="C129" s="3"/>
      <c r="D129" s="22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292"/>
    </row>
    <row r="130" spans="1:41" ht="15.75" customHeight="1">
      <c r="A130" s="3"/>
      <c r="B130" s="3"/>
      <c r="C130" s="3"/>
      <c r="D130" s="22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292"/>
    </row>
    <row r="131" spans="1:41" ht="15.75" customHeight="1">
      <c r="A131" s="3"/>
      <c r="B131" s="3"/>
      <c r="C131" s="3"/>
      <c r="D131" s="22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292"/>
    </row>
    <row r="132" spans="1:41" ht="15.75" customHeight="1">
      <c r="A132" s="3"/>
      <c r="B132" s="3"/>
      <c r="C132" s="3"/>
      <c r="D132" s="22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292"/>
    </row>
    <row r="133" spans="1:41" ht="15.75" customHeight="1">
      <c r="A133" s="3"/>
      <c r="B133" s="3"/>
      <c r="C133" s="3"/>
      <c r="D133" s="22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292"/>
    </row>
    <row r="134" spans="1:41" ht="15.75" customHeight="1">
      <c r="A134" s="3"/>
      <c r="B134" s="3"/>
      <c r="C134" s="3"/>
      <c r="D134" s="22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292"/>
    </row>
    <row r="135" spans="1:41" ht="15.75" customHeight="1">
      <c r="A135" s="3"/>
      <c r="B135" s="3"/>
      <c r="C135" s="3"/>
      <c r="D135" s="22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292"/>
    </row>
    <row r="136" spans="1:41" ht="15.75" customHeight="1">
      <c r="A136" s="3"/>
      <c r="B136" s="3"/>
      <c r="C136" s="3"/>
      <c r="D136" s="22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292"/>
    </row>
    <row r="137" spans="1:41" ht="15.75" customHeight="1">
      <c r="A137" s="3"/>
      <c r="B137" s="3"/>
      <c r="C137" s="3"/>
      <c r="D137" s="22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292"/>
    </row>
    <row r="138" spans="1:41" ht="15.75" customHeight="1">
      <c r="A138" s="3"/>
      <c r="B138" s="3"/>
      <c r="C138" s="3"/>
      <c r="D138" s="22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292"/>
    </row>
    <row r="139" spans="1:41" ht="15.75" customHeight="1">
      <c r="A139" s="3"/>
      <c r="B139" s="3"/>
      <c r="C139" s="3"/>
      <c r="D139" s="22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292"/>
    </row>
    <row r="140" spans="1:41" ht="15.75" customHeight="1">
      <c r="A140" s="3"/>
      <c r="B140" s="3"/>
      <c r="C140" s="3"/>
      <c r="D140" s="22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292"/>
    </row>
    <row r="141" spans="1:41" ht="15.75" customHeight="1">
      <c r="A141" s="3"/>
      <c r="B141" s="3"/>
      <c r="C141" s="3"/>
      <c r="D141" s="22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292"/>
    </row>
    <row r="142" spans="1:41" ht="15.75" customHeight="1">
      <c r="A142" s="3"/>
      <c r="B142" s="3"/>
      <c r="C142" s="3"/>
      <c r="D142" s="22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292"/>
    </row>
    <row r="143" spans="1:41" ht="15.75" customHeight="1">
      <c r="A143" s="3"/>
      <c r="B143" s="3"/>
      <c r="C143" s="3"/>
      <c r="D143" s="22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292"/>
    </row>
    <row r="144" spans="1:41" ht="15.75" customHeight="1">
      <c r="A144" s="3"/>
      <c r="B144" s="3"/>
      <c r="C144" s="3"/>
      <c r="D144" s="22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292"/>
    </row>
    <row r="145" spans="1:41" ht="15.75" customHeight="1">
      <c r="A145" s="3"/>
      <c r="B145" s="3"/>
      <c r="C145" s="3"/>
      <c r="D145" s="22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292"/>
    </row>
    <row r="146" spans="1:41" ht="15.75" customHeight="1">
      <c r="A146" s="3"/>
      <c r="B146" s="3"/>
      <c r="C146" s="3"/>
      <c r="D146" s="22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292"/>
    </row>
    <row r="147" spans="1:41" ht="15.75" customHeight="1">
      <c r="A147" s="3"/>
      <c r="B147" s="3"/>
      <c r="C147" s="3"/>
      <c r="D147" s="22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292"/>
    </row>
    <row r="148" spans="1:41" ht="15.75" customHeight="1">
      <c r="A148" s="3"/>
      <c r="B148" s="3"/>
      <c r="C148" s="3"/>
      <c r="D148" s="22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292"/>
    </row>
    <row r="149" spans="1:41" ht="15.75" customHeight="1">
      <c r="A149" s="3"/>
      <c r="B149" s="3"/>
      <c r="C149" s="3"/>
      <c r="D149" s="22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292"/>
    </row>
    <row r="150" spans="1:41" ht="15.75" customHeight="1">
      <c r="A150" s="3"/>
      <c r="B150" s="3"/>
      <c r="C150" s="3"/>
      <c r="D150" s="22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292"/>
    </row>
    <row r="151" spans="1:41" ht="15.75" customHeight="1">
      <c r="A151" s="3"/>
      <c r="B151" s="3"/>
      <c r="C151" s="3"/>
      <c r="D151" s="22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292"/>
    </row>
    <row r="152" spans="1:41" ht="15.75" customHeight="1">
      <c r="A152" s="3"/>
      <c r="B152" s="3"/>
      <c r="C152" s="3"/>
      <c r="D152" s="22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292"/>
    </row>
    <row r="153" spans="1:41" ht="15.75" customHeight="1">
      <c r="A153" s="3"/>
      <c r="B153" s="3"/>
      <c r="C153" s="3"/>
      <c r="D153" s="22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292"/>
    </row>
    <row r="154" spans="1:41" ht="15.75" customHeight="1">
      <c r="A154" s="3"/>
      <c r="B154" s="3"/>
      <c r="C154" s="3"/>
      <c r="D154" s="22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292"/>
    </row>
    <row r="155" spans="1:41" ht="15.75" customHeight="1">
      <c r="A155" s="3"/>
      <c r="B155" s="3"/>
      <c r="C155" s="3"/>
      <c r="D155" s="22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292"/>
    </row>
    <row r="156" spans="1:41" ht="15.75" customHeight="1">
      <c r="A156" s="3"/>
      <c r="B156" s="3"/>
      <c r="C156" s="3"/>
      <c r="D156" s="22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292"/>
    </row>
    <row r="157" spans="1:41" ht="15.75" customHeight="1">
      <c r="A157" s="3"/>
      <c r="B157" s="3"/>
      <c r="C157" s="3"/>
      <c r="D157" s="22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292"/>
    </row>
    <row r="158" spans="1:41" ht="15.75" customHeight="1">
      <c r="A158" s="3"/>
      <c r="B158" s="3"/>
      <c r="C158" s="3"/>
      <c r="D158" s="22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292"/>
    </row>
    <row r="159" spans="1:41" ht="15.75" customHeight="1">
      <c r="A159" s="3"/>
      <c r="B159" s="3"/>
      <c r="C159" s="3"/>
      <c r="D159" s="22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292"/>
    </row>
    <row r="160" spans="1:41" ht="15.75" customHeight="1">
      <c r="A160" s="3"/>
      <c r="B160" s="3"/>
      <c r="C160" s="3"/>
      <c r="D160" s="22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292"/>
    </row>
    <row r="161" spans="1:41" ht="15.75" customHeight="1">
      <c r="A161" s="3"/>
      <c r="B161" s="3"/>
      <c r="C161" s="3"/>
      <c r="D161" s="22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292"/>
    </row>
    <row r="162" spans="1:41" ht="15.75" customHeight="1">
      <c r="A162" s="3"/>
      <c r="B162" s="3"/>
      <c r="C162" s="3"/>
      <c r="D162" s="22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292"/>
    </row>
    <row r="163" spans="1:41" ht="15.75" customHeight="1">
      <c r="A163" s="3"/>
      <c r="B163" s="3"/>
      <c r="C163" s="3"/>
      <c r="D163" s="22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292"/>
    </row>
    <row r="164" spans="1:41" ht="15.75" customHeight="1">
      <c r="A164" s="3"/>
      <c r="B164" s="3"/>
      <c r="C164" s="3"/>
      <c r="D164" s="22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292"/>
    </row>
    <row r="165" spans="1:41" ht="15.75" customHeight="1">
      <c r="A165" s="3"/>
      <c r="B165" s="3"/>
      <c r="C165" s="3"/>
      <c r="D165" s="22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292"/>
    </row>
    <row r="166" spans="1:41" ht="15.75" customHeight="1">
      <c r="A166" s="3"/>
      <c r="B166" s="3"/>
      <c r="C166" s="3"/>
      <c r="D166" s="22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292"/>
    </row>
    <row r="167" spans="1:41" ht="15.75" customHeight="1">
      <c r="A167" s="3"/>
      <c r="B167" s="3"/>
      <c r="C167" s="3"/>
      <c r="D167" s="22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292"/>
    </row>
    <row r="168" spans="1:41" ht="15.75" customHeight="1">
      <c r="A168" s="3"/>
      <c r="B168" s="3"/>
      <c r="C168" s="3"/>
      <c r="D168" s="22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292"/>
    </row>
    <row r="169" spans="1:41" ht="15.75" customHeight="1">
      <c r="A169" s="3"/>
      <c r="B169" s="3"/>
      <c r="C169" s="3"/>
      <c r="D169" s="22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292"/>
    </row>
    <row r="170" spans="1:41" ht="15.75" customHeight="1">
      <c r="A170" s="3"/>
      <c r="B170" s="3"/>
      <c r="C170" s="3"/>
      <c r="D170" s="22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292"/>
    </row>
    <row r="171" spans="1:41" ht="15.75" customHeight="1">
      <c r="A171" s="3"/>
      <c r="B171" s="3"/>
      <c r="C171" s="3"/>
      <c r="D171" s="22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292"/>
    </row>
    <row r="172" spans="1:41" ht="15.75" customHeight="1">
      <c r="A172" s="3"/>
      <c r="B172" s="3"/>
      <c r="C172" s="3"/>
      <c r="D172" s="22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292"/>
    </row>
    <row r="173" spans="1:41" ht="15.75" customHeight="1">
      <c r="A173" s="3"/>
      <c r="B173" s="3"/>
      <c r="C173" s="3"/>
      <c r="D173" s="22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292"/>
    </row>
    <row r="174" spans="1:41" ht="15.75" customHeight="1">
      <c r="A174" s="3"/>
      <c r="B174" s="3"/>
      <c r="C174" s="3"/>
      <c r="D174" s="22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292"/>
    </row>
    <row r="175" spans="1:41" ht="15.75" customHeight="1">
      <c r="A175" s="3"/>
      <c r="B175" s="3"/>
      <c r="C175" s="3"/>
      <c r="D175" s="22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292"/>
    </row>
    <row r="176" spans="1:41" ht="15.75" customHeight="1">
      <c r="A176" s="3"/>
      <c r="B176" s="3"/>
      <c r="C176" s="3"/>
      <c r="D176" s="22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292"/>
    </row>
    <row r="177" spans="1:41" ht="15.75" customHeight="1">
      <c r="A177" s="3"/>
      <c r="B177" s="3"/>
      <c r="C177" s="3"/>
      <c r="D177" s="22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292"/>
    </row>
    <row r="178" spans="1:41" ht="15.75" customHeight="1">
      <c r="A178" s="3"/>
      <c r="B178" s="3"/>
      <c r="C178" s="3"/>
      <c r="D178" s="22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292"/>
    </row>
    <row r="179" spans="1:41" ht="15.75" customHeight="1">
      <c r="A179" s="3"/>
      <c r="B179" s="3"/>
      <c r="C179" s="3"/>
      <c r="D179" s="22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292"/>
    </row>
    <row r="180" spans="1:41" ht="15.75" customHeight="1">
      <c r="A180" s="3"/>
      <c r="B180" s="3"/>
      <c r="C180" s="3"/>
      <c r="D180" s="22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292"/>
    </row>
    <row r="181" spans="1:41" ht="15.75" customHeight="1">
      <c r="A181" s="3"/>
      <c r="B181" s="3"/>
      <c r="C181" s="3"/>
      <c r="D181" s="22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292"/>
    </row>
    <row r="182" spans="1:41" ht="15.75" customHeight="1">
      <c r="A182" s="3"/>
      <c r="B182" s="3"/>
      <c r="C182" s="3"/>
      <c r="D182" s="22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292"/>
    </row>
    <row r="183" spans="1:41" ht="15.75" customHeight="1">
      <c r="A183" s="3"/>
      <c r="B183" s="3"/>
      <c r="C183" s="3"/>
      <c r="D183" s="22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292"/>
    </row>
    <row r="184" spans="1:41" ht="15.75" customHeight="1">
      <c r="A184" s="3"/>
      <c r="B184" s="3"/>
      <c r="C184" s="3"/>
      <c r="D184" s="22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292"/>
    </row>
    <row r="185" spans="1:41" ht="15.75" customHeight="1">
      <c r="A185" s="3"/>
      <c r="B185" s="3"/>
      <c r="C185" s="3"/>
      <c r="D185" s="22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292"/>
    </row>
    <row r="186" spans="1:41" ht="15.75" customHeight="1">
      <c r="A186" s="3"/>
      <c r="B186" s="3"/>
      <c r="C186" s="3"/>
      <c r="D186" s="22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292"/>
    </row>
    <row r="187" spans="1:41" ht="15.75" customHeight="1">
      <c r="A187" s="3"/>
      <c r="B187" s="3"/>
      <c r="C187" s="3"/>
      <c r="D187" s="22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292"/>
    </row>
    <row r="188" spans="1:41" ht="15.75" customHeight="1">
      <c r="A188" s="3"/>
      <c r="B188" s="3"/>
      <c r="C188" s="3"/>
      <c r="D188" s="22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292"/>
    </row>
    <row r="189" spans="1:41" ht="15.75" customHeight="1">
      <c r="A189" s="3"/>
      <c r="B189" s="3"/>
      <c r="C189" s="3"/>
      <c r="D189" s="22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292"/>
    </row>
    <row r="190" spans="1:41" ht="15.75" customHeight="1">
      <c r="A190" s="3"/>
      <c r="B190" s="3"/>
      <c r="C190" s="3"/>
      <c r="D190" s="22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292"/>
    </row>
    <row r="191" spans="1:41" ht="15.75" customHeight="1">
      <c r="A191" s="3"/>
      <c r="B191" s="3"/>
      <c r="C191" s="3"/>
      <c r="D191" s="22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292"/>
    </row>
    <row r="192" spans="1:41" ht="15.75" customHeight="1">
      <c r="A192" s="3"/>
      <c r="B192" s="3"/>
      <c r="C192" s="3"/>
      <c r="D192" s="22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292"/>
    </row>
    <row r="193" spans="1:41" ht="15.75" customHeight="1">
      <c r="A193" s="3"/>
      <c r="B193" s="3"/>
      <c r="C193" s="3"/>
      <c r="D193" s="22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292"/>
    </row>
    <row r="194" spans="1:41" ht="15.75" customHeight="1">
      <c r="A194" s="3"/>
      <c r="B194" s="3"/>
      <c r="C194" s="3"/>
      <c r="D194" s="22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292"/>
    </row>
    <row r="195" spans="1:41" ht="15.75" customHeight="1">
      <c r="A195" s="3"/>
      <c r="B195" s="3"/>
      <c r="C195" s="3"/>
      <c r="D195" s="22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292"/>
    </row>
    <row r="196" spans="1:41" ht="15.75" customHeight="1">
      <c r="A196" s="3"/>
      <c r="B196" s="3"/>
      <c r="C196" s="3"/>
      <c r="D196" s="22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292"/>
    </row>
    <row r="197" spans="1:41" ht="15.75" customHeight="1">
      <c r="A197" s="3"/>
      <c r="B197" s="3"/>
      <c r="C197" s="3"/>
      <c r="D197" s="22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292"/>
    </row>
    <row r="198" spans="1:41" ht="15.75" customHeight="1">
      <c r="A198" s="3"/>
      <c r="B198" s="3"/>
      <c r="C198" s="3"/>
      <c r="D198" s="22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292"/>
    </row>
    <row r="199" spans="1:41" ht="15.75" customHeight="1">
      <c r="A199" s="3"/>
      <c r="B199" s="3"/>
      <c r="C199" s="3"/>
      <c r="D199" s="22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292"/>
    </row>
    <row r="200" spans="1:41" ht="15.75" customHeight="1">
      <c r="A200" s="3"/>
      <c r="B200" s="3"/>
      <c r="C200" s="3"/>
      <c r="D200" s="22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292"/>
    </row>
    <row r="201" spans="1:41" ht="15.75" customHeight="1">
      <c r="A201" s="3"/>
      <c r="B201" s="3"/>
      <c r="C201" s="3"/>
      <c r="D201" s="22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292"/>
    </row>
    <row r="202" spans="1:41" ht="15.75" customHeight="1">
      <c r="A202" s="3"/>
      <c r="B202" s="3"/>
      <c r="C202" s="3"/>
      <c r="D202" s="22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292"/>
    </row>
    <row r="203" spans="1:41" ht="15.75" customHeight="1">
      <c r="A203" s="3"/>
      <c r="B203" s="3"/>
      <c r="C203" s="3"/>
      <c r="D203" s="22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292"/>
    </row>
    <row r="204" spans="1:41" ht="15.75" customHeight="1">
      <c r="A204" s="3"/>
      <c r="B204" s="3"/>
      <c r="C204" s="3"/>
      <c r="D204" s="22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292"/>
    </row>
    <row r="205" spans="1:41" ht="15.75" customHeight="1">
      <c r="A205" s="3"/>
      <c r="B205" s="3"/>
      <c r="C205" s="3"/>
      <c r="D205" s="22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292"/>
    </row>
    <row r="206" spans="1:41" ht="15.75" customHeight="1">
      <c r="A206" s="3"/>
      <c r="B206" s="3"/>
      <c r="C206" s="3"/>
      <c r="D206" s="22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292"/>
    </row>
    <row r="207" spans="1:41" ht="15.75" customHeight="1">
      <c r="A207" s="3"/>
      <c r="B207" s="3"/>
      <c r="C207" s="3"/>
      <c r="D207" s="22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292"/>
    </row>
    <row r="208" spans="1:41" ht="15.75" customHeight="1">
      <c r="A208" s="3"/>
      <c r="B208" s="3"/>
      <c r="C208" s="3"/>
      <c r="D208" s="22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292"/>
    </row>
    <row r="209" spans="1:41" ht="15.75" customHeight="1">
      <c r="A209" s="3"/>
      <c r="B209" s="3"/>
      <c r="C209" s="3"/>
      <c r="D209" s="22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292"/>
    </row>
    <row r="210" spans="1:41" ht="15.75" customHeight="1">
      <c r="A210" s="3"/>
      <c r="B210" s="3"/>
      <c r="C210" s="3"/>
      <c r="D210" s="22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292"/>
    </row>
    <row r="211" spans="1:41" ht="15.75" customHeight="1">
      <c r="A211" s="3"/>
      <c r="B211" s="3"/>
      <c r="C211" s="3"/>
      <c r="D211" s="22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292"/>
    </row>
    <row r="212" spans="1:41" ht="15.75" customHeight="1">
      <c r="A212" s="3"/>
      <c r="B212" s="3"/>
      <c r="C212" s="3"/>
      <c r="D212" s="22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292"/>
    </row>
    <row r="213" spans="1:41" ht="15.75" customHeight="1">
      <c r="A213" s="3"/>
      <c r="B213" s="3"/>
      <c r="C213" s="3"/>
      <c r="D213" s="22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292"/>
    </row>
    <row r="214" spans="1:41" ht="15.75" customHeight="1">
      <c r="A214" s="3"/>
      <c r="B214" s="3"/>
      <c r="C214" s="3"/>
      <c r="D214" s="22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292"/>
    </row>
    <row r="215" spans="1:41" ht="15.75" customHeight="1">
      <c r="A215" s="3"/>
      <c r="B215" s="3"/>
      <c r="C215" s="3"/>
      <c r="D215" s="22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292"/>
    </row>
    <row r="216" spans="1:41" ht="15.75" customHeight="1">
      <c r="A216" s="3"/>
      <c r="B216" s="3"/>
      <c r="C216" s="3"/>
      <c r="D216" s="22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292"/>
    </row>
    <row r="217" spans="1:41" ht="15.75" customHeight="1">
      <c r="A217" s="3"/>
      <c r="B217" s="3"/>
      <c r="C217" s="3"/>
      <c r="D217" s="22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292"/>
    </row>
    <row r="218" spans="1:41" ht="15.75" customHeight="1">
      <c r="A218" s="3"/>
      <c r="B218" s="3"/>
      <c r="C218" s="3"/>
      <c r="D218" s="22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292"/>
    </row>
    <row r="219" spans="1:41" ht="15.75" customHeight="1">
      <c r="A219" s="3"/>
      <c r="B219" s="3"/>
      <c r="C219" s="3"/>
      <c r="D219" s="22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292"/>
    </row>
    <row r="220" spans="1:41" ht="15.75" customHeight="1">
      <c r="A220" s="3"/>
      <c r="B220" s="3"/>
      <c r="C220" s="3"/>
      <c r="D220" s="22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292"/>
    </row>
    <row r="221" spans="1:41" ht="15.75" customHeight="1">
      <c r="A221" s="3"/>
      <c r="B221" s="3"/>
      <c r="C221" s="3"/>
      <c r="D221" s="22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292"/>
    </row>
    <row r="222" spans="1:41" ht="15.75" customHeight="1">
      <c r="A222" s="3"/>
      <c r="B222" s="3"/>
      <c r="C222" s="3"/>
      <c r="D222" s="22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292"/>
    </row>
    <row r="223" spans="1:41" ht="15.75" customHeight="1">
      <c r="A223" s="3"/>
      <c r="B223" s="3"/>
      <c r="C223" s="3"/>
      <c r="D223" s="22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292"/>
    </row>
    <row r="224" spans="1:41" ht="15.75" customHeight="1">
      <c r="A224" s="3"/>
      <c r="B224" s="3"/>
      <c r="C224" s="3"/>
      <c r="D224" s="22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292"/>
    </row>
    <row r="225" spans="1:41" ht="15.75" customHeight="1">
      <c r="A225" s="3"/>
      <c r="B225" s="3"/>
      <c r="C225" s="3"/>
      <c r="D225" s="22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292"/>
    </row>
    <row r="226" spans="1:41" ht="15.75" customHeight="1">
      <c r="A226" s="3"/>
      <c r="B226" s="3"/>
      <c r="C226" s="3"/>
      <c r="D226" s="22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292"/>
    </row>
    <row r="227" spans="1:41" ht="15.75" customHeight="1">
      <c r="A227" s="3"/>
      <c r="B227" s="3"/>
      <c r="C227" s="3"/>
      <c r="D227" s="22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292"/>
    </row>
    <row r="228" spans="1:41" ht="15.75" customHeight="1">
      <c r="A228" s="3"/>
      <c r="B228" s="3"/>
      <c r="C228" s="3"/>
      <c r="D228" s="22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292"/>
    </row>
    <row r="229" spans="1:41" ht="15.75" customHeight="1">
      <c r="A229" s="3"/>
      <c r="B229" s="3"/>
      <c r="C229" s="3"/>
      <c r="D229" s="22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292"/>
    </row>
    <row r="230" spans="1:41" ht="15.75" customHeight="1">
      <c r="A230" s="3"/>
      <c r="B230" s="3"/>
      <c r="C230" s="3"/>
      <c r="D230" s="22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292"/>
    </row>
    <row r="231" spans="1:41" ht="15.75" customHeight="1">
      <c r="A231" s="3"/>
      <c r="B231" s="3"/>
      <c r="C231" s="3"/>
      <c r="D231" s="22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292"/>
    </row>
    <row r="232" spans="1:41" ht="15.75" customHeight="1">
      <c r="A232" s="3"/>
      <c r="B232" s="3"/>
      <c r="C232" s="3"/>
      <c r="D232" s="22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292"/>
    </row>
    <row r="233" spans="1:41" ht="15.75" customHeight="1">
      <c r="A233" s="3"/>
      <c r="B233" s="3"/>
      <c r="C233" s="3"/>
      <c r="D233" s="22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292"/>
    </row>
    <row r="234" spans="1:41" ht="15.75" customHeight="1">
      <c r="A234" s="3"/>
      <c r="B234" s="3"/>
      <c r="C234" s="3"/>
      <c r="D234" s="22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292"/>
    </row>
    <row r="235" spans="1:41" ht="15.75" customHeight="1">
      <c r="A235" s="3"/>
      <c r="B235" s="3"/>
      <c r="C235" s="3"/>
      <c r="D235" s="22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292"/>
    </row>
    <row r="236" spans="1:41" ht="15.75" customHeight="1">
      <c r="A236" s="3"/>
      <c r="B236" s="3"/>
      <c r="C236" s="3"/>
      <c r="D236" s="22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292"/>
    </row>
    <row r="237" spans="1:41" ht="15.75" customHeight="1">
      <c r="A237" s="3"/>
      <c r="B237" s="3"/>
      <c r="C237" s="3"/>
      <c r="D237" s="22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292"/>
    </row>
    <row r="238" spans="1:41" ht="15.75" customHeight="1">
      <c r="A238" s="3"/>
      <c r="B238" s="3"/>
      <c r="C238" s="3"/>
      <c r="D238" s="22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292"/>
    </row>
    <row r="239" spans="1:41" ht="15.75" customHeight="1">
      <c r="A239" s="3"/>
      <c r="B239" s="3"/>
      <c r="C239" s="3"/>
      <c r="D239" s="22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292"/>
    </row>
    <row r="240" spans="1:41" ht="15.75" customHeight="1">
      <c r="A240" s="3"/>
      <c r="B240" s="3"/>
      <c r="C240" s="3"/>
      <c r="D240" s="22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292"/>
    </row>
    <row r="241" spans="1:41" ht="15.75" customHeight="1">
      <c r="A241" s="3"/>
      <c r="B241" s="3"/>
      <c r="C241" s="3"/>
      <c r="D241" s="22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292"/>
    </row>
    <row r="242" spans="1:41" ht="15.75" customHeight="1">
      <c r="A242" s="3"/>
      <c r="B242" s="3"/>
      <c r="C242" s="3"/>
      <c r="D242" s="22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292"/>
    </row>
    <row r="243" spans="1:41" ht="15.75" customHeight="1">
      <c r="A243" s="3"/>
      <c r="B243" s="3"/>
      <c r="C243" s="3"/>
      <c r="D243" s="22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292"/>
    </row>
    <row r="244" spans="1:41" ht="15.75" customHeight="1">
      <c r="A244" s="3"/>
      <c r="B244" s="3"/>
      <c r="C244" s="3"/>
      <c r="D244" s="22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292"/>
    </row>
    <row r="245" spans="1:41" ht="15.75" customHeight="1">
      <c r="A245" s="3"/>
      <c r="B245" s="3"/>
      <c r="C245" s="3"/>
      <c r="D245" s="22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292"/>
    </row>
    <row r="246" spans="1:41" ht="15.75" customHeight="1">
      <c r="A246" s="3"/>
      <c r="B246" s="3"/>
      <c r="C246" s="3"/>
      <c r="D246" s="22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292"/>
    </row>
    <row r="247" spans="1:41" ht="15.75" customHeight="1">
      <c r="A247" s="3"/>
      <c r="B247" s="3"/>
      <c r="C247" s="3"/>
      <c r="D247" s="22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292"/>
    </row>
    <row r="248" spans="1:41" ht="15.75" customHeight="1">
      <c r="A248" s="3"/>
      <c r="B248" s="3"/>
      <c r="C248" s="3"/>
      <c r="D248" s="22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292"/>
    </row>
    <row r="249" spans="1:41" ht="15.75" customHeight="1">
      <c r="A249" s="3"/>
      <c r="B249" s="3"/>
      <c r="C249" s="3"/>
      <c r="D249" s="22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292"/>
    </row>
    <row r="250" spans="1:41" ht="15.75" customHeight="1">
      <c r="A250" s="3"/>
      <c r="B250" s="3"/>
      <c r="C250" s="3"/>
      <c r="D250" s="22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292"/>
    </row>
    <row r="251" spans="1:41" ht="15.75" customHeight="1">
      <c r="A251" s="3"/>
      <c r="B251" s="3"/>
      <c r="C251" s="3"/>
      <c r="D251" s="22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292"/>
    </row>
    <row r="252" spans="1:41" ht="15.75" customHeight="1">
      <c r="A252" s="3"/>
      <c r="B252" s="3"/>
      <c r="C252" s="3"/>
      <c r="D252" s="22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292"/>
    </row>
    <row r="253" spans="1:41" ht="15.75" customHeight="1">
      <c r="A253" s="3"/>
      <c r="B253" s="3"/>
      <c r="C253" s="3"/>
      <c r="D253" s="22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292"/>
    </row>
    <row r="254" spans="1:41" ht="15.75" customHeight="1">
      <c r="A254" s="3"/>
      <c r="B254" s="3"/>
      <c r="C254" s="3"/>
      <c r="D254" s="22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292"/>
    </row>
    <row r="255" spans="1:41" ht="15.75" customHeight="1">
      <c r="A255" s="3"/>
      <c r="B255" s="3"/>
      <c r="C255" s="3"/>
      <c r="D255" s="22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292"/>
    </row>
    <row r="256" spans="1:41" ht="15.75" customHeight="1">
      <c r="A256" s="3"/>
      <c r="B256" s="3"/>
      <c r="C256" s="3"/>
      <c r="D256" s="22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292"/>
    </row>
    <row r="257" spans="1:41" ht="15.75" customHeight="1">
      <c r="A257" s="3"/>
      <c r="B257" s="3"/>
      <c r="C257" s="3"/>
      <c r="D257" s="22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292"/>
    </row>
    <row r="258" spans="1:41" ht="15.75" customHeight="1">
      <c r="A258" s="3"/>
      <c r="B258" s="3"/>
      <c r="C258" s="3"/>
      <c r="D258" s="22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292"/>
    </row>
    <row r="259" spans="1:41" ht="15.75" customHeight="1">
      <c r="A259" s="3"/>
      <c r="B259" s="3"/>
      <c r="C259" s="3"/>
      <c r="D259" s="22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292"/>
    </row>
    <row r="260" spans="1:41" ht="15.75" customHeight="1">
      <c r="A260" s="3"/>
      <c r="B260" s="3"/>
      <c r="C260" s="3"/>
      <c r="D260" s="22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292"/>
    </row>
    <row r="261" spans="1:41" ht="15.75" customHeight="1">
      <c r="A261" s="3"/>
      <c r="B261" s="3"/>
      <c r="C261" s="3"/>
      <c r="D261" s="22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292"/>
    </row>
    <row r="262" spans="1:41" ht="15.75" customHeight="1">
      <c r="A262" s="3"/>
      <c r="B262" s="3"/>
      <c r="C262" s="3"/>
      <c r="D262" s="22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292"/>
    </row>
    <row r="263" spans="1:41" ht="15.75" customHeight="1">
      <c r="A263" s="3"/>
      <c r="B263" s="3"/>
      <c r="C263" s="3"/>
      <c r="D263" s="22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292"/>
    </row>
    <row r="264" spans="1:41" ht="15.75" customHeight="1">
      <c r="A264" s="3"/>
      <c r="B264" s="3"/>
      <c r="C264" s="3"/>
      <c r="D264" s="22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292"/>
    </row>
    <row r="265" spans="1:41" ht="15.75" customHeight="1">
      <c r="A265" s="3"/>
      <c r="B265" s="3"/>
      <c r="C265" s="3"/>
      <c r="D265" s="22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292"/>
    </row>
    <row r="266" spans="1:41" ht="15.75" customHeight="1">
      <c r="A266" s="3"/>
      <c r="B266" s="3"/>
      <c r="C266" s="3"/>
      <c r="D266" s="22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292"/>
    </row>
    <row r="267" spans="1:41" ht="15.75" customHeight="1">
      <c r="A267" s="3"/>
      <c r="B267" s="3"/>
      <c r="C267" s="3"/>
      <c r="D267" s="22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292"/>
    </row>
    <row r="268" spans="1:41" ht="15.75" customHeight="1">
      <c r="A268" s="3"/>
      <c r="B268" s="3"/>
      <c r="C268" s="3"/>
      <c r="D268" s="22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292"/>
    </row>
    <row r="269" spans="1:41" ht="15.75" customHeight="1">
      <c r="A269" s="3"/>
      <c r="B269" s="3"/>
      <c r="C269" s="3"/>
      <c r="D269" s="22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292"/>
    </row>
    <row r="270" spans="1:41" ht="15.75" customHeight="1">
      <c r="A270" s="3"/>
      <c r="B270" s="3"/>
      <c r="C270" s="3"/>
      <c r="D270" s="22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292"/>
    </row>
    <row r="271" spans="1:41" ht="15.75" customHeight="1">
      <c r="A271" s="3"/>
      <c r="B271" s="3"/>
      <c r="C271" s="3"/>
      <c r="D271" s="22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292"/>
    </row>
    <row r="272" spans="1:41" ht="15.75" customHeight="1">
      <c r="A272" s="3"/>
      <c r="B272" s="3"/>
      <c r="C272" s="3"/>
      <c r="D272" s="22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292"/>
    </row>
    <row r="273" spans="1:41" ht="15.75" customHeight="1">
      <c r="A273" s="3"/>
      <c r="B273" s="3"/>
      <c r="C273" s="3"/>
      <c r="D273" s="22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292"/>
    </row>
    <row r="274" spans="1:41" ht="15.75" customHeight="1">
      <c r="A274" s="3"/>
      <c r="B274" s="3"/>
      <c r="C274" s="3"/>
      <c r="D274" s="22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292"/>
    </row>
    <row r="275" spans="1:41" ht="15.75" customHeight="1">
      <c r="A275" s="3"/>
      <c r="B275" s="3"/>
      <c r="C275" s="3"/>
      <c r="D275" s="22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292"/>
    </row>
    <row r="276" spans="1:41" ht="15.75" customHeight="1">
      <c r="A276" s="3"/>
      <c r="B276" s="3"/>
      <c r="C276" s="3"/>
      <c r="D276" s="22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292"/>
    </row>
    <row r="277" spans="1:41" ht="15.75" customHeight="1">
      <c r="A277" s="3"/>
      <c r="B277" s="3"/>
      <c r="C277" s="3"/>
      <c r="D277" s="22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292"/>
    </row>
    <row r="278" spans="1:41" ht="15.75" customHeight="1">
      <c r="A278" s="3"/>
      <c r="B278" s="3"/>
      <c r="C278" s="3"/>
      <c r="D278" s="22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292"/>
    </row>
    <row r="279" spans="1:41" ht="15.75" customHeight="1">
      <c r="A279" s="3"/>
      <c r="B279" s="3"/>
      <c r="C279" s="3"/>
      <c r="D279" s="22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292"/>
    </row>
    <row r="280" spans="1:41" ht="15.75" customHeight="1">
      <c r="A280" s="3"/>
      <c r="B280" s="3"/>
      <c r="C280" s="3"/>
      <c r="D280" s="22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292"/>
    </row>
    <row r="281" spans="1:41" ht="15.75" customHeight="1">
      <c r="A281" s="3"/>
      <c r="B281" s="3"/>
      <c r="C281" s="3"/>
      <c r="D281" s="22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292"/>
    </row>
    <row r="282" spans="1:41" ht="15.75" customHeight="1">
      <c r="A282" s="3"/>
      <c r="B282" s="3"/>
      <c r="C282" s="3"/>
      <c r="D282" s="22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292"/>
    </row>
    <row r="283" spans="1:41" ht="15.75" customHeight="1">
      <c r="A283" s="3"/>
      <c r="B283" s="3"/>
      <c r="C283" s="3"/>
      <c r="D283" s="22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292"/>
    </row>
    <row r="284" spans="1:41" ht="15.75" customHeight="1">
      <c r="A284" s="3"/>
      <c r="B284" s="3"/>
      <c r="C284" s="3"/>
      <c r="D284" s="22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292"/>
    </row>
    <row r="285" spans="1:41" ht="15.75" customHeight="1">
      <c r="A285" s="3"/>
      <c r="B285" s="3"/>
      <c r="C285" s="3"/>
      <c r="D285" s="22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292"/>
    </row>
    <row r="286" spans="1:41" ht="15.75" customHeight="1">
      <c r="A286" s="3"/>
      <c r="B286" s="3"/>
      <c r="C286" s="3"/>
      <c r="D286" s="22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292"/>
    </row>
    <row r="287" spans="1:41" ht="15.75" customHeight="1">
      <c r="A287" s="3"/>
      <c r="B287" s="3"/>
      <c r="C287" s="3"/>
      <c r="D287" s="22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292"/>
    </row>
    <row r="288" spans="1:41" ht="15.75" customHeight="1">
      <c r="A288" s="3"/>
      <c r="B288" s="3"/>
      <c r="C288" s="3"/>
      <c r="D288" s="22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292"/>
    </row>
    <row r="289" spans="1:41" ht="15.75" customHeight="1">
      <c r="A289" s="3"/>
      <c r="B289" s="3"/>
      <c r="C289" s="3"/>
      <c r="D289" s="22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292"/>
    </row>
    <row r="290" spans="1:41" ht="15.75" customHeight="1">
      <c r="A290" s="3"/>
      <c r="B290" s="3"/>
      <c r="C290" s="3"/>
      <c r="D290" s="22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292"/>
    </row>
    <row r="291" spans="1:41" ht="15.75" customHeight="1">
      <c r="A291" s="3"/>
      <c r="B291" s="3"/>
      <c r="C291" s="3"/>
      <c r="D291" s="22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292"/>
    </row>
    <row r="292" spans="1:41" ht="15.75" customHeight="1">
      <c r="A292" s="3"/>
      <c r="B292" s="3"/>
      <c r="C292" s="3"/>
      <c r="D292" s="22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292"/>
    </row>
    <row r="293" spans="1:41" ht="15.75" customHeight="1">
      <c r="A293" s="3"/>
      <c r="B293" s="3"/>
      <c r="C293" s="3"/>
      <c r="D293" s="22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292"/>
    </row>
    <row r="294" spans="1:41" ht="15.75" customHeight="1">
      <c r="A294" s="3"/>
      <c r="B294" s="3"/>
      <c r="C294" s="3"/>
      <c r="D294" s="22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292"/>
    </row>
    <row r="295" spans="1:41" ht="15.75" customHeight="1">
      <c r="A295" s="3"/>
      <c r="B295" s="3"/>
      <c r="C295" s="3"/>
      <c r="D295" s="22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292"/>
    </row>
    <row r="296" spans="1:41" ht="15.75" customHeight="1">
      <c r="A296" s="3"/>
      <c r="B296" s="3"/>
      <c r="C296" s="3"/>
      <c r="D296" s="22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292"/>
    </row>
    <row r="297" spans="1:41" ht="15.75" customHeight="1">
      <c r="A297" s="3"/>
      <c r="B297" s="3"/>
      <c r="C297" s="3"/>
      <c r="D297" s="22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292"/>
    </row>
    <row r="298" spans="1:41" ht="15.75" customHeight="1">
      <c r="A298" s="3"/>
      <c r="B298" s="3"/>
      <c r="C298" s="3"/>
      <c r="D298" s="22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292"/>
    </row>
    <row r="299" spans="1:41" ht="15.75" customHeight="1">
      <c r="A299" s="3"/>
      <c r="B299" s="3"/>
      <c r="C299" s="3"/>
      <c r="D299" s="22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292"/>
    </row>
    <row r="300" spans="1:41" ht="15.75" customHeight="1">
      <c r="A300" s="3"/>
      <c r="B300" s="3"/>
      <c r="C300" s="3"/>
      <c r="D300" s="22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292"/>
    </row>
    <row r="301" spans="1:41" ht="15.75" customHeight="1"/>
    <row r="302" spans="1:41" ht="15.75" customHeight="1"/>
    <row r="303" spans="1:41" ht="15.75" customHeight="1"/>
    <row r="304" spans="1:41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W1596"/>
  <sheetViews>
    <sheetView rightToLeft="1" zoomScale="80" zoomScaleNormal="80" workbookViewId="0">
      <pane ySplit="1" topLeftCell="A2" activePane="bottomLeft" state="frozen"/>
      <selection activeCell="B1" sqref="B1"/>
      <selection pane="bottomLeft" activeCell="G509" sqref="G509"/>
    </sheetView>
  </sheetViews>
  <sheetFormatPr baseColWidth="10" defaultColWidth="14.5" defaultRowHeight="15" customHeight="1"/>
  <cols>
    <col min="1" max="1" width="8.6640625" style="143" customWidth="1"/>
    <col min="2" max="2" width="7.5" style="148" customWidth="1"/>
    <col min="3" max="4" width="12.83203125" style="95" hidden="1" customWidth="1"/>
    <col min="5" max="5" width="10.5" style="153" customWidth="1"/>
    <col min="6" max="6" width="24.5" style="95" customWidth="1"/>
    <col min="7" max="7" width="82" style="151" customWidth="1"/>
    <col min="8" max="8" width="13.33203125" style="148" customWidth="1"/>
    <col min="9" max="9" width="12.6640625" style="153" customWidth="1"/>
    <col min="10" max="10" width="23.33203125" style="167" customWidth="1"/>
    <col min="11" max="11" width="24.33203125" style="153" customWidth="1"/>
    <col min="12" max="12" width="8.6640625" style="95" customWidth="1"/>
    <col min="13" max="13" width="17.33203125" style="95" customWidth="1"/>
    <col min="14" max="21" width="8.6640625" style="95" customWidth="1"/>
    <col min="22" max="16384" width="14.5" style="95"/>
  </cols>
  <sheetData>
    <row r="1" spans="1:19" s="130" customFormat="1" ht="18" thickTop="1">
      <c r="A1" s="178" t="s">
        <v>327</v>
      </c>
      <c r="B1" s="179" t="s">
        <v>210</v>
      </c>
      <c r="C1" s="180" t="s">
        <v>211</v>
      </c>
      <c r="D1" s="180" t="s">
        <v>212</v>
      </c>
      <c r="E1" s="181" t="s">
        <v>213</v>
      </c>
      <c r="F1" s="182" t="s">
        <v>214</v>
      </c>
      <c r="G1" s="183" t="s">
        <v>215</v>
      </c>
      <c r="H1" s="179" t="s">
        <v>216</v>
      </c>
      <c r="I1" s="181" t="s">
        <v>217</v>
      </c>
      <c r="J1" s="184" t="s">
        <v>218</v>
      </c>
      <c r="K1" s="174" t="s">
        <v>742</v>
      </c>
    </row>
    <row r="2" spans="1:19" s="130" customFormat="1" ht="16">
      <c r="A2" s="129" t="s">
        <v>327</v>
      </c>
      <c r="B2" s="131">
        <v>1</v>
      </c>
      <c r="C2" s="132"/>
      <c r="D2" s="132"/>
      <c r="E2" s="157"/>
      <c r="F2" s="133" t="str">
        <f t="shared" ref="F2:F21" si="0">IF(E2="","",HLOOKUP(E2,etela,2,0))</f>
        <v/>
      </c>
      <c r="G2" s="134"/>
      <c r="H2" s="154" t="s">
        <v>963</v>
      </c>
      <c r="I2" s="135"/>
      <c r="J2" s="185">
        <v>-60000000</v>
      </c>
      <c r="K2" s="175"/>
    </row>
    <row r="3" spans="1:19" ht="16">
      <c r="A3" s="129" t="s">
        <v>327</v>
      </c>
      <c r="B3" s="131">
        <v>2</v>
      </c>
      <c r="C3" s="136"/>
      <c r="D3" s="136"/>
      <c r="E3" s="138"/>
      <c r="F3" s="133" t="str">
        <f t="shared" si="0"/>
        <v/>
      </c>
      <c r="G3" s="137"/>
      <c r="H3" s="154" t="s">
        <v>963</v>
      </c>
      <c r="I3" s="138"/>
      <c r="J3" s="186">
        <v>79520000</v>
      </c>
      <c r="K3" s="176"/>
      <c r="S3" s="139"/>
    </row>
    <row r="4" spans="1:19" ht="16">
      <c r="A4" s="129" t="s">
        <v>327</v>
      </c>
      <c r="B4" s="131">
        <v>3</v>
      </c>
      <c r="C4" s="136"/>
      <c r="D4" s="136"/>
      <c r="E4" s="138"/>
      <c r="F4" s="133" t="str">
        <f t="shared" si="0"/>
        <v/>
      </c>
      <c r="G4" s="137"/>
      <c r="H4" s="154" t="s">
        <v>335</v>
      </c>
      <c r="I4" s="138"/>
      <c r="J4" s="186">
        <v>1360000</v>
      </c>
      <c r="K4" s="176"/>
    </row>
    <row r="5" spans="1:19" ht="16">
      <c r="A5" s="129" t="s">
        <v>327</v>
      </c>
      <c r="B5" s="131">
        <v>4</v>
      </c>
      <c r="C5" s="136"/>
      <c r="D5" s="136"/>
      <c r="E5" s="138"/>
      <c r="F5" s="133" t="str">
        <f t="shared" si="0"/>
        <v/>
      </c>
      <c r="G5" s="137"/>
      <c r="H5" s="154" t="s">
        <v>335</v>
      </c>
      <c r="I5" s="138"/>
      <c r="J5" s="186">
        <v>360000</v>
      </c>
      <c r="K5" s="176"/>
    </row>
    <row r="6" spans="1:19" ht="16">
      <c r="A6" s="129" t="s">
        <v>327</v>
      </c>
      <c r="B6" s="131">
        <v>5</v>
      </c>
      <c r="C6" s="136"/>
      <c r="D6" s="136"/>
      <c r="E6" s="138"/>
      <c r="F6" s="133" t="str">
        <f t="shared" si="0"/>
        <v/>
      </c>
      <c r="G6" s="137"/>
      <c r="H6" s="154" t="s">
        <v>335</v>
      </c>
      <c r="I6" s="138"/>
      <c r="J6" s="186">
        <v>1600000</v>
      </c>
      <c r="K6" s="176"/>
    </row>
    <row r="7" spans="1:19" ht="16">
      <c r="A7" s="129" t="s">
        <v>327</v>
      </c>
      <c r="B7" s="131">
        <v>6</v>
      </c>
      <c r="C7" s="136"/>
      <c r="D7" s="136"/>
      <c r="E7" s="138"/>
      <c r="F7" s="133" t="str">
        <f t="shared" si="0"/>
        <v/>
      </c>
      <c r="G7" s="137"/>
      <c r="H7" s="154" t="s">
        <v>335</v>
      </c>
      <c r="I7" s="138"/>
      <c r="J7" s="186">
        <v>5500000</v>
      </c>
      <c r="K7" s="176"/>
    </row>
    <row r="8" spans="1:19" ht="16">
      <c r="A8" s="129" t="s">
        <v>327</v>
      </c>
      <c r="B8" s="131">
        <v>7</v>
      </c>
      <c r="C8" s="136"/>
      <c r="D8" s="136"/>
      <c r="E8" s="138"/>
      <c r="F8" s="133" t="str">
        <f t="shared" si="0"/>
        <v/>
      </c>
      <c r="G8" s="137"/>
      <c r="H8" s="154" t="s">
        <v>335</v>
      </c>
      <c r="I8" s="138"/>
      <c r="J8" s="186">
        <v>2025620</v>
      </c>
      <c r="K8" s="176"/>
    </row>
    <row r="9" spans="1:19" ht="16">
      <c r="A9" s="129" t="s">
        <v>327</v>
      </c>
      <c r="B9" s="131">
        <v>8</v>
      </c>
      <c r="C9" s="136"/>
      <c r="D9" s="136"/>
      <c r="E9" s="138"/>
      <c r="F9" s="133" t="str">
        <f t="shared" si="0"/>
        <v/>
      </c>
      <c r="G9" s="137"/>
      <c r="H9" s="154" t="s">
        <v>342</v>
      </c>
      <c r="I9" s="138"/>
      <c r="J9" s="186">
        <v>2000000</v>
      </c>
      <c r="K9" s="176"/>
    </row>
    <row r="10" spans="1:19" ht="16">
      <c r="A10" s="129" t="s">
        <v>327</v>
      </c>
      <c r="B10" s="131">
        <v>9</v>
      </c>
      <c r="C10" s="136"/>
      <c r="D10" s="136"/>
      <c r="E10" s="138"/>
      <c r="F10" s="133" t="str">
        <f t="shared" si="0"/>
        <v/>
      </c>
      <c r="G10" s="137"/>
      <c r="H10" s="154" t="s">
        <v>342</v>
      </c>
      <c r="I10" s="138"/>
      <c r="J10" s="186">
        <v>2900000</v>
      </c>
      <c r="K10" s="176"/>
    </row>
    <row r="11" spans="1:19" ht="16">
      <c r="A11" s="129" t="s">
        <v>327</v>
      </c>
      <c r="B11" s="131">
        <v>10</v>
      </c>
      <c r="C11" s="136"/>
      <c r="D11" s="136"/>
      <c r="E11" s="138"/>
      <c r="F11" s="133" t="str">
        <f t="shared" si="0"/>
        <v/>
      </c>
      <c r="G11" s="137"/>
      <c r="H11" s="154" t="s">
        <v>342</v>
      </c>
      <c r="I11" s="138"/>
      <c r="J11" s="186">
        <v>2300000</v>
      </c>
      <c r="K11" s="176"/>
    </row>
    <row r="12" spans="1:19" ht="16">
      <c r="A12" s="129" t="s">
        <v>327</v>
      </c>
      <c r="B12" s="131">
        <v>11</v>
      </c>
      <c r="C12" s="136"/>
      <c r="D12" s="136"/>
      <c r="E12" s="138"/>
      <c r="F12" s="133" t="str">
        <f t="shared" si="0"/>
        <v/>
      </c>
      <c r="G12" s="137" t="s">
        <v>964</v>
      </c>
      <c r="H12" s="154" t="s">
        <v>219</v>
      </c>
      <c r="I12" s="138"/>
      <c r="J12" s="186">
        <v>1200</v>
      </c>
      <c r="K12" s="176"/>
    </row>
    <row r="13" spans="1:19" ht="16">
      <c r="A13" s="129" t="s">
        <v>327</v>
      </c>
      <c r="B13" s="131">
        <v>13</v>
      </c>
      <c r="C13" s="136"/>
      <c r="D13" s="136"/>
      <c r="E13" s="138"/>
      <c r="F13" s="133" t="str">
        <f t="shared" si="0"/>
        <v/>
      </c>
      <c r="G13" s="137"/>
      <c r="H13" s="154" t="s">
        <v>219</v>
      </c>
      <c r="I13" s="138"/>
      <c r="J13" s="186">
        <v>-37024214</v>
      </c>
      <c r="K13" s="176"/>
    </row>
    <row r="14" spans="1:19" ht="16">
      <c r="A14" s="129"/>
      <c r="B14" s="131"/>
      <c r="C14" s="136"/>
      <c r="D14" s="136"/>
      <c r="E14" s="138"/>
      <c r="F14" s="133"/>
      <c r="G14" s="137"/>
      <c r="H14" s="154"/>
      <c r="I14" s="138"/>
      <c r="J14" s="186">
        <f>SUM(J2:J13)</f>
        <v>542606</v>
      </c>
      <c r="K14" s="176"/>
    </row>
    <row r="15" spans="1:19" ht="16">
      <c r="A15" s="159"/>
      <c r="B15" s="160"/>
      <c r="C15" s="161"/>
      <c r="D15" s="161"/>
      <c r="E15" s="162"/>
      <c r="F15" s="163"/>
      <c r="G15" s="164"/>
      <c r="H15" s="165"/>
      <c r="I15" s="162"/>
      <c r="J15" s="187"/>
      <c r="K15" s="176"/>
    </row>
    <row r="16" spans="1:19" ht="16">
      <c r="A16" s="129" t="s">
        <v>327</v>
      </c>
      <c r="B16" s="131">
        <v>14</v>
      </c>
      <c r="C16" s="136"/>
      <c r="D16" s="136"/>
      <c r="E16" s="138">
        <v>23</v>
      </c>
      <c r="F16" s="133" t="str">
        <f t="shared" si="0"/>
        <v>محمدرضا سروری</v>
      </c>
      <c r="G16" s="137" t="s">
        <v>965</v>
      </c>
      <c r="H16" s="154" t="s">
        <v>219</v>
      </c>
      <c r="I16" s="138"/>
      <c r="J16" s="186">
        <v>3370000</v>
      </c>
      <c r="K16" s="176"/>
    </row>
    <row r="17" spans="1:11" ht="16">
      <c r="A17" s="129" t="s">
        <v>327</v>
      </c>
      <c r="B17" s="131">
        <v>15</v>
      </c>
      <c r="C17" s="136"/>
      <c r="D17" s="136"/>
      <c r="E17" s="138">
        <v>24</v>
      </c>
      <c r="F17" s="133" t="str">
        <f t="shared" si="0"/>
        <v>کمیل سروری</v>
      </c>
      <c r="G17" s="137" t="s">
        <v>966</v>
      </c>
      <c r="H17" s="154" t="s">
        <v>219</v>
      </c>
      <c r="I17" s="138"/>
      <c r="J17" s="186">
        <v>104000</v>
      </c>
      <c r="K17" s="176"/>
    </row>
    <row r="18" spans="1:11" ht="16">
      <c r="A18" s="129" t="s">
        <v>327</v>
      </c>
      <c r="B18" s="131">
        <v>16</v>
      </c>
      <c r="C18" s="136"/>
      <c r="D18" s="136"/>
      <c r="E18" s="140" t="s">
        <v>15</v>
      </c>
      <c r="F18" s="133" t="str">
        <f t="shared" si="0"/>
        <v>هزینه کلی به مددجویان</v>
      </c>
      <c r="G18" s="137" t="s">
        <v>298</v>
      </c>
      <c r="H18" s="154" t="s">
        <v>220</v>
      </c>
      <c r="I18" s="138"/>
      <c r="J18" s="186">
        <v>14500</v>
      </c>
      <c r="K18" s="176"/>
    </row>
    <row r="19" spans="1:11" ht="16">
      <c r="A19" s="129" t="s">
        <v>327</v>
      </c>
      <c r="B19" s="131">
        <v>17</v>
      </c>
      <c r="C19" s="136"/>
      <c r="D19" s="136"/>
      <c r="E19" s="140" t="s">
        <v>14</v>
      </c>
      <c r="F19" s="133" t="str">
        <f t="shared" si="0"/>
        <v>هزینه کلی موسسه</v>
      </c>
      <c r="G19" s="137" t="s">
        <v>967</v>
      </c>
      <c r="H19" s="154" t="s">
        <v>222</v>
      </c>
      <c r="I19" s="138"/>
      <c r="J19" s="186">
        <v>10000</v>
      </c>
      <c r="K19" s="176"/>
    </row>
    <row r="20" spans="1:11" ht="16">
      <c r="A20" s="129" t="s">
        <v>327</v>
      </c>
      <c r="B20" s="131">
        <v>18</v>
      </c>
      <c r="C20" s="136"/>
      <c r="D20" s="136"/>
      <c r="E20" s="140" t="s">
        <v>14</v>
      </c>
      <c r="F20" s="133" t="str">
        <f t="shared" si="0"/>
        <v>هزینه کلی موسسه</v>
      </c>
      <c r="G20" s="137" t="s">
        <v>967</v>
      </c>
      <c r="H20" s="154" t="s">
        <v>222</v>
      </c>
      <c r="I20" s="138"/>
      <c r="J20" s="186">
        <v>8000</v>
      </c>
      <c r="K20" s="176"/>
    </row>
    <row r="21" spans="1:11" ht="16">
      <c r="A21" s="129" t="s">
        <v>327</v>
      </c>
      <c r="B21" s="131">
        <v>19</v>
      </c>
      <c r="C21" s="136"/>
      <c r="D21" s="136"/>
      <c r="E21" s="140" t="s">
        <v>14</v>
      </c>
      <c r="F21" s="133" t="str">
        <f t="shared" si="0"/>
        <v>هزینه کلی موسسه</v>
      </c>
      <c r="G21" s="137" t="s">
        <v>967</v>
      </c>
      <c r="H21" s="154" t="s">
        <v>222</v>
      </c>
      <c r="I21" s="138"/>
      <c r="J21" s="186">
        <v>18000</v>
      </c>
      <c r="K21" s="176"/>
    </row>
    <row r="22" spans="1:11" ht="16">
      <c r="A22" s="129" t="s">
        <v>327</v>
      </c>
      <c r="B22" s="131">
        <v>20</v>
      </c>
      <c r="C22" s="136"/>
      <c r="D22" s="136"/>
      <c r="E22" s="158">
        <v>23</v>
      </c>
      <c r="F22" s="133" t="str">
        <f t="shared" ref="F22:F26" si="1">IF(E22="","",HLOOKUP(E22,etela,2,0))</f>
        <v>محمدرضا سروری</v>
      </c>
      <c r="G22" s="133" t="s">
        <v>221</v>
      </c>
      <c r="H22" s="155" t="s">
        <v>222</v>
      </c>
      <c r="I22" s="133"/>
      <c r="J22" s="188">
        <v>3003000</v>
      </c>
      <c r="K22" s="176"/>
    </row>
    <row r="23" spans="1:11" ht="16">
      <c r="A23" s="129" t="s">
        <v>327</v>
      </c>
      <c r="B23" s="131">
        <v>21</v>
      </c>
      <c r="C23" s="141" t="str">
        <f>MID('ریزهزینه کرد مددجوها'!$H23,6,2)</f>
        <v>04</v>
      </c>
      <c r="D23" s="141" t="str">
        <f>MID('ریزهزینه کرد مددجوها'!$H23,1,4)</f>
        <v>1401</v>
      </c>
      <c r="E23" s="158">
        <v>24</v>
      </c>
      <c r="F23" s="133" t="str">
        <f t="shared" si="1"/>
        <v>کمیل سروری</v>
      </c>
      <c r="G23" s="133" t="s">
        <v>221</v>
      </c>
      <c r="H23" s="155" t="s">
        <v>222</v>
      </c>
      <c r="I23" s="133"/>
      <c r="J23" s="188">
        <v>3003000</v>
      </c>
      <c r="K23" s="176"/>
    </row>
    <row r="24" spans="1:11" ht="16">
      <c r="A24" s="129" t="s">
        <v>327</v>
      </c>
      <c r="B24" s="131">
        <v>22</v>
      </c>
      <c r="C24" s="141" t="str">
        <f>MID('ریزهزینه کرد مددجوها'!$H24,6,2)</f>
        <v>04</v>
      </c>
      <c r="D24" s="141" t="str">
        <f>MID('ریزهزینه کرد مددجوها'!$H24,1,4)</f>
        <v>1401</v>
      </c>
      <c r="E24" s="158">
        <v>21</v>
      </c>
      <c r="F24" s="133" t="str">
        <f t="shared" si="1"/>
        <v>ملبکا نماز</v>
      </c>
      <c r="G24" s="133" t="s">
        <v>223</v>
      </c>
      <c r="H24" s="155" t="s">
        <v>222</v>
      </c>
      <c r="I24" s="133"/>
      <c r="J24" s="188">
        <v>2960000</v>
      </c>
      <c r="K24" s="176"/>
    </row>
    <row r="25" spans="1:11" ht="16">
      <c r="A25" s="129" t="s">
        <v>327</v>
      </c>
      <c r="B25" s="131">
        <v>23</v>
      </c>
      <c r="C25" s="141" t="str">
        <f>MID('ریزهزینه کرد مددجوها'!$H25,6,2)</f>
        <v>04</v>
      </c>
      <c r="D25" s="141" t="str">
        <f>MID('ریزهزینه کرد مددجوها'!$H25,1,4)</f>
        <v>1401</v>
      </c>
      <c r="E25" s="158">
        <v>21</v>
      </c>
      <c r="F25" s="133" t="str">
        <f t="shared" si="1"/>
        <v>ملبکا نماز</v>
      </c>
      <c r="G25" s="133" t="s">
        <v>224</v>
      </c>
      <c r="H25" s="155" t="s">
        <v>222</v>
      </c>
      <c r="I25" s="133"/>
      <c r="J25" s="188">
        <v>3706000</v>
      </c>
      <c r="K25" s="176"/>
    </row>
    <row r="26" spans="1:11" ht="16">
      <c r="A26" s="129" t="s">
        <v>327</v>
      </c>
      <c r="B26" s="131">
        <v>24</v>
      </c>
      <c r="C26" s="141" t="str">
        <f>MID('ریزهزینه کرد مددجوها'!$H26,6,2)</f>
        <v>04</v>
      </c>
      <c r="D26" s="141" t="str">
        <f>MID('ریزهزینه کرد مددجوها'!$H26,1,4)</f>
        <v>1401</v>
      </c>
      <c r="E26" s="158" t="s">
        <v>14</v>
      </c>
      <c r="F26" s="133" t="str">
        <f t="shared" si="1"/>
        <v>هزینه کلی موسسه</v>
      </c>
      <c r="G26" s="133" t="s">
        <v>225</v>
      </c>
      <c r="H26" s="155" t="s">
        <v>226</v>
      </c>
      <c r="I26" s="133"/>
      <c r="J26" s="188">
        <v>200000</v>
      </c>
      <c r="K26" s="176"/>
    </row>
    <row r="27" spans="1:11" ht="16">
      <c r="A27" s="129" t="s">
        <v>327</v>
      </c>
      <c r="B27" s="131">
        <v>25</v>
      </c>
      <c r="C27" s="141"/>
      <c r="D27" s="141"/>
      <c r="E27" s="158" t="s">
        <v>15</v>
      </c>
      <c r="F27" s="133" t="str">
        <f t="shared" ref="F27" si="2">IF(E27="","",HLOOKUP(E27,etela,2,0))</f>
        <v>هزینه کلی به مددجویان</v>
      </c>
      <c r="G27" s="133" t="s">
        <v>227</v>
      </c>
      <c r="H27" s="155" t="s">
        <v>228</v>
      </c>
      <c r="I27" s="133"/>
      <c r="J27" s="188">
        <v>3420000</v>
      </c>
      <c r="K27" s="176"/>
    </row>
    <row r="28" spans="1:11" ht="16">
      <c r="A28" s="129" t="s">
        <v>327</v>
      </c>
      <c r="B28" s="131">
        <v>26</v>
      </c>
      <c r="C28" s="141"/>
      <c r="D28" s="141"/>
      <c r="E28" s="158">
        <v>20</v>
      </c>
      <c r="F28" s="133" t="str">
        <f t="shared" ref="F28:F31" si="3">IF(E28="","",HLOOKUP(E28,etela,2,0))</f>
        <v>پری زارع</v>
      </c>
      <c r="G28" s="133" t="s">
        <v>229</v>
      </c>
      <c r="H28" s="155" t="s">
        <v>230</v>
      </c>
      <c r="I28" s="133"/>
      <c r="J28" s="188">
        <v>16508400</v>
      </c>
      <c r="K28" s="176"/>
    </row>
    <row r="29" spans="1:11" ht="16">
      <c r="A29" s="129" t="s">
        <v>327</v>
      </c>
      <c r="B29" s="131">
        <v>27</v>
      </c>
      <c r="C29" s="141" t="str">
        <f>MID('ریزهزینه کرد مددجوها'!$H29,6,2)</f>
        <v>05</v>
      </c>
      <c r="D29" s="141" t="str">
        <f>MID('ریزهزینه کرد مددجوها'!$H29,1,4)</f>
        <v>1401</v>
      </c>
      <c r="E29" s="158">
        <v>20</v>
      </c>
      <c r="F29" s="133" t="str">
        <f t="shared" si="3"/>
        <v>پری زارع</v>
      </c>
      <c r="G29" s="133" t="s">
        <v>231</v>
      </c>
      <c r="H29" s="155" t="s">
        <v>230</v>
      </c>
      <c r="I29" s="133"/>
      <c r="J29" s="188">
        <v>250000</v>
      </c>
      <c r="K29" s="176"/>
    </row>
    <row r="30" spans="1:11" ht="16">
      <c r="A30" s="129" t="s">
        <v>327</v>
      </c>
      <c r="B30" s="131">
        <v>28</v>
      </c>
      <c r="C30" s="141" t="str">
        <f>MID('ریزهزینه کرد مددجوها'!$H30,6,2)</f>
        <v>05</v>
      </c>
      <c r="D30" s="141" t="str">
        <f>MID('ریزهزینه کرد مددجوها'!$H30,1,4)</f>
        <v>1401</v>
      </c>
      <c r="E30" s="158">
        <v>20</v>
      </c>
      <c r="F30" s="133" t="str">
        <f t="shared" si="3"/>
        <v>پری زارع</v>
      </c>
      <c r="G30" s="133" t="s">
        <v>232</v>
      </c>
      <c r="H30" s="155" t="s">
        <v>230</v>
      </c>
      <c r="I30" s="133"/>
      <c r="J30" s="188">
        <v>4080000</v>
      </c>
      <c r="K30" s="176"/>
    </row>
    <row r="31" spans="1:11" ht="15.75" customHeight="1">
      <c r="A31" s="129" t="s">
        <v>327</v>
      </c>
      <c r="B31" s="131">
        <v>29</v>
      </c>
      <c r="C31" s="141" t="str">
        <f>MID('ریزهزینه کرد مددجوها'!$H31,6,2)</f>
        <v>05</v>
      </c>
      <c r="D31" s="141" t="str">
        <f>MID('ریزهزینه کرد مددجوها'!$H31,1,4)</f>
        <v>1401</v>
      </c>
      <c r="E31" s="158" t="s">
        <v>15</v>
      </c>
      <c r="F31" s="133" t="str">
        <f t="shared" si="3"/>
        <v>هزینه کلی به مددجویان</v>
      </c>
      <c r="G31" s="133" t="s">
        <v>227</v>
      </c>
      <c r="H31" s="155" t="s">
        <v>230</v>
      </c>
      <c r="I31" s="133"/>
      <c r="J31" s="188">
        <v>2252500</v>
      </c>
      <c r="K31" s="176"/>
    </row>
    <row r="32" spans="1:11" ht="15" customHeight="1">
      <c r="A32" s="129" t="s">
        <v>327</v>
      </c>
      <c r="B32" s="131">
        <v>30</v>
      </c>
      <c r="E32" s="158" t="s">
        <v>14</v>
      </c>
      <c r="F32" s="133" t="str">
        <f t="shared" ref="F32" si="4">IF(E32="","",HLOOKUP(E32,etela,2,0))</f>
        <v>هزینه کلی موسسه</v>
      </c>
      <c r="G32" s="133" t="s">
        <v>233</v>
      </c>
      <c r="H32" s="155" t="s">
        <v>234</v>
      </c>
      <c r="I32" s="133"/>
      <c r="J32" s="188">
        <v>10006000</v>
      </c>
    </row>
    <row r="33" spans="1:11" ht="15.75" customHeight="1">
      <c r="A33" s="129" t="s">
        <v>327</v>
      </c>
      <c r="B33" s="131">
        <v>31</v>
      </c>
      <c r="C33" s="141"/>
      <c r="D33" s="141"/>
      <c r="E33" s="158" t="s">
        <v>14</v>
      </c>
      <c r="F33" s="133" t="str">
        <f t="shared" ref="F33:F34" si="5">IF(E33="","",HLOOKUP(E33,etela,2,0))</f>
        <v>هزینه کلی موسسه</v>
      </c>
      <c r="G33" s="133" t="s">
        <v>235</v>
      </c>
      <c r="H33" s="155" t="s">
        <v>236</v>
      </c>
      <c r="I33" s="133"/>
      <c r="J33" s="188">
        <v>10006000</v>
      </c>
      <c r="K33" s="176"/>
    </row>
    <row r="34" spans="1:11" ht="15.75" customHeight="1">
      <c r="A34" s="129" t="s">
        <v>327</v>
      </c>
      <c r="B34" s="131">
        <v>32</v>
      </c>
      <c r="C34" s="141" t="str">
        <f>MID('ریزهزینه کرد مددجوها'!$H34,6,2)</f>
        <v>06</v>
      </c>
      <c r="D34" s="141" t="str">
        <f>MID('ریزهزینه کرد مددجوها'!$H34,1,4)</f>
        <v>1401</v>
      </c>
      <c r="E34" s="158" t="s">
        <v>14</v>
      </c>
      <c r="F34" s="133" t="str">
        <f t="shared" si="5"/>
        <v>هزینه کلی موسسه</v>
      </c>
      <c r="G34" s="133" t="s">
        <v>237</v>
      </c>
      <c r="H34" s="155" t="s">
        <v>196</v>
      </c>
      <c r="I34" s="133"/>
      <c r="J34" s="188">
        <v>24000</v>
      </c>
      <c r="K34" s="176"/>
    </row>
    <row r="35" spans="1:11" ht="15.75" customHeight="1">
      <c r="A35" s="129" t="s">
        <v>327</v>
      </c>
      <c r="B35" s="131">
        <v>33</v>
      </c>
      <c r="C35" s="141"/>
      <c r="D35" s="141"/>
      <c r="E35" s="158">
        <v>6</v>
      </c>
      <c r="F35" s="133" t="str">
        <f t="shared" ref="F35:F38" si="6">IF(E35="","",HLOOKUP(E35,etela,2,0))</f>
        <v>راضیه رضاپور</v>
      </c>
      <c r="G35" s="133" t="s">
        <v>238</v>
      </c>
      <c r="H35" s="155" t="s">
        <v>239</v>
      </c>
      <c r="I35" s="133"/>
      <c r="J35" s="188">
        <v>25010800</v>
      </c>
      <c r="K35" s="176"/>
    </row>
    <row r="36" spans="1:11" ht="15.75" customHeight="1">
      <c r="A36" s="129" t="s">
        <v>327</v>
      </c>
      <c r="B36" s="131">
        <v>34</v>
      </c>
      <c r="C36" s="141"/>
      <c r="D36" s="141"/>
      <c r="E36" s="158">
        <v>6</v>
      </c>
      <c r="F36" s="133" t="str">
        <f t="shared" si="6"/>
        <v>راضیه رضاپور</v>
      </c>
      <c r="G36" s="133" t="s">
        <v>221</v>
      </c>
      <c r="H36" s="155" t="s">
        <v>239</v>
      </c>
      <c r="I36" s="133"/>
      <c r="J36" s="188">
        <v>4256000</v>
      </c>
      <c r="K36" s="176"/>
    </row>
    <row r="37" spans="1:11" ht="15.75" customHeight="1">
      <c r="A37" s="129" t="s">
        <v>327</v>
      </c>
      <c r="B37" s="131">
        <v>35</v>
      </c>
      <c r="C37" s="141"/>
      <c r="D37" s="141"/>
      <c r="E37" s="158" t="s">
        <v>15</v>
      </c>
      <c r="F37" s="133" t="str">
        <f t="shared" si="6"/>
        <v>هزینه کلی به مددجویان</v>
      </c>
      <c r="G37" s="133" t="s">
        <v>240</v>
      </c>
      <c r="H37" s="155" t="s">
        <v>241</v>
      </c>
      <c r="I37" s="133"/>
      <c r="J37" s="188">
        <v>20400000</v>
      </c>
      <c r="K37" s="176"/>
    </row>
    <row r="38" spans="1:11" ht="15.75" customHeight="1">
      <c r="A38" s="129" t="s">
        <v>327</v>
      </c>
      <c r="B38" s="131">
        <v>36</v>
      </c>
      <c r="C38" s="141"/>
      <c r="D38" s="141"/>
      <c r="E38" s="158" t="s">
        <v>14</v>
      </c>
      <c r="F38" s="133" t="str">
        <f t="shared" si="6"/>
        <v>هزینه کلی موسسه</v>
      </c>
      <c r="G38" s="133" t="s">
        <v>242</v>
      </c>
      <c r="H38" s="155" t="s">
        <v>243</v>
      </c>
      <c r="I38" s="133"/>
      <c r="J38" s="188">
        <v>4000000</v>
      </c>
      <c r="K38" s="176"/>
    </row>
    <row r="39" spans="1:11" ht="15.75" customHeight="1">
      <c r="A39" s="129" t="s">
        <v>327</v>
      </c>
      <c r="B39" s="131">
        <v>37</v>
      </c>
      <c r="C39" s="141" t="str">
        <f>MID('ریزهزینه کرد مددجوها'!$H39,6,2)</f>
        <v>06</v>
      </c>
      <c r="D39" s="141" t="str">
        <f>MID('ریزهزینه کرد مددجوها'!$H39,1,4)</f>
        <v>1401</v>
      </c>
      <c r="E39" s="158" t="s">
        <v>14</v>
      </c>
      <c r="F39" s="133" t="str">
        <f>IF(E39="","",HLOOKUP(E39,etela,2,0))</f>
        <v>هزینه کلی موسسه</v>
      </c>
      <c r="G39" s="133" t="s">
        <v>244</v>
      </c>
      <c r="H39" s="155" t="s">
        <v>196</v>
      </c>
      <c r="I39" s="133"/>
      <c r="J39" s="188">
        <v>7006000</v>
      </c>
      <c r="K39" s="176"/>
    </row>
    <row r="40" spans="1:11" ht="15.75" customHeight="1">
      <c r="A40" s="129" t="s">
        <v>327</v>
      </c>
      <c r="B40" s="131">
        <v>38</v>
      </c>
      <c r="C40" s="141"/>
      <c r="D40" s="141"/>
      <c r="E40" s="158" t="s">
        <v>14</v>
      </c>
      <c r="F40" s="133" t="str">
        <f t="shared" ref="F40" si="7">IF(E40="","",HLOOKUP(E40,etela,2,0))</f>
        <v>هزینه کلی موسسه</v>
      </c>
      <c r="G40" s="133" t="s">
        <v>245</v>
      </c>
      <c r="H40" s="155" t="s">
        <v>241</v>
      </c>
      <c r="I40" s="133"/>
      <c r="J40" s="188">
        <v>15577400</v>
      </c>
      <c r="K40" s="176"/>
    </row>
    <row r="41" spans="1:11" ht="15.75" customHeight="1">
      <c r="A41" s="129" t="s">
        <v>327</v>
      </c>
      <c r="B41" s="131">
        <v>39</v>
      </c>
      <c r="C41" s="141" t="str">
        <f>MID('ریزهزینه کرد مددجوها'!$H41,6,2)</f>
        <v>06</v>
      </c>
      <c r="D41" s="141" t="str">
        <f>MID('ریزهزینه کرد مددجوها'!$H41,1,4)</f>
        <v>1401</v>
      </c>
      <c r="E41" s="158" t="s">
        <v>15</v>
      </c>
      <c r="F41" s="133" t="str">
        <f t="shared" ref="F41:F50" si="8">IF(E41="","",HLOOKUP(E41,etela,2,0))</f>
        <v>هزینه کلی به مددجویان</v>
      </c>
      <c r="G41" s="133" t="s">
        <v>246</v>
      </c>
      <c r="H41" s="155" t="s">
        <v>241</v>
      </c>
      <c r="I41" s="133"/>
      <c r="J41" s="188">
        <v>44023100</v>
      </c>
      <c r="K41" s="176"/>
    </row>
    <row r="42" spans="1:11" ht="15.75" customHeight="1">
      <c r="A42" s="129" t="s">
        <v>327</v>
      </c>
      <c r="B42" s="131">
        <v>40</v>
      </c>
      <c r="C42" s="141" t="str">
        <f>MID('ریزهزینه کرد مددجوها'!$H42,6,2)</f>
        <v>06</v>
      </c>
      <c r="D42" s="141" t="str">
        <f>MID('ریزهزینه کرد مددجوها'!$H42,1,4)</f>
        <v>1401</v>
      </c>
      <c r="E42" s="158" t="s">
        <v>15</v>
      </c>
      <c r="F42" s="133" t="str">
        <f t="shared" si="8"/>
        <v>هزینه کلی به مددجویان</v>
      </c>
      <c r="G42" s="133" t="s">
        <v>247</v>
      </c>
      <c r="H42" s="155" t="s">
        <v>241</v>
      </c>
      <c r="I42" s="133"/>
      <c r="J42" s="188">
        <v>39013200</v>
      </c>
      <c r="K42" s="176"/>
    </row>
    <row r="43" spans="1:11" ht="15.75" customHeight="1">
      <c r="A43" s="129" t="s">
        <v>327</v>
      </c>
      <c r="B43" s="131">
        <v>41</v>
      </c>
      <c r="C43" s="141" t="str">
        <f>MID('ریزهزینه کرد مددجوها'!$H43,6,2)</f>
        <v>06</v>
      </c>
      <c r="D43" s="141" t="str">
        <f>MID('ریزهزینه کرد مددجوها'!$H43,1,4)</f>
        <v>1401</v>
      </c>
      <c r="E43" s="158" t="s">
        <v>15</v>
      </c>
      <c r="F43" s="133" t="str">
        <f t="shared" si="8"/>
        <v>هزینه کلی به مددجویان</v>
      </c>
      <c r="G43" s="133" t="s">
        <v>240</v>
      </c>
      <c r="H43" s="155" t="s">
        <v>241</v>
      </c>
      <c r="I43" s="133"/>
      <c r="J43" s="188">
        <v>13000000</v>
      </c>
      <c r="K43" s="176"/>
    </row>
    <row r="44" spans="1:11" ht="15.75" customHeight="1">
      <c r="A44" s="129" t="s">
        <v>327</v>
      </c>
      <c r="B44" s="131">
        <v>42</v>
      </c>
      <c r="C44" s="141" t="str">
        <f>MID('ریزهزینه کرد مددجوها'!$H44,6,2)</f>
        <v>06</v>
      </c>
      <c r="D44" s="141" t="str">
        <f>MID('ریزهزینه کرد مددجوها'!$H44,1,4)</f>
        <v>1401</v>
      </c>
      <c r="E44" s="158" t="s">
        <v>14</v>
      </c>
      <c r="F44" s="133" t="str">
        <f t="shared" si="8"/>
        <v>هزینه کلی موسسه</v>
      </c>
      <c r="G44" s="133" t="s">
        <v>248</v>
      </c>
      <c r="H44" s="155" t="s">
        <v>249</v>
      </c>
      <c r="I44" s="133"/>
      <c r="J44" s="188">
        <v>1006000</v>
      </c>
      <c r="K44" s="176"/>
    </row>
    <row r="45" spans="1:11" ht="15.75" customHeight="1">
      <c r="A45" s="129" t="s">
        <v>327</v>
      </c>
      <c r="B45" s="131">
        <v>43</v>
      </c>
      <c r="C45" s="141" t="str">
        <f>MID('ریزهزینه کرد مددجوها'!$H45,6,2)</f>
        <v>06</v>
      </c>
      <c r="D45" s="141" t="str">
        <f>MID('ریزهزینه کرد مددجوها'!$H45,1,4)</f>
        <v>1401</v>
      </c>
      <c r="E45" s="158">
        <v>14</v>
      </c>
      <c r="F45" s="133" t="str">
        <f t="shared" si="8"/>
        <v>زهرا تاتاری</v>
      </c>
      <c r="G45" s="133" t="s">
        <v>250</v>
      </c>
      <c r="H45" s="155" t="s">
        <v>251</v>
      </c>
      <c r="I45" s="133"/>
      <c r="J45" s="188">
        <v>2180000</v>
      </c>
      <c r="K45" s="176"/>
    </row>
    <row r="46" spans="1:11" ht="15.75" customHeight="1">
      <c r="A46" s="129" t="s">
        <v>327</v>
      </c>
      <c r="B46" s="131">
        <v>44</v>
      </c>
      <c r="C46" s="141" t="str">
        <f>MID('ریزهزینه کرد مددجوها'!$H46,6,2)</f>
        <v>06</v>
      </c>
      <c r="D46" s="141" t="str">
        <f>MID('ریزهزینه کرد مددجوها'!$H46,1,4)</f>
        <v>1401</v>
      </c>
      <c r="E46" s="158" t="s">
        <v>14</v>
      </c>
      <c r="F46" s="133" t="str">
        <f t="shared" si="8"/>
        <v>هزینه کلی موسسه</v>
      </c>
      <c r="G46" s="133" t="s">
        <v>252</v>
      </c>
      <c r="H46" s="155" t="s">
        <v>249</v>
      </c>
      <c r="I46" s="133"/>
      <c r="J46" s="188">
        <v>4306000</v>
      </c>
      <c r="K46" s="176"/>
    </row>
    <row r="47" spans="1:11" ht="15.75" customHeight="1">
      <c r="A47" s="129" t="s">
        <v>327</v>
      </c>
      <c r="B47" s="131">
        <v>45</v>
      </c>
      <c r="C47" s="141" t="str">
        <f>MID('ریزهزینه کرد مددجوها'!$H47,6,2)</f>
        <v>06</v>
      </c>
      <c r="D47" s="141" t="str">
        <f>MID('ریزهزینه کرد مددجوها'!$H47,1,4)</f>
        <v>1401</v>
      </c>
      <c r="E47" s="158" t="s">
        <v>15</v>
      </c>
      <c r="F47" s="133" t="str">
        <f t="shared" si="8"/>
        <v>هزینه کلی به مددجویان</v>
      </c>
      <c r="G47" s="133" t="s">
        <v>246</v>
      </c>
      <c r="H47" s="155" t="s">
        <v>253</v>
      </c>
      <c r="I47" s="133"/>
      <c r="J47" s="188">
        <v>2050000</v>
      </c>
      <c r="K47" s="176"/>
    </row>
    <row r="48" spans="1:11" ht="15.75" customHeight="1">
      <c r="A48" s="129" t="s">
        <v>327</v>
      </c>
      <c r="B48" s="131">
        <v>46</v>
      </c>
      <c r="C48" s="141" t="str">
        <f>MID('ریزهزینه کرد مددجوها'!$H48,6,2)</f>
        <v>06</v>
      </c>
      <c r="D48" s="141" t="str">
        <f>MID('ریزهزینه کرد مددجوها'!$H48,1,4)</f>
        <v>1401</v>
      </c>
      <c r="E48" s="158" t="s">
        <v>15</v>
      </c>
      <c r="F48" s="133" t="str">
        <f t="shared" si="8"/>
        <v>هزینه کلی به مددجویان</v>
      </c>
      <c r="G48" s="133" t="s">
        <v>247</v>
      </c>
      <c r="H48" s="155" t="s">
        <v>253</v>
      </c>
      <c r="I48" s="133"/>
      <c r="J48" s="188">
        <v>4600000</v>
      </c>
      <c r="K48" s="176"/>
    </row>
    <row r="49" spans="1:11" ht="15.75" customHeight="1">
      <c r="A49" s="129" t="s">
        <v>327</v>
      </c>
      <c r="B49" s="131">
        <v>47</v>
      </c>
      <c r="C49" s="141" t="str">
        <f>MID('ریزهزینه کرد مددجوها'!$H49,6,2)</f>
        <v>06</v>
      </c>
      <c r="D49" s="141" t="str">
        <f>MID('ریزهزینه کرد مددجوها'!$H49,1,4)</f>
        <v>1401</v>
      </c>
      <c r="E49" s="140" t="s">
        <v>15</v>
      </c>
      <c r="F49" s="133" t="str">
        <f t="shared" si="8"/>
        <v>هزینه کلی به مددجویان</v>
      </c>
      <c r="G49" s="142" t="s">
        <v>250</v>
      </c>
      <c r="H49" s="154" t="s">
        <v>253</v>
      </c>
      <c r="I49" s="140"/>
      <c r="J49" s="189">
        <v>48000000</v>
      </c>
      <c r="K49" s="176"/>
    </row>
    <row r="50" spans="1:11" ht="15.75" customHeight="1">
      <c r="A50" s="129" t="s">
        <v>327</v>
      </c>
      <c r="B50" s="131">
        <v>48</v>
      </c>
      <c r="C50" s="141" t="str">
        <f>MID('ریزهزینه کرد مددجوها'!$H50,6,2)</f>
        <v>06</v>
      </c>
      <c r="D50" s="141" t="str">
        <f>MID('ریزهزینه کرد مددجوها'!$H50,1,4)</f>
        <v>1401</v>
      </c>
      <c r="E50" s="140" t="s">
        <v>15</v>
      </c>
      <c r="F50" s="133" t="str">
        <f t="shared" si="8"/>
        <v>هزینه کلی به مددجویان</v>
      </c>
      <c r="G50" s="142" t="s">
        <v>254</v>
      </c>
      <c r="H50" s="154" t="s">
        <v>253</v>
      </c>
      <c r="I50" s="140"/>
      <c r="J50" s="189">
        <v>180000</v>
      </c>
      <c r="K50" s="176"/>
    </row>
    <row r="51" spans="1:11" ht="15.75" customHeight="1">
      <c r="A51" s="129" t="s">
        <v>327</v>
      </c>
      <c r="B51" s="131">
        <v>49</v>
      </c>
      <c r="C51" s="141" t="str">
        <f>MID('ریزهزینه کرد مددجوها'!$H51,6,2)</f>
        <v>06</v>
      </c>
      <c r="D51" s="141" t="str">
        <f>MID('ریزهزینه کرد مددجوها'!$H51,1,4)</f>
        <v>1401</v>
      </c>
      <c r="E51" s="140">
        <v>10</v>
      </c>
      <c r="F51" s="133" t="str">
        <f t="shared" ref="F51:F82" si="9">IF(E51="","",HLOOKUP(E51,etela,2,0))</f>
        <v>مریم رحمانی</v>
      </c>
      <c r="G51" s="142" t="s">
        <v>255</v>
      </c>
      <c r="H51" s="131" t="s">
        <v>256</v>
      </c>
      <c r="I51" s="140"/>
      <c r="J51" s="189">
        <v>2550000</v>
      </c>
      <c r="K51" s="176"/>
    </row>
    <row r="52" spans="1:11" ht="15.75" customHeight="1">
      <c r="A52" s="129" t="s">
        <v>327</v>
      </c>
      <c r="B52" s="131">
        <v>50</v>
      </c>
      <c r="C52" s="141" t="str">
        <f>MID('ریزهزینه کرد مددجوها'!$H52,6,2)</f>
        <v>07</v>
      </c>
      <c r="D52" s="141" t="str">
        <f>MID('ریزهزینه کرد مددجوها'!$H52,1,4)</f>
        <v>1401</v>
      </c>
      <c r="E52" s="140" t="s">
        <v>14</v>
      </c>
      <c r="F52" s="133" t="str">
        <f t="shared" si="9"/>
        <v>هزینه کلی موسسه</v>
      </c>
      <c r="G52" s="142" t="s">
        <v>225</v>
      </c>
      <c r="H52" s="154" t="s">
        <v>257</v>
      </c>
      <c r="I52" s="140"/>
      <c r="J52" s="189">
        <v>200000</v>
      </c>
      <c r="K52" s="176"/>
    </row>
    <row r="53" spans="1:11" ht="15.75" customHeight="1">
      <c r="A53" s="129" t="s">
        <v>327</v>
      </c>
      <c r="B53" s="131">
        <v>51</v>
      </c>
      <c r="C53" s="141" t="str">
        <f>MID('ریزهزینه کرد مددجوها'!$H53,6,2)</f>
        <v>07</v>
      </c>
      <c r="D53" s="141" t="str">
        <f>MID('ریزهزینه کرد مددجوها'!$H53,1,4)</f>
        <v>1401</v>
      </c>
      <c r="E53" s="140">
        <v>12</v>
      </c>
      <c r="F53" s="133" t="str">
        <f t="shared" si="9"/>
        <v>الهام صمدی</v>
      </c>
      <c r="G53" s="142" t="s">
        <v>258</v>
      </c>
      <c r="H53" s="154" t="s">
        <v>259</v>
      </c>
      <c r="I53" s="140"/>
      <c r="J53" s="189">
        <v>2072000</v>
      </c>
      <c r="K53" s="176"/>
    </row>
    <row r="54" spans="1:11" ht="15.75" customHeight="1">
      <c r="A54" s="129" t="s">
        <v>327</v>
      </c>
      <c r="B54" s="131">
        <v>52</v>
      </c>
      <c r="C54" s="141" t="str">
        <f>MID('ریزهزینه کرد مددجوها'!$H54,6,2)</f>
        <v>07</v>
      </c>
      <c r="D54" s="141" t="str">
        <f>MID('ریزهزینه کرد مددجوها'!$H54,1,4)</f>
        <v>1401</v>
      </c>
      <c r="E54" s="140">
        <v>12</v>
      </c>
      <c r="F54" s="133" t="str">
        <f t="shared" si="9"/>
        <v>الهام صمدی</v>
      </c>
      <c r="G54" s="142" t="s">
        <v>260</v>
      </c>
      <c r="H54" s="154" t="s">
        <v>259</v>
      </c>
      <c r="I54" s="140"/>
      <c r="J54" s="189">
        <v>7850000</v>
      </c>
      <c r="K54" s="176"/>
    </row>
    <row r="55" spans="1:11" ht="15.75" customHeight="1">
      <c r="A55" s="129" t="s">
        <v>327</v>
      </c>
      <c r="B55" s="131">
        <v>53</v>
      </c>
      <c r="C55" s="141" t="str">
        <f>MID('ریزهزینه کرد مددجوها'!$H55,6,2)</f>
        <v>07</v>
      </c>
      <c r="D55" s="141" t="str">
        <f>MID('ریزهزینه کرد مددجوها'!$H55,1,4)</f>
        <v>1401</v>
      </c>
      <c r="E55" s="140">
        <v>12</v>
      </c>
      <c r="F55" s="133" t="str">
        <f t="shared" si="9"/>
        <v>الهام صمدی</v>
      </c>
      <c r="G55" s="142" t="s">
        <v>261</v>
      </c>
      <c r="H55" s="154" t="s">
        <v>259</v>
      </c>
      <c r="I55" s="140"/>
      <c r="J55" s="189">
        <v>257000</v>
      </c>
      <c r="K55" s="176"/>
    </row>
    <row r="56" spans="1:11" ht="15.75" customHeight="1">
      <c r="A56" s="129" t="s">
        <v>327</v>
      </c>
      <c r="B56" s="131">
        <v>54</v>
      </c>
      <c r="C56" s="141" t="str">
        <f>MID('ریزهزینه کرد مددجوها'!$H56,6,2)</f>
        <v>07</v>
      </c>
      <c r="D56" s="141" t="str">
        <f>MID('ریزهزینه کرد مددجوها'!$H56,1,4)</f>
        <v>1401</v>
      </c>
      <c r="E56" s="140" t="s">
        <v>15</v>
      </c>
      <c r="F56" s="133" t="str">
        <f t="shared" si="9"/>
        <v>هزینه کلی به مددجویان</v>
      </c>
      <c r="G56" s="142" t="s">
        <v>262</v>
      </c>
      <c r="H56" s="154" t="s">
        <v>263</v>
      </c>
      <c r="I56" s="140"/>
      <c r="J56" s="189">
        <v>1706000</v>
      </c>
      <c r="K56" s="176"/>
    </row>
    <row r="57" spans="1:11" ht="15.75" customHeight="1">
      <c r="A57" s="129" t="s">
        <v>327</v>
      </c>
      <c r="B57" s="131">
        <v>55</v>
      </c>
      <c r="C57" s="141" t="str">
        <f>MID('ریزهزینه کرد مددجوها'!$H57,6,2)</f>
        <v>07</v>
      </c>
      <c r="D57" s="141" t="str">
        <f>MID('ریزهزینه کرد مددجوها'!$H57,1,4)</f>
        <v>1401</v>
      </c>
      <c r="E57" s="140">
        <v>9</v>
      </c>
      <c r="F57" s="133" t="str">
        <f t="shared" si="9"/>
        <v>فاطمه موسوی</v>
      </c>
      <c r="G57" s="142" t="s">
        <v>221</v>
      </c>
      <c r="H57" s="154" t="s">
        <v>263</v>
      </c>
      <c r="I57" s="140"/>
      <c r="J57" s="189">
        <v>4706000</v>
      </c>
      <c r="K57" s="176"/>
    </row>
    <row r="58" spans="1:11" ht="15.75" customHeight="1">
      <c r="A58" s="129" t="s">
        <v>327</v>
      </c>
      <c r="B58" s="131">
        <v>56</v>
      </c>
      <c r="C58" s="141" t="str">
        <f>MID('ریزهزینه کرد مددجوها'!$H58,6,2)</f>
        <v>07</v>
      </c>
      <c r="D58" s="141" t="str">
        <f>MID('ریزهزینه کرد مددجوها'!$H58,1,4)</f>
        <v>1401</v>
      </c>
      <c r="E58" s="140" t="s">
        <v>15</v>
      </c>
      <c r="F58" s="133" t="str">
        <f t="shared" si="9"/>
        <v>هزینه کلی به مددجویان</v>
      </c>
      <c r="G58" s="142" t="s">
        <v>264</v>
      </c>
      <c r="H58" s="154" t="s">
        <v>263</v>
      </c>
      <c r="I58" s="140"/>
      <c r="J58" s="189">
        <v>2000000</v>
      </c>
      <c r="K58" s="176"/>
    </row>
    <row r="59" spans="1:11" ht="15.75" customHeight="1">
      <c r="A59" s="129" t="s">
        <v>327</v>
      </c>
      <c r="B59" s="131">
        <v>57</v>
      </c>
      <c r="C59" s="141" t="str">
        <f>MID('ریزهزینه کرد مددجوها'!$H59,6,2)</f>
        <v>07</v>
      </c>
      <c r="D59" s="141" t="str">
        <f>MID('ریزهزینه کرد مددجوها'!$H59,1,4)</f>
        <v>1401</v>
      </c>
      <c r="E59" s="140">
        <v>8</v>
      </c>
      <c r="F59" s="133" t="str">
        <f t="shared" si="9"/>
        <v>پریسا اعتمادمنش</v>
      </c>
      <c r="G59" s="142" t="s">
        <v>265</v>
      </c>
      <c r="H59" s="154" t="s">
        <v>266</v>
      </c>
      <c r="I59" s="140"/>
      <c r="J59" s="189">
        <v>89000000</v>
      </c>
      <c r="K59" s="176"/>
    </row>
    <row r="60" spans="1:11" ht="15.75" customHeight="1">
      <c r="A60" s="129" t="s">
        <v>327</v>
      </c>
      <c r="B60" s="131">
        <v>58</v>
      </c>
      <c r="C60" s="141" t="str">
        <f>MID('ریزهزینه کرد مددجوها'!$H60,6,2)</f>
        <v>07</v>
      </c>
      <c r="D60" s="141" t="str">
        <f>MID('ریزهزینه کرد مددجوها'!$H60,1,4)</f>
        <v>1401</v>
      </c>
      <c r="E60" s="140">
        <v>8</v>
      </c>
      <c r="F60" s="133" t="str">
        <f t="shared" si="9"/>
        <v>پریسا اعتمادمنش</v>
      </c>
      <c r="G60" s="142" t="s">
        <v>267</v>
      </c>
      <c r="H60" s="154" t="s">
        <v>266</v>
      </c>
      <c r="I60" s="140"/>
      <c r="J60" s="189">
        <v>11008400</v>
      </c>
      <c r="K60" s="176"/>
    </row>
    <row r="61" spans="1:11" ht="15.75" customHeight="1">
      <c r="A61" s="129" t="s">
        <v>327</v>
      </c>
      <c r="B61" s="131">
        <v>59</v>
      </c>
      <c r="C61" s="141" t="str">
        <f>MID('ریزهزینه کرد مددجوها'!$H61,6,2)</f>
        <v>07</v>
      </c>
      <c r="D61" s="141" t="str">
        <f>MID('ریزهزینه کرد مددجوها'!$H61,1,4)</f>
        <v>1401</v>
      </c>
      <c r="E61" s="140">
        <v>12</v>
      </c>
      <c r="F61" s="133" t="str">
        <f t="shared" si="9"/>
        <v>الهام صمدی</v>
      </c>
      <c r="G61" s="142" t="s">
        <v>268</v>
      </c>
      <c r="H61" s="154" t="s">
        <v>266</v>
      </c>
      <c r="I61" s="140"/>
      <c r="J61" s="189">
        <v>1016000</v>
      </c>
      <c r="K61" s="176"/>
    </row>
    <row r="62" spans="1:11" ht="18" customHeight="1">
      <c r="A62" s="129" t="s">
        <v>327</v>
      </c>
      <c r="B62" s="131">
        <v>60</v>
      </c>
      <c r="C62" s="141"/>
      <c r="D62" s="141"/>
      <c r="E62" s="140" t="s">
        <v>15</v>
      </c>
      <c r="F62" s="133" t="str">
        <f t="shared" si="9"/>
        <v>هزینه کلی به مددجویان</v>
      </c>
      <c r="G62" s="142" t="s">
        <v>269</v>
      </c>
      <c r="H62" s="154" t="s">
        <v>266</v>
      </c>
      <c r="I62" s="140"/>
      <c r="J62" s="189">
        <v>2006000</v>
      </c>
      <c r="K62" s="176"/>
    </row>
    <row r="63" spans="1:11" ht="18" customHeight="1">
      <c r="A63" s="129" t="s">
        <v>327</v>
      </c>
      <c r="B63" s="131">
        <v>61</v>
      </c>
      <c r="C63" s="141"/>
      <c r="D63" s="141"/>
      <c r="E63" s="140" t="s">
        <v>15</v>
      </c>
      <c r="F63" s="133" t="str">
        <f t="shared" si="9"/>
        <v>هزینه کلی به مددجویان</v>
      </c>
      <c r="G63" s="142" t="s">
        <v>270</v>
      </c>
      <c r="H63" s="154" t="s">
        <v>271</v>
      </c>
      <c r="I63" s="140"/>
      <c r="J63" s="189">
        <v>24195000</v>
      </c>
      <c r="K63" s="176"/>
    </row>
    <row r="64" spans="1:11" ht="18" customHeight="1">
      <c r="A64" s="129" t="s">
        <v>327</v>
      </c>
      <c r="B64" s="131">
        <v>62</v>
      </c>
      <c r="C64" s="141"/>
      <c r="D64" s="141"/>
      <c r="E64" s="140" t="s">
        <v>15</v>
      </c>
      <c r="F64" s="133" t="str">
        <f t="shared" si="9"/>
        <v>هزینه کلی به مددجویان</v>
      </c>
      <c r="G64" s="142" t="s">
        <v>272</v>
      </c>
      <c r="H64" s="154" t="s">
        <v>271</v>
      </c>
      <c r="I64" s="140"/>
      <c r="J64" s="189">
        <v>-2700000</v>
      </c>
      <c r="K64" s="176"/>
    </row>
    <row r="65" spans="1:11" ht="18" customHeight="1">
      <c r="A65" s="129" t="s">
        <v>327</v>
      </c>
      <c r="B65" s="131">
        <v>63</v>
      </c>
      <c r="C65" s="141"/>
      <c r="D65" s="141"/>
      <c r="E65" s="140">
        <v>17</v>
      </c>
      <c r="F65" s="133" t="str">
        <f t="shared" si="9"/>
        <v>کوثر فارقی</v>
      </c>
      <c r="G65" s="142" t="s">
        <v>273</v>
      </c>
      <c r="H65" s="154" t="s">
        <v>274</v>
      </c>
      <c r="I65" s="140"/>
      <c r="J65" s="189">
        <v>2168000</v>
      </c>
      <c r="K65" s="176"/>
    </row>
    <row r="66" spans="1:11" ht="18" customHeight="1">
      <c r="A66" s="129" t="s">
        <v>327</v>
      </c>
      <c r="B66" s="131">
        <v>64</v>
      </c>
      <c r="C66" s="141"/>
      <c r="D66" s="141"/>
      <c r="E66" s="140" t="s">
        <v>15</v>
      </c>
      <c r="F66" s="133" t="str">
        <f t="shared" si="9"/>
        <v>هزینه کلی به مددجویان</v>
      </c>
      <c r="G66" s="142" t="s">
        <v>275</v>
      </c>
      <c r="H66" s="154" t="s">
        <v>271</v>
      </c>
      <c r="I66" s="140"/>
      <c r="J66" s="189">
        <v>532000</v>
      </c>
      <c r="K66" s="176"/>
    </row>
    <row r="67" spans="1:11" ht="18" customHeight="1">
      <c r="A67" s="129" t="s">
        <v>327</v>
      </c>
      <c r="B67" s="131">
        <v>65</v>
      </c>
      <c r="C67" s="141"/>
      <c r="D67" s="141"/>
      <c r="E67" s="140">
        <v>12</v>
      </c>
      <c r="F67" s="133" t="str">
        <f t="shared" si="9"/>
        <v>الهام صمدی</v>
      </c>
      <c r="G67" s="142" t="s">
        <v>276</v>
      </c>
      <c r="H67" s="154" t="s">
        <v>277</v>
      </c>
      <c r="I67" s="140"/>
      <c r="J67" s="189">
        <v>4106000</v>
      </c>
      <c r="K67" s="176"/>
    </row>
    <row r="68" spans="1:11" ht="18" customHeight="1">
      <c r="A68" s="129" t="s">
        <v>327</v>
      </c>
      <c r="B68" s="131">
        <v>66</v>
      </c>
      <c r="C68" s="141"/>
      <c r="D68" s="141"/>
      <c r="E68" s="140">
        <v>17</v>
      </c>
      <c r="F68" s="133" t="str">
        <f t="shared" si="9"/>
        <v>کوثر فارقی</v>
      </c>
      <c r="G68" s="142" t="s">
        <v>278</v>
      </c>
      <c r="H68" s="154" t="s">
        <v>279</v>
      </c>
      <c r="I68" s="140"/>
      <c r="J68" s="189">
        <v>1506000</v>
      </c>
      <c r="K68" s="176"/>
    </row>
    <row r="69" spans="1:11" ht="18" customHeight="1">
      <c r="A69" s="129" t="s">
        <v>327</v>
      </c>
      <c r="B69" s="131">
        <v>67</v>
      </c>
      <c r="C69" s="141"/>
      <c r="D69" s="141"/>
      <c r="E69" s="140" t="s">
        <v>15</v>
      </c>
      <c r="F69" s="133" t="str">
        <f t="shared" si="9"/>
        <v>هزینه کلی به مددجویان</v>
      </c>
      <c r="G69" s="142" t="s">
        <v>280</v>
      </c>
      <c r="H69" s="154" t="s">
        <v>281</v>
      </c>
      <c r="I69" s="140"/>
      <c r="J69" s="189">
        <v>5145000</v>
      </c>
      <c r="K69" s="176"/>
    </row>
    <row r="70" spans="1:11" ht="18" customHeight="1">
      <c r="A70" s="129" t="s">
        <v>327</v>
      </c>
      <c r="B70" s="131">
        <v>68</v>
      </c>
      <c r="C70" s="141"/>
      <c r="D70" s="141"/>
      <c r="E70" s="140">
        <v>13</v>
      </c>
      <c r="F70" s="133" t="str">
        <f t="shared" si="9"/>
        <v>کوثر مولایی</v>
      </c>
      <c r="G70" s="142" t="s">
        <v>282</v>
      </c>
      <c r="H70" s="154" t="s">
        <v>281</v>
      </c>
      <c r="I70" s="140"/>
      <c r="J70" s="189">
        <v>5437500</v>
      </c>
      <c r="K70" s="176"/>
    </row>
    <row r="71" spans="1:11" ht="18" customHeight="1">
      <c r="A71" s="129" t="s">
        <v>327</v>
      </c>
      <c r="B71" s="131">
        <v>69</v>
      </c>
      <c r="C71" s="141"/>
      <c r="D71" s="141"/>
      <c r="E71" s="140">
        <v>23</v>
      </c>
      <c r="F71" s="133" t="str">
        <f t="shared" si="9"/>
        <v>محمدرضا سروری</v>
      </c>
      <c r="G71" s="142" t="s">
        <v>282</v>
      </c>
      <c r="H71" s="154" t="s">
        <v>283</v>
      </c>
      <c r="I71" s="140"/>
      <c r="J71" s="189">
        <v>603000</v>
      </c>
      <c r="K71" s="176"/>
    </row>
    <row r="72" spans="1:11" ht="18" customHeight="1">
      <c r="A72" s="129" t="s">
        <v>327</v>
      </c>
      <c r="B72" s="131">
        <v>70</v>
      </c>
      <c r="C72" s="141"/>
      <c r="D72" s="141"/>
      <c r="E72" s="140">
        <v>24</v>
      </c>
      <c r="F72" s="133" t="str">
        <f t="shared" si="9"/>
        <v>کمیل سروری</v>
      </c>
      <c r="G72" s="142" t="s">
        <v>282</v>
      </c>
      <c r="H72" s="154" t="s">
        <v>283</v>
      </c>
      <c r="I72" s="140"/>
      <c r="J72" s="189">
        <v>603000</v>
      </c>
      <c r="K72" s="176"/>
    </row>
    <row r="73" spans="1:11" ht="18" customHeight="1">
      <c r="A73" s="129" t="s">
        <v>327</v>
      </c>
      <c r="B73" s="131">
        <v>71</v>
      </c>
      <c r="C73" s="141"/>
      <c r="D73" s="141"/>
      <c r="E73" s="140">
        <v>14</v>
      </c>
      <c r="F73" s="133" t="str">
        <f t="shared" si="9"/>
        <v>زهرا تاتاری</v>
      </c>
      <c r="G73" s="142" t="s">
        <v>282</v>
      </c>
      <c r="H73" s="154" t="s">
        <v>283</v>
      </c>
      <c r="I73" s="140"/>
      <c r="J73" s="189">
        <v>2250000</v>
      </c>
      <c r="K73" s="176"/>
    </row>
    <row r="74" spans="1:11" ht="18" customHeight="1">
      <c r="A74" s="129" t="s">
        <v>327</v>
      </c>
      <c r="B74" s="131">
        <v>72</v>
      </c>
      <c r="C74" s="141"/>
      <c r="D74" s="141"/>
      <c r="E74" s="140">
        <v>12</v>
      </c>
      <c r="F74" s="133" t="str">
        <f t="shared" si="9"/>
        <v>الهام صمدی</v>
      </c>
      <c r="G74" s="142" t="s">
        <v>282</v>
      </c>
      <c r="H74" s="154" t="s">
        <v>284</v>
      </c>
      <c r="I74" s="140"/>
      <c r="J74" s="189">
        <v>1086000</v>
      </c>
      <c r="K74" s="176"/>
    </row>
    <row r="75" spans="1:11" ht="18" customHeight="1">
      <c r="A75" s="129" t="s">
        <v>327</v>
      </c>
      <c r="B75" s="131">
        <v>73</v>
      </c>
      <c r="C75" s="141"/>
      <c r="D75" s="141"/>
      <c r="E75" s="140">
        <v>1</v>
      </c>
      <c r="F75" s="133" t="str">
        <f t="shared" si="9"/>
        <v>ریحانه نوری شفیق</v>
      </c>
      <c r="G75" s="142" t="s">
        <v>221</v>
      </c>
      <c r="H75" s="154" t="s">
        <v>285</v>
      </c>
      <c r="I75" s="140"/>
      <c r="J75" s="189">
        <v>4700000</v>
      </c>
      <c r="K75" s="176"/>
    </row>
    <row r="76" spans="1:11" ht="18" customHeight="1">
      <c r="A76" s="129" t="s">
        <v>327</v>
      </c>
      <c r="B76" s="131">
        <v>74</v>
      </c>
      <c r="C76" s="141"/>
      <c r="D76" s="141"/>
      <c r="E76" s="140">
        <v>3</v>
      </c>
      <c r="F76" s="133" t="str">
        <f t="shared" si="9"/>
        <v>زهرا قهستانی</v>
      </c>
      <c r="G76" s="142" t="s">
        <v>221</v>
      </c>
      <c r="H76" s="154" t="s">
        <v>285</v>
      </c>
      <c r="I76" s="140"/>
      <c r="J76" s="189">
        <v>4700000</v>
      </c>
      <c r="K76" s="176"/>
    </row>
    <row r="77" spans="1:11" ht="18" customHeight="1">
      <c r="A77" s="129" t="s">
        <v>327</v>
      </c>
      <c r="B77" s="131">
        <v>75</v>
      </c>
      <c r="C77" s="141"/>
      <c r="D77" s="141"/>
      <c r="E77" s="140">
        <v>5</v>
      </c>
      <c r="F77" s="133" t="str">
        <f t="shared" si="9"/>
        <v>رقیه رضاپور</v>
      </c>
      <c r="G77" s="142" t="s">
        <v>221</v>
      </c>
      <c r="H77" s="154" t="s">
        <v>285</v>
      </c>
      <c r="I77" s="140"/>
      <c r="J77" s="189">
        <v>4700000</v>
      </c>
      <c r="K77" s="176"/>
    </row>
    <row r="78" spans="1:11" ht="18" customHeight="1">
      <c r="A78" s="129" t="s">
        <v>327</v>
      </c>
      <c r="B78" s="131">
        <v>76</v>
      </c>
      <c r="C78" s="141"/>
      <c r="D78" s="141"/>
      <c r="E78" s="140">
        <v>10</v>
      </c>
      <c r="F78" s="133" t="str">
        <f t="shared" si="9"/>
        <v>مریم رحمانی</v>
      </c>
      <c r="G78" s="142" t="s">
        <v>221</v>
      </c>
      <c r="H78" s="154" t="s">
        <v>285</v>
      </c>
      <c r="I78" s="140"/>
      <c r="J78" s="189">
        <v>4700000</v>
      </c>
      <c r="K78" s="176"/>
    </row>
    <row r="79" spans="1:11" ht="18" customHeight="1">
      <c r="A79" s="129" t="s">
        <v>327</v>
      </c>
      <c r="B79" s="131">
        <v>77</v>
      </c>
      <c r="C79" s="141"/>
      <c r="D79" s="141"/>
      <c r="E79" s="140">
        <v>11</v>
      </c>
      <c r="F79" s="133" t="str">
        <f t="shared" si="9"/>
        <v>ناهید کمالی گروی</v>
      </c>
      <c r="G79" s="142" t="s">
        <v>221</v>
      </c>
      <c r="H79" s="154" t="s">
        <v>285</v>
      </c>
      <c r="I79" s="140"/>
      <c r="J79" s="189">
        <v>4700000</v>
      </c>
      <c r="K79" s="176"/>
    </row>
    <row r="80" spans="1:11" ht="18" customHeight="1">
      <c r="A80" s="129" t="s">
        <v>327</v>
      </c>
      <c r="B80" s="131">
        <v>78</v>
      </c>
      <c r="C80" s="141"/>
      <c r="D80" s="141"/>
      <c r="E80" s="140">
        <v>4</v>
      </c>
      <c r="F80" s="133" t="str">
        <f t="shared" si="9"/>
        <v>مهلا قهستانی</v>
      </c>
      <c r="G80" s="142" t="s">
        <v>221</v>
      </c>
      <c r="H80" s="154" t="s">
        <v>285</v>
      </c>
      <c r="I80" s="140"/>
      <c r="J80" s="189">
        <v>4800000</v>
      </c>
      <c r="K80" s="176"/>
    </row>
    <row r="81" spans="1:11" ht="18" customHeight="1">
      <c r="A81" s="129" t="s">
        <v>327</v>
      </c>
      <c r="B81" s="131">
        <v>79</v>
      </c>
      <c r="C81" s="141"/>
      <c r="D81" s="141"/>
      <c r="E81" s="140">
        <v>7</v>
      </c>
      <c r="F81" s="133" t="str">
        <f t="shared" si="9"/>
        <v>ربابه رضاپور</v>
      </c>
      <c r="G81" s="142" t="s">
        <v>221</v>
      </c>
      <c r="H81" s="154" t="s">
        <v>285</v>
      </c>
      <c r="I81" s="140"/>
      <c r="J81" s="189">
        <v>4900000</v>
      </c>
      <c r="K81" s="176"/>
    </row>
    <row r="82" spans="1:11" ht="18" customHeight="1">
      <c r="A82" s="129" t="s">
        <v>327</v>
      </c>
      <c r="B82" s="131">
        <v>80</v>
      </c>
      <c r="C82" s="141"/>
      <c r="D82" s="141"/>
      <c r="E82" s="140" t="s">
        <v>15</v>
      </c>
      <c r="F82" s="133" t="str">
        <f t="shared" si="9"/>
        <v>هزینه کلی به مددجویان</v>
      </c>
      <c r="G82" s="142" t="s">
        <v>286</v>
      </c>
      <c r="H82" s="154" t="s">
        <v>285</v>
      </c>
      <c r="I82" s="140"/>
      <c r="J82" s="189">
        <v>13200</v>
      </c>
      <c r="K82" s="176"/>
    </row>
    <row r="83" spans="1:11" ht="18" customHeight="1">
      <c r="A83" s="129" t="s">
        <v>327</v>
      </c>
      <c r="B83" s="131">
        <v>81</v>
      </c>
      <c r="C83" s="141"/>
      <c r="D83" s="141"/>
      <c r="E83" s="140">
        <v>22</v>
      </c>
      <c r="F83" s="133" t="str">
        <f t="shared" ref="F83:F104" si="10">IF(E83="","",HLOOKUP(E83,etela,2,0))</f>
        <v>مهدبار نماز</v>
      </c>
      <c r="G83" s="142" t="s">
        <v>282</v>
      </c>
      <c r="H83" s="154" t="s">
        <v>287</v>
      </c>
      <c r="I83" s="140"/>
      <c r="J83" s="189">
        <v>706000</v>
      </c>
      <c r="K83" s="176"/>
    </row>
    <row r="84" spans="1:11" ht="18" customHeight="1">
      <c r="A84" s="129" t="s">
        <v>327</v>
      </c>
      <c r="B84" s="131">
        <v>82</v>
      </c>
      <c r="C84" s="141"/>
      <c r="D84" s="141"/>
      <c r="E84" s="140">
        <v>9</v>
      </c>
      <c r="F84" s="133" t="str">
        <f t="shared" si="10"/>
        <v>فاطمه موسوی</v>
      </c>
      <c r="G84" s="142" t="s">
        <v>282</v>
      </c>
      <c r="H84" s="154" t="s">
        <v>288</v>
      </c>
      <c r="I84" s="140"/>
      <c r="J84" s="189">
        <v>366000</v>
      </c>
      <c r="K84" s="176"/>
    </row>
    <row r="85" spans="1:11" ht="15.75" customHeight="1">
      <c r="A85" s="129" t="s">
        <v>327</v>
      </c>
      <c r="B85" s="131">
        <v>83</v>
      </c>
      <c r="C85" s="141"/>
      <c r="D85" s="141"/>
      <c r="E85" s="140">
        <v>6</v>
      </c>
      <c r="F85" s="133" t="str">
        <f t="shared" si="10"/>
        <v>راضیه رضاپور</v>
      </c>
      <c r="G85" s="142" t="s">
        <v>289</v>
      </c>
      <c r="H85" s="154" t="s">
        <v>290</v>
      </c>
      <c r="I85" s="140"/>
      <c r="J85" s="189">
        <v>806000</v>
      </c>
      <c r="K85" s="176"/>
    </row>
    <row r="86" spans="1:11" ht="15.75" customHeight="1">
      <c r="A86" s="129" t="s">
        <v>327</v>
      </c>
      <c r="B86" s="131">
        <v>84</v>
      </c>
      <c r="C86" s="141"/>
      <c r="D86" s="141"/>
      <c r="E86" s="140">
        <v>1</v>
      </c>
      <c r="F86" s="133" t="str">
        <f t="shared" si="10"/>
        <v>ریحانه نوری شفیق</v>
      </c>
      <c r="G86" s="142" t="s">
        <v>291</v>
      </c>
      <c r="H86" s="154" t="s">
        <v>292</v>
      </c>
      <c r="I86" s="140"/>
      <c r="J86" s="189">
        <v>2285000</v>
      </c>
      <c r="K86" s="176"/>
    </row>
    <row r="87" spans="1:11" ht="15.75" customHeight="1">
      <c r="A87" s="129" t="s">
        <v>327</v>
      </c>
      <c r="B87" s="131">
        <v>85</v>
      </c>
      <c r="C87" s="141"/>
      <c r="D87" s="141"/>
      <c r="E87" s="140">
        <v>1</v>
      </c>
      <c r="F87" s="133" t="str">
        <f t="shared" si="10"/>
        <v>ریحانه نوری شفیق</v>
      </c>
      <c r="G87" s="142" t="s">
        <v>293</v>
      </c>
      <c r="H87" s="154" t="s">
        <v>292</v>
      </c>
      <c r="I87" s="140"/>
      <c r="J87" s="189">
        <v>5000000</v>
      </c>
      <c r="K87" s="176"/>
    </row>
    <row r="88" spans="1:11" ht="15.75" customHeight="1">
      <c r="A88" s="129" t="s">
        <v>327</v>
      </c>
      <c r="B88" s="131">
        <v>86</v>
      </c>
      <c r="C88" s="141"/>
      <c r="D88" s="141"/>
      <c r="E88" s="140" t="s">
        <v>15</v>
      </c>
      <c r="F88" s="133" t="str">
        <f t="shared" si="10"/>
        <v>هزینه کلی به مددجویان</v>
      </c>
      <c r="G88" s="142" t="s">
        <v>280</v>
      </c>
      <c r="H88" s="154" t="s">
        <v>294</v>
      </c>
      <c r="I88" s="140"/>
      <c r="J88" s="189">
        <v>6006000</v>
      </c>
      <c r="K88" s="176"/>
    </row>
    <row r="89" spans="1:11" ht="15.75" customHeight="1">
      <c r="A89" s="129" t="s">
        <v>327</v>
      </c>
      <c r="B89" s="131">
        <v>87</v>
      </c>
      <c r="C89" s="141"/>
      <c r="D89" s="141"/>
      <c r="E89" s="140">
        <v>12</v>
      </c>
      <c r="F89" s="133" t="str">
        <f t="shared" si="10"/>
        <v>الهام صمدی</v>
      </c>
      <c r="G89" s="142" t="s">
        <v>282</v>
      </c>
      <c r="H89" s="154" t="s">
        <v>295</v>
      </c>
      <c r="I89" s="140"/>
      <c r="J89" s="189">
        <v>1106000</v>
      </c>
      <c r="K89" s="176"/>
    </row>
    <row r="90" spans="1:11" ht="15.75" customHeight="1">
      <c r="A90" s="129" t="s">
        <v>327</v>
      </c>
      <c r="B90" s="131">
        <v>88</v>
      </c>
      <c r="C90" s="141"/>
      <c r="D90" s="141"/>
      <c r="E90" s="140" t="s">
        <v>14</v>
      </c>
      <c r="F90" s="133" t="str">
        <f t="shared" si="10"/>
        <v>هزینه کلی موسسه</v>
      </c>
      <c r="G90" s="142" t="s">
        <v>296</v>
      </c>
      <c r="H90" s="154" t="s">
        <v>297</v>
      </c>
      <c r="I90" s="140"/>
      <c r="J90" s="189">
        <v>6012000</v>
      </c>
      <c r="K90" s="176"/>
    </row>
    <row r="91" spans="1:11" ht="15.75" customHeight="1">
      <c r="A91" s="129" t="s">
        <v>327</v>
      </c>
      <c r="B91" s="131">
        <v>89</v>
      </c>
      <c r="C91" s="141"/>
      <c r="D91" s="141"/>
      <c r="E91" s="140" t="s">
        <v>14</v>
      </c>
      <c r="F91" s="133" t="str">
        <f t="shared" si="10"/>
        <v>هزینه کلی موسسه</v>
      </c>
      <c r="G91" s="142" t="s">
        <v>298</v>
      </c>
      <c r="H91" s="154" t="s">
        <v>299</v>
      </c>
      <c r="I91" s="140"/>
      <c r="J91" s="189">
        <v>200000</v>
      </c>
      <c r="K91" s="176"/>
    </row>
    <row r="92" spans="1:11" ht="15.75" customHeight="1">
      <c r="A92" s="129" t="s">
        <v>327</v>
      </c>
      <c r="B92" s="131">
        <v>90</v>
      </c>
      <c r="C92" s="141"/>
      <c r="D92" s="141"/>
      <c r="E92" s="140" t="s">
        <v>14</v>
      </c>
      <c r="F92" s="133" t="str">
        <f t="shared" si="10"/>
        <v>هزینه کلی موسسه</v>
      </c>
      <c r="G92" s="142" t="s">
        <v>300</v>
      </c>
      <c r="H92" s="154" t="s">
        <v>299</v>
      </c>
      <c r="I92" s="140"/>
      <c r="J92" s="189">
        <v>4691600</v>
      </c>
      <c r="K92" s="176"/>
    </row>
    <row r="93" spans="1:11" ht="15.75" customHeight="1">
      <c r="A93" s="129" t="s">
        <v>327</v>
      </c>
      <c r="B93" s="131">
        <v>91</v>
      </c>
      <c r="C93" s="141"/>
      <c r="D93" s="141"/>
      <c r="E93" s="140" t="s">
        <v>14</v>
      </c>
      <c r="F93" s="133" t="str">
        <f t="shared" si="10"/>
        <v>هزینه کلی موسسه</v>
      </c>
      <c r="G93" s="142" t="s">
        <v>301</v>
      </c>
      <c r="H93" s="154" t="s">
        <v>299</v>
      </c>
      <c r="I93" s="140"/>
      <c r="J93" s="189">
        <v>4413600</v>
      </c>
      <c r="K93" s="176"/>
    </row>
    <row r="94" spans="1:11" ht="15.75" customHeight="1">
      <c r="A94" s="129" t="s">
        <v>327</v>
      </c>
      <c r="B94" s="131">
        <v>92</v>
      </c>
      <c r="C94" s="141"/>
      <c r="D94" s="141"/>
      <c r="E94" s="140" t="s">
        <v>14</v>
      </c>
      <c r="F94" s="133" t="str">
        <f t="shared" si="10"/>
        <v>هزینه کلی موسسه</v>
      </c>
      <c r="G94" s="142" t="s">
        <v>302</v>
      </c>
      <c r="H94" s="154" t="s">
        <v>299</v>
      </c>
      <c r="I94" s="140"/>
      <c r="J94" s="189">
        <v>157500</v>
      </c>
      <c r="K94" s="176"/>
    </row>
    <row r="95" spans="1:11" ht="15.75" customHeight="1">
      <c r="A95" s="129" t="s">
        <v>327</v>
      </c>
      <c r="B95" s="131">
        <v>93</v>
      </c>
      <c r="C95" s="141"/>
      <c r="D95" s="141"/>
      <c r="E95" s="140" t="s">
        <v>14</v>
      </c>
      <c r="F95" s="133" t="str">
        <f t="shared" si="10"/>
        <v>هزینه کلی موسسه</v>
      </c>
      <c r="G95" s="142" t="s">
        <v>303</v>
      </c>
      <c r="H95" s="154" t="s">
        <v>222</v>
      </c>
      <c r="I95" s="140"/>
      <c r="J95" s="189">
        <v>36000</v>
      </c>
      <c r="K95" s="176"/>
    </row>
    <row r="96" spans="1:11" ht="15.75" customHeight="1">
      <c r="A96" s="129" t="s">
        <v>327</v>
      </c>
      <c r="B96" s="131">
        <v>94</v>
      </c>
      <c r="C96" s="141"/>
      <c r="D96" s="141"/>
      <c r="E96" s="140" t="s">
        <v>14</v>
      </c>
      <c r="F96" s="133" t="str">
        <f t="shared" si="10"/>
        <v>هزینه کلی موسسه</v>
      </c>
      <c r="G96" s="142" t="s">
        <v>304</v>
      </c>
      <c r="H96" s="154" t="s">
        <v>305</v>
      </c>
      <c r="I96" s="140"/>
      <c r="J96" s="189">
        <v>1500000</v>
      </c>
      <c r="K96" s="176"/>
    </row>
    <row r="97" spans="1:11" ht="15.75" customHeight="1">
      <c r="A97" s="129" t="s">
        <v>327</v>
      </c>
      <c r="B97" s="131">
        <v>95</v>
      </c>
      <c r="C97" s="141"/>
      <c r="D97" s="141"/>
      <c r="E97" s="140" t="s">
        <v>15</v>
      </c>
      <c r="F97" s="133" t="str">
        <f t="shared" si="10"/>
        <v>هزینه کلی به مددجویان</v>
      </c>
      <c r="G97" s="142" t="s">
        <v>306</v>
      </c>
      <c r="H97" s="154" t="s">
        <v>307</v>
      </c>
      <c r="I97" s="140"/>
      <c r="J97" s="189">
        <v>50402500</v>
      </c>
      <c r="K97" s="176"/>
    </row>
    <row r="98" spans="1:11" ht="15.75" customHeight="1">
      <c r="A98" s="129" t="s">
        <v>327</v>
      </c>
      <c r="B98" s="131">
        <v>96</v>
      </c>
      <c r="C98" s="141"/>
      <c r="D98" s="141"/>
      <c r="E98" s="140">
        <v>25</v>
      </c>
      <c r="F98" s="133" t="str">
        <f t="shared" si="10"/>
        <v>مبینا عباسی</v>
      </c>
      <c r="G98" s="142" t="s">
        <v>308</v>
      </c>
      <c r="H98" s="154" t="s">
        <v>307</v>
      </c>
      <c r="I98" s="140"/>
      <c r="J98" s="189">
        <v>5070000</v>
      </c>
      <c r="K98" s="176"/>
    </row>
    <row r="99" spans="1:11" ht="15.75" customHeight="1">
      <c r="A99" s="129" t="s">
        <v>327</v>
      </c>
      <c r="B99" s="131">
        <v>97</v>
      </c>
      <c r="C99" s="141"/>
      <c r="D99" s="141"/>
      <c r="E99" s="140">
        <v>12</v>
      </c>
      <c r="F99" s="133" t="str">
        <f t="shared" si="10"/>
        <v>الهام صمدی</v>
      </c>
      <c r="G99" s="142" t="s">
        <v>309</v>
      </c>
      <c r="H99" s="154" t="s">
        <v>310</v>
      </c>
      <c r="I99" s="140"/>
      <c r="J99" s="189">
        <v>26500000</v>
      </c>
      <c r="K99" s="176"/>
    </row>
    <row r="100" spans="1:11" ht="15.75" customHeight="1">
      <c r="A100" s="129" t="s">
        <v>327</v>
      </c>
      <c r="B100" s="131">
        <v>98</v>
      </c>
      <c r="C100" s="141"/>
      <c r="D100" s="141"/>
      <c r="E100" s="140" t="s">
        <v>14</v>
      </c>
      <c r="F100" s="133" t="str">
        <f t="shared" si="10"/>
        <v>هزینه کلی موسسه</v>
      </c>
      <c r="G100" s="142" t="s">
        <v>311</v>
      </c>
      <c r="H100" s="154" t="s">
        <v>312</v>
      </c>
      <c r="I100" s="140"/>
      <c r="J100" s="189">
        <v>1426000</v>
      </c>
      <c r="K100" s="176"/>
    </row>
    <row r="101" spans="1:11" ht="15.75" customHeight="1">
      <c r="A101" s="129" t="s">
        <v>327</v>
      </c>
      <c r="B101" s="131">
        <v>99</v>
      </c>
      <c r="C101" s="141"/>
      <c r="D101" s="141"/>
      <c r="E101" s="140" t="s">
        <v>14</v>
      </c>
      <c r="F101" s="133" t="str">
        <f t="shared" si="10"/>
        <v>هزینه کلی موسسه</v>
      </c>
      <c r="G101" s="142" t="s">
        <v>313</v>
      </c>
      <c r="H101" s="154" t="s">
        <v>312</v>
      </c>
      <c r="I101" s="140"/>
      <c r="J101" s="189">
        <v>1000000</v>
      </c>
      <c r="K101" s="176"/>
    </row>
    <row r="102" spans="1:11" ht="15.75" customHeight="1">
      <c r="A102" s="129" t="s">
        <v>327</v>
      </c>
      <c r="B102" s="131">
        <v>100</v>
      </c>
      <c r="C102" s="141"/>
      <c r="D102" s="141"/>
      <c r="E102" s="140" t="s">
        <v>15</v>
      </c>
      <c r="F102" s="133" t="str">
        <f t="shared" si="10"/>
        <v>هزینه کلی به مددجویان</v>
      </c>
      <c r="G102" s="142" t="s">
        <v>624</v>
      </c>
      <c r="H102" s="154" t="s">
        <v>625</v>
      </c>
      <c r="I102" s="140"/>
      <c r="J102" s="189">
        <v>5006000</v>
      </c>
      <c r="K102" s="176"/>
    </row>
    <row r="103" spans="1:11" ht="15.75" customHeight="1">
      <c r="A103" s="129" t="s">
        <v>327</v>
      </c>
      <c r="B103" s="131">
        <v>101</v>
      </c>
      <c r="C103" s="141"/>
      <c r="D103" s="141"/>
      <c r="E103" s="140" t="s">
        <v>15</v>
      </c>
      <c r="F103" s="133" t="str">
        <f t="shared" si="10"/>
        <v>هزینه کلی به مددجویان</v>
      </c>
      <c r="G103" s="142" t="s">
        <v>626</v>
      </c>
      <c r="H103" s="154" t="s">
        <v>607</v>
      </c>
      <c r="I103" s="140"/>
      <c r="J103" s="189">
        <v>21270000</v>
      </c>
      <c r="K103" s="176"/>
    </row>
    <row r="104" spans="1:11" ht="15.75" customHeight="1">
      <c r="A104" s="129" t="s">
        <v>327</v>
      </c>
      <c r="B104" s="131">
        <v>102</v>
      </c>
      <c r="C104" s="141"/>
      <c r="D104" s="141"/>
      <c r="E104" s="140" t="s">
        <v>14</v>
      </c>
      <c r="F104" s="133" t="str">
        <f t="shared" si="10"/>
        <v>هزینه کلی موسسه</v>
      </c>
      <c r="G104" s="142" t="s">
        <v>627</v>
      </c>
      <c r="H104" s="154" t="s">
        <v>607</v>
      </c>
      <c r="I104" s="140"/>
      <c r="J104" s="189">
        <v>4206000</v>
      </c>
      <c r="K104" s="176"/>
    </row>
    <row r="105" spans="1:11" ht="15.75" customHeight="1">
      <c r="A105" s="129" t="s">
        <v>327</v>
      </c>
      <c r="B105" s="131">
        <v>103</v>
      </c>
      <c r="C105" s="141"/>
      <c r="D105" s="141"/>
      <c r="E105" s="140" t="s">
        <v>14</v>
      </c>
      <c r="F105" s="133" t="str">
        <f t="shared" ref="F105:F107" si="11">IF(E105="","",HLOOKUP(E105,etela,2,0))</f>
        <v>هزینه کلی موسسه</v>
      </c>
      <c r="G105" s="142" t="s">
        <v>628</v>
      </c>
      <c r="H105" s="154" t="s">
        <v>608</v>
      </c>
      <c r="I105" s="140"/>
      <c r="J105" s="189">
        <v>6006000</v>
      </c>
      <c r="K105" s="176"/>
    </row>
    <row r="106" spans="1:11" ht="15.75" customHeight="1">
      <c r="A106" s="129" t="s">
        <v>327</v>
      </c>
      <c r="B106" s="131">
        <v>104</v>
      </c>
      <c r="C106" s="141"/>
      <c r="D106" s="141"/>
      <c r="E106" s="140" t="s">
        <v>15</v>
      </c>
      <c r="F106" s="133" t="str">
        <f t="shared" si="11"/>
        <v>هزینه کلی به مددجویان</v>
      </c>
      <c r="G106" s="142" t="s">
        <v>630</v>
      </c>
      <c r="H106" s="154" t="s">
        <v>610</v>
      </c>
      <c r="I106" s="140"/>
      <c r="J106" s="189">
        <v>150000000</v>
      </c>
      <c r="K106" s="176"/>
    </row>
    <row r="107" spans="1:11" ht="15.75" customHeight="1">
      <c r="A107" s="129" t="s">
        <v>327</v>
      </c>
      <c r="B107" s="131">
        <v>105</v>
      </c>
      <c r="C107" s="141"/>
      <c r="D107" s="141"/>
      <c r="E107" s="140">
        <v>12</v>
      </c>
      <c r="F107" s="133" t="str">
        <f t="shared" si="11"/>
        <v>الهام صمدی</v>
      </c>
      <c r="G107" s="142" t="s">
        <v>282</v>
      </c>
      <c r="H107" s="154" t="s">
        <v>611</v>
      </c>
      <c r="I107" s="140"/>
      <c r="J107" s="189">
        <v>450000</v>
      </c>
      <c r="K107" s="176"/>
    </row>
    <row r="108" spans="1:11" ht="15.75" customHeight="1">
      <c r="A108" s="129" t="s">
        <v>327</v>
      </c>
      <c r="B108" s="131">
        <v>106</v>
      </c>
      <c r="C108" s="141"/>
      <c r="D108" s="141"/>
      <c r="E108" s="140" t="s">
        <v>14</v>
      </c>
      <c r="F108" s="133" t="str">
        <f>IF(E108="","",HLOOKUP(E108,etela,2,0))</f>
        <v>هزینه کلی موسسه</v>
      </c>
      <c r="G108" s="142" t="s">
        <v>631</v>
      </c>
      <c r="H108" s="154" t="s">
        <v>611</v>
      </c>
      <c r="I108" s="140"/>
      <c r="J108" s="189">
        <v>4006000</v>
      </c>
      <c r="K108" s="176"/>
    </row>
    <row r="109" spans="1:11" ht="15.75" customHeight="1">
      <c r="A109" s="129" t="s">
        <v>327</v>
      </c>
      <c r="B109" s="131">
        <v>107</v>
      </c>
      <c r="C109" s="141"/>
      <c r="D109" s="141"/>
      <c r="E109" s="140" t="s">
        <v>14</v>
      </c>
      <c r="F109" s="133" t="str">
        <f>IF(E109="","",HLOOKUP(E109,etela,2,0))</f>
        <v>هزینه کلی موسسه</v>
      </c>
      <c r="G109" s="142" t="s">
        <v>629</v>
      </c>
      <c r="H109" s="154" t="s">
        <v>611</v>
      </c>
      <c r="I109" s="140"/>
      <c r="J109" s="189">
        <v>1326000</v>
      </c>
      <c r="K109" s="176"/>
    </row>
    <row r="110" spans="1:11" ht="15.75" customHeight="1">
      <c r="A110" s="129" t="s">
        <v>327</v>
      </c>
      <c r="B110" s="131">
        <v>108</v>
      </c>
      <c r="C110" s="141"/>
      <c r="D110" s="141"/>
      <c r="E110" s="140" t="s">
        <v>14</v>
      </c>
      <c r="F110" s="133" t="str">
        <f>IF(E110="","",HLOOKUP(E110,etela,2,0))</f>
        <v>هزینه کلی موسسه</v>
      </c>
      <c r="G110" s="142" t="s">
        <v>632</v>
      </c>
      <c r="H110" s="154" t="s">
        <v>603</v>
      </c>
      <c r="I110" s="140"/>
      <c r="J110" s="189">
        <v>2846000</v>
      </c>
      <c r="K110" s="176"/>
    </row>
    <row r="111" spans="1:11" ht="15.75" customHeight="1">
      <c r="A111" s="129" t="s">
        <v>327</v>
      </c>
      <c r="B111" s="131">
        <v>109</v>
      </c>
      <c r="C111" s="141"/>
      <c r="D111" s="141"/>
      <c r="E111" s="140" t="s">
        <v>14</v>
      </c>
      <c r="F111" s="133" t="str">
        <f t="shared" ref="F111" si="12">IF(E111="","",HLOOKUP(E111,etela,2,0))</f>
        <v>هزینه کلی موسسه</v>
      </c>
      <c r="G111" s="142" t="s">
        <v>633</v>
      </c>
      <c r="H111" s="154" t="s">
        <v>603</v>
      </c>
      <c r="I111" s="140"/>
      <c r="J111" s="189">
        <v>6006000</v>
      </c>
      <c r="K111" s="176"/>
    </row>
    <row r="112" spans="1:11" ht="15.75" customHeight="1">
      <c r="A112" s="129" t="s">
        <v>327</v>
      </c>
      <c r="B112" s="131">
        <v>110</v>
      </c>
      <c r="C112" s="141"/>
      <c r="D112" s="141"/>
      <c r="E112" s="140" t="s">
        <v>14</v>
      </c>
      <c r="F112" s="133" t="str">
        <f t="shared" ref="F112" si="13">IF(E112="","",HLOOKUP(E112,etela,2,0))</f>
        <v>هزینه کلی موسسه</v>
      </c>
      <c r="G112" s="142" t="s">
        <v>634</v>
      </c>
      <c r="H112" s="154" t="s">
        <v>603</v>
      </c>
      <c r="I112" s="140"/>
      <c r="J112" s="189">
        <v>596000</v>
      </c>
      <c r="K112" s="176"/>
    </row>
    <row r="113" spans="1:11" ht="15.75" customHeight="1">
      <c r="A113" s="129" t="s">
        <v>327</v>
      </c>
      <c r="B113" s="131">
        <v>111</v>
      </c>
      <c r="C113" s="141"/>
      <c r="D113" s="141"/>
      <c r="E113" s="140" t="s">
        <v>14</v>
      </c>
      <c r="F113" s="133" t="str">
        <f>IF(E113="","",HLOOKUP(E113,etela,2,0))</f>
        <v>هزینه کلی موسسه</v>
      </c>
      <c r="G113" s="142" t="s">
        <v>629</v>
      </c>
      <c r="H113" s="154" t="s">
        <v>603</v>
      </c>
      <c r="I113" s="140"/>
      <c r="J113" s="189">
        <v>626000</v>
      </c>
      <c r="K113" s="176"/>
    </row>
    <row r="114" spans="1:11" ht="16">
      <c r="A114" s="129" t="s">
        <v>327</v>
      </c>
      <c r="B114" s="131">
        <v>112</v>
      </c>
      <c r="C114" s="141" t="str">
        <f>MID('ریزهزینه کرد مددجوها'!$H114,6,2)</f>
        <v>09</v>
      </c>
      <c r="D114" s="141" t="str">
        <f>MID('ریزهزینه کرد مددجوها'!$H114,1,4)</f>
        <v>1401</v>
      </c>
      <c r="E114" s="140">
        <v>6</v>
      </c>
      <c r="F114" s="133" t="str">
        <f t="shared" ref="F114:F117" si="14">IF(E114="","",HLOOKUP(E114,etela,2,0))</f>
        <v>راضیه رضاپور</v>
      </c>
      <c r="G114" s="142" t="s">
        <v>635</v>
      </c>
      <c r="H114" s="154" t="s">
        <v>622</v>
      </c>
      <c r="I114" s="140"/>
      <c r="J114" s="189">
        <v>1606000</v>
      </c>
      <c r="K114" s="176"/>
    </row>
    <row r="115" spans="1:11" ht="15.75" customHeight="1">
      <c r="A115" s="129" t="s">
        <v>327</v>
      </c>
      <c r="B115" s="131">
        <v>113</v>
      </c>
      <c r="C115" s="141"/>
      <c r="D115" s="141"/>
      <c r="E115" s="140" t="s">
        <v>15</v>
      </c>
      <c r="F115" s="133" t="str">
        <f t="shared" si="14"/>
        <v>هزینه کلی به مددجویان</v>
      </c>
      <c r="G115" s="142" t="s">
        <v>968</v>
      </c>
      <c r="H115" s="154" t="s">
        <v>969</v>
      </c>
      <c r="I115" s="140"/>
      <c r="J115" s="189">
        <v>600000</v>
      </c>
      <c r="K115" s="176"/>
    </row>
    <row r="116" spans="1:11" ht="15.75" customHeight="1">
      <c r="A116" s="129" t="s">
        <v>327</v>
      </c>
      <c r="B116" s="131">
        <v>114</v>
      </c>
      <c r="C116" s="141"/>
      <c r="D116" s="141"/>
      <c r="E116" s="140">
        <v>30</v>
      </c>
      <c r="F116" s="133" t="str">
        <f t="shared" si="14"/>
        <v>مبینا علیزاده</v>
      </c>
      <c r="G116" s="142" t="s">
        <v>970</v>
      </c>
      <c r="H116" s="154" t="s">
        <v>969</v>
      </c>
      <c r="I116" s="140"/>
      <c r="J116" s="189">
        <v>2006000</v>
      </c>
      <c r="K116" s="176"/>
    </row>
    <row r="117" spans="1:11" ht="15.75" customHeight="1">
      <c r="A117" s="129" t="s">
        <v>327</v>
      </c>
      <c r="B117" s="131">
        <v>115</v>
      </c>
      <c r="C117" s="141"/>
      <c r="D117" s="141"/>
      <c r="E117" s="140" t="s">
        <v>14</v>
      </c>
      <c r="F117" s="133" t="str">
        <f t="shared" si="14"/>
        <v>هزینه کلی موسسه</v>
      </c>
      <c r="G117" s="142" t="s">
        <v>971</v>
      </c>
      <c r="H117" s="154" t="s">
        <v>638</v>
      </c>
      <c r="I117" s="140"/>
      <c r="J117" s="189">
        <v>2006000</v>
      </c>
      <c r="K117" s="176"/>
    </row>
    <row r="118" spans="1:11" ht="15.75" customHeight="1">
      <c r="A118" s="129" t="s">
        <v>327</v>
      </c>
      <c r="B118" s="131">
        <v>116</v>
      </c>
      <c r="C118" s="141"/>
      <c r="D118" s="141"/>
      <c r="E118" s="140" t="s">
        <v>15</v>
      </c>
      <c r="F118" s="133" t="str">
        <f t="shared" ref="F118" si="15">IF(E118="","",HLOOKUP(E118,etela,2,0))</f>
        <v>هزینه کلی به مددجویان</v>
      </c>
      <c r="G118" s="142" t="s">
        <v>972</v>
      </c>
      <c r="H118" s="154" t="s">
        <v>649</v>
      </c>
      <c r="I118" s="140"/>
      <c r="J118" s="189">
        <v>37253200</v>
      </c>
      <c r="K118" s="176"/>
    </row>
    <row r="119" spans="1:11" ht="15.75" customHeight="1">
      <c r="A119" s="129" t="s">
        <v>327</v>
      </c>
      <c r="B119" s="131">
        <v>117</v>
      </c>
      <c r="C119" s="141"/>
      <c r="D119" s="141"/>
      <c r="E119" s="140" t="s">
        <v>15</v>
      </c>
      <c r="F119" s="133" t="str">
        <f t="shared" ref="F119" si="16">IF(E119="","",HLOOKUP(E119,etela,2,0))</f>
        <v>هزینه کلی به مددجویان</v>
      </c>
      <c r="G119" s="142" t="s">
        <v>973</v>
      </c>
      <c r="H119" s="154" t="s">
        <v>649</v>
      </c>
      <c r="I119" s="140"/>
      <c r="J119" s="189">
        <v>6506000</v>
      </c>
      <c r="K119" s="176"/>
    </row>
    <row r="120" spans="1:11" ht="15.75" customHeight="1">
      <c r="A120" s="129" t="s">
        <v>327</v>
      </c>
      <c r="B120" s="131">
        <v>118</v>
      </c>
      <c r="C120" s="141"/>
      <c r="D120" s="141"/>
      <c r="E120" s="140" t="s">
        <v>15</v>
      </c>
      <c r="F120" s="133" t="str">
        <f t="shared" ref="F120" si="17">IF(E120="","",HLOOKUP(E120,etela,2,0))</f>
        <v>هزینه کلی به مددجویان</v>
      </c>
      <c r="G120" s="142" t="s">
        <v>974</v>
      </c>
      <c r="H120" s="154" t="s">
        <v>654</v>
      </c>
      <c r="I120" s="140"/>
      <c r="J120" s="189">
        <v>2280000</v>
      </c>
      <c r="K120" s="176"/>
    </row>
    <row r="121" spans="1:11" ht="15.75" customHeight="1">
      <c r="A121" s="129" t="s">
        <v>327</v>
      </c>
      <c r="B121" s="131">
        <v>119</v>
      </c>
      <c r="C121" s="141"/>
      <c r="D121" s="141"/>
      <c r="E121" s="140" t="s">
        <v>15</v>
      </c>
      <c r="F121" s="133" t="str">
        <f t="shared" ref="F121:F123" si="18">IF(E121="","",HLOOKUP(E121,etela,2,0))</f>
        <v>هزینه کلی به مددجویان</v>
      </c>
      <c r="G121" s="142" t="s">
        <v>974</v>
      </c>
      <c r="H121" s="154" t="s">
        <v>654</v>
      </c>
      <c r="I121" s="140"/>
      <c r="J121" s="189">
        <v>330000</v>
      </c>
      <c r="K121" s="176"/>
    </row>
    <row r="122" spans="1:11" ht="15.75" customHeight="1">
      <c r="A122" s="129" t="s">
        <v>327</v>
      </c>
      <c r="B122" s="131">
        <v>120</v>
      </c>
      <c r="C122" s="141"/>
      <c r="D122" s="141"/>
      <c r="E122" s="140" t="s">
        <v>15</v>
      </c>
      <c r="F122" s="133" t="str">
        <f t="shared" si="18"/>
        <v>هزینه کلی به مددجویان</v>
      </c>
      <c r="G122" s="142" t="s">
        <v>974</v>
      </c>
      <c r="H122" s="154" t="s">
        <v>654</v>
      </c>
      <c r="I122" s="140"/>
      <c r="J122" s="189">
        <v>2210000</v>
      </c>
      <c r="K122" s="176"/>
    </row>
    <row r="123" spans="1:11" ht="15.75" customHeight="1">
      <c r="A123" s="129" t="s">
        <v>327</v>
      </c>
      <c r="B123" s="131">
        <v>121</v>
      </c>
      <c r="C123" s="141"/>
      <c r="D123" s="141"/>
      <c r="E123" s="140" t="s">
        <v>15</v>
      </c>
      <c r="F123" s="133" t="str">
        <f t="shared" si="18"/>
        <v>هزینه کلی به مددجویان</v>
      </c>
      <c r="G123" s="142" t="s">
        <v>974</v>
      </c>
      <c r="H123" s="154" t="s">
        <v>654</v>
      </c>
      <c r="I123" s="140"/>
      <c r="J123" s="189">
        <v>1280000</v>
      </c>
      <c r="K123" s="176"/>
    </row>
    <row r="124" spans="1:11" ht="15.75" customHeight="1">
      <c r="A124" s="129" t="s">
        <v>327</v>
      </c>
      <c r="B124" s="131">
        <v>122</v>
      </c>
      <c r="C124" s="141"/>
      <c r="D124" s="141"/>
      <c r="E124" s="140" t="s">
        <v>15</v>
      </c>
      <c r="F124" s="133" t="str">
        <f t="shared" ref="F124:F125" si="19">IF(E124="","",HLOOKUP(E124,etela,2,0))</f>
        <v>هزینه کلی به مددجویان</v>
      </c>
      <c r="G124" s="142" t="s">
        <v>975</v>
      </c>
      <c r="H124" s="154" t="s">
        <v>976</v>
      </c>
      <c r="I124" s="140"/>
      <c r="J124" s="189">
        <v>5881000</v>
      </c>
      <c r="K124" s="176"/>
    </row>
    <row r="125" spans="1:11" ht="15.75" customHeight="1">
      <c r="A125" s="129" t="s">
        <v>327</v>
      </c>
      <c r="B125" s="131">
        <v>123</v>
      </c>
      <c r="C125" s="141"/>
      <c r="D125" s="141"/>
      <c r="E125" s="140" t="s">
        <v>15</v>
      </c>
      <c r="F125" s="133" t="str">
        <f t="shared" si="19"/>
        <v>هزینه کلی به مددجویان</v>
      </c>
      <c r="G125" s="142" t="s">
        <v>977</v>
      </c>
      <c r="H125" s="154" t="s">
        <v>659</v>
      </c>
      <c r="I125" s="140"/>
      <c r="J125" s="189">
        <v>43515600</v>
      </c>
      <c r="K125" s="176"/>
    </row>
    <row r="126" spans="1:11" ht="15.75" customHeight="1">
      <c r="A126" s="129" t="s">
        <v>327</v>
      </c>
      <c r="B126" s="131">
        <v>124</v>
      </c>
      <c r="C126" s="141"/>
      <c r="D126" s="141"/>
      <c r="E126" s="140" t="s">
        <v>15</v>
      </c>
      <c r="F126" s="133" t="str">
        <f t="shared" ref="F126:F127" si="20">IF(E126="","",HLOOKUP(E126,etela,2,0))</f>
        <v>هزینه کلی به مددجویان</v>
      </c>
      <c r="G126" s="142" t="s">
        <v>978</v>
      </c>
      <c r="H126" s="154" t="s">
        <v>659</v>
      </c>
      <c r="I126" s="140"/>
      <c r="J126" s="189">
        <v>506000</v>
      </c>
      <c r="K126" s="176"/>
    </row>
    <row r="127" spans="1:11" ht="15.75" customHeight="1">
      <c r="A127" s="129" t="s">
        <v>327</v>
      </c>
      <c r="B127" s="131">
        <v>125</v>
      </c>
      <c r="C127" s="141"/>
      <c r="D127" s="141"/>
      <c r="E127" s="140" t="s">
        <v>14</v>
      </c>
      <c r="F127" s="133" t="str">
        <f t="shared" si="20"/>
        <v>هزینه کلی موسسه</v>
      </c>
      <c r="G127" s="142" t="s">
        <v>979</v>
      </c>
      <c r="H127" s="154" t="s">
        <v>980</v>
      </c>
      <c r="I127" s="140"/>
      <c r="J127" s="189">
        <v>80000</v>
      </c>
      <c r="K127" s="176"/>
    </row>
    <row r="128" spans="1:11" ht="15.75" customHeight="1">
      <c r="A128" s="129" t="s">
        <v>327</v>
      </c>
      <c r="B128" s="131">
        <v>126</v>
      </c>
      <c r="C128" s="141"/>
      <c r="D128" s="141"/>
      <c r="E128" s="140" t="s">
        <v>14</v>
      </c>
      <c r="F128" s="133" t="str">
        <f t="shared" ref="F128" si="21">IF(E128="","",HLOOKUP(E128,etela,2,0))</f>
        <v>هزینه کلی موسسه</v>
      </c>
      <c r="G128" s="142" t="s">
        <v>981</v>
      </c>
      <c r="H128" s="154" t="s">
        <v>661</v>
      </c>
      <c r="I128" s="140"/>
      <c r="J128" s="189">
        <v>366000</v>
      </c>
      <c r="K128" s="176"/>
    </row>
    <row r="129" spans="1:11" ht="15.75" customHeight="1">
      <c r="A129" s="129" t="s">
        <v>327</v>
      </c>
      <c r="B129" s="131">
        <v>127</v>
      </c>
      <c r="C129" s="141"/>
      <c r="D129" s="141"/>
      <c r="E129" s="140">
        <v>22</v>
      </c>
      <c r="F129" s="133" t="str">
        <f t="shared" ref="F129:F142" si="22">IF(E129="","",HLOOKUP(E129,etela,2,0))</f>
        <v>مهدبار نماز</v>
      </c>
      <c r="G129" s="142" t="s">
        <v>982</v>
      </c>
      <c r="H129" s="154" t="s">
        <v>661</v>
      </c>
      <c r="I129" s="140"/>
      <c r="J129" s="189">
        <v>506000</v>
      </c>
      <c r="K129" s="176"/>
    </row>
    <row r="130" spans="1:11" ht="15.75" customHeight="1">
      <c r="A130" s="129" t="s">
        <v>327</v>
      </c>
      <c r="B130" s="131">
        <v>128</v>
      </c>
      <c r="C130" s="141"/>
      <c r="D130" s="141"/>
      <c r="E130" s="140">
        <v>10</v>
      </c>
      <c r="F130" s="133" t="str">
        <f t="shared" si="22"/>
        <v>مریم رحمانی</v>
      </c>
      <c r="G130" s="142" t="s">
        <v>983</v>
      </c>
      <c r="H130" s="154" t="s">
        <v>661</v>
      </c>
      <c r="I130" s="140"/>
      <c r="J130" s="189">
        <v>3006000</v>
      </c>
      <c r="K130" s="176"/>
    </row>
    <row r="131" spans="1:11" ht="15.75" customHeight="1">
      <c r="A131" s="129" t="s">
        <v>327</v>
      </c>
      <c r="B131" s="131">
        <v>129</v>
      </c>
      <c r="C131" s="141"/>
      <c r="D131" s="141"/>
      <c r="E131" s="140">
        <v>30</v>
      </c>
      <c r="F131" s="133" t="str">
        <f t="shared" si="22"/>
        <v>مبینا علیزاده</v>
      </c>
      <c r="G131" s="142" t="s">
        <v>984</v>
      </c>
      <c r="H131" s="154" t="s">
        <v>661</v>
      </c>
      <c r="I131" s="140"/>
      <c r="J131" s="189">
        <v>3150000</v>
      </c>
      <c r="K131" s="176"/>
    </row>
    <row r="132" spans="1:11" ht="15.75" customHeight="1">
      <c r="A132" s="129" t="s">
        <v>327</v>
      </c>
      <c r="B132" s="131">
        <v>130</v>
      </c>
      <c r="C132" s="141"/>
      <c r="D132" s="141"/>
      <c r="E132" s="140" t="s">
        <v>14</v>
      </c>
      <c r="F132" s="133" t="str">
        <f t="shared" si="22"/>
        <v>هزینه کلی موسسه</v>
      </c>
      <c r="G132" s="142" t="s">
        <v>985</v>
      </c>
      <c r="H132" s="154" t="s">
        <v>986</v>
      </c>
      <c r="I132" s="140"/>
      <c r="J132" s="189">
        <v>3506000</v>
      </c>
      <c r="K132" s="176"/>
    </row>
    <row r="133" spans="1:11" ht="15.75" customHeight="1">
      <c r="A133" s="129" t="s">
        <v>327</v>
      </c>
      <c r="B133" s="131">
        <v>131</v>
      </c>
      <c r="C133" s="141"/>
      <c r="D133" s="141"/>
      <c r="E133" s="140" t="s">
        <v>14</v>
      </c>
      <c r="F133" s="133" t="str">
        <f t="shared" ref="F133" si="23">IF(E133="","",HLOOKUP(E133,etela,2,0))</f>
        <v>هزینه کلی موسسه</v>
      </c>
      <c r="G133" s="142" t="s">
        <v>987</v>
      </c>
      <c r="H133" s="154" t="s">
        <v>986</v>
      </c>
      <c r="I133" s="140"/>
      <c r="J133" s="189">
        <v>1050000</v>
      </c>
      <c r="K133" s="176"/>
    </row>
    <row r="134" spans="1:11" ht="15.75" customHeight="1">
      <c r="A134" s="129" t="s">
        <v>327</v>
      </c>
      <c r="B134" s="131">
        <v>132</v>
      </c>
      <c r="C134" s="141"/>
      <c r="D134" s="141"/>
      <c r="E134" s="140">
        <v>11</v>
      </c>
      <c r="F134" s="133" t="str">
        <f t="shared" si="22"/>
        <v>ناهید کمالی گروی</v>
      </c>
      <c r="G134" s="142" t="s">
        <v>988</v>
      </c>
      <c r="H134" s="154" t="s">
        <v>989</v>
      </c>
      <c r="I134" s="140"/>
      <c r="J134" s="189">
        <v>456000</v>
      </c>
      <c r="K134" s="176"/>
    </row>
    <row r="135" spans="1:11" ht="15.75" customHeight="1">
      <c r="A135" s="129" t="s">
        <v>327</v>
      </c>
      <c r="B135" s="131">
        <v>133</v>
      </c>
      <c r="C135" s="141"/>
      <c r="D135" s="141"/>
      <c r="E135" s="140" t="s">
        <v>15</v>
      </c>
      <c r="F135" s="133" t="str">
        <f t="shared" si="22"/>
        <v>هزینه کلی به مددجویان</v>
      </c>
      <c r="G135" s="142" t="s">
        <v>990</v>
      </c>
      <c r="H135" s="154" t="s">
        <v>665</v>
      </c>
      <c r="I135" s="140"/>
      <c r="J135" s="189">
        <v>5286000</v>
      </c>
      <c r="K135" s="176"/>
    </row>
    <row r="136" spans="1:11" ht="15.75" customHeight="1">
      <c r="A136" s="129" t="s">
        <v>327</v>
      </c>
      <c r="B136" s="131">
        <v>134</v>
      </c>
      <c r="C136" s="141"/>
      <c r="D136" s="141"/>
      <c r="E136" s="140" t="s">
        <v>15</v>
      </c>
      <c r="F136" s="133" t="str">
        <f t="shared" ref="F136:F137" si="24">IF(E136="","",HLOOKUP(E136,etela,2,0))</f>
        <v>هزینه کلی به مددجویان</v>
      </c>
      <c r="G136" s="142" t="s">
        <v>991</v>
      </c>
      <c r="H136" s="154" t="s">
        <v>665</v>
      </c>
      <c r="I136" s="140"/>
      <c r="J136" s="189">
        <v>5406000</v>
      </c>
      <c r="K136" s="176"/>
    </row>
    <row r="137" spans="1:11" ht="15.75" customHeight="1">
      <c r="A137" s="129" t="s">
        <v>327</v>
      </c>
      <c r="B137" s="131">
        <v>135</v>
      </c>
      <c r="C137" s="141"/>
      <c r="D137" s="141"/>
      <c r="E137" s="140" t="s">
        <v>14</v>
      </c>
      <c r="F137" s="133" t="str">
        <f t="shared" si="24"/>
        <v>هزینه کلی موسسه</v>
      </c>
      <c r="G137" s="142" t="s">
        <v>992</v>
      </c>
      <c r="H137" s="154" t="s">
        <v>676</v>
      </c>
      <c r="I137" s="140"/>
      <c r="J137" s="189">
        <v>7580000</v>
      </c>
      <c r="K137" s="176"/>
    </row>
    <row r="138" spans="1:11" ht="15.75" customHeight="1">
      <c r="A138" s="129" t="s">
        <v>327</v>
      </c>
      <c r="B138" s="131">
        <v>136</v>
      </c>
      <c r="C138" s="141"/>
      <c r="D138" s="141"/>
      <c r="E138" s="140" t="s">
        <v>14</v>
      </c>
      <c r="F138" s="133" t="str">
        <f t="shared" ref="F138" si="25">IF(E138="","",HLOOKUP(E138,etela,2,0))</f>
        <v>هزینه کلی موسسه</v>
      </c>
      <c r="G138" s="142" t="s">
        <v>993</v>
      </c>
      <c r="H138" s="154" t="s">
        <v>994</v>
      </c>
      <c r="I138" s="140"/>
      <c r="J138" s="189">
        <v>8000000</v>
      </c>
      <c r="K138" s="176"/>
    </row>
    <row r="139" spans="1:11" ht="15.75" customHeight="1">
      <c r="A139" s="129" t="s">
        <v>327</v>
      </c>
      <c r="B139" s="131">
        <v>137</v>
      </c>
      <c r="C139" s="141"/>
      <c r="D139" s="141"/>
      <c r="E139" s="140" t="s">
        <v>14</v>
      </c>
      <c r="F139" s="133" t="str">
        <f t="shared" ref="F139" si="26">IF(E139="","",HLOOKUP(E139,etela,2,0))</f>
        <v>هزینه کلی موسسه</v>
      </c>
      <c r="G139" s="142" t="s">
        <v>995</v>
      </c>
      <c r="H139" s="154" t="s">
        <v>681</v>
      </c>
      <c r="I139" s="140"/>
      <c r="J139" s="189">
        <v>466000</v>
      </c>
      <c r="K139" s="176"/>
    </row>
    <row r="140" spans="1:11" ht="15.75" customHeight="1">
      <c r="A140" s="129" t="s">
        <v>327</v>
      </c>
      <c r="B140" s="131">
        <v>138</v>
      </c>
      <c r="C140" s="141"/>
      <c r="D140" s="141"/>
      <c r="E140" s="140">
        <v>16</v>
      </c>
      <c r="F140" s="133" t="str">
        <f t="shared" si="22"/>
        <v>یگانه خرمند سنجدبوری</v>
      </c>
      <c r="G140" s="142" t="s">
        <v>996</v>
      </c>
      <c r="H140" s="154" t="s">
        <v>681</v>
      </c>
      <c r="I140" s="140"/>
      <c r="J140" s="189">
        <v>4371000</v>
      </c>
      <c r="K140" s="176"/>
    </row>
    <row r="141" spans="1:11" ht="15.75" customHeight="1">
      <c r="A141" s="129" t="s">
        <v>327</v>
      </c>
      <c r="B141" s="131">
        <v>139</v>
      </c>
      <c r="C141" s="141"/>
      <c r="D141" s="141"/>
      <c r="E141" s="140" t="s">
        <v>14</v>
      </c>
      <c r="F141" s="133" t="str">
        <f t="shared" si="22"/>
        <v>هزینه کلی موسسه</v>
      </c>
      <c r="G141" s="142" t="s">
        <v>997</v>
      </c>
      <c r="H141" s="154" t="s">
        <v>684</v>
      </c>
      <c r="I141" s="140"/>
      <c r="J141" s="189">
        <v>1000000</v>
      </c>
      <c r="K141" s="176"/>
    </row>
    <row r="142" spans="1:11" ht="15.75" customHeight="1">
      <c r="A142" s="129" t="s">
        <v>327</v>
      </c>
      <c r="B142" s="131">
        <v>140</v>
      </c>
      <c r="C142" s="141"/>
      <c r="D142" s="141"/>
      <c r="E142" s="144"/>
      <c r="F142" s="133" t="str">
        <f t="shared" si="22"/>
        <v/>
      </c>
      <c r="G142" s="145"/>
      <c r="H142" s="156" t="s">
        <v>688</v>
      </c>
      <c r="I142" s="144"/>
      <c r="J142" s="190">
        <v>10477500</v>
      </c>
      <c r="K142" s="176"/>
    </row>
    <row r="143" spans="1:11" ht="15.75" customHeight="1">
      <c r="A143" s="129" t="s">
        <v>327</v>
      </c>
      <c r="B143" s="131">
        <v>141</v>
      </c>
      <c r="C143" s="141"/>
      <c r="D143" s="141"/>
      <c r="E143" s="140" t="s">
        <v>14</v>
      </c>
      <c r="F143" s="133" t="str">
        <f t="shared" ref="F143:F206" si="27">IF(E143="","",HLOOKUP(E143,etela,2,0))</f>
        <v>هزینه کلی موسسه</v>
      </c>
      <c r="G143" s="142" t="s">
        <v>998</v>
      </c>
      <c r="H143" s="154" t="s">
        <v>688</v>
      </c>
      <c r="I143" s="140"/>
      <c r="J143" s="189">
        <v>2000000</v>
      </c>
      <c r="K143" s="176"/>
    </row>
    <row r="144" spans="1:11" ht="15.75" customHeight="1">
      <c r="A144" s="129" t="s">
        <v>327</v>
      </c>
      <c r="B144" s="131">
        <v>142</v>
      </c>
      <c r="C144" s="141"/>
      <c r="D144" s="141"/>
      <c r="E144" s="140" t="s">
        <v>14</v>
      </c>
      <c r="F144" s="133" t="str">
        <f t="shared" si="27"/>
        <v>هزینه کلی موسسه</v>
      </c>
      <c r="G144" s="142" t="s">
        <v>999</v>
      </c>
      <c r="H144" s="154" t="s">
        <v>698</v>
      </c>
      <c r="I144" s="140"/>
      <c r="J144" s="189">
        <v>460000</v>
      </c>
      <c r="K144" s="176"/>
    </row>
    <row r="145" spans="1:11" ht="15.75" customHeight="1">
      <c r="A145" s="129" t="s">
        <v>327</v>
      </c>
      <c r="B145" s="131">
        <v>143</v>
      </c>
      <c r="C145" s="141"/>
      <c r="D145" s="141"/>
      <c r="E145" s="140" t="s">
        <v>14</v>
      </c>
      <c r="F145" s="133" t="str">
        <f t="shared" si="27"/>
        <v>هزینه کلی موسسه</v>
      </c>
      <c r="G145" s="142" t="s">
        <v>1000</v>
      </c>
      <c r="H145" s="154" t="s">
        <v>698</v>
      </c>
      <c r="I145" s="140"/>
      <c r="J145" s="189">
        <v>1546000</v>
      </c>
      <c r="K145" s="176"/>
    </row>
    <row r="146" spans="1:11" ht="15.75" customHeight="1">
      <c r="A146" s="129" t="s">
        <v>327</v>
      </c>
      <c r="B146" s="131">
        <v>144</v>
      </c>
      <c r="C146" s="141"/>
      <c r="D146" s="141"/>
      <c r="E146" s="140" t="s">
        <v>14</v>
      </c>
      <c r="F146" s="133" t="str">
        <f t="shared" si="27"/>
        <v>هزینه کلی موسسه</v>
      </c>
      <c r="G146" s="142" t="s">
        <v>1001</v>
      </c>
      <c r="H146" s="154" t="s">
        <v>698</v>
      </c>
      <c r="I146" s="140"/>
      <c r="J146" s="189">
        <v>1496000</v>
      </c>
      <c r="K146" s="176"/>
    </row>
    <row r="147" spans="1:11" ht="15.75" customHeight="1">
      <c r="A147" s="129" t="s">
        <v>327</v>
      </c>
      <c r="B147" s="131">
        <v>145</v>
      </c>
      <c r="C147" s="141"/>
      <c r="D147" s="141"/>
      <c r="E147" s="140" t="s">
        <v>14</v>
      </c>
      <c r="F147" s="133" t="str">
        <f t="shared" si="27"/>
        <v>هزینه کلی موسسه</v>
      </c>
      <c r="G147" s="142" t="s">
        <v>1002</v>
      </c>
      <c r="H147" s="154" t="s">
        <v>698</v>
      </c>
      <c r="I147" s="140"/>
      <c r="J147" s="189">
        <v>577600</v>
      </c>
      <c r="K147" s="176"/>
    </row>
    <row r="148" spans="1:11" ht="15.75" customHeight="1">
      <c r="A148" s="129" t="s">
        <v>327</v>
      </c>
      <c r="B148" s="131">
        <v>146</v>
      </c>
      <c r="C148" s="141"/>
      <c r="D148" s="141"/>
      <c r="E148" s="140" t="s">
        <v>14</v>
      </c>
      <c r="F148" s="133" t="str">
        <f t="shared" si="27"/>
        <v>هزینه کلی موسسه</v>
      </c>
      <c r="G148" s="142" t="s">
        <v>1003</v>
      </c>
      <c r="H148" s="154" t="s">
        <v>698</v>
      </c>
      <c r="I148" s="140"/>
      <c r="J148" s="189">
        <v>2506000</v>
      </c>
      <c r="K148" s="176"/>
    </row>
    <row r="149" spans="1:11" ht="15.75" customHeight="1">
      <c r="A149" s="129" t="s">
        <v>327</v>
      </c>
      <c r="B149" s="131">
        <v>147</v>
      </c>
      <c r="C149" s="141"/>
      <c r="D149" s="141"/>
      <c r="E149" s="140" t="s">
        <v>14</v>
      </c>
      <c r="F149" s="133" t="str">
        <f t="shared" si="27"/>
        <v>هزینه کلی موسسه</v>
      </c>
      <c r="G149" s="142" t="s">
        <v>1004</v>
      </c>
      <c r="H149" s="154" t="s">
        <v>698</v>
      </c>
      <c r="I149" s="140"/>
      <c r="J149" s="189">
        <v>3506000</v>
      </c>
      <c r="K149" s="176"/>
    </row>
    <row r="150" spans="1:11" ht="15.75" customHeight="1">
      <c r="A150" s="129" t="s">
        <v>327</v>
      </c>
      <c r="B150" s="131">
        <v>148</v>
      </c>
      <c r="C150" s="141"/>
      <c r="D150" s="141"/>
      <c r="E150" s="140" t="s">
        <v>14</v>
      </c>
      <c r="F150" s="133" t="str">
        <f t="shared" si="27"/>
        <v>هزینه کلی موسسه</v>
      </c>
      <c r="G150" s="142" t="s">
        <v>1005</v>
      </c>
      <c r="H150" s="154" t="s">
        <v>698</v>
      </c>
      <c r="I150" s="140"/>
      <c r="J150" s="189">
        <v>6506000</v>
      </c>
      <c r="K150" s="176"/>
    </row>
    <row r="151" spans="1:11" ht="24" customHeight="1">
      <c r="A151" s="129" t="s">
        <v>327</v>
      </c>
      <c r="B151" s="131">
        <v>149</v>
      </c>
      <c r="C151" s="141"/>
      <c r="D151" s="141"/>
      <c r="E151" s="140" t="s">
        <v>14</v>
      </c>
      <c r="F151" s="133" t="str">
        <f t="shared" si="27"/>
        <v>هزینه کلی موسسه</v>
      </c>
      <c r="G151" s="142" t="s">
        <v>1006</v>
      </c>
      <c r="H151" s="154" t="s">
        <v>698</v>
      </c>
      <c r="I151" s="140"/>
      <c r="J151" s="189">
        <v>3006000</v>
      </c>
      <c r="K151" s="176"/>
    </row>
    <row r="152" spans="1:11" ht="30" customHeight="1">
      <c r="A152" s="129" t="s">
        <v>327</v>
      </c>
      <c r="B152" s="131">
        <v>150</v>
      </c>
      <c r="C152" s="141"/>
      <c r="D152" s="141"/>
      <c r="E152" s="140" t="s">
        <v>15</v>
      </c>
      <c r="F152" s="133" t="str">
        <f t="shared" si="27"/>
        <v>هزینه کلی به مددجویان</v>
      </c>
      <c r="G152" s="142" t="s">
        <v>1007</v>
      </c>
      <c r="H152" s="154" t="s">
        <v>698</v>
      </c>
      <c r="I152" s="140"/>
      <c r="J152" s="189">
        <v>9302000</v>
      </c>
      <c r="K152" s="176"/>
    </row>
    <row r="153" spans="1:11" ht="15.75" customHeight="1">
      <c r="A153" s="129" t="s">
        <v>327</v>
      </c>
      <c r="B153" s="131">
        <v>151</v>
      </c>
      <c r="C153" s="141"/>
      <c r="D153" s="141"/>
      <c r="E153" s="140">
        <v>24</v>
      </c>
      <c r="F153" s="133" t="str">
        <f t="shared" si="27"/>
        <v>کمیل سروری</v>
      </c>
      <c r="G153" s="142" t="s">
        <v>1008</v>
      </c>
      <c r="H153" s="154" t="s">
        <v>702</v>
      </c>
      <c r="I153" s="140"/>
      <c r="J153" s="189">
        <v>30010800</v>
      </c>
      <c r="K153" s="176"/>
    </row>
    <row r="154" spans="1:11" ht="15.75" customHeight="1">
      <c r="A154" s="129" t="s">
        <v>327</v>
      </c>
      <c r="B154" s="131">
        <v>152</v>
      </c>
      <c r="C154" s="141"/>
      <c r="D154" s="141"/>
      <c r="E154" s="140" t="s">
        <v>15</v>
      </c>
      <c r="F154" s="133" t="str">
        <f t="shared" si="27"/>
        <v>هزینه کلی به مددجویان</v>
      </c>
      <c r="G154" s="142" t="s">
        <v>1009</v>
      </c>
      <c r="H154" s="154" t="s">
        <v>704</v>
      </c>
      <c r="I154" s="140"/>
      <c r="J154" s="189">
        <v>2900000</v>
      </c>
      <c r="K154" s="176"/>
    </row>
    <row r="155" spans="1:11" ht="15.75" customHeight="1">
      <c r="A155" s="129" t="s">
        <v>327</v>
      </c>
      <c r="B155" s="131">
        <v>153</v>
      </c>
      <c r="C155" s="141"/>
      <c r="D155" s="141"/>
      <c r="E155" s="140">
        <v>27</v>
      </c>
      <c r="F155" s="133" t="str">
        <f t="shared" si="27"/>
        <v>نرگس علینژاد</v>
      </c>
      <c r="G155" s="142" t="s">
        <v>1010</v>
      </c>
      <c r="H155" s="154" t="s">
        <v>1011</v>
      </c>
      <c r="I155" s="140"/>
      <c r="J155" s="189">
        <v>653000</v>
      </c>
      <c r="K155" s="176"/>
    </row>
    <row r="156" spans="1:11" ht="15.75" customHeight="1">
      <c r="A156" s="129" t="s">
        <v>327</v>
      </c>
      <c r="B156" s="131">
        <v>154</v>
      </c>
      <c r="C156" s="141"/>
      <c r="D156" s="141"/>
      <c r="E156" s="140">
        <v>12</v>
      </c>
      <c r="F156" s="133" t="str">
        <f t="shared" si="27"/>
        <v>الهام صمدی</v>
      </c>
      <c r="G156" s="142" t="s">
        <v>1012</v>
      </c>
      <c r="H156" s="154" t="s">
        <v>1011</v>
      </c>
      <c r="I156" s="140"/>
      <c r="J156" s="189">
        <v>653000</v>
      </c>
      <c r="K156" s="176"/>
    </row>
    <row r="157" spans="1:11" ht="15.75" customHeight="1">
      <c r="A157" s="129" t="s">
        <v>327</v>
      </c>
      <c r="B157" s="131">
        <v>155</v>
      </c>
      <c r="C157" s="141"/>
      <c r="D157" s="141"/>
      <c r="E157" s="140" t="s">
        <v>15</v>
      </c>
      <c r="F157" s="133" t="str">
        <f t="shared" si="27"/>
        <v>هزینه کلی به مددجویان</v>
      </c>
      <c r="G157" s="142" t="s">
        <v>1013</v>
      </c>
      <c r="H157" s="154" t="s">
        <v>1011</v>
      </c>
      <c r="I157" s="140"/>
      <c r="J157" s="189">
        <v>696000</v>
      </c>
      <c r="K157" s="176"/>
    </row>
    <row r="158" spans="1:11" ht="15.75" customHeight="1">
      <c r="A158" s="129" t="s">
        <v>327</v>
      </c>
      <c r="B158" s="131">
        <v>156</v>
      </c>
      <c r="C158" s="141"/>
      <c r="D158" s="141"/>
      <c r="E158" s="140" t="s">
        <v>15</v>
      </c>
      <c r="F158" s="133" t="str">
        <f t="shared" si="27"/>
        <v>هزینه کلی به مددجویان</v>
      </c>
      <c r="G158" s="142" t="s">
        <v>1014</v>
      </c>
      <c r="H158" s="154" t="s">
        <v>1011</v>
      </c>
      <c r="I158" s="140"/>
      <c r="J158" s="189">
        <v>10808400</v>
      </c>
      <c r="K158" s="176"/>
    </row>
    <row r="159" spans="1:11" ht="15.75" customHeight="1">
      <c r="A159" s="129" t="s">
        <v>327</v>
      </c>
      <c r="B159" s="131">
        <v>157</v>
      </c>
      <c r="C159" s="141"/>
      <c r="D159" s="141"/>
      <c r="E159" s="140" t="s">
        <v>15</v>
      </c>
      <c r="F159" s="133" t="str">
        <f t="shared" si="27"/>
        <v>هزینه کلی به مددجویان</v>
      </c>
      <c r="G159" s="142" t="s">
        <v>1015</v>
      </c>
      <c r="H159" s="154" t="s">
        <v>1016</v>
      </c>
      <c r="I159" s="140"/>
      <c r="J159" s="189">
        <v>1506000</v>
      </c>
      <c r="K159" s="176"/>
    </row>
    <row r="160" spans="1:11" ht="15.75" customHeight="1">
      <c r="A160" s="129" t="s">
        <v>327</v>
      </c>
      <c r="B160" s="131">
        <v>158</v>
      </c>
      <c r="C160" s="141"/>
      <c r="D160" s="141"/>
      <c r="E160" s="140">
        <v>15</v>
      </c>
      <c r="F160" s="133" t="str">
        <f t="shared" si="27"/>
        <v>یگانه رجایی سمرا</v>
      </c>
      <c r="G160" s="142" t="s">
        <v>1017</v>
      </c>
      <c r="H160" s="154" t="s">
        <v>1016</v>
      </c>
      <c r="I160" s="140"/>
      <c r="J160" s="189">
        <v>1206000</v>
      </c>
      <c r="K160" s="176"/>
    </row>
    <row r="161" spans="1:11" ht="15.75" customHeight="1">
      <c r="A161" s="129" t="s">
        <v>327</v>
      </c>
      <c r="B161" s="131">
        <v>159</v>
      </c>
      <c r="C161" s="141"/>
      <c r="D161" s="141"/>
      <c r="E161" s="140" t="s">
        <v>14</v>
      </c>
      <c r="F161" s="133" t="str">
        <f t="shared" si="27"/>
        <v>هزینه کلی موسسه</v>
      </c>
      <c r="G161" s="142" t="s">
        <v>1018</v>
      </c>
      <c r="H161" s="154" t="s">
        <v>1019</v>
      </c>
      <c r="I161" s="140"/>
      <c r="J161" s="189">
        <v>5006000</v>
      </c>
      <c r="K161" s="176"/>
    </row>
    <row r="162" spans="1:11" ht="15.75" customHeight="1">
      <c r="A162" s="129" t="s">
        <v>327</v>
      </c>
      <c r="B162" s="131">
        <v>160</v>
      </c>
      <c r="C162" s="141"/>
      <c r="D162" s="141"/>
      <c r="E162" s="140">
        <v>19</v>
      </c>
      <c r="F162" s="133" t="str">
        <f t="shared" si="27"/>
        <v>نادیا احمدی</v>
      </c>
      <c r="G162" s="142" t="s">
        <v>1020</v>
      </c>
      <c r="H162" s="154" t="s">
        <v>1019</v>
      </c>
      <c r="I162" s="140"/>
      <c r="J162" s="189">
        <v>2506000</v>
      </c>
      <c r="K162" s="176"/>
    </row>
    <row r="163" spans="1:11" ht="15.75" customHeight="1">
      <c r="A163" s="129" t="s">
        <v>327</v>
      </c>
      <c r="B163" s="131">
        <v>161</v>
      </c>
      <c r="C163" s="141"/>
      <c r="D163" s="141"/>
      <c r="E163" s="140" t="s">
        <v>15</v>
      </c>
      <c r="F163" s="133" t="str">
        <f t="shared" si="27"/>
        <v>هزینه کلی به مددجویان</v>
      </c>
      <c r="G163" s="142" t="s">
        <v>1021</v>
      </c>
      <c r="H163" s="154" t="s">
        <v>1022</v>
      </c>
      <c r="I163" s="140"/>
      <c r="J163" s="189">
        <v>43375600</v>
      </c>
      <c r="K163" s="176"/>
    </row>
    <row r="164" spans="1:11" ht="15.75" customHeight="1">
      <c r="A164" s="129" t="s">
        <v>327</v>
      </c>
      <c r="B164" s="131">
        <v>162</v>
      </c>
      <c r="C164" s="141"/>
      <c r="D164" s="141"/>
      <c r="E164" s="140">
        <v>24</v>
      </c>
      <c r="F164" s="133" t="str">
        <f t="shared" si="27"/>
        <v>کمیل سروری</v>
      </c>
      <c r="G164" s="142" t="s">
        <v>1023</v>
      </c>
      <c r="H164" s="154" t="s">
        <v>1024</v>
      </c>
      <c r="I164" s="140"/>
      <c r="J164" s="189">
        <v>30010800</v>
      </c>
      <c r="K164" s="176"/>
    </row>
    <row r="165" spans="1:11" ht="15.75" customHeight="1">
      <c r="A165" s="129" t="s">
        <v>327</v>
      </c>
      <c r="B165" s="131">
        <v>163</v>
      </c>
      <c r="C165" s="141"/>
      <c r="D165" s="141"/>
      <c r="E165" s="140" t="s">
        <v>15</v>
      </c>
      <c r="F165" s="133" t="str">
        <f t="shared" si="27"/>
        <v>هزینه کلی به مددجویان</v>
      </c>
      <c r="G165" s="142" t="s">
        <v>1025</v>
      </c>
      <c r="H165" s="154" t="s">
        <v>712</v>
      </c>
      <c r="I165" s="140"/>
      <c r="J165" s="189">
        <v>960000</v>
      </c>
      <c r="K165" s="176"/>
    </row>
    <row r="166" spans="1:11" ht="15.75" customHeight="1">
      <c r="A166" s="129" t="s">
        <v>327</v>
      </c>
      <c r="B166" s="131">
        <v>164</v>
      </c>
      <c r="C166" s="141"/>
      <c r="D166" s="141"/>
      <c r="E166" s="140">
        <v>16</v>
      </c>
      <c r="F166" s="133" t="str">
        <f t="shared" si="27"/>
        <v>یگانه خرمند سنجدبوری</v>
      </c>
      <c r="G166" s="142" t="s">
        <v>1026</v>
      </c>
      <c r="H166" s="154" t="s">
        <v>712</v>
      </c>
      <c r="I166" s="140"/>
      <c r="J166" s="189">
        <v>436000</v>
      </c>
      <c r="K166" s="176"/>
    </row>
    <row r="167" spans="1:11" ht="15.75" customHeight="1">
      <c r="A167" s="129" t="s">
        <v>327</v>
      </c>
      <c r="B167" s="131">
        <v>165</v>
      </c>
      <c r="C167" s="141"/>
      <c r="D167" s="141"/>
      <c r="E167" s="140">
        <v>16</v>
      </c>
      <c r="F167" s="133" t="str">
        <f t="shared" si="27"/>
        <v>یگانه خرمند سنجدبوری</v>
      </c>
      <c r="G167" s="142" t="s">
        <v>1026</v>
      </c>
      <c r="H167" s="154" t="s">
        <v>712</v>
      </c>
      <c r="I167" s="140"/>
      <c r="J167" s="189">
        <v>376000</v>
      </c>
      <c r="K167" s="176"/>
    </row>
    <row r="168" spans="1:11" ht="15.75" customHeight="1">
      <c r="A168" s="129" t="s">
        <v>327</v>
      </c>
      <c r="B168" s="131">
        <v>166</v>
      </c>
      <c r="C168" s="141"/>
      <c r="D168" s="141"/>
      <c r="E168" s="140">
        <v>28</v>
      </c>
      <c r="F168" s="133" t="str">
        <f t="shared" si="27"/>
        <v>زینب ادبی یکه باغی</v>
      </c>
      <c r="G168" s="142" t="s">
        <v>1027</v>
      </c>
      <c r="H168" s="154" t="s">
        <v>712</v>
      </c>
      <c r="I168" s="140"/>
      <c r="J168" s="189">
        <v>260000</v>
      </c>
      <c r="K168" s="176"/>
    </row>
    <row r="169" spans="1:11" ht="15.75" customHeight="1">
      <c r="A169" s="129" t="s">
        <v>327</v>
      </c>
      <c r="B169" s="131">
        <v>167</v>
      </c>
      <c r="C169" s="141"/>
      <c r="D169" s="141"/>
      <c r="E169" s="140">
        <v>29</v>
      </c>
      <c r="F169" s="133" t="str">
        <f t="shared" si="27"/>
        <v>آتنا جر</v>
      </c>
      <c r="G169" s="142" t="s">
        <v>1027</v>
      </c>
      <c r="H169" s="154" t="s">
        <v>712</v>
      </c>
      <c r="I169" s="140"/>
      <c r="J169" s="189">
        <v>260000</v>
      </c>
      <c r="K169" s="176"/>
    </row>
    <row r="170" spans="1:11" ht="15.75" customHeight="1">
      <c r="A170" s="129" t="s">
        <v>327</v>
      </c>
      <c r="B170" s="131">
        <v>168</v>
      </c>
      <c r="C170" s="141"/>
      <c r="D170" s="141"/>
      <c r="E170" s="140" t="s">
        <v>14</v>
      </c>
      <c r="F170" s="133" t="str">
        <f t="shared" si="27"/>
        <v>هزینه کلی موسسه</v>
      </c>
      <c r="G170" s="142" t="s">
        <v>1028</v>
      </c>
      <c r="H170" s="154" t="s">
        <v>1029</v>
      </c>
      <c r="I170" s="140"/>
      <c r="J170" s="189">
        <v>43015600</v>
      </c>
      <c r="K170" s="176"/>
    </row>
    <row r="171" spans="1:11" ht="15.75" customHeight="1">
      <c r="A171" s="129" t="s">
        <v>327</v>
      </c>
      <c r="B171" s="131">
        <v>169</v>
      </c>
      <c r="C171" s="141"/>
      <c r="D171" s="141"/>
      <c r="E171" s="140" t="s">
        <v>15</v>
      </c>
      <c r="F171" s="133" t="str">
        <f t="shared" si="27"/>
        <v>هزینه کلی به مددجویان</v>
      </c>
      <c r="G171" s="142" t="s">
        <v>1013</v>
      </c>
      <c r="H171" s="154" t="s">
        <v>1029</v>
      </c>
      <c r="I171" s="140"/>
      <c r="J171" s="189">
        <v>736000</v>
      </c>
      <c r="K171" s="176"/>
    </row>
    <row r="172" spans="1:11" ht="15.75" customHeight="1">
      <c r="A172" s="129" t="s">
        <v>327</v>
      </c>
      <c r="B172" s="131">
        <v>170</v>
      </c>
      <c r="C172" s="141"/>
      <c r="D172" s="141"/>
      <c r="E172" s="140">
        <v>30</v>
      </c>
      <c r="F172" s="133" t="str">
        <f t="shared" si="27"/>
        <v>مبینا علیزاده</v>
      </c>
      <c r="G172" s="142" t="s">
        <v>1030</v>
      </c>
      <c r="H172" s="154" t="s">
        <v>1029</v>
      </c>
      <c r="I172" s="140"/>
      <c r="J172" s="189">
        <v>1206000</v>
      </c>
      <c r="K172" s="176"/>
    </row>
    <row r="173" spans="1:11" ht="15.75" customHeight="1">
      <c r="A173" s="129" t="s">
        <v>327</v>
      </c>
      <c r="B173" s="131">
        <v>171</v>
      </c>
      <c r="C173" s="141"/>
      <c r="D173" s="141"/>
      <c r="E173" s="140" t="s">
        <v>14</v>
      </c>
      <c r="F173" s="133" t="str">
        <f t="shared" si="27"/>
        <v>هزینه کلی موسسه</v>
      </c>
      <c r="G173" s="142" t="s">
        <v>1031</v>
      </c>
      <c r="H173" s="154" t="s">
        <v>1029</v>
      </c>
      <c r="I173" s="140"/>
      <c r="J173" s="189">
        <v>16438400</v>
      </c>
      <c r="K173" s="176"/>
    </row>
    <row r="174" spans="1:11" ht="15.75" customHeight="1">
      <c r="A174" s="129" t="s">
        <v>327</v>
      </c>
      <c r="B174" s="131">
        <v>172</v>
      </c>
      <c r="C174" s="141"/>
      <c r="D174" s="141"/>
      <c r="E174" s="140" t="s">
        <v>14</v>
      </c>
      <c r="F174" s="133" t="str">
        <f t="shared" si="27"/>
        <v>هزینه کلی موسسه</v>
      </c>
      <c r="G174" s="142" t="s">
        <v>1032</v>
      </c>
      <c r="H174" s="154" t="s">
        <v>1029</v>
      </c>
      <c r="I174" s="140"/>
      <c r="J174" s="189">
        <v>306000</v>
      </c>
      <c r="K174" s="176"/>
    </row>
    <row r="175" spans="1:11" ht="15.75" customHeight="1">
      <c r="A175" s="129" t="s">
        <v>327</v>
      </c>
      <c r="B175" s="131">
        <v>173</v>
      </c>
      <c r="C175" s="141"/>
      <c r="D175" s="141"/>
      <c r="E175" s="140" t="s">
        <v>14</v>
      </c>
      <c r="F175" s="133" t="str">
        <f t="shared" si="27"/>
        <v>هزینه کلی موسسه</v>
      </c>
      <c r="G175" s="142" t="s">
        <v>1033</v>
      </c>
      <c r="H175" s="154" t="s">
        <v>1029</v>
      </c>
      <c r="I175" s="140"/>
      <c r="J175" s="189">
        <v>746000</v>
      </c>
      <c r="K175" s="176"/>
    </row>
    <row r="176" spans="1:11" ht="15.75" customHeight="1">
      <c r="A176" s="129" t="s">
        <v>327</v>
      </c>
      <c r="B176" s="131">
        <v>174</v>
      </c>
      <c r="C176" s="141"/>
      <c r="D176" s="141"/>
      <c r="E176" s="140" t="s">
        <v>14</v>
      </c>
      <c r="F176" s="133" t="str">
        <f t="shared" si="27"/>
        <v>هزینه کلی موسسه</v>
      </c>
      <c r="G176" s="142" t="s">
        <v>1034</v>
      </c>
      <c r="H176" s="154" t="s">
        <v>1029</v>
      </c>
      <c r="I176" s="140"/>
      <c r="J176" s="189">
        <v>356000</v>
      </c>
      <c r="K176" s="176"/>
    </row>
    <row r="177" spans="1:11" ht="15.75" customHeight="1">
      <c r="A177" s="129" t="s">
        <v>327</v>
      </c>
      <c r="B177" s="131">
        <v>175</v>
      </c>
      <c r="C177" s="141"/>
      <c r="D177" s="141"/>
      <c r="E177" s="140" t="s">
        <v>15</v>
      </c>
      <c r="F177" s="133" t="str">
        <f t="shared" si="27"/>
        <v>هزینه کلی به مددجویان</v>
      </c>
      <c r="G177" s="142" t="s">
        <v>1035</v>
      </c>
      <c r="H177" s="154" t="s">
        <v>713</v>
      </c>
      <c r="I177" s="140"/>
      <c r="J177" s="189">
        <v>60018000</v>
      </c>
      <c r="K177" s="176"/>
    </row>
    <row r="178" spans="1:11" ht="15.75" customHeight="1">
      <c r="A178" s="129" t="s">
        <v>327</v>
      </c>
      <c r="B178" s="131">
        <v>176</v>
      </c>
      <c r="C178" s="141"/>
      <c r="D178" s="141"/>
      <c r="E178" s="140">
        <v>27</v>
      </c>
      <c r="F178" s="133" t="str">
        <f t="shared" si="27"/>
        <v>نرگس علینژاد</v>
      </c>
      <c r="G178" s="142" t="s">
        <v>1036</v>
      </c>
      <c r="H178" s="154" t="s">
        <v>1037</v>
      </c>
      <c r="I178" s="140"/>
      <c r="J178" s="189">
        <v>14000000</v>
      </c>
      <c r="K178" s="176"/>
    </row>
    <row r="179" spans="1:11" ht="15.75" customHeight="1">
      <c r="A179" s="129" t="s">
        <v>327</v>
      </c>
      <c r="B179" s="131">
        <v>177</v>
      </c>
      <c r="C179" s="141"/>
      <c r="D179" s="141"/>
      <c r="E179" s="140" t="s">
        <v>15</v>
      </c>
      <c r="F179" s="133" t="str">
        <f t="shared" si="27"/>
        <v>هزینه کلی به مددجویان</v>
      </c>
      <c r="G179" s="142" t="s">
        <v>1038</v>
      </c>
      <c r="H179" s="154" t="s">
        <v>1039</v>
      </c>
      <c r="I179" s="140"/>
      <c r="J179" s="189">
        <v>1140000</v>
      </c>
      <c r="K179" s="176"/>
    </row>
    <row r="180" spans="1:11" ht="15.75" customHeight="1">
      <c r="A180" s="129" t="s">
        <v>327</v>
      </c>
      <c r="B180" s="131">
        <v>178</v>
      </c>
      <c r="C180" s="141"/>
      <c r="D180" s="141"/>
      <c r="E180" s="140">
        <v>27</v>
      </c>
      <c r="F180" s="133" t="str">
        <f t="shared" si="27"/>
        <v>نرگس علینژاد</v>
      </c>
      <c r="G180" s="142" t="s">
        <v>1040</v>
      </c>
      <c r="H180" s="154" t="s">
        <v>1041</v>
      </c>
      <c r="I180" s="140"/>
      <c r="J180" s="189">
        <v>3503000</v>
      </c>
      <c r="K180" s="176"/>
    </row>
    <row r="181" spans="1:11" ht="15.75" customHeight="1">
      <c r="A181" s="129" t="s">
        <v>327</v>
      </c>
      <c r="B181" s="131">
        <v>179</v>
      </c>
      <c r="C181" s="141"/>
      <c r="D181" s="141"/>
      <c r="E181" s="140">
        <v>29</v>
      </c>
      <c r="F181" s="133" t="str">
        <f t="shared" si="27"/>
        <v>آتنا جر</v>
      </c>
      <c r="G181" s="142" t="s">
        <v>1040</v>
      </c>
      <c r="H181" s="154" t="s">
        <v>1041</v>
      </c>
      <c r="I181" s="140"/>
      <c r="J181" s="189">
        <v>3503000</v>
      </c>
      <c r="K181" s="176"/>
    </row>
    <row r="182" spans="1:11" ht="15.75" customHeight="1">
      <c r="A182" s="129" t="s">
        <v>327</v>
      </c>
      <c r="B182" s="131">
        <v>180</v>
      </c>
      <c r="C182" s="141"/>
      <c r="D182" s="141"/>
      <c r="E182" s="140" t="s">
        <v>14</v>
      </c>
      <c r="F182" s="133" t="str">
        <f t="shared" si="27"/>
        <v>هزینه کلی موسسه</v>
      </c>
      <c r="G182" s="142" t="s">
        <v>1042</v>
      </c>
      <c r="H182" s="154" t="s">
        <v>727</v>
      </c>
      <c r="I182" s="140"/>
      <c r="J182" s="189">
        <v>5006000</v>
      </c>
      <c r="K182" s="176"/>
    </row>
    <row r="183" spans="1:11" ht="15.75" customHeight="1">
      <c r="A183" s="129" t="s">
        <v>327</v>
      </c>
      <c r="B183" s="131">
        <v>181</v>
      </c>
      <c r="C183" s="141"/>
      <c r="D183" s="141"/>
      <c r="E183" s="140" t="s">
        <v>14</v>
      </c>
      <c r="F183" s="133" t="str">
        <f t="shared" si="27"/>
        <v>هزینه کلی موسسه</v>
      </c>
      <c r="G183" s="142" t="s">
        <v>1043</v>
      </c>
      <c r="H183" s="154" t="s">
        <v>1044</v>
      </c>
      <c r="I183" s="140"/>
      <c r="J183" s="189">
        <v>900000</v>
      </c>
      <c r="K183" s="176"/>
    </row>
    <row r="184" spans="1:11" ht="15.75" customHeight="1">
      <c r="A184" s="129" t="s">
        <v>327</v>
      </c>
      <c r="B184" s="131">
        <v>182</v>
      </c>
      <c r="C184" s="141"/>
      <c r="D184" s="141"/>
      <c r="E184" s="140" t="s">
        <v>14</v>
      </c>
      <c r="F184" s="133" t="str">
        <f t="shared" si="27"/>
        <v>هزینه کلی موسسه</v>
      </c>
      <c r="G184" s="142" t="s">
        <v>1073</v>
      </c>
      <c r="H184" s="154" t="s">
        <v>1074</v>
      </c>
      <c r="I184" s="140"/>
      <c r="J184" s="189">
        <v>200000</v>
      </c>
      <c r="K184" s="176"/>
    </row>
    <row r="185" spans="1:11" ht="15.75" customHeight="1">
      <c r="A185" s="129" t="s">
        <v>327</v>
      </c>
      <c r="B185" s="131">
        <v>183</v>
      </c>
      <c r="C185" s="141"/>
      <c r="D185" s="141"/>
      <c r="E185" s="140" t="s">
        <v>14</v>
      </c>
      <c r="F185" s="133" t="str">
        <f t="shared" si="27"/>
        <v>هزینه کلی موسسه</v>
      </c>
      <c r="G185" s="142" t="s">
        <v>1075</v>
      </c>
      <c r="H185" s="154" t="s">
        <v>1063</v>
      </c>
      <c r="I185" s="140"/>
      <c r="J185" s="189">
        <v>337900</v>
      </c>
      <c r="K185" s="176"/>
    </row>
    <row r="186" spans="1:11" ht="15.75" customHeight="1">
      <c r="A186" s="129" t="s">
        <v>327</v>
      </c>
      <c r="B186" s="131">
        <v>184</v>
      </c>
      <c r="C186" s="141"/>
      <c r="D186" s="141"/>
      <c r="E186" s="140" t="s">
        <v>14</v>
      </c>
      <c r="F186" s="133" t="str">
        <f t="shared" si="27"/>
        <v>هزینه کلی موسسه</v>
      </c>
      <c r="G186" s="142" t="s">
        <v>1076</v>
      </c>
      <c r="H186" s="154" t="s">
        <v>1063</v>
      </c>
      <c r="I186" s="140"/>
      <c r="J186" s="189">
        <v>850000</v>
      </c>
      <c r="K186" s="176"/>
    </row>
    <row r="187" spans="1:11" ht="15.75" customHeight="1">
      <c r="A187" s="129" t="s">
        <v>327</v>
      </c>
      <c r="B187" s="131">
        <v>185</v>
      </c>
      <c r="C187" s="141"/>
      <c r="D187" s="141"/>
      <c r="E187" s="140" t="s">
        <v>15</v>
      </c>
      <c r="F187" s="133" t="str">
        <f t="shared" si="27"/>
        <v>هزینه کلی به مددجویان</v>
      </c>
      <c r="G187" s="142" t="s">
        <v>1045</v>
      </c>
      <c r="H187" s="154" t="s">
        <v>1064</v>
      </c>
      <c r="I187" s="140"/>
      <c r="J187" s="189">
        <v>2000000</v>
      </c>
      <c r="K187" s="176"/>
    </row>
    <row r="188" spans="1:11" ht="15.75" customHeight="1">
      <c r="A188" s="129" t="s">
        <v>327</v>
      </c>
      <c r="B188" s="131">
        <v>186</v>
      </c>
      <c r="C188" s="141"/>
      <c r="D188" s="141"/>
      <c r="E188" s="140" t="s">
        <v>15</v>
      </c>
      <c r="F188" s="133" t="str">
        <f t="shared" si="27"/>
        <v>هزینه کلی به مددجویان</v>
      </c>
      <c r="G188" s="142" t="s">
        <v>1077</v>
      </c>
      <c r="H188" s="154" t="s">
        <v>1064</v>
      </c>
      <c r="I188" s="140"/>
      <c r="J188" s="189">
        <v>3200000</v>
      </c>
      <c r="K188" s="176"/>
    </row>
    <row r="189" spans="1:11" ht="15.75" customHeight="1">
      <c r="A189" s="129" t="s">
        <v>327</v>
      </c>
      <c r="B189" s="131">
        <v>187</v>
      </c>
      <c r="C189" s="141"/>
      <c r="D189" s="141"/>
      <c r="E189" s="140" t="s">
        <v>15</v>
      </c>
      <c r="F189" s="133" t="str">
        <f t="shared" si="27"/>
        <v>هزینه کلی به مددجویان</v>
      </c>
      <c r="G189" s="142" t="s">
        <v>1077</v>
      </c>
      <c r="H189" s="154" t="s">
        <v>1064</v>
      </c>
      <c r="I189" s="140"/>
      <c r="J189" s="189">
        <v>400000</v>
      </c>
      <c r="K189" s="176"/>
    </row>
    <row r="190" spans="1:11" ht="15.75" customHeight="1">
      <c r="A190" s="129" t="s">
        <v>327</v>
      </c>
      <c r="B190" s="131">
        <v>188</v>
      </c>
      <c r="C190" s="141"/>
      <c r="D190" s="141"/>
      <c r="E190" s="140" t="s">
        <v>14</v>
      </c>
      <c r="F190" s="133" t="str">
        <f t="shared" si="27"/>
        <v>هزینه کلی موسسه</v>
      </c>
      <c r="G190" s="142" t="s">
        <v>1078</v>
      </c>
      <c r="H190" s="154" t="s">
        <v>1079</v>
      </c>
      <c r="I190" s="140"/>
      <c r="J190" s="189">
        <v>54500</v>
      </c>
      <c r="K190" s="176"/>
    </row>
    <row r="191" spans="1:11" ht="15.75" customHeight="1">
      <c r="A191" s="129" t="s">
        <v>327</v>
      </c>
      <c r="B191" s="131">
        <v>189</v>
      </c>
      <c r="C191" s="141"/>
      <c r="D191" s="141"/>
      <c r="E191" s="140" t="s">
        <v>14</v>
      </c>
      <c r="F191" s="133" t="str">
        <f t="shared" si="27"/>
        <v>هزینه کلی موسسه</v>
      </c>
      <c r="G191" s="142" t="s">
        <v>1078</v>
      </c>
      <c r="H191" s="154" t="s">
        <v>1079</v>
      </c>
      <c r="I191" s="140"/>
      <c r="J191" s="189">
        <v>1000000</v>
      </c>
      <c r="K191" s="176"/>
    </row>
    <row r="192" spans="1:11" ht="15.75" customHeight="1">
      <c r="A192" s="129" t="s">
        <v>327</v>
      </c>
      <c r="B192" s="131">
        <v>190</v>
      </c>
      <c r="C192" s="141"/>
      <c r="D192" s="141"/>
      <c r="E192" s="140">
        <v>33</v>
      </c>
      <c r="F192" s="133" t="str">
        <f t="shared" si="27"/>
        <v>عارفه آذرنگ</v>
      </c>
      <c r="G192" s="142" t="s">
        <v>1080</v>
      </c>
      <c r="H192" s="154" t="s">
        <v>1079</v>
      </c>
      <c r="I192" s="140"/>
      <c r="J192" s="189">
        <v>16550900</v>
      </c>
      <c r="K192" s="176"/>
    </row>
    <row r="193" spans="1:11" ht="15.75" customHeight="1">
      <c r="A193" s="129" t="s">
        <v>327</v>
      </c>
      <c r="B193" s="131">
        <v>191</v>
      </c>
      <c r="C193" s="141"/>
      <c r="D193" s="141"/>
      <c r="E193" s="140" t="s">
        <v>15</v>
      </c>
      <c r="F193" s="133" t="str">
        <f t="shared" si="27"/>
        <v>هزینه کلی به مددجویان</v>
      </c>
      <c r="G193" s="142" t="s">
        <v>1081</v>
      </c>
      <c r="H193" s="154" t="s">
        <v>1065</v>
      </c>
      <c r="I193" s="140"/>
      <c r="J193" s="189">
        <v>15608400</v>
      </c>
      <c r="K193" s="176"/>
    </row>
    <row r="194" spans="1:11" ht="15.75" customHeight="1">
      <c r="A194" s="129" t="s">
        <v>327</v>
      </c>
      <c r="B194" s="131">
        <v>192</v>
      </c>
      <c r="C194" s="141"/>
      <c r="D194" s="141"/>
      <c r="E194" s="140" t="s">
        <v>15</v>
      </c>
      <c r="F194" s="133" t="str">
        <f t="shared" si="27"/>
        <v>هزینه کلی به مددجویان</v>
      </c>
      <c r="G194" s="142" t="s">
        <v>1082</v>
      </c>
      <c r="H194" s="154" t="s">
        <v>1065</v>
      </c>
      <c r="I194" s="140"/>
      <c r="J194" s="189">
        <v>4006000</v>
      </c>
      <c r="K194" s="176"/>
    </row>
    <row r="195" spans="1:11" ht="15.75" customHeight="1">
      <c r="A195" s="129" t="s">
        <v>327</v>
      </c>
      <c r="B195" s="131">
        <v>193</v>
      </c>
      <c r="C195" s="141"/>
      <c r="D195" s="141"/>
      <c r="E195" s="140" t="s">
        <v>15</v>
      </c>
      <c r="F195" s="133" t="str">
        <f t="shared" si="27"/>
        <v>هزینه کلی به مددجویان</v>
      </c>
      <c r="G195" s="142" t="s">
        <v>1045</v>
      </c>
      <c r="H195" s="154" t="s">
        <v>1065</v>
      </c>
      <c r="I195" s="140"/>
      <c r="J195" s="189">
        <v>2000000</v>
      </c>
      <c r="K195" s="176"/>
    </row>
    <row r="196" spans="1:11" ht="15.75" customHeight="1">
      <c r="A196" s="129" t="s">
        <v>327</v>
      </c>
      <c r="B196" s="131">
        <v>194</v>
      </c>
      <c r="C196" s="141"/>
      <c r="D196" s="141"/>
      <c r="E196" s="140">
        <v>32</v>
      </c>
      <c r="F196" s="133" t="str">
        <f t="shared" si="27"/>
        <v>رقیه الزوینی</v>
      </c>
      <c r="G196" s="142" t="s">
        <v>1080</v>
      </c>
      <c r="H196" s="154" t="s">
        <v>1065</v>
      </c>
      <c r="I196" s="140"/>
      <c r="J196" s="189">
        <v>9648500</v>
      </c>
      <c r="K196" s="176"/>
    </row>
    <row r="197" spans="1:11" ht="15.75" customHeight="1">
      <c r="A197" s="129" t="s">
        <v>327</v>
      </c>
      <c r="B197" s="131">
        <v>195</v>
      </c>
      <c r="C197" s="141"/>
      <c r="D197" s="141"/>
      <c r="E197" s="140" t="s">
        <v>15</v>
      </c>
      <c r="F197" s="133" t="str">
        <f t="shared" si="27"/>
        <v>هزینه کلی به مددجویان</v>
      </c>
      <c r="G197" s="142" t="s">
        <v>1083</v>
      </c>
      <c r="H197" s="154" t="s">
        <v>1065</v>
      </c>
      <c r="I197" s="140"/>
      <c r="J197" s="189">
        <v>200000</v>
      </c>
      <c r="K197" s="176"/>
    </row>
    <row r="198" spans="1:11" ht="15.75" customHeight="1">
      <c r="B198" s="131">
        <v>196</v>
      </c>
      <c r="C198" s="141"/>
      <c r="D198" s="141"/>
      <c r="E198" s="140" t="s">
        <v>15</v>
      </c>
      <c r="F198" s="133" t="str">
        <f t="shared" si="27"/>
        <v>هزینه کلی به مددجویان</v>
      </c>
      <c r="G198" s="142" t="s">
        <v>1148</v>
      </c>
      <c r="H198" s="154" t="s">
        <v>1070</v>
      </c>
      <c r="I198" s="140"/>
      <c r="J198" s="189">
        <v>9883000</v>
      </c>
      <c r="K198" s="176"/>
    </row>
    <row r="199" spans="1:11" ht="15.75" customHeight="1">
      <c r="B199" s="131">
        <v>197</v>
      </c>
      <c r="C199" s="141"/>
      <c r="D199" s="141"/>
      <c r="E199" s="140">
        <v>29</v>
      </c>
      <c r="F199" s="133" t="str">
        <f t="shared" si="27"/>
        <v>آتنا جر</v>
      </c>
      <c r="G199" s="142" t="s">
        <v>1149</v>
      </c>
      <c r="H199" s="154" t="s">
        <v>1090</v>
      </c>
      <c r="I199" s="140"/>
      <c r="J199" s="189">
        <v>430000</v>
      </c>
      <c r="K199" s="176"/>
    </row>
    <row r="200" spans="1:11" ht="15.75" customHeight="1">
      <c r="B200" s="131">
        <v>198</v>
      </c>
      <c r="C200" s="141"/>
      <c r="D200" s="141"/>
      <c r="E200" s="140" t="s">
        <v>15</v>
      </c>
      <c r="F200" s="133" t="str">
        <f t="shared" si="27"/>
        <v>هزینه کلی به مددجویان</v>
      </c>
      <c r="G200" s="142" t="s">
        <v>1150</v>
      </c>
      <c r="H200" s="154" t="s">
        <v>1090</v>
      </c>
      <c r="I200" s="140"/>
      <c r="J200" s="189">
        <v>2000000</v>
      </c>
      <c r="K200" s="176"/>
    </row>
    <row r="201" spans="1:11" ht="15.75" customHeight="1">
      <c r="B201" s="131">
        <v>199</v>
      </c>
      <c r="C201" s="141"/>
      <c r="D201" s="141"/>
      <c r="E201" s="140" t="s">
        <v>15</v>
      </c>
      <c r="F201" s="133" t="str">
        <f t="shared" si="27"/>
        <v>هزینه کلی به مددجویان</v>
      </c>
      <c r="G201" s="142" t="s">
        <v>1151</v>
      </c>
      <c r="H201" s="154" t="s">
        <v>1090</v>
      </c>
      <c r="I201" s="140"/>
      <c r="J201" s="189">
        <v>5690000</v>
      </c>
      <c r="K201" s="176"/>
    </row>
    <row r="202" spans="1:11" ht="15.75" customHeight="1">
      <c r="B202" s="131">
        <v>200</v>
      </c>
      <c r="C202" s="141"/>
      <c r="D202" s="141"/>
      <c r="E202" s="140" t="s">
        <v>15</v>
      </c>
      <c r="F202" s="133" t="str">
        <f t="shared" si="27"/>
        <v>هزینه کلی به مددجویان</v>
      </c>
      <c r="G202" s="142" t="s">
        <v>1152</v>
      </c>
      <c r="H202" s="154" t="s">
        <v>1097</v>
      </c>
      <c r="I202" s="140"/>
      <c r="J202" s="189">
        <v>2000000</v>
      </c>
      <c r="K202" s="176"/>
    </row>
    <row r="203" spans="1:11" ht="15.75" customHeight="1">
      <c r="B203" s="131">
        <v>201</v>
      </c>
      <c r="C203" s="141"/>
      <c r="D203" s="141"/>
      <c r="E203" s="140" t="s">
        <v>15</v>
      </c>
      <c r="F203" s="133" t="str">
        <f t="shared" si="27"/>
        <v>هزینه کلی به مددجویان</v>
      </c>
      <c r="G203" s="142" t="s">
        <v>1152</v>
      </c>
      <c r="H203" s="154" t="s">
        <v>1097</v>
      </c>
      <c r="I203" s="140"/>
      <c r="J203" s="189">
        <v>1900000</v>
      </c>
      <c r="K203" s="176"/>
    </row>
    <row r="204" spans="1:11" ht="15.75" customHeight="1">
      <c r="B204" s="131">
        <v>202</v>
      </c>
      <c r="C204" s="141"/>
      <c r="D204" s="141"/>
      <c r="E204" s="140" t="s">
        <v>15</v>
      </c>
      <c r="F204" s="133" t="str">
        <f t="shared" si="27"/>
        <v>هزینه کلی به مددجویان</v>
      </c>
      <c r="G204" s="142" t="s">
        <v>1156</v>
      </c>
      <c r="H204" s="154" t="s">
        <v>1097</v>
      </c>
      <c r="I204" s="140"/>
      <c r="J204" s="189">
        <v>200000</v>
      </c>
      <c r="K204" s="176"/>
    </row>
    <row r="205" spans="1:11" ht="15.75" customHeight="1">
      <c r="B205" s="131">
        <v>203</v>
      </c>
      <c r="C205" s="141"/>
      <c r="D205" s="141"/>
      <c r="E205" s="140" t="s">
        <v>15</v>
      </c>
      <c r="F205" s="133" t="str">
        <f t="shared" si="27"/>
        <v>هزینه کلی به مددجویان</v>
      </c>
      <c r="G205" s="142" t="s">
        <v>1155</v>
      </c>
      <c r="H205" s="154" t="s">
        <v>1097</v>
      </c>
      <c r="I205" s="140"/>
      <c r="J205" s="189">
        <v>520000</v>
      </c>
      <c r="K205" s="176" t="s">
        <v>1157</v>
      </c>
    </row>
    <row r="206" spans="1:11" ht="15.75" customHeight="1">
      <c r="B206" s="131">
        <v>204</v>
      </c>
      <c r="C206" s="141"/>
      <c r="D206" s="141"/>
      <c r="E206" s="140" t="s">
        <v>15</v>
      </c>
      <c r="F206" s="133" t="str">
        <f t="shared" si="27"/>
        <v>هزینه کلی به مددجویان</v>
      </c>
      <c r="G206" s="142" t="s">
        <v>1155</v>
      </c>
      <c r="H206" s="154" t="s">
        <v>1097</v>
      </c>
      <c r="I206" s="140"/>
      <c r="J206" s="189">
        <v>520000</v>
      </c>
      <c r="K206" s="176" t="s">
        <v>1157</v>
      </c>
    </row>
    <row r="207" spans="1:11" ht="15.75" customHeight="1">
      <c r="B207" s="131">
        <v>205</v>
      </c>
      <c r="C207" s="141"/>
      <c r="D207" s="141"/>
      <c r="E207" s="140" t="s">
        <v>1153</v>
      </c>
      <c r="F207" s="133" t="str">
        <f t="shared" ref="F207:F270" si="28">IF(E207="","",HLOOKUP(E207,etela,2,0))</f>
        <v>هزینه مربوط به تعمیرات مدارس از واریزی خانم عین علی</v>
      </c>
      <c r="G207" s="142" t="s">
        <v>1141</v>
      </c>
      <c r="H207" s="154" t="s">
        <v>1102</v>
      </c>
      <c r="I207" s="140"/>
      <c r="J207" s="189">
        <v>45000000</v>
      </c>
      <c r="K207" s="176"/>
    </row>
    <row r="208" spans="1:11" ht="15.75" customHeight="1">
      <c r="B208" s="131">
        <v>206</v>
      </c>
      <c r="C208" s="141"/>
      <c r="D208" s="141"/>
      <c r="E208" s="140" t="s">
        <v>14</v>
      </c>
      <c r="F208" s="133" t="str">
        <f t="shared" si="28"/>
        <v>هزینه کلی موسسه</v>
      </c>
      <c r="G208" s="142" t="s">
        <v>1158</v>
      </c>
      <c r="H208" s="154" t="s">
        <v>1102</v>
      </c>
      <c r="I208" s="140"/>
      <c r="J208" s="189">
        <v>626000</v>
      </c>
      <c r="K208" s="176" t="s">
        <v>1159</v>
      </c>
    </row>
    <row r="209" spans="2:11" ht="15.75" customHeight="1">
      <c r="B209" s="131">
        <v>207</v>
      </c>
      <c r="C209" s="141"/>
      <c r="D209" s="141"/>
      <c r="E209" s="140" t="s">
        <v>14</v>
      </c>
      <c r="F209" s="133" t="str">
        <f t="shared" si="28"/>
        <v>هزینه کلی موسسه</v>
      </c>
      <c r="G209" s="142" t="s">
        <v>1160</v>
      </c>
      <c r="H209" s="154" t="s">
        <v>1102</v>
      </c>
      <c r="I209" s="140"/>
      <c r="J209" s="189">
        <v>2506000</v>
      </c>
      <c r="K209" s="176"/>
    </row>
    <row r="210" spans="2:11" ht="15.75" customHeight="1">
      <c r="B210" s="131">
        <v>208</v>
      </c>
      <c r="C210" s="141"/>
      <c r="D210" s="141"/>
      <c r="E210" s="140" t="s">
        <v>14</v>
      </c>
      <c r="F210" s="133" t="str">
        <f t="shared" si="28"/>
        <v>هزینه کلی موسسه</v>
      </c>
      <c r="G210" s="142" t="s">
        <v>1161</v>
      </c>
      <c r="H210" s="154" t="s">
        <v>1102</v>
      </c>
      <c r="I210" s="140"/>
      <c r="J210" s="189">
        <v>570000</v>
      </c>
      <c r="K210" s="176"/>
    </row>
    <row r="211" spans="2:11" ht="15.75" customHeight="1">
      <c r="B211" s="131">
        <v>209</v>
      </c>
      <c r="C211" s="141"/>
      <c r="D211" s="141"/>
      <c r="E211" s="140" t="s">
        <v>14</v>
      </c>
      <c r="F211" s="133" t="str">
        <f t="shared" si="28"/>
        <v>هزینه کلی موسسه</v>
      </c>
      <c r="G211" s="142" t="s">
        <v>1161</v>
      </c>
      <c r="H211" s="154" t="s">
        <v>1104</v>
      </c>
      <c r="I211" s="140"/>
      <c r="J211" s="189">
        <v>117000</v>
      </c>
      <c r="K211" s="176"/>
    </row>
    <row r="212" spans="2:11" ht="15.75" customHeight="1">
      <c r="B212" s="131">
        <v>210</v>
      </c>
      <c r="C212" s="141"/>
      <c r="D212" s="141"/>
      <c r="E212" s="140" t="s">
        <v>14</v>
      </c>
      <c r="F212" s="133" t="str">
        <f t="shared" si="28"/>
        <v>هزینه کلی موسسه</v>
      </c>
      <c r="G212" s="142" t="s">
        <v>1162</v>
      </c>
      <c r="H212" s="154" t="s">
        <v>1104</v>
      </c>
      <c r="I212" s="140"/>
      <c r="J212" s="189">
        <v>73647000</v>
      </c>
      <c r="K212" s="176"/>
    </row>
    <row r="213" spans="2:11" ht="15.75" customHeight="1">
      <c r="B213" s="131">
        <v>211</v>
      </c>
      <c r="C213" s="141"/>
      <c r="D213" s="141"/>
      <c r="E213" s="140" t="s">
        <v>14</v>
      </c>
      <c r="F213" s="133" t="str">
        <f t="shared" si="28"/>
        <v>هزینه کلی موسسه</v>
      </c>
      <c r="G213" s="142" t="s">
        <v>1163</v>
      </c>
      <c r="H213" s="154" t="s">
        <v>1104</v>
      </c>
      <c r="I213" s="140"/>
      <c r="J213" s="189">
        <v>1000000</v>
      </c>
      <c r="K213" s="176"/>
    </row>
    <row r="214" spans="2:11" ht="15.75" customHeight="1">
      <c r="B214" s="131">
        <v>212</v>
      </c>
      <c r="C214" s="141"/>
      <c r="D214" s="141"/>
      <c r="E214" s="140" t="s">
        <v>14</v>
      </c>
      <c r="F214" s="133" t="str">
        <f t="shared" si="28"/>
        <v>هزینه کلی موسسه</v>
      </c>
      <c r="G214" s="142" t="s">
        <v>1164</v>
      </c>
      <c r="H214" s="154" t="s">
        <v>1104</v>
      </c>
      <c r="I214" s="140"/>
      <c r="J214" s="189">
        <v>1506000</v>
      </c>
      <c r="K214" s="176"/>
    </row>
    <row r="215" spans="2:11" ht="15.75" customHeight="1">
      <c r="B215" s="131">
        <v>213</v>
      </c>
      <c r="C215" s="141"/>
      <c r="D215" s="141"/>
      <c r="E215" s="140">
        <v>31</v>
      </c>
      <c r="F215" s="133" t="str">
        <f t="shared" si="28"/>
        <v>یگانه محمددوست</v>
      </c>
      <c r="G215" s="142" t="s">
        <v>1165</v>
      </c>
      <c r="H215" s="154" t="s">
        <v>1104</v>
      </c>
      <c r="I215" s="140"/>
      <c r="J215" s="189">
        <v>8723500</v>
      </c>
      <c r="K215" s="176"/>
    </row>
    <row r="216" spans="2:11" ht="15.75" customHeight="1">
      <c r="B216" s="131">
        <v>214</v>
      </c>
      <c r="C216" s="141"/>
      <c r="D216" s="141"/>
      <c r="E216" s="140" t="s">
        <v>15</v>
      </c>
      <c r="F216" s="133" t="str">
        <f t="shared" si="28"/>
        <v>هزینه کلی به مددجویان</v>
      </c>
      <c r="G216" s="142" t="s">
        <v>1166</v>
      </c>
      <c r="H216" s="154" t="s">
        <v>1104</v>
      </c>
      <c r="I216" s="140"/>
      <c r="J216" s="189">
        <v>1191000</v>
      </c>
      <c r="K216" s="176" t="s">
        <v>1167</v>
      </c>
    </row>
    <row r="217" spans="2:11" ht="15.75" customHeight="1">
      <c r="B217" s="131">
        <v>215</v>
      </c>
      <c r="C217" s="141"/>
      <c r="D217" s="141"/>
      <c r="E217" s="140" t="s">
        <v>14</v>
      </c>
      <c r="F217" s="133" t="str">
        <f t="shared" si="28"/>
        <v>هزینه کلی موسسه</v>
      </c>
      <c r="G217" s="142" t="s">
        <v>1142</v>
      </c>
      <c r="H217" s="154" t="s">
        <v>1108</v>
      </c>
      <c r="I217" s="140"/>
      <c r="J217" s="189">
        <v>60018000</v>
      </c>
      <c r="K217" s="176"/>
    </row>
    <row r="218" spans="2:11" ht="15.75" customHeight="1">
      <c r="B218" s="131">
        <v>216</v>
      </c>
      <c r="C218" s="141"/>
      <c r="D218" s="141"/>
      <c r="E218" s="140">
        <v>13</v>
      </c>
      <c r="F218" s="133" t="str">
        <f t="shared" si="28"/>
        <v>کوثر مولایی</v>
      </c>
      <c r="G218" s="142" t="s">
        <v>1143</v>
      </c>
      <c r="H218" s="154" t="s">
        <v>1108</v>
      </c>
      <c r="I218" s="140"/>
      <c r="J218" s="189">
        <v>10006000</v>
      </c>
      <c r="K218" s="176"/>
    </row>
    <row r="219" spans="2:11" ht="15.75" customHeight="1">
      <c r="B219" s="131">
        <v>217</v>
      </c>
      <c r="C219" s="141"/>
      <c r="D219" s="141"/>
      <c r="E219" s="140" t="s">
        <v>14</v>
      </c>
      <c r="F219" s="133" t="str">
        <f t="shared" si="28"/>
        <v>هزینه کلی موسسه</v>
      </c>
      <c r="G219" s="142" t="s">
        <v>999</v>
      </c>
      <c r="H219" s="154" t="s">
        <v>1168</v>
      </c>
      <c r="I219" s="140"/>
      <c r="J219" s="189">
        <v>300000</v>
      </c>
      <c r="K219" s="176"/>
    </row>
    <row r="220" spans="2:11" ht="15.75" customHeight="1">
      <c r="B220" s="131">
        <v>218</v>
      </c>
      <c r="C220" s="141"/>
      <c r="D220" s="141"/>
      <c r="E220" s="140" t="s">
        <v>15</v>
      </c>
      <c r="F220" s="133" t="str">
        <f t="shared" si="28"/>
        <v>هزینه کلی به مددجویان</v>
      </c>
      <c r="G220" s="142" t="s">
        <v>1166</v>
      </c>
      <c r="H220" s="154" t="s">
        <v>1169</v>
      </c>
      <c r="I220" s="140"/>
      <c r="J220" s="189">
        <v>1226000</v>
      </c>
      <c r="K220" s="176" t="s">
        <v>1170</v>
      </c>
    </row>
    <row r="221" spans="2:11" ht="15.75" customHeight="1">
      <c r="B221" s="131">
        <v>219</v>
      </c>
      <c r="C221" s="141"/>
      <c r="D221" s="141"/>
      <c r="E221" s="140" t="s">
        <v>14</v>
      </c>
      <c r="F221" s="133" t="str">
        <f t="shared" si="28"/>
        <v>هزینه کلی موسسه</v>
      </c>
      <c r="G221" s="142" t="s">
        <v>1171</v>
      </c>
      <c r="H221" s="154" t="s">
        <v>1169</v>
      </c>
      <c r="I221" s="140"/>
      <c r="J221" s="189">
        <v>5006000</v>
      </c>
      <c r="K221" s="176"/>
    </row>
    <row r="222" spans="2:11" ht="15.75" customHeight="1">
      <c r="B222" s="131">
        <v>220</v>
      </c>
      <c r="C222" s="141"/>
      <c r="D222" s="141"/>
      <c r="E222" s="140" t="s">
        <v>14</v>
      </c>
      <c r="F222" s="133" t="str">
        <f t="shared" si="28"/>
        <v>هزینه کلی موسسه</v>
      </c>
      <c r="G222" s="142" t="s">
        <v>1172</v>
      </c>
      <c r="H222" s="154" t="s">
        <v>1169</v>
      </c>
      <c r="I222" s="140"/>
      <c r="J222" s="189">
        <v>40013200</v>
      </c>
      <c r="K222" s="176"/>
    </row>
    <row r="223" spans="2:11" ht="15.75" customHeight="1">
      <c r="B223" s="131">
        <v>221</v>
      </c>
      <c r="C223" s="141"/>
      <c r="D223" s="141"/>
      <c r="E223" s="140" t="s">
        <v>14</v>
      </c>
      <c r="F223" s="133" t="str">
        <f t="shared" si="28"/>
        <v>هزینه کلی موسسه</v>
      </c>
      <c r="G223" s="142" t="s">
        <v>1173</v>
      </c>
      <c r="H223" s="154" t="s">
        <v>1169</v>
      </c>
      <c r="I223" s="140"/>
      <c r="J223" s="189">
        <v>675800</v>
      </c>
      <c r="K223" s="176"/>
    </row>
    <row r="224" spans="2:11" ht="15.75" customHeight="1">
      <c r="B224" s="131">
        <v>222</v>
      </c>
      <c r="C224" s="141"/>
      <c r="D224" s="141"/>
      <c r="E224" s="140" t="s">
        <v>14</v>
      </c>
      <c r="F224" s="133" t="str">
        <f t="shared" si="28"/>
        <v>هزینه کلی موسسه</v>
      </c>
      <c r="G224" s="142" t="s">
        <v>1174</v>
      </c>
      <c r="H224" s="154" t="s">
        <v>1169</v>
      </c>
      <c r="I224" s="140"/>
      <c r="J224" s="189">
        <v>54500</v>
      </c>
      <c r="K224" s="176"/>
    </row>
    <row r="225" spans="2:11" ht="15.75" customHeight="1">
      <c r="B225" s="131">
        <v>223</v>
      </c>
      <c r="C225" s="141"/>
      <c r="D225" s="141"/>
      <c r="E225" s="140"/>
      <c r="F225" s="133" t="str">
        <f t="shared" si="28"/>
        <v/>
      </c>
      <c r="G225" s="142"/>
      <c r="H225" s="154" t="s">
        <v>1184</v>
      </c>
      <c r="I225" s="140"/>
      <c r="J225" s="189">
        <v>18008400</v>
      </c>
      <c r="K225" s="176"/>
    </row>
    <row r="226" spans="2:11" ht="15.75" customHeight="1">
      <c r="B226" s="131">
        <v>224</v>
      </c>
      <c r="C226" s="141"/>
      <c r="D226" s="141"/>
      <c r="E226" s="140"/>
      <c r="F226" s="133" t="str">
        <f t="shared" si="28"/>
        <v/>
      </c>
      <c r="G226" s="142"/>
      <c r="H226" s="154" t="s">
        <v>1184</v>
      </c>
      <c r="I226" s="140"/>
      <c r="J226" s="189">
        <v>6006000</v>
      </c>
      <c r="K226" s="176"/>
    </row>
    <row r="227" spans="2:11" ht="15.75" customHeight="1">
      <c r="B227" s="131">
        <v>225</v>
      </c>
      <c r="C227" s="141"/>
      <c r="D227" s="141"/>
      <c r="E227" s="140" t="s">
        <v>14</v>
      </c>
      <c r="F227" s="133" t="str">
        <f t="shared" si="28"/>
        <v>هزینه کلی موسسه</v>
      </c>
      <c r="G227" s="142" t="s">
        <v>1142</v>
      </c>
      <c r="H227" s="154" t="s">
        <v>1186</v>
      </c>
      <c r="I227" s="140"/>
      <c r="J227" s="189">
        <v>60018000</v>
      </c>
      <c r="K227" s="176"/>
    </row>
    <row r="228" spans="2:11" ht="15.75" customHeight="1">
      <c r="B228" s="131">
        <v>226</v>
      </c>
      <c r="C228" s="141"/>
      <c r="D228" s="141"/>
      <c r="E228" s="140" t="s">
        <v>14</v>
      </c>
      <c r="F228" s="133" t="str">
        <f t="shared" si="28"/>
        <v>هزینه کلی موسسه</v>
      </c>
      <c r="G228" s="142" t="s">
        <v>1164</v>
      </c>
      <c r="H228" s="154" t="s">
        <v>1186</v>
      </c>
      <c r="I228" s="140"/>
      <c r="J228" s="189">
        <v>2006000</v>
      </c>
      <c r="K228" s="176"/>
    </row>
    <row r="229" spans="2:11" ht="15.75" customHeight="1">
      <c r="B229" s="131">
        <v>227</v>
      </c>
      <c r="C229" s="141"/>
      <c r="D229" s="141"/>
      <c r="E229" s="140" t="s">
        <v>15</v>
      </c>
      <c r="F229" s="133" t="str">
        <f t="shared" si="28"/>
        <v>هزینه کلی به مددجویان</v>
      </c>
      <c r="G229" s="142" t="s">
        <v>1166</v>
      </c>
      <c r="H229" s="154" t="s">
        <v>1186</v>
      </c>
      <c r="I229" s="140"/>
      <c r="J229" s="189">
        <v>1686000</v>
      </c>
      <c r="K229" s="176"/>
    </row>
    <row r="230" spans="2:11" ht="15.75" customHeight="1">
      <c r="B230" s="131">
        <v>228</v>
      </c>
      <c r="C230" s="141"/>
      <c r="D230" s="141"/>
      <c r="E230" s="140" t="s">
        <v>15</v>
      </c>
      <c r="F230" s="133" t="str">
        <f t="shared" si="28"/>
        <v>هزینه کلی به مددجویان</v>
      </c>
      <c r="G230" s="142" t="s">
        <v>1189</v>
      </c>
      <c r="H230" s="154" t="s">
        <v>1188</v>
      </c>
      <c r="I230" s="140"/>
      <c r="J230" s="189">
        <v>10998400</v>
      </c>
      <c r="K230" s="176"/>
    </row>
    <row r="231" spans="2:11" ht="15.75" customHeight="1">
      <c r="B231" s="131">
        <v>229</v>
      </c>
      <c r="C231" s="141"/>
      <c r="D231" s="141"/>
      <c r="E231" s="140" t="s">
        <v>14</v>
      </c>
      <c r="F231" s="133" t="str">
        <f t="shared" si="28"/>
        <v>هزینه کلی موسسه</v>
      </c>
      <c r="G231" s="142" t="s">
        <v>1191</v>
      </c>
      <c r="H231" s="154" t="s">
        <v>1190</v>
      </c>
      <c r="I231" s="140"/>
      <c r="J231" s="189">
        <v>40013200</v>
      </c>
      <c r="K231" s="176"/>
    </row>
    <row r="232" spans="2:11" ht="15.75" customHeight="1">
      <c r="B232" s="131">
        <v>230</v>
      </c>
      <c r="C232" s="141"/>
      <c r="D232" s="141"/>
      <c r="E232" s="140" t="s">
        <v>14</v>
      </c>
      <c r="F232" s="133" t="str">
        <f t="shared" si="28"/>
        <v>هزینه کلی موسسه</v>
      </c>
      <c r="G232" s="142" t="s">
        <v>1142</v>
      </c>
      <c r="H232" s="154" t="s">
        <v>1193</v>
      </c>
      <c r="I232" s="140"/>
      <c r="J232" s="189">
        <v>60018000</v>
      </c>
      <c r="K232" s="176"/>
    </row>
    <row r="233" spans="2:11" ht="15.75" customHeight="1">
      <c r="B233" s="131">
        <v>231</v>
      </c>
      <c r="C233" s="141"/>
      <c r="D233" s="141"/>
      <c r="E233" s="140" t="s">
        <v>15</v>
      </c>
      <c r="F233" s="133" t="str">
        <f t="shared" si="28"/>
        <v>هزینه کلی به مددجویان</v>
      </c>
      <c r="G233" s="142" t="s">
        <v>1244</v>
      </c>
      <c r="H233" s="154" t="s">
        <v>1195</v>
      </c>
      <c r="I233" s="140"/>
      <c r="J233" s="189">
        <v>8140000</v>
      </c>
      <c r="K233" s="176"/>
    </row>
    <row r="234" spans="2:11" ht="15.75" customHeight="1">
      <c r="B234" s="131">
        <v>232</v>
      </c>
      <c r="C234" s="141"/>
      <c r="D234" s="141"/>
      <c r="E234" s="140" t="s">
        <v>14</v>
      </c>
      <c r="F234" s="133" t="str">
        <f t="shared" si="28"/>
        <v>هزینه کلی موسسه</v>
      </c>
      <c r="G234" s="142" t="s">
        <v>1245</v>
      </c>
      <c r="H234" s="154" t="s">
        <v>1210</v>
      </c>
      <c r="I234" s="140"/>
      <c r="J234" s="189">
        <v>360000</v>
      </c>
      <c r="K234" s="176"/>
    </row>
    <row r="235" spans="2:11" ht="15.75" customHeight="1">
      <c r="B235" s="131">
        <v>233</v>
      </c>
      <c r="C235" s="141"/>
      <c r="D235" s="141"/>
      <c r="E235" s="140" t="s">
        <v>14</v>
      </c>
      <c r="F235" s="133" t="str">
        <f t="shared" si="28"/>
        <v>هزینه کلی موسسه</v>
      </c>
      <c r="G235" s="142" t="s">
        <v>1246</v>
      </c>
      <c r="H235" s="154" t="s">
        <v>1211</v>
      </c>
      <c r="I235" s="140"/>
      <c r="J235" s="189">
        <v>370000</v>
      </c>
      <c r="K235" s="176"/>
    </row>
    <row r="236" spans="2:11" ht="15.75" customHeight="1">
      <c r="B236" s="131">
        <v>234</v>
      </c>
      <c r="C236" s="141"/>
      <c r="D236" s="141"/>
      <c r="E236" s="140" t="s">
        <v>14</v>
      </c>
      <c r="F236" s="133" t="str">
        <f t="shared" si="28"/>
        <v>هزینه کلی موسسه</v>
      </c>
      <c r="G236" s="142" t="s">
        <v>1247</v>
      </c>
      <c r="H236" s="154" t="s">
        <v>1221</v>
      </c>
      <c r="I236" s="140"/>
      <c r="J236" s="189">
        <v>5000000</v>
      </c>
      <c r="K236" s="176"/>
    </row>
    <row r="237" spans="2:11" ht="15.75" customHeight="1">
      <c r="B237" s="131">
        <v>235</v>
      </c>
      <c r="C237" s="141"/>
      <c r="D237" s="141"/>
      <c r="E237" s="140">
        <v>21</v>
      </c>
      <c r="F237" s="133" t="str">
        <f t="shared" si="28"/>
        <v>ملبکا نماز</v>
      </c>
      <c r="G237" s="142" t="s">
        <v>1248</v>
      </c>
      <c r="H237" s="154" t="s">
        <v>1221</v>
      </c>
      <c r="I237" s="140"/>
      <c r="J237" s="189">
        <v>650000</v>
      </c>
      <c r="K237" s="176"/>
    </row>
    <row r="238" spans="2:11" ht="30" customHeight="1">
      <c r="B238" s="131">
        <v>236</v>
      </c>
      <c r="C238" s="141"/>
      <c r="D238" s="141"/>
      <c r="E238" s="140" t="s">
        <v>15</v>
      </c>
      <c r="F238" s="133" t="str">
        <f t="shared" si="28"/>
        <v>هزینه کلی به مددجویان</v>
      </c>
      <c r="G238" s="142" t="s">
        <v>1250</v>
      </c>
      <c r="H238" s="154" t="s">
        <v>1221</v>
      </c>
      <c r="I238" s="140"/>
      <c r="J238" s="189">
        <v>1210000</v>
      </c>
      <c r="K238" s="176"/>
    </row>
    <row r="239" spans="2:11" ht="15.75" customHeight="1">
      <c r="B239" s="131">
        <v>237</v>
      </c>
      <c r="C239" s="141"/>
      <c r="D239" s="141"/>
      <c r="E239" s="140">
        <v>12</v>
      </c>
      <c r="F239" s="133" t="str">
        <f t="shared" si="28"/>
        <v>الهام صمدی</v>
      </c>
      <c r="G239" s="142" t="s">
        <v>1251</v>
      </c>
      <c r="H239" s="154" t="s">
        <v>1221</v>
      </c>
      <c r="I239" s="140"/>
      <c r="J239" s="189">
        <v>1220000</v>
      </c>
      <c r="K239" s="176"/>
    </row>
    <row r="240" spans="2:11" ht="15.75" customHeight="1">
      <c r="B240" s="131">
        <v>238</v>
      </c>
      <c r="C240" s="141"/>
      <c r="D240" s="141"/>
      <c r="E240" s="140">
        <v>22</v>
      </c>
      <c r="F240" s="133" t="str">
        <f t="shared" si="28"/>
        <v>مهدبار نماز</v>
      </c>
      <c r="G240" s="142" t="s">
        <v>1252</v>
      </c>
      <c r="H240" s="154" t="s">
        <v>1249</v>
      </c>
      <c r="I240" s="140"/>
      <c r="J240" s="189">
        <v>1500000</v>
      </c>
      <c r="K240" s="176"/>
    </row>
    <row r="241" spans="2:11" ht="30" customHeight="1">
      <c r="B241" s="131">
        <v>239</v>
      </c>
      <c r="C241" s="141"/>
      <c r="D241" s="141"/>
      <c r="E241" s="140" t="s">
        <v>15</v>
      </c>
      <c r="F241" s="133" t="str">
        <f t="shared" si="28"/>
        <v>هزینه کلی به مددجویان</v>
      </c>
      <c r="G241" s="142" t="s">
        <v>1253</v>
      </c>
      <c r="H241" s="154" t="s">
        <v>1193</v>
      </c>
      <c r="I241" s="140"/>
      <c r="J241" s="189">
        <v>855000</v>
      </c>
      <c r="K241" s="176"/>
    </row>
    <row r="242" spans="2:11" ht="15.75" customHeight="1">
      <c r="B242" s="131">
        <v>240</v>
      </c>
      <c r="C242" s="141"/>
      <c r="D242" s="141"/>
      <c r="E242" s="140" t="s">
        <v>14</v>
      </c>
      <c r="F242" s="133" t="str">
        <f t="shared" si="28"/>
        <v>هزینه کلی موسسه</v>
      </c>
      <c r="G242" s="142" t="s">
        <v>1254</v>
      </c>
      <c r="H242" s="154" t="s">
        <v>1195</v>
      </c>
      <c r="I242" s="140"/>
      <c r="J242" s="189">
        <v>360000</v>
      </c>
      <c r="K242" s="176"/>
    </row>
    <row r="243" spans="2:11" ht="15.75" customHeight="1">
      <c r="B243" s="131">
        <v>241</v>
      </c>
      <c r="C243" s="141"/>
      <c r="D243" s="141"/>
      <c r="E243" s="140" t="s">
        <v>15</v>
      </c>
      <c r="F243" s="133" t="str">
        <f t="shared" si="28"/>
        <v>هزینه کلی به مددجویان</v>
      </c>
      <c r="G243" s="142" t="s">
        <v>1255</v>
      </c>
      <c r="H243" s="154" t="s">
        <v>1226</v>
      </c>
      <c r="I243" s="140"/>
      <c r="J243" s="189">
        <v>2500000</v>
      </c>
      <c r="K243" s="176"/>
    </row>
    <row r="244" spans="2:11" ht="33" customHeight="1">
      <c r="B244" s="131">
        <v>242</v>
      </c>
      <c r="C244" s="141"/>
      <c r="D244" s="141"/>
      <c r="E244" s="140" t="s">
        <v>15</v>
      </c>
      <c r="F244" s="133" t="str">
        <f t="shared" si="28"/>
        <v>هزینه کلی به مددجویان</v>
      </c>
      <c r="G244" s="142" t="s">
        <v>1256</v>
      </c>
      <c r="H244" s="154" t="s">
        <v>1228</v>
      </c>
      <c r="I244" s="140"/>
      <c r="J244" s="189">
        <v>2380000</v>
      </c>
      <c r="K244" s="176"/>
    </row>
    <row r="245" spans="2:11" ht="15.75" customHeight="1">
      <c r="B245" s="131">
        <v>243</v>
      </c>
      <c r="C245" s="141"/>
      <c r="D245" s="141"/>
      <c r="E245" s="140" t="s">
        <v>15</v>
      </c>
      <c r="F245" s="133" t="str">
        <f t="shared" si="28"/>
        <v>هزینه کلی به مددجویان</v>
      </c>
      <c r="G245" s="142" t="s">
        <v>1258</v>
      </c>
      <c r="H245" s="154" t="s">
        <v>1228</v>
      </c>
      <c r="I245" s="140"/>
      <c r="J245" s="189">
        <v>1590000</v>
      </c>
      <c r="K245" s="176"/>
    </row>
    <row r="246" spans="2:11" ht="31.5" customHeight="1">
      <c r="B246" s="131">
        <v>244</v>
      </c>
      <c r="C246" s="141"/>
      <c r="D246" s="141"/>
      <c r="E246" s="140" t="s">
        <v>15</v>
      </c>
      <c r="F246" s="133" t="str">
        <f t="shared" si="28"/>
        <v>هزینه کلی به مددجویان</v>
      </c>
      <c r="G246" s="142" t="s">
        <v>1257</v>
      </c>
      <c r="H246" s="154" t="s">
        <v>1197</v>
      </c>
      <c r="I246" s="140"/>
      <c r="J246" s="189">
        <v>1200000</v>
      </c>
      <c r="K246" s="176"/>
    </row>
    <row r="247" spans="2:11" ht="15.75" customHeight="1">
      <c r="B247" s="131">
        <v>245</v>
      </c>
      <c r="C247" s="141"/>
      <c r="D247" s="141"/>
      <c r="E247" s="140"/>
      <c r="F247" s="133" t="str">
        <f t="shared" si="28"/>
        <v/>
      </c>
      <c r="G247" s="142" t="s">
        <v>1263</v>
      </c>
      <c r="H247" s="154" t="s">
        <v>1195</v>
      </c>
      <c r="I247" s="140"/>
      <c r="J247" s="189">
        <v>11530400</v>
      </c>
      <c r="K247" s="176"/>
    </row>
    <row r="248" spans="2:11" ht="15.75" customHeight="1">
      <c r="B248" s="131">
        <v>246</v>
      </c>
      <c r="C248" s="141"/>
      <c r="D248" s="141"/>
      <c r="E248" s="140"/>
      <c r="F248" s="133" t="str">
        <f t="shared" si="28"/>
        <v/>
      </c>
      <c r="G248" s="142" t="s">
        <v>1263</v>
      </c>
      <c r="H248" s="154" t="s">
        <v>1197</v>
      </c>
      <c r="I248" s="140"/>
      <c r="J248" s="189">
        <v>7676000</v>
      </c>
      <c r="K248" s="176"/>
    </row>
    <row r="249" spans="2:11" ht="15.75" customHeight="1">
      <c r="B249" s="131">
        <v>247</v>
      </c>
      <c r="C249" s="141"/>
      <c r="D249" s="141"/>
      <c r="E249" s="140" t="s">
        <v>14</v>
      </c>
      <c r="F249" s="133" t="str">
        <f t="shared" si="28"/>
        <v>هزینه کلی موسسه</v>
      </c>
      <c r="G249" s="142" t="s">
        <v>1301</v>
      </c>
      <c r="H249" s="154" t="s">
        <v>1198</v>
      </c>
      <c r="I249" s="140"/>
      <c r="J249" s="189">
        <v>2286000</v>
      </c>
      <c r="K249" s="176"/>
    </row>
    <row r="250" spans="2:11" ht="15.75" customHeight="1">
      <c r="B250" s="131">
        <v>248</v>
      </c>
      <c r="C250" s="141"/>
      <c r="D250" s="141"/>
      <c r="E250" s="140">
        <v>22</v>
      </c>
      <c r="F250" s="133" t="str">
        <f t="shared" si="28"/>
        <v>مهدبار نماز</v>
      </c>
      <c r="G250" s="142" t="s">
        <v>1259</v>
      </c>
      <c r="H250" s="154" t="s">
        <v>1199</v>
      </c>
      <c r="I250" s="140"/>
      <c r="J250" s="189">
        <v>7006000</v>
      </c>
      <c r="K250" s="176"/>
    </row>
    <row r="251" spans="2:11" ht="15.75" customHeight="1">
      <c r="B251" s="131">
        <v>249</v>
      </c>
      <c r="C251" s="141"/>
      <c r="D251" s="141"/>
      <c r="E251" s="140" t="s">
        <v>14</v>
      </c>
      <c r="F251" s="133" t="str">
        <f t="shared" si="28"/>
        <v>هزینه کلی موسسه</v>
      </c>
      <c r="G251" s="142" t="s">
        <v>1260</v>
      </c>
      <c r="H251" s="154" t="s">
        <v>1199</v>
      </c>
      <c r="I251" s="140"/>
      <c r="J251" s="189">
        <v>5006000</v>
      </c>
      <c r="K251" s="176"/>
    </row>
    <row r="252" spans="2:11" ht="15.75" customHeight="1">
      <c r="B252" s="131">
        <v>250</v>
      </c>
      <c r="C252" s="141"/>
      <c r="D252" s="141"/>
      <c r="E252" s="140" t="s">
        <v>14</v>
      </c>
      <c r="F252" s="133" t="str">
        <f t="shared" si="28"/>
        <v>هزینه کلی موسسه</v>
      </c>
      <c r="G252" s="142" t="s">
        <v>1200</v>
      </c>
      <c r="H252" s="154" t="s">
        <v>1199</v>
      </c>
      <c r="I252" s="140"/>
      <c r="J252" s="189">
        <v>40013200</v>
      </c>
      <c r="K252" s="176"/>
    </row>
    <row r="253" spans="2:11" ht="15.75" customHeight="1">
      <c r="B253" s="131">
        <v>251</v>
      </c>
      <c r="C253" s="141"/>
      <c r="D253" s="141"/>
      <c r="E253" s="140" t="s">
        <v>14</v>
      </c>
      <c r="F253" s="133" t="str">
        <f t="shared" si="28"/>
        <v>هزینه کلی موسسه</v>
      </c>
      <c r="G253" s="142" t="s">
        <v>1201</v>
      </c>
      <c r="H253" s="154" t="s">
        <v>1199</v>
      </c>
      <c r="I253" s="140"/>
      <c r="J253" s="189">
        <v>5006000</v>
      </c>
      <c r="K253" s="176"/>
    </row>
    <row r="254" spans="2:11" ht="15.75" customHeight="1">
      <c r="B254" s="131">
        <v>252</v>
      </c>
      <c r="C254" s="141"/>
      <c r="D254" s="141"/>
      <c r="E254" s="140" t="s">
        <v>14</v>
      </c>
      <c r="F254" s="133" t="str">
        <f t="shared" si="28"/>
        <v>هزینه کلی موسسه</v>
      </c>
      <c r="G254" s="142" t="s">
        <v>1164</v>
      </c>
      <c r="H254" s="154" t="s">
        <v>1202</v>
      </c>
      <c r="I254" s="140"/>
      <c r="J254" s="189">
        <v>2006000</v>
      </c>
      <c r="K254" s="176"/>
    </row>
    <row r="255" spans="2:11" ht="15.75" customHeight="1">
      <c r="B255" s="131">
        <v>253</v>
      </c>
      <c r="C255" s="141"/>
      <c r="D255" s="141"/>
      <c r="E255" s="140" t="s">
        <v>14</v>
      </c>
      <c r="F255" s="133" t="str">
        <f t="shared" si="28"/>
        <v>هزینه کلی موسسه</v>
      </c>
      <c r="G255" s="142" t="s">
        <v>1261</v>
      </c>
      <c r="H255" s="154" t="s">
        <v>1232</v>
      </c>
      <c r="I255" s="140"/>
      <c r="J255" s="189">
        <v>700000</v>
      </c>
      <c r="K255" s="176"/>
    </row>
    <row r="256" spans="2:11" ht="15.75" customHeight="1">
      <c r="B256" s="131">
        <v>254</v>
      </c>
      <c r="C256" s="141"/>
      <c r="D256" s="141"/>
      <c r="E256" s="140">
        <v>12</v>
      </c>
      <c r="F256" s="133" t="str">
        <f t="shared" si="28"/>
        <v>الهام صمدی</v>
      </c>
      <c r="G256" s="142" t="s">
        <v>1262</v>
      </c>
      <c r="H256" s="154" t="s">
        <v>1233</v>
      </c>
      <c r="I256" s="140"/>
      <c r="J256" s="189">
        <v>8000000</v>
      </c>
      <c r="K256" s="176"/>
    </row>
    <row r="257" spans="2:11" ht="15.75" customHeight="1">
      <c r="B257" s="131">
        <v>255</v>
      </c>
      <c r="C257" s="141"/>
      <c r="D257" s="141"/>
      <c r="E257" s="140"/>
      <c r="F257" s="133" t="str">
        <f t="shared" si="28"/>
        <v/>
      </c>
      <c r="G257" s="142" t="s">
        <v>1263</v>
      </c>
      <c r="H257" s="154" t="s">
        <v>1203</v>
      </c>
      <c r="I257" s="140"/>
      <c r="J257" s="189">
        <v>8706000</v>
      </c>
      <c r="K257" s="176"/>
    </row>
    <row r="258" spans="2:11" ht="15.75" customHeight="1">
      <c r="B258" s="131">
        <v>256</v>
      </c>
      <c r="C258" s="141"/>
      <c r="D258" s="141"/>
      <c r="E258" s="140" t="s">
        <v>14</v>
      </c>
      <c r="F258" s="133" t="str">
        <f t="shared" si="28"/>
        <v>هزینه کلی موسسه</v>
      </c>
      <c r="G258" s="142" t="s">
        <v>1142</v>
      </c>
      <c r="H258" s="154" t="s">
        <v>1204</v>
      </c>
      <c r="I258" s="140"/>
      <c r="J258" s="189">
        <v>60018000</v>
      </c>
      <c r="K258" s="176"/>
    </row>
    <row r="259" spans="2:11" ht="15.75" customHeight="1">
      <c r="B259" s="131">
        <v>257</v>
      </c>
      <c r="C259" s="141"/>
      <c r="D259" s="141"/>
      <c r="E259" s="140" t="s">
        <v>14</v>
      </c>
      <c r="F259" s="133" t="str">
        <f t="shared" si="28"/>
        <v>هزینه کلی موسسه</v>
      </c>
      <c r="G259" s="142" t="s">
        <v>1300</v>
      </c>
      <c r="H259" s="154" t="s">
        <v>1280</v>
      </c>
      <c r="I259" s="140"/>
      <c r="J259" s="189">
        <v>359700</v>
      </c>
      <c r="K259" s="176"/>
    </row>
    <row r="260" spans="2:11" ht="15.75" customHeight="1">
      <c r="B260" s="131">
        <v>258</v>
      </c>
      <c r="C260" s="141"/>
      <c r="D260" s="141"/>
      <c r="E260" s="140">
        <v>24</v>
      </c>
      <c r="F260" s="133" t="str">
        <f t="shared" si="28"/>
        <v>کمیل سروری</v>
      </c>
      <c r="G260" s="142" t="s">
        <v>1305</v>
      </c>
      <c r="H260" s="154" t="s">
        <v>1280</v>
      </c>
      <c r="I260" s="140"/>
      <c r="J260" s="189">
        <v>10006000</v>
      </c>
      <c r="K260" s="176"/>
    </row>
    <row r="261" spans="2:11" ht="15.75" customHeight="1">
      <c r="B261" s="131">
        <v>259</v>
      </c>
      <c r="C261" s="141"/>
      <c r="D261" s="141"/>
      <c r="E261" s="140">
        <v>24</v>
      </c>
      <c r="F261" s="133" t="str">
        <f t="shared" si="28"/>
        <v>کمیل سروری</v>
      </c>
      <c r="G261" s="142" t="s">
        <v>1306</v>
      </c>
      <c r="H261" s="154" t="s">
        <v>1286</v>
      </c>
      <c r="I261" s="140"/>
      <c r="J261" s="189" t="s">
        <v>1308</v>
      </c>
      <c r="K261" s="176"/>
    </row>
    <row r="262" spans="2:11" ht="15.75" customHeight="1">
      <c r="B262" s="131">
        <v>260</v>
      </c>
      <c r="C262" s="141"/>
      <c r="D262" s="141"/>
      <c r="E262" s="140" t="s">
        <v>14</v>
      </c>
      <c r="F262" s="133" t="str">
        <f t="shared" si="28"/>
        <v>هزینه کلی موسسه</v>
      </c>
      <c r="G262" s="142" t="s">
        <v>1292</v>
      </c>
      <c r="H262" s="154" t="s">
        <v>1241</v>
      </c>
      <c r="I262" s="140"/>
      <c r="J262" s="189">
        <v>860000</v>
      </c>
      <c r="K262" s="176"/>
    </row>
    <row r="263" spans="2:11" ht="15.75" customHeight="1">
      <c r="B263" s="131">
        <v>261</v>
      </c>
      <c r="C263" s="141"/>
      <c r="D263" s="141"/>
      <c r="E263" s="140" t="s">
        <v>14</v>
      </c>
      <c r="F263" s="133" t="str">
        <f t="shared" si="28"/>
        <v>هزینه کلی موسسه</v>
      </c>
      <c r="G263" s="142" t="s">
        <v>1291</v>
      </c>
      <c r="H263" s="154" t="s">
        <v>1283</v>
      </c>
      <c r="I263" s="140"/>
      <c r="J263" s="189">
        <v>1837000</v>
      </c>
      <c r="K263" s="176"/>
    </row>
    <row r="264" spans="2:11" ht="15.75" customHeight="1">
      <c r="B264" s="131">
        <v>262</v>
      </c>
      <c r="C264" s="141"/>
      <c r="D264" s="141"/>
      <c r="E264" s="140" t="s">
        <v>14</v>
      </c>
      <c r="F264" s="133" t="str">
        <f t="shared" si="28"/>
        <v>هزینه کلی موسسه</v>
      </c>
      <c r="G264" s="142" t="s">
        <v>1291</v>
      </c>
      <c r="H264" s="154" t="s">
        <v>1283</v>
      </c>
      <c r="I264" s="140"/>
      <c r="J264" s="189">
        <v>830000</v>
      </c>
      <c r="K264" s="176"/>
    </row>
    <row r="265" spans="2:11" ht="15.75" customHeight="1">
      <c r="B265" s="131">
        <v>263</v>
      </c>
      <c r="C265" s="141"/>
      <c r="D265" s="141"/>
      <c r="E265" s="140" t="s">
        <v>14</v>
      </c>
      <c r="F265" s="133" t="str">
        <f t="shared" si="28"/>
        <v>هزینه کلی موسسه</v>
      </c>
      <c r="G265" s="142" t="s">
        <v>1293</v>
      </c>
      <c r="H265" s="154" t="s">
        <v>1283</v>
      </c>
      <c r="I265" s="140"/>
      <c r="J265" s="189">
        <v>3397000</v>
      </c>
      <c r="K265" s="176"/>
    </row>
    <row r="266" spans="2:11" ht="15.75" customHeight="1">
      <c r="B266" s="131">
        <v>264</v>
      </c>
      <c r="C266" s="141"/>
      <c r="D266" s="141"/>
      <c r="E266" s="140" t="s">
        <v>14</v>
      </c>
      <c r="F266" s="133" t="str">
        <f t="shared" si="28"/>
        <v>هزینه کلی موسسه</v>
      </c>
      <c r="G266" s="142" t="s">
        <v>1294</v>
      </c>
      <c r="H266" s="154" t="s">
        <v>1283</v>
      </c>
      <c r="I266" s="140"/>
      <c r="J266" s="189">
        <v>1200000</v>
      </c>
      <c r="K266" s="176"/>
    </row>
    <row r="267" spans="2:11" ht="15.75" customHeight="1">
      <c r="B267" s="131">
        <v>265</v>
      </c>
      <c r="C267" s="141"/>
      <c r="D267" s="141"/>
      <c r="E267" s="140" t="s">
        <v>14</v>
      </c>
      <c r="F267" s="133" t="str">
        <f t="shared" si="28"/>
        <v>هزینه کلی موسسه</v>
      </c>
      <c r="G267" s="142" t="s">
        <v>1295</v>
      </c>
      <c r="H267" s="154" t="s">
        <v>1283</v>
      </c>
      <c r="I267" s="140"/>
      <c r="J267" s="189">
        <v>960000</v>
      </c>
      <c r="K267" s="176"/>
    </row>
    <row r="268" spans="2:11" ht="15.75" customHeight="1">
      <c r="B268" s="131">
        <v>266</v>
      </c>
      <c r="C268" s="141"/>
      <c r="D268" s="141"/>
      <c r="E268" s="140" t="s">
        <v>14</v>
      </c>
      <c r="F268" s="133" t="str">
        <f t="shared" si="28"/>
        <v>هزینه کلی موسسه</v>
      </c>
      <c r="G268" s="142" t="s">
        <v>1296</v>
      </c>
      <c r="H268" s="154" t="s">
        <v>1283</v>
      </c>
      <c r="I268" s="140"/>
      <c r="J268" s="189">
        <v>4000000</v>
      </c>
      <c r="K268" s="176"/>
    </row>
    <row r="269" spans="2:11" ht="15.75" customHeight="1">
      <c r="B269" s="131">
        <v>267</v>
      </c>
      <c r="C269" s="141"/>
      <c r="D269" s="141"/>
      <c r="E269" s="140" t="s">
        <v>14</v>
      </c>
      <c r="F269" s="133" t="str">
        <f t="shared" si="28"/>
        <v>هزینه کلی موسسه</v>
      </c>
      <c r="G269" s="142" t="s">
        <v>1296</v>
      </c>
      <c r="H269" s="154" t="s">
        <v>1283</v>
      </c>
      <c r="I269" s="140"/>
      <c r="J269" s="189">
        <v>4370000</v>
      </c>
      <c r="K269" s="176"/>
    </row>
    <row r="270" spans="2:11" ht="15.75" customHeight="1">
      <c r="B270" s="131">
        <v>268</v>
      </c>
      <c r="C270" s="141"/>
      <c r="D270" s="141"/>
      <c r="E270" s="140">
        <v>22</v>
      </c>
      <c r="F270" s="133" t="str">
        <f t="shared" si="28"/>
        <v>مهدبار نماز</v>
      </c>
      <c r="G270" s="142" t="s">
        <v>1289</v>
      </c>
      <c r="H270" s="154" t="s">
        <v>1288</v>
      </c>
      <c r="I270" s="140"/>
      <c r="J270" s="189">
        <v>3500000</v>
      </c>
      <c r="K270" s="176"/>
    </row>
    <row r="271" spans="2:11" ht="15.75" customHeight="1">
      <c r="B271" s="131">
        <v>269</v>
      </c>
      <c r="C271" s="141"/>
      <c r="D271" s="141"/>
      <c r="E271" s="140" t="s">
        <v>14</v>
      </c>
      <c r="F271" s="133" t="str">
        <f t="shared" ref="F271:F334" si="29">IF(E271="","",HLOOKUP(E271,etela,2,0))</f>
        <v>هزینه کلی موسسه</v>
      </c>
      <c r="G271" s="142" t="s">
        <v>1290</v>
      </c>
      <c r="H271" s="154" t="s">
        <v>1288</v>
      </c>
      <c r="I271" s="140"/>
      <c r="J271" s="189">
        <v>5000000</v>
      </c>
      <c r="K271" s="176"/>
    </row>
    <row r="272" spans="2:11" ht="15.75" customHeight="1">
      <c r="B272" s="131">
        <v>270</v>
      </c>
      <c r="C272" s="141"/>
      <c r="D272" s="141"/>
      <c r="E272" s="140" t="s">
        <v>14</v>
      </c>
      <c r="F272" s="133" t="str">
        <f t="shared" si="29"/>
        <v>هزینه کلی موسسه</v>
      </c>
      <c r="G272" s="142" t="s">
        <v>1304</v>
      </c>
      <c r="H272" s="154" t="s">
        <v>1288</v>
      </c>
      <c r="I272" s="140"/>
      <c r="J272" s="189">
        <v>200000</v>
      </c>
      <c r="K272" s="176"/>
    </row>
    <row r="273" spans="2:11" ht="15.75" customHeight="1">
      <c r="B273" s="131">
        <v>271</v>
      </c>
      <c r="C273" s="141"/>
      <c r="D273" s="141"/>
      <c r="E273" s="140">
        <v>21</v>
      </c>
      <c r="F273" s="133" t="str">
        <f t="shared" si="29"/>
        <v>ملبکا نماز</v>
      </c>
      <c r="G273" s="142" t="s">
        <v>1298</v>
      </c>
      <c r="H273" s="154" t="s">
        <v>1297</v>
      </c>
      <c r="I273" s="140"/>
      <c r="J273" s="189">
        <v>3000000</v>
      </c>
      <c r="K273" s="176"/>
    </row>
    <row r="274" spans="2:11" ht="15.75" customHeight="1">
      <c r="B274" s="131">
        <v>272</v>
      </c>
      <c r="C274" s="141"/>
      <c r="D274" s="141"/>
      <c r="E274" s="140" t="s">
        <v>14</v>
      </c>
      <c r="F274" s="133" t="str">
        <f t="shared" si="29"/>
        <v>هزینه کلی موسسه</v>
      </c>
      <c r="G274" s="142" t="s">
        <v>1263</v>
      </c>
      <c r="H274" s="154" t="s">
        <v>1297</v>
      </c>
      <c r="I274" s="140"/>
      <c r="J274" s="189">
        <v>17454000</v>
      </c>
      <c r="K274" s="176"/>
    </row>
    <row r="275" spans="2:11" ht="15.75" customHeight="1">
      <c r="B275" s="131">
        <v>273</v>
      </c>
      <c r="C275" s="141"/>
      <c r="D275" s="141"/>
      <c r="E275" s="140" t="s">
        <v>14</v>
      </c>
      <c r="F275" s="133" t="str">
        <f t="shared" si="29"/>
        <v>هزینه کلی موسسه</v>
      </c>
      <c r="G275" s="142" t="s">
        <v>1299</v>
      </c>
      <c r="H275" s="154" t="s">
        <v>1297</v>
      </c>
      <c r="I275" s="140"/>
      <c r="J275" s="189">
        <v>40000000</v>
      </c>
      <c r="K275" s="176"/>
    </row>
    <row r="276" spans="2:11" ht="15.75" customHeight="1">
      <c r="B276" s="131">
        <v>274</v>
      </c>
      <c r="C276" s="141"/>
      <c r="D276" s="141"/>
      <c r="E276" s="140" t="s">
        <v>14</v>
      </c>
      <c r="F276" s="133" t="str">
        <f t="shared" si="29"/>
        <v>هزینه کلی موسسه</v>
      </c>
      <c r="G276" s="142" t="s">
        <v>1201</v>
      </c>
      <c r="H276" s="154" t="s">
        <v>1297</v>
      </c>
      <c r="I276" s="140"/>
      <c r="J276" s="189">
        <v>550000</v>
      </c>
      <c r="K276" s="176"/>
    </row>
    <row r="277" spans="2:11" ht="15.75" customHeight="1">
      <c r="B277" s="131">
        <v>275</v>
      </c>
      <c r="C277" s="141"/>
      <c r="D277" s="141"/>
      <c r="E277" s="140">
        <v>24</v>
      </c>
      <c r="F277" s="133" t="str">
        <f t="shared" si="29"/>
        <v>کمیل سروری</v>
      </c>
      <c r="G277" s="142" t="s">
        <v>1306</v>
      </c>
      <c r="H277" s="154" t="s">
        <v>1324</v>
      </c>
      <c r="I277" s="140"/>
      <c r="J277" s="189" t="s">
        <v>1325</v>
      </c>
      <c r="K277" s="176"/>
    </row>
    <row r="278" spans="2:11" ht="15.75" customHeight="1">
      <c r="B278" s="131">
        <v>276</v>
      </c>
      <c r="C278" s="141"/>
      <c r="D278" s="141"/>
      <c r="E278" s="140" t="s">
        <v>14</v>
      </c>
      <c r="F278" s="133" t="str">
        <f t="shared" si="29"/>
        <v>هزینه کلی موسسه</v>
      </c>
      <c r="G278" s="142" t="s">
        <v>1327</v>
      </c>
      <c r="H278" s="154" t="s">
        <v>1326</v>
      </c>
      <c r="I278" s="140"/>
      <c r="J278" s="189">
        <v>2000000000</v>
      </c>
      <c r="K278" s="176"/>
    </row>
    <row r="279" spans="2:11" ht="15.75" customHeight="1">
      <c r="B279" s="131">
        <v>277</v>
      </c>
      <c r="C279" s="141"/>
      <c r="D279" s="141"/>
      <c r="E279" s="140" t="s">
        <v>14</v>
      </c>
      <c r="F279" s="133" t="str">
        <f t="shared" si="29"/>
        <v>هزینه کلی موسسه</v>
      </c>
      <c r="G279" s="142" t="s">
        <v>1327</v>
      </c>
      <c r="H279" s="154" t="s">
        <v>1326</v>
      </c>
      <c r="I279" s="140"/>
      <c r="J279" s="189">
        <v>280000</v>
      </c>
      <c r="K279" s="176"/>
    </row>
    <row r="280" spans="2:11" ht="15.75" customHeight="1">
      <c r="B280" s="131">
        <v>278</v>
      </c>
      <c r="C280" s="141"/>
      <c r="D280" s="141"/>
      <c r="E280" s="140" t="s">
        <v>14</v>
      </c>
      <c r="F280" s="133" t="str">
        <f t="shared" si="29"/>
        <v>هزینه کلی موسسه</v>
      </c>
      <c r="G280" s="142" t="s">
        <v>1142</v>
      </c>
      <c r="H280" s="154" t="s">
        <v>1328</v>
      </c>
      <c r="I280" s="140"/>
      <c r="J280" s="189">
        <v>60021200</v>
      </c>
      <c r="K280" s="176"/>
    </row>
    <row r="281" spans="2:11" ht="15.75" customHeight="1">
      <c r="B281" s="131">
        <v>279</v>
      </c>
      <c r="C281" s="141"/>
      <c r="D281" s="141"/>
      <c r="E281" s="140" t="s">
        <v>14</v>
      </c>
      <c r="F281" s="133" t="str">
        <f t="shared" si="29"/>
        <v>هزینه کلی موسسه</v>
      </c>
      <c r="G281" s="142" t="s">
        <v>1164</v>
      </c>
      <c r="H281" s="154" t="s">
        <v>1328</v>
      </c>
      <c r="I281" s="140"/>
      <c r="J281" s="189">
        <v>2007200</v>
      </c>
      <c r="K281" s="176"/>
    </row>
    <row r="282" spans="2:11" ht="15.75" customHeight="1">
      <c r="B282" s="131">
        <v>280</v>
      </c>
      <c r="C282" s="141"/>
      <c r="D282" s="141"/>
      <c r="E282" s="140" t="s">
        <v>14</v>
      </c>
      <c r="F282" s="133" t="str">
        <f t="shared" si="29"/>
        <v>هزینه کلی موسسه</v>
      </c>
      <c r="G282" s="142" t="s">
        <v>1330</v>
      </c>
      <c r="H282" s="154" t="s">
        <v>1328</v>
      </c>
      <c r="I282" s="140"/>
      <c r="J282" s="189">
        <v>2807200</v>
      </c>
      <c r="K282" s="176"/>
    </row>
    <row r="283" spans="2:11" ht="15.75" customHeight="1">
      <c r="B283" s="131">
        <v>281</v>
      </c>
      <c r="C283" s="141"/>
      <c r="D283" s="141"/>
      <c r="E283" s="140" t="s">
        <v>14</v>
      </c>
      <c r="F283" s="133" t="str">
        <f t="shared" si="29"/>
        <v>هزینه کلی موسسه</v>
      </c>
      <c r="G283" s="142" t="s">
        <v>1331</v>
      </c>
      <c r="H283" s="154" t="s">
        <v>1329</v>
      </c>
      <c r="I283" s="140"/>
      <c r="J283" s="189">
        <v>24012800</v>
      </c>
      <c r="K283" s="176"/>
    </row>
    <row r="284" spans="2:11" ht="15.75" customHeight="1">
      <c r="B284" s="131">
        <v>282</v>
      </c>
      <c r="C284" s="141"/>
      <c r="D284" s="141"/>
      <c r="E284" s="140" t="s">
        <v>14</v>
      </c>
      <c r="F284" s="133" t="str">
        <f t="shared" si="29"/>
        <v>هزینه کلی موسسه</v>
      </c>
      <c r="G284" s="142" t="s">
        <v>1332</v>
      </c>
      <c r="H284" s="154" t="s">
        <v>1329</v>
      </c>
      <c r="I284" s="140"/>
      <c r="J284" s="189">
        <v>10007200</v>
      </c>
      <c r="K284" s="176"/>
    </row>
    <row r="285" spans="2:11" ht="15.75" customHeight="1">
      <c r="B285" s="131">
        <v>283</v>
      </c>
      <c r="C285" s="141"/>
      <c r="D285" s="141"/>
      <c r="E285" s="140">
        <v>34</v>
      </c>
      <c r="F285" s="133" t="str">
        <f t="shared" si="29"/>
        <v>یگانه عبدالله زاده</v>
      </c>
      <c r="G285" s="142" t="s">
        <v>1333</v>
      </c>
      <c r="H285" s="154" t="s">
        <v>1319</v>
      </c>
      <c r="I285" s="140"/>
      <c r="J285" s="189">
        <v>33129194</v>
      </c>
      <c r="K285" s="176"/>
    </row>
    <row r="286" spans="2:11" ht="15.75" customHeight="1">
      <c r="B286" s="131">
        <v>284</v>
      </c>
      <c r="C286" s="141"/>
      <c r="D286" s="141"/>
      <c r="E286" s="140">
        <v>29</v>
      </c>
      <c r="F286" s="133" t="str">
        <f t="shared" si="29"/>
        <v>آتنا جر</v>
      </c>
      <c r="G286" s="142" t="s">
        <v>1334</v>
      </c>
      <c r="H286" s="154" t="s">
        <v>1319</v>
      </c>
      <c r="I286" s="140"/>
      <c r="J286" s="189">
        <v>787200</v>
      </c>
      <c r="K286" s="176"/>
    </row>
    <row r="287" spans="2:11" ht="15.75" customHeight="1">
      <c r="B287" s="131">
        <v>285</v>
      </c>
      <c r="C287" s="141"/>
      <c r="D287" s="141"/>
      <c r="E287" s="140" t="s">
        <v>14</v>
      </c>
      <c r="F287" s="133" t="str">
        <f t="shared" si="29"/>
        <v>هزینه کلی موسسه</v>
      </c>
      <c r="G287" s="142" t="s">
        <v>1352</v>
      </c>
      <c r="H287" s="154" t="s">
        <v>1320</v>
      </c>
      <c r="I287" s="140"/>
      <c r="J287" s="189">
        <v>1500000</v>
      </c>
      <c r="K287" s="176"/>
    </row>
    <row r="288" spans="2:11" ht="15.75" customHeight="1">
      <c r="B288" s="131">
        <v>286</v>
      </c>
      <c r="C288" s="141"/>
      <c r="D288" s="141"/>
      <c r="E288" s="140" t="s">
        <v>14</v>
      </c>
      <c r="F288" s="133" t="str">
        <f t="shared" si="29"/>
        <v>هزینه کلی موسسه</v>
      </c>
      <c r="G288" s="142" t="s">
        <v>1348</v>
      </c>
      <c r="H288" s="154" t="s">
        <v>1336</v>
      </c>
      <c r="I288" s="140"/>
      <c r="J288" s="189">
        <v>4300000</v>
      </c>
      <c r="K288" s="176"/>
    </row>
    <row r="289" spans="2:11" ht="15.75" customHeight="1">
      <c r="B289" s="131">
        <v>287</v>
      </c>
      <c r="C289" s="141"/>
      <c r="D289" s="141"/>
      <c r="E289" s="140" t="s">
        <v>14</v>
      </c>
      <c r="F289" s="133" t="str">
        <f t="shared" si="29"/>
        <v>هزینه کلی موسسه</v>
      </c>
      <c r="G289" s="142" t="s">
        <v>1349</v>
      </c>
      <c r="H289" s="154" t="s">
        <v>1336</v>
      </c>
      <c r="I289" s="140"/>
      <c r="J289" s="189">
        <v>400000</v>
      </c>
      <c r="K289" s="176"/>
    </row>
    <row r="290" spans="2:11" ht="15.75" customHeight="1">
      <c r="B290" s="131">
        <v>288</v>
      </c>
      <c r="C290" s="141"/>
      <c r="D290" s="141"/>
      <c r="E290" s="140" t="s">
        <v>14</v>
      </c>
      <c r="F290" s="133" t="str">
        <f t="shared" si="29"/>
        <v>هزینه کلی موسسه</v>
      </c>
      <c r="G290" s="142" t="s">
        <v>1350</v>
      </c>
      <c r="H290" s="154" t="s">
        <v>1339</v>
      </c>
      <c r="I290" s="140"/>
      <c r="J290" s="189">
        <v>1300000</v>
      </c>
      <c r="K290" s="176"/>
    </row>
    <row r="291" spans="2:11" ht="15.75" customHeight="1">
      <c r="B291" s="131">
        <v>289</v>
      </c>
      <c r="C291" s="141"/>
      <c r="D291" s="141"/>
      <c r="E291" s="140" t="s">
        <v>14</v>
      </c>
      <c r="F291" s="133" t="str">
        <f t="shared" si="29"/>
        <v>هزینه کلی موسسه</v>
      </c>
      <c r="G291" s="142" t="s">
        <v>1368</v>
      </c>
      <c r="H291" s="154" t="s">
        <v>1353</v>
      </c>
      <c r="I291" s="140"/>
      <c r="J291" s="189">
        <v>5000000</v>
      </c>
      <c r="K291" s="176"/>
    </row>
    <row r="292" spans="2:11" ht="15.75" customHeight="1">
      <c r="B292" s="131">
        <v>290</v>
      </c>
      <c r="C292" s="141"/>
      <c r="D292" s="141"/>
      <c r="E292" s="140" t="s">
        <v>14</v>
      </c>
      <c r="F292" s="133" t="str">
        <f t="shared" si="29"/>
        <v>هزینه کلی موسسه</v>
      </c>
      <c r="G292" s="142" t="s">
        <v>1419</v>
      </c>
      <c r="H292" s="154" t="s">
        <v>1364</v>
      </c>
      <c r="I292" s="140"/>
      <c r="J292" s="189">
        <v>8007200</v>
      </c>
      <c r="K292" s="176"/>
    </row>
    <row r="293" spans="2:11" ht="15.75" customHeight="1">
      <c r="B293" s="131">
        <v>291</v>
      </c>
      <c r="C293" s="141"/>
      <c r="D293" s="141"/>
      <c r="E293" s="140">
        <v>27</v>
      </c>
      <c r="F293" s="133" t="str">
        <f t="shared" si="29"/>
        <v>نرگس علینژاد</v>
      </c>
      <c r="G293" s="142" t="s">
        <v>1375</v>
      </c>
      <c r="H293" s="154" t="s">
        <v>1364</v>
      </c>
      <c r="I293" s="140"/>
      <c r="J293" s="189">
        <v>3907200</v>
      </c>
      <c r="K293" s="176"/>
    </row>
    <row r="294" spans="2:11" ht="15.75" customHeight="1">
      <c r="B294" s="131">
        <v>292</v>
      </c>
      <c r="C294" s="141"/>
      <c r="D294" s="141"/>
      <c r="E294" s="140">
        <v>28</v>
      </c>
      <c r="F294" s="133" t="str">
        <f t="shared" si="29"/>
        <v>زینب ادبی یکه باغی</v>
      </c>
      <c r="G294" s="142" t="s">
        <v>1374</v>
      </c>
      <c r="H294" s="154" t="s">
        <v>1364</v>
      </c>
      <c r="I294" s="140"/>
      <c r="J294" s="189">
        <v>8707200</v>
      </c>
      <c r="K294" s="176"/>
    </row>
    <row r="295" spans="2:11" ht="15.75" customHeight="1">
      <c r="B295" s="131">
        <v>293</v>
      </c>
      <c r="C295" s="141"/>
      <c r="D295" s="141"/>
      <c r="E295" s="140" t="s">
        <v>14</v>
      </c>
      <c r="F295" s="133" t="str">
        <f t="shared" si="29"/>
        <v>هزینه کلی موسسه</v>
      </c>
      <c r="G295" s="142" t="s">
        <v>1368</v>
      </c>
      <c r="H295" s="154" t="s">
        <v>1364</v>
      </c>
      <c r="I295" s="140"/>
      <c r="J295" s="189">
        <v>5000000</v>
      </c>
      <c r="K295" s="176"/>
    </row>
    <row r="296" spans="2:11" ht="15.75" customHeight="1">
      <c r="B296" s="131">
        <v>294</v>
      </c>
      <c r="C296" s="141"/>
      <c r="D296" s="141"/>
      <c r="E296" s="140" t="s">
        <v>14</v>
      </c>
      <c r="F296" s="133" t="str">
        <f t="shared" si="29"/>
        <v>هزینه کلی موسسه</v>
      </c>
      <c r="G296" s="142" t="s">
        <v>1369</v>
      </c>
      <c r="H296" s="154" t="s">
        <v>1365</v>
      </c>
      <c r="I296" s="140"/>
      <c r="J296" s="189">
        <v>20000000</v>
      </c>
      <c r="K296" s="176"/>
    </row>
    <row r="297" spans="2:11" ht="15.75" customHeight="1">
      <c r="B297" s="131">
        <v>295</v>
      </c>
      <c r="C297" s="141"/>
      <c r="D297" s="141"/>
      <c r="E297" s="140" t="s">
        <v>14</v>
      </c>
      <c r="F297" s="133" t="str">
        <f t="shared" si="29"/>
        <v>هزینه کلی موسسه</v>
      </c>
      <c r="G297" s="142" t="s">
        <v>1373</v>
      </c>
      <c r="H297" s="154" t="s">
        <v>1365</v>
      </c>
      <c r="I297" s="140"/>
      <c r="J297" s="189">
        <v>10000</v>
      </c>
      <c r="K297" s="176"/>
    </row>
    <row r="298" spans="2:11" ht="15.75" customHeight="1">
      <c r="B298" s="131">
        <v>296</v>
      </c>
      <c r="C298" s="141"/>
      <c r="D298" s="141"/>
      <c r="E298" s="140" t="s">
        <v>14</v>
      </c>
      <c r="F298" s="133" t="str">
        <f t="shared" si="29"/>
        <v>هزینه کلی موسسه</v>
      </c>
      <c r="G298" s="142" t="s">
        <v>1370</v>
      </c>
      <c r="H298" s="154" t="s">
        <v>1365</v>
      </c>
      <c r="I298" s="140"/>
      <c r="J298" s="189">
        <v>106000000</v>
      </c>
      <c r="K298" s="176"/>
    </row>
    <row r="299" spans="2:11" ht="15.75" customHeight="1">
      <c r="B299" s="131">
        <v>297</v>
      </c>
      <c r="C299" s="141"/>
      <c r="D299" s="141"/>
      <c r="E299" s="140" t="s">
        <v>14</v>
      </c>
      <c r="F299" s="133" t="str">
        <f t="shared" si="29"/>
        <v>هزینه کلی موسسه</v>
      </c>
      <c r="G299" s="142" t="s">
        <v>1371</v>
      </c>
      <c r="H299" s="154" t="s">
        <v>1355</v>
      </c>
      <c r="I299" s="140"/>
      <c r="J299" s="189">
        <v>800000</v>
      </c>
      <c r="K299" s="176"/>
    </row>
    <row r="300" spans="2:11" ht="15.75" customHeight="1">
      <c r="B300" s="131">
        <v>298</v>
      </c>
      <c r="C300" s="141"/>
      <c r="D300" s="141"/>
      <c r="E300" s="140" t="s">
        <v>14</v>
      </c>
      <c r="F300" s="133" t="str">
        <f t="shared" si="29"/>
        <v>هزینه کلی موسسه</v>
      </c>
      <c r="G300" s="142" t="s">
        <v>1367</v>
      </c>
      <c r="H300" s="154" t="s">
        <v>1366</v>
      </c>
      <c r="I300" s="140"/>
      <c r="J300" s="189">
        <v>40015600</v>
      </c>
      <c r="K300" s="176"/>
    </row>
    <row r="301" spans="2:11" ht="15.75" customHeight="1">
      <c r="B301" s="131">
        <v>299</v>
      </c>
      <c r="C301" s="141"/>
      <c r="D301" s="141"/>
      <c r="E301" s="140"/>
      <c r="F301" s="133" t="str">
        <f t="shared" si="29"/>
        <v/>
      </c>
      <c r="G301" s="142"/>
      <c r="H301" s="154" t="s">
        <v>1381</v>
      </c>
      <c r="I301" s="140"/>
      <c r="J301" s="189">
        <v>315010</v>
      </c>
      <c r="K301" s="176"/>
    </row>
    <row r="302" spans="2:11" ht="15.75" customHeight="1">
      <c r="B302" s="131">
        <v>300</v>
      </c>
      <c r="C302" s="141"/>
      <c r="D302" s="141"/>
      <c r="E302" s="140" t="s">
        <v>14</v>
      </c>
      <c r="F302" s="133" t="str">
        <f t="shared" si="29"/>
        <v>هزینه کلی موسسه</v>
      </c>
      <c r="G302" s="142" t="s">
        <v>1142</v>
      </c>
      <c r="H302" s="154" t="s">
        <v>1381</v>
      </c>
      <c r="I302" s="140"/>
      <c r="J302" s="189">
        <v>60021200</v>
      </c>
      <c r="K302" s="176"/>
    </row>
    <row r="303" spans="2:11" ht="15.75" customHeight="1">
      <c r="B303" s="131">
        <v>301</v>
      </c>
      <c r="C303" s="141"/>
      <c r="D303" s="141"/>
      <c r="E303" s="140" t="s">
        <v>14</v>
      </c>
      <c r="F303" s="133" t="str">
        <f t="shared" si="29"/>
        <v>هزینه کلی موسسه</v>
      </c>
      <c r="G303" s="142" t="s">
        <v>1411</v>
      </c>
      <c r="H303" s="154" t="s">
        <v>1364</v>
      </c>
      <c r="I303" s="140"/>
      <c r="J303" s="189">
        <v>36000</v>
      </c>
      <c r="K303" s="176"/>
    </row>
    <row r="304" spans="2:11" ht="15.75" customHeight="1">
      <c r="B304" s="131">
        <v>302</v>
      </c>
      <c r="C304" s="141"/>
      <c r="D304" s="141"/>
      <c r="E304" s="140" t="s">
        <v>14</v>
      </c>
      <c r="F304" s="133" t="str">
        <f t="shared" si="29"/>
        <v>هزینه کلی موسسه</v>
      </c>
      <c r="G304" s="142" t="s">
        <v>1385</v>
      </c>
      <c r="H304" s="154" t="s">
        <v>1364</v>
      </c>
      <c r="I304" s="140"/>
      <c r="J304" s="189">
        <v>60000</v>
      </c>
      <c r="K304" s="176"/>
    </row>
    <row r="305" spans="2:11" ht="15.75" customHeight="1">
      <c r="B305" s="131">
        <v>303</v>
      </c>
      <c r="C305" s="141"/>
      <c r="D305" s="141"/>
      <c r="E305" s="140" t="s">
        <v>14</v>
      </c>
      <c r="F305" s="133" t="str">
        <f t="shared" si="29"/>
        <v>هزینه کلی موسسه</v>
      </c>
      <c r="G305" s="142" t="s">
        <v>1412</v>
      </c>
      <c r="H305" s="154" t="s">
        <v>1364</v>
      </c>
      <c r="I305" s="140"/>
      <c r="J305" s="189">
        <v>10000</v>
      </c>
      <c r="K305" s="176"/>
    </row>
    <row r="306" spans="2:11" ht="15.75" customHeight="1">
      <c r="B306" s="131">
        <v>304</v>
      </c>
      <c r="C306" s="141"/>
      <c r="D306" s="141"/>
      <c r="E306" s="140" t="s">
        <v>14</v>
      </c>
      <c r="F306" s="133" t="str">
        <f t="shared" si="29"/>
        <v>هزینه کلی موسسه</v>
      </c>
      <c r="G306" s="142" t="s">
        <v>1385</v>
      </c>
      <c r="H306" s="154" t="s">
        <v>1381</v>
      </c>
      <c r="I306" s="140"/>
      <c r="J306" s="189">
        <v>50000000</v>
      </c>
      <c r="K306" s="176"/>
    </row>
    <row r="307" spans="2:11" ht="15.75" customHeight="1">
      <c r="B307" s="131">
        <v>305</v>
      </c>
      <c r="C307" s="141"/>
      <c r="D307" s="141"/>
      <c r="E307" s="140" t="s">
        <v>14</v>
      </c>
      <c r="F307" s="133" t="str">
        <f t="shared" si="29"/>
        <v>هزینه کلی موسسه</v>
      </c>
      <c r="G307" s="142" t="s">
        <v>1413</v>
      </c>
      <c r="H307" s="154" t="s">
        <v>1381</v>
      </c>
      <c r="I307" s="140"/>
      <c r="J307" s="189">
        <v>10000</v>
      </c>
      <c r="K307" s="176"/>
    </row>
    <row r="308" spans="2:11" ht="15.75" customHeight="1">
      <c r="B308" s="131">
        <v>306</v>
      </c>
      <c r="C308" s="141"/>
      <c r="D308" s="141"/>
      <c r="E308" s="140" t="s">
        <v>14</v>
      </c>
      <c r="F308" s="133" t="str">
        <f t="shared" si="29"/>
        <v>هزینه کلی موسسه</v>
      </c>
      <c r="G308" s="142" t="s">
        <v>1414</v>
      </c>
      <c r="H308" s="154" t="s">
        <v>1381</v>
      </c>
      <c r="I308" s="140"/>
      <c r="J308" s="189">
        <v>10000</v>
      </c>
      <c r="K308" s="176"/>
    </row>
    <row r="309" spans="2:11" ht="15.75" customHeight="1">
      <c r="B309" s="131">
        <v>307</v>
      </c>
      <c r="C309" s="141"/>
      <c r="D309" s="141"/>
      <c r="E309" s="140" t="s">
        <v>14</v>
      </c>
      <c r="F309" s="133" t="str">
        <f t="shared" si="29"/>
        <v>هزینه کلی موسسه</v>
      </c>
      <c r="G309" s="142" t="s">
        <v>1416</v>
      </c>
      <c r="H309" s="154" t="s">
        <v>1415</v>
      </c>
      <c r="I309" s="140"/>
      <c r="J309" s="189">
        <v>50000000</v>
      </c>
      <c r="K309" s="176"/>
    </row>
    <row r="310" spans="2:11" ht="15.75" customHeight="1">
      <c r="B310" s="131">
        <v>308</v>
      </c>
      <c r="C310" s="141"/>
      <c r="D310" s="141"/>
      <c r="E310" s="140" t="s">
        <v>14</v>
      </c>
      <c r="F310" s="133" t="str">
        <f t="shared" si="29"/>
        <v>هزینه کلی موسسه</v>
      </c>
      <c r="G310" s="142" t="s">
        <v>1417</v>
      </c>
      <c r="H310" s="154" t="s">
        <v>1415</v>
      </c>
      <c r="I310" s="140"/>
      <c r="J310" s="189">
        <v>360</v>
      </c>
      <c r="K310" s="176"/>
    </row>
    <row r="311" spans="2:11" ht="15.75" customHeight="1">
      <c r="B311" s="131">
        <v>309</v>
      </c>
      <c r="C311" s="141"/>
      <c r="D311" s="141"/>
      <c r="E311" s="140" t="s">
        <v>14</v>
      </c>
      <c r="F311" s="133" t="str">
        <f t="shared" si="29"/>
        <v>هزینه کلی موسسه</v>
      </c>
      <c r="G311" s="142" t="s">
        <v>1491</v>
      </c>
      <c r="H311" s="154" t="s">
        <v>1492</v>
      </c>
      <c r="I311" s="140"/>
      <c r="J311" s="189">
        <v>40004000</v>
      </c>
      <c r="K311" s="176"/>
    </row>
    <row r="312" spans="2:11" ht="15.75" customHeight="1">
      <c r="B312" s="131">
        <v>310</v>
      </c>
      <c r="C312" s="141"/>
      <c r="D312" s="141"/>
      <c r="E312" s="140" t="s">
        <v>14</v>
      </c>
      <c r="F312" s="133" t="str">
        <f t="shared" si="29"/>
        <v>هزینه کلی موسسه</v>
      </c>
      <c r="G312" s="142" t="s">
        <v>1142</v>
      </c>
      <c r="H312" s="154" t="s">
        <v>1435</v>
      </c>
      <c r="I312" s="140"/>
      <c r="J312" s="189">
        <v>60006000</v>
      </c>
      <c r="K312" s="176"/>
    </row>
    <row r="313" spans="2:11" ht="15.75" customHeight="1">
      <c r="B313" s="131">
        <v>311</v>
      </c>
      <c r="C313" s="141"/>
      <c r="D313" s="141"/>
      <c r="E313" s="140"/>
      <c r="F313" s="133"/>
      <c r="G313" s="142" t="s">
        <v>1493</v>
      </c>
      <c r="H313" s="154" t="s">
        <v>1440</v>
      </c>
      <c r="I313" s="140"/>
      <c r="J313" s="189">
        <v>10002400</v>
      </c>
      <c r="K313" s="176"/>
    </row>
    <row r="314" spans="2:11" ht="15.75" customHeight="1">
      <c r="B314" s="131">
        <v>312</v>
      </c>
      <c r="C314" s="141"/>
      <c r="D314" s="141"/>
      <c r="E314" s="140">
        <v>12</v>
      </c>
      <c r="F314" s="133" t="str">
        <f t="shared" si="29"/>
        <v>الهام صمدی</v>
      </c>
      <c r="G314" s="142" t="s">
        <v>1494</v>
      </c>
      <c r="H314" s="154" t="s">
        <v>1465</v>
      </c>
      <c r="I314" s="140"/>
      <c r="J314" s="189">
        <v>7002400</v>
      </c>
      <c r="K314" s="176"/>
    </row>
    <row r="315" spans="2:11" ht="15.75" customHeight="1">
      <c r="B315" s="131">
        <v>313</v>
      </c>
      <c r="C315" s="141"/>
      <c r="D315" s="141"/>
      <c r="E315" s="140" t="s">
        <v>14</v>
      </c>
      <c r="F315" s="133" t="str">
        <f t="shared" si="29"/>
        <v>هزینه کلی موسسه</v>
      </c>
      <c r="G315" s="142" t="s">
        <v>1495</v>
      </c>
      <c r="H315" s="154" t="s">
        <v>1465</v>
      </c>
      <c r="I315" s="140"/>
      <c r="J315" s="189">
        <v>29751970</v>
      </c>
      <c r="K315" s="176"/>
    </row>
    <row r="316" spans="2:11" ht="15.75" customHeight="1">
      <c r="B316" s="131">
        <v>314</v>
      </c>
      <c r="C316" s="141"/>
      <c r="D316" s="141"/>
      <c r="E316" s="140" t="s">
        <v>14</v>
      </c>
      <c r="F316" s="133" t="str">
        <f t="shared" si="29"/>
        <v>هزینه کلی موسسه</v>
      </c>
      <c r="G316" s="142" t="s">
        <v>1496</v>
      </c>
      <c r="H316" s="154" t="s">
        <v>1472</v>
      </c>
      <c r="I316" s="140"/>
      <c r="J316" s="189">
        <v>14400</v>
      </c>
      <c r="K316" s="176"/>
    </row>
    <row r="317" spans="2:11" ht="15.75" customHeight="1">
      <c r="B317" s="131">
        <v>315</v>
      </c>
      <c r="C317" s="141"/>
      <c r="D317" s="141"/>
      <c r="E317" s="140" t="s">
        <v>14</v>
      </c>
      <c r="F317" s="133" t="str">
        <f t="shared" si="29"/>
        <v>هزینه کلی موسسه</v>
      </c>
      <c r="G317" s="142" t="s">
        <v>1497</v>
      </c>
      <c r="H317" s="154" t="s">
        <v>1478</v>
      </c>
      <c r="I317" s="140"/>
      <c r="J317" s="189">
        <v>40004000</v>
      </c>
      <c r="K317" s="176"/>
    </row>
    <row r="318" spans="2:11" ht="15.75" customHeight="1">
      <c r="B318" s="131">
        <v>316</v>
      </c>
      <c r="C318" s="141"/>
      <c r="D318" s="141"/>
      <c r="E318" s="140"/>
      <c r="F318" s="133"/>
      <c r="G318" s="142" t="s">
        <v>1498</v>
      </c>
      <c r="H318" s="154" t="s">
        <v>1478</v>
      </c>
      <c r="I318" s="140"/>
      <c r="J318" s="189">
        <v>8402400</v>
      </c>
      <c r="K318" s="176"/>
    </row>
    <row r="319" spans="2:11" ht="15.75" customHeight="1">
      <c r="B319" s="131">
        <v>317</v>
      </c>
      <c r="C319" s="141"/>
      <c r="D319" s="141"/>
      <c r="E319" s="140"/>
      <c r="F319" s="133"/>
      <c r="G319" s="142" t="s">
        <v>1499</v>
      </c>
      <c r="H319" s="154" t="s">
        <v>1480</v>
      </c>
      <c r="I319" s="140"/>
      <c r="J319" s="189">
        <v>82676760</v>
      </c>
      <c r="K319" s="176"/>
    </row>
    <row r="320" spans="2:11" ht="15.75" customHeight="1">
      <c r="B320" s="131">
        <v>318</v>
      </c>
      <c r="C320" s="141"/>
      <c r="D320" s="141"/>
      <c r="E320" s="140"/>
      <c r="F320" s="133"/>
      <c r="G320" s="142" t="s">
        <v>1500</v>
      </c>
      <c r="H320" s="154" t="s">
        <v>1482</v>
      </c>
      <c r="I320" s="140"/>
      <c r="J320" s="189">
        <v>75007500</v>
      </c>
      <c r="K320" s="176"/>
    </row>
    <row r="321" spans="2:11" ht="15.75" customHeight="1">
      <c r="B321" s="131">
        <v>319</v>
      </c>
      <c r="C321" s="141"/>
      <c r="D321" s="141"/>
      <c r="E321" s="140"/>
      <c r="F321" s="133"/>
      <c r="G321" s="142" t="s">
        <v>1501</v>
      </c>
      <c r="H321" s="154" t="s">
        <v>1482</v>
      </c>
      <c r="I321" s="140"/>
      <c r="J321" s="189">
        <v>10000360</v>
      </c>
      <c r="K321" s="176"/>
    </row>
    <row r="322" spans="2:11" ht="15.75" customHeight="1">
      <c r="B322" s="131">
        <v>320</v>
      </c>
      <c r="C322" s="141"/>
      <c r="D322" s="141"/>
      <c r="E322" s="140"/>
      <c r="F322" s="133"/>
      <c r="G322" s="142" t="s">
        <v>1502</v>
      </c>
      <c r="H322" s="154" t="s">
        <v>1482</v>
      </c>
      <c r="I322" s="140"/>
      <c r="J322" s="189">
        <v>10000360</v>
      </c>
      <c r="K322" s="176"/>
    </row>
    <row r="323" spans="2:11" ht="15.75" customHeight="1">
      <c r="B323" s="131">
        <v>321</v>
      </c>
      <c r="C323" s="141"/>
      <c r="D323" s="141"/>
      <c r="E323" s="140"/>
      <c r="F323" s="133"/>
      <c r="G323" s="142" t="s">
        <v>1503</v>
      </c>
      <c r="H323" s="154" t="s">
        <v>1482</v>
      </c>
      <c r="I323" s="140"/>
      <c r="J323" s="189">
        <v>15000360</v>
      </c>
      <c r="K323" s="176"/>
    </row>
    <row r="324" spans="2:11" ht="15.75" customHeight="1">
      <c r="B324" s="131">
        <v>322</v>
      </c>
      <c r="C324" s="141"/>
      <c r="D324" s="141"/>
      <c r="E324" s="140"/>
      <c r="F324" s="133" t="str">
        <f t="shared" si="29"/>
        <v/>
      </c>
      <c r="G324" s="142" t="s">
        <v>1504</v>
      </c>
      <c r="H324" s="154" t="s">
        <v>1482</v>
      </c>
      <c r="I324" s="140"/>
      <c r="J324" s="189">
        <v>12500360</v>
      </c>
      <c r="K324" s="176"/>
    </row>
    <row r="325" spans="2:11" ht="15.75" customHeight="1">
      <c r="B325" s="131">
        <v>323</v>
      </c>
      <c r="C325" s="141"/>
      <c r="D325" s="141"/>
      <c r="E325" s="140"/>
      <c r="F325" s="133" t="str">
        <f t="shared" si="29"/>
        <v/>
      </c>
      <c r="G325" s="142" t="s">
        <v>1505</v>
      </c>
      <c r="H325" s="154" t="s">
        <v>1482</v>
      </c>
      <c r="I325" s="140"/>
      <c r="J325" s="189">
        <v>10000360</v>
      </c>
      <c r="K325" s="176"/>
    </row>
    <row r="326" spans="2:11" ht="15.75" customHeight="1">
      <c r="B326" s="131">
        <v>324</v>
      </c>
      <c r="C326" s="141"/>
      <c r="D326" s="141"/>
      <c r="E326" s="140"/>
      <c r="F326" s="133" t="str">
        <f t="shared" si="29"/>
        <v/>
      </c>
      <c r="G326" s="142" t="s">
        <v>1506</v>
      </c>
      <c r="H326" s="154" t="s">
        <v>1482</v>
      </c>
      <c r="I326" s="140"/>
      <c r="J326" s="189">
        <v>15000360</v>
      </c>
      <c r="K326" s="176"/>
    </row>
    <row r="327" spans="2:11" ht="15.75" customHeight="1">
      <c r="B327" s="131">
        <v>325</v>
      </c>
      <c r="C327" s="141"/>
      <c r="D327" s="141"/>
      <c r="E327" s="140"/>
      <c r="F327" s="133" t="str">
        <f t="shared" si="29"/>
        <v/>
      </c>
      <c r="G327" s="142" t="s">
        <v>1507</v>
      </c>
      <c r="H327" s="154" t="s">
        <v>1482</v>
      </c>
      <c r="I327" s="140"/>
      <c r="J327" s="189">
        <v>12500360</v>
      </c>
      <c r="K327" s="176"/>
    </row>
    <row r="328" spans="2:11" ht="15.75" customHeight="1">
      <c r="B328" s="131">
        <v>326</v>
      </c>
      <c r="C328" s="141"/>
      <c r="D328" s="141"/>
      <c r="E328" s="140"/>
      <c r="F328" s="133" t="str">
        <f t="shared" si="29"/>
        <v/>
      </c>
      <c r="G328" s="142" t="s">
        <v>1508</v>
      </c>
      <c r="H328" s="154" t="s">
        <v>1482</v>
      </c>
      <c r="I328" s="140"/>
      <c r="J328" s="189">
        <v>10000360</v>
      </c>
      <c r="K328" s="176"/>
    </row>
    <row r="329" spans="2:11" ht="15.75" customHeight="1">
      <c r="B329" s="131">
        <v>327</v>
      </c>
      <c r="C329" s="141"/>
      <c r="D329" s="141"/>
      <c r="E329" s="140"/>
      <c r="F329" s="133" t="str">
        <f t="shared" si="29"/>
        <v/>
      </c>
      <c r="G329" s="142" t="s">
        <v>1509</v>
      </c>
      <c r="H329" s="154" t="s">
        <v>1482</v>
      </c>
      <c r="I329" s="140"/>
      <c r="J329" s="189">
        <v>12500360</v>
      </c>
      <c r="K329" s="176"/>
    </row>
    <row r="330" spans="2:11" ht="15.75" customHeight="1">
      <c r="B330" s="131">
        <v>328</v>
      </c>
      <c r="C330" s="141"/>
      <c r="D330" s="141"/>
      <c r="E330" s="140"/>
      <c r="F330" s="133" t="str">
        <f t="shared" si="29"/>
        <v/>
      </c>
      <c r="G330" s="142" t="s">
        <v>1510</v>
      </c>
      <c r="H330" s="154" t="s">
        <v>1482</v>
      </c>
      <c r="I330" s="140"/>
      <c r="J330" s="189">
        <v>15000360</v>
      </c>
      <c r="K330" s="176"/>
    </row>
    <row r="331" spans="2:11" ht="15.75" customHeight="1">
      <c r="B331" s="131">
        <v>329</v>
      </c>
      <c r="C331" s="141"/>
      <c r="D331" s="141"/>
      <c r="E331" s="140">
        <v>29</v>
      </c>
      <c r="F331" s="133" t="str">
        <f t="shared" si="29"/>
        <v>آتنا جر</v>
      </c>
      <c r="G331" s="142" t="s">
        <v>1511</v>
      </c>
      <c r="H331" s="154" t="s">
        <v>1482</v>
      </c>
      <c r="I331" s="140"/>
      <c r="J331" s="189">
        <v>50405040</v>
      </c>
      <c r="K331" s="176"/>
    </row>
    <row r="332" spans="2:11" ht="15.75" customHeight="1">
      <c r="B332" s="131">
        <v>330</v>
      </c>
      <c r="C332" s="141"/>
      <c r="D332" s="141"/>
      <c r="E332" s="140"/>
      <c r="F332" s="133" t="str">
        <f t="shared" si="29"/>
        <v/>
      </c>
      <c r="G332" s="142" t="s">
        <v>1512</v>
      </c>
      <c r="H332" s="154" t="s">
        <v>1482</v>
      </c>
      <c r="I332" s="140"/>
      <c r="J332" s="189">
        <v>10000360</v>
      </c>
      <c r="K332" s="176"/>
    </row>
    <row r="333" spans="2:11" ht="15.75" customHeight="1">
      <c r="B333" s="131">
        <v>331</v>
      </c>
      <c r="C333" s="141"/>
      <c r="D333" s="141"/>
      <c r="E333" s="140"/>
      <c r="F333" s="133" t="str">
        <f t="shared" si="29"/>
        <v/>
      </c>
      <c r="G333" s="142" t="s">
        <v>1513</v>
      </c>
      <c r="H333" s="154" t="s">
        <v>1482</v>
      </c>
      <c r="I333" s="140"/>
      <c r="J333" s="189">
        <v>12500360</v>
      </c>
      <c r="K333" s="176"/>
    </row>
    <row r="334" spans="2:11" ht="15.75" customHeight="1">
      <c r="B334" s="131">
        <v>332</v>
      </c>
      <c r="C334" s="141"/>
      <c r="D334" s="141"/>
      <c r="E334" s="140" t="s">
        <v>14</v>
      </c>
      <c r="F334" s="133" t="str">
        <f t="shared" si="29"/>
        <v>هزینه کلی موسسه</v>
      </c>
      <c r="G334" s="142" t="s">
        <v>1419</v>
      </c>
      <c r="H334" s="154" t="s">
        <v>1514</v>
      </c>
      <c r="I334" s="140"/>
      <c r="J334" s="189">
        <v>8002400</v>
      </c>
      <c r="K334" s="176"/>
    </row>
    <row r="335" spans="2:11" ht="30.75" customHeight="1">
      <c r="B335" s="131">
        <v>333</v>
      </c>
      <c r="C335" s="141"/>
      <c r="D335" s="141"/>
      <c r="E335" s="140" t="s">
        <v>14</v>
      </c>
      <c r="F335" s="133" t="str">
        <f t="shared" ref="F335" si="30">IF(E335="","",HLOOKUP(E335,etela,2,0))</f>
        <v>هزینه کلی موسسه</v>
      </c>
      <c r="G335" s="142" t="s">
        <v>1516</v>
      </c>
      <c r="H335" s="154" t="s">
        <v>1515</v>
      </c>
      <c r="I335" s="140"/>
      <c r="J335" s="189">
        <v>18502400</v>
      </c>
      <c r="K335" s="176"/>
    </row>
    <row r="336" spans="2:11" ht="15.75" customHeight="1">
      <c r="B336" s="131">
        <v>334</v>
      </c>
      <c r="C336" s="141"/>
      <c r="D336" s="141"/>
      <c r="E336" s="140" t="s">
        <v>14</v>
      </c>
      <c r="F336" s="133" t="str">
        <f t="shared" ref="F336:F426" si="31">IF(E336="","",HLOOKUP(E336,etela,2,0))</f>
        <v>هزینه کلی موسسه</v>
      </c>
      <c r="G336" s="142" t="s">
        <v>1142</v>
      </c>
      <c r="H336" s="154" t="s">
        <v>1515</v>
      </c>
      <c r="I336" s="140"/>
      <c r="J336" s="189">
        <v>60006000</v>
      </c>
      <c r="K336" s="176"/>
    </row>
    <row r="337" spans="2:11" ht="15.75" customHeight="1">
      <c r="B337" s="131">
        <v>335</v>
      </c>
      <c r="C337" s="141"/>
      <c r="D337" s="141"/>
      <c r="E337" s="140" t="s">
        <v>14</v>
      </c>
      <c r="F337" s="133" t="str">
        <f t="shared" si="31"/>
        <v>هزینه کلی موسسه</v>
      </c>
      <c r="G337" s="142" t="s">
        <v>1517</v>
      </c>
      <c r="H337" s="154" t="s">
        <v>1515</v>
      </c>
      <c r="I337" s="140"/>
      <c r="J337" s="189">
        <v>4202400</v>
      </c>
      <c r="K337" s="176"/>
    </row>
    <row r="338" spans="2:11" ht="15.75" customHeight="1">
      <c r="B338" s="131">
        <v>335</v>
      </c>
      <c r="C338" s="141"/>
      <c r="D338" s="141"/>
      <c r="E338" s="140">
        <v>12</v>
      </c>
      <c r="F338" s="133" t="str">
        <f t="shared" si="31"/>
        <v>الهام صمدی</v>
      </c>
      <c r="G338" s="142" t="s">
        <v>1518</v>
      </c>
      <c r="H338" s="154" t="s">
        <v>1515</v>
      </c>
      <c r="I338" s="140"/>
      <c r="J338" s="189">
        <v>2002400</v>
      </c>
      <c r="K338" s="176"/>
    </row>
    <row r="339" spans="2:11" ht="15.75" customHeight="1">
      <c r="B339" s="131">
        <v>336</v>
      </c>
      <c r="C339" s="141"/>
      <c r="D339" s="141"/>
      <c r="E339" s="140">
        <v>27</v>
      </c>
      <c r="F339" s="133" t="str">
        <f t="shared" si="31"/>
        <v>نرگس علینژاد</v>
      </c>
      <c r="G339" s="142" t="s">
        <v>1519</v>
      </c>
      <c r="H339" s="154" t="s">
        <v>1486</v>
      </c>
      <c r="I339" s="140"/>
      <c r="J339" s="189">
        <v>20054400</v>
      </c>
      <c r="K339" s="176"/>
    </row>
    <row r="340" spans="2:11" ht="15.75" customHeight="1">
      <c r="B340" s="131">
        <v>337</v>
      </c>
      <c r="C340" s="141"/>
      <c r="D340" s="141"/>
      <c r="E340" s="140">
        <v>12</v>
      </c>
      <c r="F340" s="133" t="str">
        <f t="shared" si="31"/>
        <v>الهام صمدی</v>
      </c>
      <c r="G340" s="142" t="s">
        <v>1520</v>
      </c>
      <c r="H340" s="154" t="s">
        <v>1486</v>
      </c>
      <c r="I340" s="140"/>
      <c r="J340" s="189">
        <v>5002400</v>
      </c>
      <c r="K340" s="176"/>
    </row>
    <row r="341" spans="2:11" ht="15.75" customHeight="1">
      <c r="B341" s="131">
        <v>338</v>
      </c>
      <c r="C341" s="141"/>
      <c r="D341" s="141"/>
      <c r="E341" s="140" t="s">
        <v>14</v>
      </c>
      <c r="F341" s="133" t="str">
        <f t="shared" si="31"/>
        <v>هزینه کلی موسسه</v>
      </c>
      <c r="G341" s="142" t="s">
        <v>1521</v>
      </c>
      <c r="H341" s="154" t="s">
        <v>1486</v>
      </c>
      <c r="I341" s="140"/>
      <c r="J341" s="189">
        <v>8032400</v>
      </c>
      <c r="K341" s="176"/>
    </row>
    <row r="342" spans="2:11" ht="15.75" customHeight="1">
      <c r="B342" s="131">
        <v>339</v>
      </c>
      <c r="C342" s="141"/>
      <c r="D342" s="141"/>
      <c r="E342" s="140" t="s">
        <v>14</v>
      </c>
      <c r="F342" s="133" t="str">
        <f t="shared" si="31"/>
        <v>هزینه کلی موسسه</v>
      </c>
      <c r="G342" s="142" t="s">
        <v>1522</v>
      </c>
      <c r="H342" s="154" t="s">
        <v>1486</v>
      </c>
      <c r="I342" s="140"/>
      <c r="J342" s="189">
        <v>31503150</v>
      </c>
      <c r="K342" s="176"/>
    </row>
    <row r="343" spans="2:11" ht="15.75" customHeight="1">
      <c r="B343" s="131">
        <v>340</v>
      </c>
      <c r="C343" s="141"/>
      <c r="D343" s="141"/>
      <c r="E343" s="140" t="s">
        <v>14</v>
      </c>
      <c r="F343" s="133" t="str">
        <f t="shared" si="31"/>
        <v>هزینه کلی موسسه</v>
      </c>
      <c r="G343" s="142" t="s">
        <v>1523</v>
      </c>
      <c r="H343" s="154" t="s">
        <v>1486</v>
      </c>
      <c r="I343" s="140"/>
      <c r="J343" s="189">
        <v>5502400</v>
      </c>
      <c r="K343" s="176"/>
    </row>
    <row r="344" spans="2:11" ht="15.75" customHeight="1">
      <c r="B344" s="131">
        <v>341</v>
      </c>
      <c r="C344" s="141"/>
      <c r="D344" s="141"/>
      <c r="E344" s="140"/>
      <c r="F344" s="133" t="str">
        <f t="shared" si="31"/>
        <v/>
      </c>
      <c r="G344" s="142" t="s">
        <v>1509</v>
      </c>
      <c r="H344" s="154" t="s">
        <v>1524</v>
      </c>
      <c r="I344" s="140"/>
      <c r="J344" s="189">
        <v>12500360</v>
      </c>
      <c r="K344" s="176"/>
    </row>
    <row r="345" spans="2:11" ht="15.75" customHeight="1">
      <c r="B345" s="131">
        <v>342</v>
      </c>
      <c r="C345" s="141"/>
      <c r="D345" s="141"/>
      <c r="E345" s="140"/>
      <c r="F345" s="133" t="str">
        <f t="shared" si="31"/>
        <v/>
      </c>
      <c r="G345" s="142" t="s">
        <v>1525</v>
      </c>
      <c r="H345" s="154" t="s">
        <v>1524</v>
      </c>
      <c r="I345" s="140"/>
      <c r="J345" s="189">
        <v>10000360</v>
      </c>
      <c r="K345" s="176"/>
    </row>
    <row r="346" spans="2:11" ht="15.75" customHeight="1">
      <c r="B346" s="131">
        <v>343</v>
      </c>
      <c r="C346" s="141"/>
      <c r="D346" s="141"/>
      <c r="E346" s="140"/>
      <c r="F346" s="133" t="str">
        <f t="shared" si="31"/>
        <v/>
      </c>
      <c r="G346" s="142" t="s">
        <v>1526</v>
      </c>
      <c r="H346" s="154" t="s">
        <v>1524</v>
      </c>
      <c r="I346" s="140"/>
      <c r="J346" s="189">
        <v>10000360</v>
      </c>
      <c r="K346" s="176"/>
    </row>
    <row r="347" spans="2:11" ht="15.75" customHeight="1">
      <c r="B347" s="131">
        <v>344</v>
      </c>
      <c r="C347" s="141"/>
      <c r="D347" s="141"/>
      <c r="E347" s="140"/>
      <c r="F347" s="133" t="str">
        <f t="shared" si="31"/>
        <v/>
      </c>
      <c r="G347" s="142" t="s">
        <v>1510</v>
      </c>
      <c r="H347" s="154" t="s">
        <v>1524</v>
      </c>
      <c r="I347" s="140"/>
      <c r="J347" s="189">
        <v>15000360</v>
      </c>
      <c r="K347" s="176"/>
    </row>
    <row r="348" spans="2:11" ht="15.75" customHeight="1">
      <c r="B348" s="131">
        <v>345</v>
      </c>
      <c r="C348" s="141"/>
      <c r="D348" s="141"/>
      <c r="E348" s="140"/>
      <c r="F348" s="133" t="str">
        <f t="shared" si="31"/>
        <v/>
      </c>
      <c r="G348" s="142" t="s">
        <v>1503</v>
      </c>
      <c r="H348" s="154" t="s">
        <v>1524</v>
      </c>
      <c r="I348" s="140"/>
      <c r="J348" s="189">
        <v>15000360</v>
      </c>
      <c r="K348" s="176"/>
    </row>
    <row r="349" spans="2:11" ht="15.75" customHeight="1">
      <c r="B349" s="131">
        <v>346</v>
      </c>
      <c r="C349" s="141"/>
      <c r="D349" s="141"/>
      <c r="E349" s="140"/>
      <c r="F349" s="133" t="str">
        <f t="shared" si="31"/>
        <v/>
      </c>
      <c r="G349" s="142" t="s">
        <v>1512</v>
      </c>
      <c r="H349" s="154" t="s">
        <v>1524</v>
      </c>
      <c r="I349" s="140"/>
      <c r="J349" s="189">
        <v>10000360</v>
      </c>
      <c r="K349" s="176"/>
    </row>
    <row r="350" spans="2:11" ht="15.75" customHeight="1">
      <c r="B350" s="131">
        <v>347</v>
      </c>
      <c r="C350" s="141"/>
      <c r="D350" s="141"/>
      <c r="E350" s="140"/>
      <c r="F350" s="133" t="str">
        <f t="shared" si="31"/>
        <v/>
      </c>
      <c r="G350" s="142" t="s">
        <v>1505</v>
      </c>
      <c r="H350" s="154" t="s">
        <v>1524</v>
      </c>
      <c r="I350" s="140"/>
      <c r="J350" s="189">
        <v>10000360</v>
      </c>
      <c r="K350" s="176"/>
    </row>
    <row r="351" spans="2:11" ht="15.75" customHeight="1">
      <c r="B351" s="131">
        <v>348</v>
      </c>
      <c r="C351" s="141"/>
      <c r="D351" s="141"/>
      <c r="E351" s="140"/>
      <c r="F351" s="133"/>
      <c r="G351" s="142" t="s">
        <v>1507</v>
      </c>
      <c r="H351" s="154" t="s">
        <v>1524</v>
      </c>
      <c r="I351" s="140"/>
      <c r="J351" s="189">
        <v>12500360</v>
      </c>
      <c r="K351" s="176"/>
    </row>
    <row r="352" spans="2:11" ht="15.75" customHeight="1">
      <c r="B352" s="131">
        <v>349</v>
      </c>
      <c r="C352" s="141"/>
      <c r="D352" s="141"/>
      <c r="E352" s="140"/>
      <c r="F352" s="133"/>
      <c r="G352" s="142" t="s">
        <v>1506</v>
      </c>
      <c r="H352" s="154" t="s">
        <v>1524</v>
      </c>
      <c r="I352" s="140"/>
      <c r="J352" s="189">
        <v>15000360</v>
      </c>
      <c r="K352" s="176"/>
    </row>
    <row r="353" spans="2:11" ht="15.75" customHeight="1">
      <c r="B353" s="131">
        <v>350</v>
      </c>
      <c r="C353" s="141"/>
      <c r="D353" s="141"/>
      <c r="E353" s="140"/>
      <c r="F353" s="133"/>
      <c r="G353" s="142" t="s">
        <v>1513</v>
      </c>
      <c r="H353" s="154" t="s">
        <v>1524</v>
      </c>
      <c r="I353" s="140"/>
      <c r="J353" s="189">
        <v>12500360</v>
      </c>
      <c r="K353" s="176"/>
    </row>
    <row r="354" spans="2:11" ht="15.75" customHeight="1">
      <c r="B354" s="131">
        <v>351</v>
      </c>
      <c r="C354" s="141"/>
      <c r="D354" s="141"/>
      <c r="E354" s="140"/>
      <c r="F354" s="133" t="str">
        <f t="shared" si="31"/>
        <v/>
      </c>
      <c r="G354" s="142" t="s">
        <v>1527</v>
      </c>
      <c r="H354" s="154" t="s">
        <v>1524</v>
      </c>
      <c r="I354" s="140"/>
      <c r="J354" s="189">
        <v>10000360</v>
      </c>
      <c r="K354" s="176"/>
    </row>
    <row r="355" spans="2:11" ht="15.75" customHeight="1">
      <c r="B355" s="131">
        <v>352</v>
      </c>
      <c r="C355" s="141"/>
      <c r="D355" s="141"/>
      <c r="E355" s="140"/>
      <c r="F355" s="133" t="str">
        <f t="shared" si="31"/>
        <v/>
      </c>
      <c r="G355" s="142" t="s">
        <v>1501</v>
      </c>
      <c r="H355" s="154" t="s">
        <v>1524</v>
      </c>
      <c r="I355" s="140"/>
      <c r="J355" s="189">
        <v>10000360</v>
      </c>
      <c r="K355" s="176"/>
    </row>
    <row r="356" spans="2:11" ht="15.75" customHeight="1">
      <c r="B356" s="131">
        <v>353</v>
      </c>
      <c r="C356" s="141"/>
      <c r="D356" s="141"/>
      <c r="E356" s="140"/>
      <c r="F356" s="133" t="str">
        <f t="shared" si="31"/>
        <v/>
      </c>
      <c r="G356" s="142" t="s">
        <v>1502</v>
      </c>
      <c r="H356" s="154" t="s">
        <v>1524</v>
      </c>
      <c r="I356" s="140"/>
      <c r="J356" s="189">
        <v>10000360</v>
      </c>
      <c r="K356" s="176"/>
    </row>
    <row r="357" spans="2:11" ht="15.75" customHeight="1">
      <c r="B357" s="131">
        <v>354</v>
      </c>
      <c r="C357" s="141"/>
      <c r="D357" s="141"/>
      <c r="E357" s="140"/>
      <c r="F357" s="133" t="str">
        <f t="shared" si="31"/>
        <v/>
      </c>
      <c r="G357" s="142" t="s">
        <v>1504</v>
      </c>
      <c r="H357" s="154" t="s">
        <v>1524</v>
      </c>
      <c r="I357" s="140"/>
      <c r="J357" s="189">
        <v>12500360</v>
      </c>
      <c r="K357" s="176"/>
    </row>
    <row r="358" spans="2:11" ht="15.75" customHeight="1">
      <c r="B358" s="131">
        <v>355</v>
      </c>
      <c r="C358" s="141"/>
      <c r="D358" s="141"/>
      <c r="E358" s="140"/>
      <c r="F358" s="133" t="str">
        <f t="shared" si="31"/>
        <v/>
      </c>
      <c r="G358" s="142" t="s">
        <v>1528</v>
      </c>
      <c r="H358" s="154" t="s">
        <v>1524</v>
      </c>
      <c r="I358" s="140"/>
      <c r="J358" s="189">
        <v>12500360</v>
      </c>
      <c r="K358" s="176"/>
    </row>
    <row r="359" spans="2:11" ht="15.75" customHeight="1">
      <c r="B359" s="131">
        <v>356</v>
      </c>
      <c r="C359" s="141"/>
      <c r="D359" s="141"/>
      <c r="E359" s="140" t="s">
        <v>14</v>
      </c>
      <c r="F359" s="133" t="str">
        <f t="shared" si="31"/>
        <v>هزینه کلی موسسه</v>
      </c>
      <c r="G359" s="142" t="s">
        <v>1201</v>
      </c>
      <c r="H359" s="154" t="s">
        <v>1559</v>
      </c>
      <c r="I359" s="140"/>
      <c r="J359" s="189">
        <v>7252400</v>
      </c>
      <c r="K359" s="176"/>
    </row>
    <row r="360" spans="2:11" ht="15.75" customHeight="1">
      <c r="B360" s="131">
        <v>357</v>
      </c>
      <c r="C360" s="141"/>
      <c r="D360" s="141"/>
      <c r="E360" s="140" t="s">
        <v>14</v>
      </c>
      <c r="F360" s="133" t="str">
        <f t="shared" si="31"/>
        <v>هزینه کلی موسسه</v>
      </c>
      <c r="G360" s="142" t="s">
        <v>1604</v>
      </c>
      <c r="H360" s="154" t="s">
        <v>1559</v>
      </c>
      <c r="I360" s="140"/>
      <c r="J360" s="189">
        <v>40004000</v>
      </c>
      <c r="K360" s="176"/>
    </row>
    <row r="361" spans="2:11" ht="15.75" customHeight="1">
      <c r="B361" s="131">
        <v>358</v>
      </c>
      <c r="C361" s="141"/>
      <c r="D361" s="141"/>
      <c r="E361" s="140"/>
      <c r="F361" s="133" t="str">
        <f t="shared" si="31"/>
        <v/>
      </c>
      <c r="G361" s="142" t="s">
        <v>1660</v>
      </c>
      <c r="H361" s="154" t="s">
        <v>1559</v>
      </c>
      <c r="I361" s="140"/>
      <c r="J361" s="189">
        <v>5002400</v>
      </c>
      <c r="K361" s="176"/>
    </row>
    <row r="362" spans="2:11" ht="15.75" customHeight="1">
      <c r="B362" s="131">
        <v>359</v>
      </c>
      <c r="C362" s="141"/>
      <c r="D362" s="141"/>
      <c r="E362" s="140" t="s">
        <v>14</v>
      </c>
      <c r="F362" s="133" t="str">
        <f t="shared" si="31"/>
        <v>هزینه کلی موسسه</v>
      </c>
      <c r="G362" s="142" t="s">
        <v>1661</v>
      </c>
      <c r="H362" s="154" t="s">
        <v>1562</v>
      </c>
      <c r="I362" s="140"/>
      <c r="J362" s="189">
        <v>30003000</v>
      </c>
      <c r="K362" s="176"/>
    </row>
    <row r="363" spans="2:11" ht="15.75" customHeight="1">
      <c r="B363" s="131">
        <v>360</v>
      </c>
      <c r="C363" s="141"/>
      <c r="D363" s="141"/>
      <c r="E363" s="140"/>
      <c r="F363" s="133" t="str">
        <f t="shared" si="31"/>
        <v/>
      </c>
      <c r="G363" s="142" t="s">
        <v>1662</v>
      </c>
      <c r="H363" s="154" t="s">
        <v>1663</v>
      </c>
      <c r="I363" s="140"/>
      <c r="J363" s="189">
        <v>35003500</v>
      </c>
      <c r="K363" s="176"/>
    </row>
    <row r="364" spans="2:11" ht="15.75" customHeight="1">
      <c r="B364" s="131">
        <v>361</v>
      </c>
      <c r="C364" s="141"/>
      <c r="D364" s="141"/>
      <c r="E364" s="140"/>
      <c r="F364" s="133" t="str">
        <f t="shared" si="31"/>
        <v/>
      </c>
      <c r="G364" s="142" t="s">
        <v>1613</v>
      </c>
      <c r="H364" s="154" t="s">
        <v>1663</v>
      </c>
      <c r="I364" s="140"/>
      <c r="J364" s="189">
        <v>12500360</v>
      </c>
      <c r="K364" s="176"/>
    </row>
    <row r="365" spans="2:11" ht="15.75" customHeight="1">
      <c r="B365" s="131">
        <v>362</v>
      </c>
      <c r="C365" s="141"/>
      <c r="D365" s="141"/>
      <c r="E365" s="140"/>
      <c r="F365" s="133" t="str">
        <f t="shared" si="31"/>
        <v/>
      </c>
      <c r="G365" s="142" t="s">
        <v>1664</v>
      </c>
      <c r="H365" s="154" t="s">
        <v>1571</v>
      </c>
      <c r="I365" s="140"/>
      <c r="J365" s="189">
        <v>3702400</v>
      </c>
      <c r="K365" s="176"/>
    </row>
    <row r="366" spans="2:11" ht="15.75" customHeight="1">
      <c r="B366" s="131">
        <v>363</v>
      </c>
      <c r="C366" s="141"/>
      <c r="D366" s="141"/>
      <c r="E366" s="140"/>
      <c r="F366" s="133" t="str">
        <f t="shared" si="31"/>
        <v/>
      </c>
      <c r="G366" s="142" t="s">
        <v>1665</v>
      </c>
      <c r="H366" s="154" t="s">
        <v>1571</v>
      </c>
      <c r="I366" s="140"/>
      <c r="J366" s="189">
        <v>3622400</v>
      </c>
      <c r="K366" s="176"/>
    </row>
    <row r="367" spans="2:11" ht="15.75" customHeight="1">
      <c r="B367" s="131">
        <v>364</v>
      </c>
      <c r="C367" s="141"/>
      <c r="D367" s="141"/>
      <c r="E367" s="140" t="s">
        <v>14</v>
      </c>
      <c r="F367" s="133" t="str">
        <f t="shared" si="31"/>
        <v>هزینه کلی موسسه</v>
      </c>
      <c r="G367" s="142" t="s">
        <v>1666</v>
      </c>
      <c r="H367" s="154" t="s">
        <v>1573</v>
      </c>
      <c r="I367" s="140"/>
      <c r="J367" s="189">
        <v>2502400</v>
      </c>
      <c r="K367" s="176"/>
    </row>
    <row r="368" spans="2:11" ht="15.75" customHeight="1">
      <c r="B368" s="131">
        <v>365</v>
      </c>
      <c r="C368" s="141"/>
      <c r="D368" s="141"/>
      <c r="E368" s="140"/>
      <c r="F368" s="133" t="str">
        <f t="shared" si="31"/>
        <v/>
      </c>
      <c r="G368" s="142" t="s">
        <v>1670</v>
      </c>
      <c r="H368" s="154" t="s">
        <v>1575</v>
      </c>
      <c r="I368" s="140"/>
      <c r="J368" s="189">
        <v>7252400</v>
      </c>
      <c r="K368" s="176"/>
    </row>
    <row r="369" spans="2:11" ht="15.75" customHeight="1">
      <c r="B369" s="131">
        <v>366</v>
      </c>
      <c r="C369" s="141"/>
      <c r="D369" s="141"/>
      <c r="E369" s="140" t="s">
        <v>14</v>
      </c>
      <c r="F369" s="133" t="str">
        <f t="shared" si="31"/>
        <v>هزینه کلی موسسه</v>
      </c>
      <c r="G369" s="142" t="s">
        <v>1142</v>
      </c>
      <c r="H369" s="154" t="s">
        <v>1575</v>
      </c>
      <c r="I369" s="140"/>
      <c r="J369" s="189">
        <v>60006000</v>
      </c>
      <c r="K369" s="176"/>
    </row>
    <row r="370" spans="2:11" ht="15.75" customHeight="1">
      <c r="B370" s="131">
        <v>367</v>
      </c>
      <c r="C370" s="141"/>
      <c r="D370" s="141"/>
      <c r="E370" s="140"/>
      <c r="F370" s="133" t="str">
        <f t="shared" si="31"/>
        <v/>
      </c>
      <c r="G370" s="142" t="s">
        <v>1667</v>
      </c>
      <c r="H370" s="154" t="s">
        <v>1576</v>
      </c>
      <c r="I370" s="140"/>
      <c r="J370" s="189">
        <v>5672400</v>
      </c>
      <c r="K370" s="176"/>
    </row>
    <row r="371" spans="2:11" ht="15.75" customHeight="1">
      <c r="B371" s="131">
        <v>368</v>
      </c>
      <c r="C371" s="141"/>
      <c r="D371" s="141"/>
      <c r="E371" s="140"/>
      <c r="F371" s="133" t="str">
        <f t="shared" si="31"/>
        <v/>
      </c>
      <c r="G371" s="142" t="s">
        <v>1509</v>
      </c>
      <c r="H371" s="154" t="s">
        <v>1668</v>
      </c>
      <c r="I371" s="140"/>
      <c r="J371" s="189">
        <v>12500360</v>
      </c>
      <c r="K371" s="176"/>
    </row>
    <row r="372" spans="2:11" ht="15.75" customHeight="1">
      <c r="B372" s="131">
        <v>369</v>
      </c>
      <c r="C372" s="141"/>
      <c r="D372" s="141"/>
      <c r="E372" s="140"/>
      <c r="F372" s="133" t="str">
        <f t="shared" si="31"/>
        <v/>
      </c>
      <c r="G372" s="142" t="s">
        <v>1525</v>
      </c>
      <c r="H372" s="154" t="s">
        <v>1668</v>
      </c>
      <c r="I372" s="140"/>
      <c r="J372" s="189">
        <v>10000360</v>
      </c>
      <c r="K372" s="176"/>
    </row>
    <row r="373" spans="2:11" ht="15.75" customHeight="1">
      <c r="B373" s="131">
        <v>370</v>
      </c>
      <c r="C373" s="141"/>
      <c r="D373" s="141"/>
      <c r="E373" s="140"/>
      <c r="F373" s="133" t="str">
        <f t="shared" si="31"/>
        <v/>
      </c>
      <c r="G373" s="142" t="s">
        <v>1526</v>
      </c>
      <c r="H373" s="154" t="s">
        <v>1668</v>
      </c>
      <c r="I373" s="140"/>
      <c r="J373" s="189">
        <v>10000360</v>
      </c>
      <c r="K373" s="176"/>
    </row>
    <row r="374" spans="2:11" ht="15.75" customHeight="1">
      <c r="B374" s="131">
        <v>371</v>
      </c>
      <c r="C374" s="141"/>
      <c r="D374" s="141"/>
      <c r="E374" s="140"/>
      <c r="F374" s="133" t="str">
        <f t="shared" si="31"/>
        <v/>
      </c>
      <c r="G374" s="142" t="s">
        <v>1510</v>
      </c>
      <c r="H374" s="154" t="s">
        <v>1668</v>
      </c>
      <c r="I374" s="140"/>
      <c r="J374" s="189">
        <v>15000360</v>
      </c>
      <c r="K374" s="176"/>
    </row>
    <row r="375" spans="2:11" ht="15.75" customHeight="1">
      <c r="B375" s="131">
        <v>372</v>
      </c>
      <c r="C375" s="141"/>
      <c r="D375" s="141"/>
      <c r="E375" s="140"/>
      <c r="F375" s="133" t="str">
        <f t="shared" si="31"/>
        <v/>
      </c>
      <c r="G375" s="142" t="s">
        <v>1503</v>
      </c>
      <c r="H375" s="154" t="s">
        <v>1668</v>
      </c>
      <c r="I375" s="140"/>
      <c r="J375" s="189">
        <v>15000360</v>
      </c>
      <c r="K375" s="176"/>
    </row>
    <row r="376" spans="2:11" ht="15.75" customHeight="1">
      <c r="B376" s="131">
        <v>373</v>
      </c>
      <c r="C376" s="141"/>
      <c r="D376" s="141"/>
      <c r="E376" s="140"/>
      <c r="F376" s="133" t="str">
        <f t="shared" si="31"/>
        <v/>
      </c>
      <c r="G376" s="142" t="s">
        <v>1512</v>
      </c>
      <c r="H376" s="154" t="s">
        <v>1668</v>
      </c>
      <c r="I376" s="140"/>
      <c r="J376" s="189">
        <v>10000360</v>
      </c>
      <c r="K376" s="176"/>
    </row>
    <row r="377" spans="2:11" ht="15.75" customHeight="1">
      <c r="B377" s="131">
        <v>374</v>
      </c>
      <c r="C377" s="141"/>
      <c r="D377" s="141"/>
      <c r="E377" s="140"/>
      <c r="F377" s="133" t="str">
        <f t="shared" si="31"/>
        <v/>
      </c>
      <c r="G377" s="142" t="s">
        <v>1505</v>
      </c>
      <c r="H377" s="154" t="s">
        <v>1668</v>
      </c>
      <c r="I377" s="140"/>
      <c r="J377" s="189">
        <v>10000360</v>
      </c>
      <c r="K377" s="176"/>
    </row>
    <row r="378" spans="2:11" ht="15.75" customHeight="1">
      <c r="B378" s="131">
        <v>375</v>
      </c>
      <c r="C378" s="141"/>
      <c r="D378" s="141"/>
      <c r="E378" s="140"/>
      <c r="F378" s="133" t="str">
        <f t="shared" si="31"/>
        <v/>
      </c>
      <c r="G378" s="142" t="s">
        <v>1507</v>
      </c>
      <c r="H378" s="154" t="s">
        <v>1668</v>
      </c>
      <c r="I378" s="140"/>
      <c r="J378" s="189">
        <v>12500360</v>
      </c>
      <c r="K378" s="176"/>
    </row>
    <row r="379" spans="2:11" ht="15.75" customHeight="1">
      <c r="B379" s="131">
        <v>376</v>
      </c>
      <c r="C379" s="141"/>
      <c r="D379" s="141"/>
      <c r="E379" s="140"/>
      <c r="F379" s="133" t="str">
        <f t="shared" si="31"/>
        <v/>
      </c>
      <c r="G379" s="142" t="s">
        <v>1506</v>
      </c>
      <c r="H379" s="154" t="s">
        <v>1668</v>
      </c>
      <c r="I379" s="140"/>
      <c r="J379" s="189">
        <v>15000360</v>
      </c>
      <c r="K379" s="176"/>
    </row>
    <row r="380" spans="2:11" ht="15.75" customHeight="1">
      <c r="B380" s="131">
        <v>377</v>
      </c>
      <c r="C380" s="141"/>
      <c r="D380" s="141"/>
      <c r="E380" s="140"/>
      <c r="F380" s="133" t="str">
        <f t="shared" si="31"/>
        <v/>
      </c>
      <c r="G380" s="142" t="s">
        <v>1513</v>
      </c>
      <c r="H380" s="154" t="s">
        <v>1668</v>
      </c>
      <c r="I380" s="140"/>
      <c r="J380" s="189">
        <v>12500360</v>
      </c>
      <c r="K380" s="176"/>
    </row>
    <row r="381" spans="2:11" ht="15.75" customHeight="1">
      <c r="B381" s="131">
        <v>378</v>
      </c>
      <c r="C381" s="141"/>
      <c r="D381" s="141"/>
      <c r="E381" s="140"/>
      <c r="F381" s="133" t="str">
        <f t="shared" si="31"/>
        <v/>
      </c>
      <c r="G381" s="142" t="s">
        <v>1527</v>
      </c>
      <c r="H381" s="154" t="s">
        <v>1668</v>
      </c>
      <c r="I381" s="140"/>
      <c r="J381" s="189">
        <v>10000360</v>
      </c>
      <c r="K381" s="176"/>
    </row>
    <row r="382" spans="2:11" ht="15.75" customHeight="1">
      <c r="B382" s="131">
        <v>379</v>
      </c>
      <c r="C382" s="141"/>
      <c r="D382" s="141"/>
      <c r="E382" s="140"/>
      <c r="F382" s="133" t="str">
        <f t="shared" si="31"/>
        <v/>
      </c>
      <c r="G382" s="142" t="s">
        <v>1501</v>
      </c>
      <c r="H382" s="154" t="s">
        <v>1668</v>
      </c>
      <c r="I382" s="140"/>
      <c r="J382" s="189">
        <v>10000360</v>
      </c>
      <c r="K382" s="176"/>
    </row>
    <row r="383" spans="2:11" ht="15.75" customHeight="1">
      <c r="B383" s="131">
        <v>380</v>
      </c>
      <c r="C383" s="141"/>
      <c r="D383" s="141"/>
      <c r="E383" s="140"/>
      <c r="F383" s="133" t="str">
        <f t="shared" si="31"/>
        <v/>
      </c>
      <c r="G383" s="142" t="s">
        <v>1502</v>
      </c>
      <c r="H383" s="154" t="s">
        <v>1668</v>
      </c>
      <c r="I383" s="140"/>
      <c r="J383" s="189">
        <v>10000360</v>
      </c>
      <c r="K383" s="176"/>
    </row>
    <row r="384" spans="2:11" ht="15.75" customHeight="1">
      <c r="B384" s="131">
        <v>381</v>
      </c>
      <c r="C384" s="141"/>
      <c r="D384" s="141"/>
      <c r="E384" s="140"/>
      <c r="F384" s="133" t="str">
        <f t="shared" si="31"/>
        <v/>
      </c>
      <c r="G384" s="142" t="s">
        <v>1504</v>
      </c>
      <c r="H384" s="154" t="s">
        <v>1668</v>
      </c>
      <c r="I384" s="140"/>
      <c r="J384" s="189">
        <v>12500360</v>
      </c>
      <c r="K384" s="176"/>
    </row>
    <row r="385" spans="2:11" ht="15.75" customHeight="1">
      <c r="B385" s="131">
        <v>382</v>
      </c>
      <c r="C385" s="141"/>
      <c r="D385" s="141"/>
      <c r="E385" s="140"/>
      <c r="F385" s="133" t="str">
        <f t="shared" si="31"/>
        <v/>
      </c>
      <c r="G385" s="142" t="s">
        <v>1528</v>
      </c>
      <c r="H385" s="154" t="s">
        <v>1668</v>
      </c>
      <c r="I385" s="140"/>
      <c r="J385" s="189">
        <v>12500360</v>
      </c>
      <c r="K385" s="176"/>
    </row>
    <row r="386" spans="2:11" ht="15.75" customHeight="1">
      <c r="B386" s="131">
        <v>383</v>
      </c>
      <c r="C386" s="141"/>
      <c r="D386" s="141"/>
      <c r="E386" s="140"/>
      <c r="F386" s="133" t="str">
        <f t="shared" si="31"/>
        <v/>
      </c>
      <c r="G386" s="142" t="s">
        <v>1613</v>
      </c>
      <c r="H386" s="154" t="s">
        <v>1668</v>
      </c>
      <c r="I386" s="140"/>
      <c r="J386" s="189">
        <v>12500360</v>
      </c>
      <c r="K386" s="176"/>
    </row>
    <row r="387" spans="2:11" ht="15.75" customHeight="1">
      <c r="B387" s="131">
        <v>384</v>
      </c>
      <c r="C387" s="141"/>
      <c r="D387" s="141"/>
      <c r="E387" s="140"/>
      <c r="F387" s="133" t="str">
        <f t="shared" si="31"/>
        <v/>
      </c>
      <c r="G387" s="142" t="s">
        <v>1671</v>
      </c>
      <c r="H387" s="154" t="s">
        <v>1668</v>
      </c>
      <c r="I387" s="140"/>
      <c r="J387" s="189">
        <v>2602400</v>
      </c>
      <c r="K387" s="176"/>
    </row>
    <row r="388" spans="2:11" ht="15.75" customHeight="1">
      <c r="B388" s="131">
        <v>385</v>
      </c>
      <c r="C388" s="141"/>
      <c r="D388" s="141"/>
      <c r="E388" s="140"/>
      <c r="F388" s="133" t="str">
        <f t="shared" si="31"/>
        <v/>
      </c>
      <c r="G388" s="142" t="s">
        <v>1672</v>
      </c>
      <c r="H388" s="154" t="s">
        <v>1669</v>
      </c>
      <c r="I388" s="140"/>
      <c r="J388" s="189">
        <v>85000000</v>
      </c>
      <c r="K388" s="176"/>
    </row>
    <row r="389" spans="2:11" ht="15.75" customHeight="1">
      <c r="B389" s="131">
        <v>386</v>
      </c>
      <c r="C389" s="141"/>
      <c r="D389" s="141"/>
      <c r="E389" s="140" t="s">
        <v>14</v>
      </c>
      <c r="F389" s="133" t="str">
        <f t="shared" si="31"/>
        <v>هزینه کلی موسسه</v>
      </c>
      <c r="G389" s="142" t="s">
        <v>1602</v>
      </c>
      <c r="H389" s="154" t="s">
        <v>1584</v>
      </c>
      <c r="I389" s="140"/>
      <c r="J389" s="189">
        <v>8002400</v>
      </c>
      <c r="K389" s="176"/>
    </row>
    <row r="390" spans="2:11" ht="15.75" customHeight="1">
      <c r="B390" s="131">
        <v>387</v>
      </c>
      <c r="C390" s="141"/>
      <c r="D390" s="141"/>
      <c r="E390" s="140" t="s">
        <v>14</v>
      </c>
      <c r="F390" s="133" t="str">
        <f t="shared" si="31"/>
        <v>هزینه کلی موسسه</v>
      </c>
      <c r="G390" s="142" t="s">
        <v>1201</v>
      </c>
      <c r="H390" s="154" t="s">
        <v>1584</v>
      </c>
      <c r="I390" s="140"/>
      <c r="J390" s="189">
        <v>1802400</v>
      </c>
      <c r="K390" s="176"/>
    </row>
    <row r="391" spans="2:11" ht="15.75" customHeight="1">
      <c r="B391" s="131">
        <v>388</v>
      </c>
      <c r="C391" s="141"/>
      <c r="D391" s="141"/>
      <c r="E391" s="140"/>
      <c r="F391" s="133" t="str">
        <f t="shared" si="31"/>
        <v/>
      </c>
      <c r="G391" s="142" t="s">
        <v>1603</v>
      </c>
      <c r="H391" s="154" t="s">
        <v>1584</v>
      </c>
      <c r="I391" s="140"/>
      <c r="J391" s="189">
        <v>5002400</v>
      </c>
      <c r="K391" s="176"/>
    </row>
    <row r="392" spans="2:11" ht="15.75" customHeight="1">
      <c r="B392" s="131">
        <v>389</v>
      </c>
      <c r="C392" s="141"/>
      <c r="D392" s="141"/>
      <c r="E392" s="140" t="s">
        <v>14</v>
      </c>
      <c r="F392" s="133" t="str">
        <f t="shared" si="31"/>
        <v>هزینه کلی موسسه</v>
      </c>
      <c r="G392" s="142" t="s">
        <v>1604</v>
      </c>
      <c r="H392" s="154" t="s">
        <v>1584</v>
      </c>
      <c r="I392" s="140"/>
      <c r="J392" s="189">
        <v>40004000</v>
      </c>
      <c r="K392" s="176"/>
    </row>
    <row r="393" spans="2:11" ht="15.75" customHeight="1">
      <c r="B393" s="131">
        <v>390</v>
      </c>
      <c r="C393" s="141"/>
      <c r="D393" s="141"/>
      <c r="E393" s="140"/>
      <c r="F393" s="133" t="str">
        <f t="shared" si="31"/>
        <v/>
      </c>
      <c r="G393" s="142" t="s">
        <v>1605</v>
      </c>
      <c r="H393" s="154" t="s">
        <v>1584</v>
      </c>
      <c r="I393" s="140"/>
      <c r="J393" s="189">
        <v>28290820</v>
      </c>
      <c r="K393" s="176"/>
    </row>
    <row r="394" spans="2:11" ht="15.75" customHeight="1">
      <c r="B394" s="131">
        <v>391</v>
      </c>
      <c r="C394" s="141"/>
      <c r="D394" s="141"/>
      <c r="E394" s="140"/>
      <c r="F394" s="133" t="str">
        <f t="shared" si="31"/>
        <v/>
      </c>
      <c r="G394" s="142" t="s">
        <v>1606</v>
      </c>
      <c r="H394" s="154" t="s">
        <v>1592</v>
      </c>
      <c r="I394" s="140"/>
      <c r="J394" s="189">
        <v>85700000</v>
      </c>
      <c r="K394" s="176"/>
    </row>
    <row r="395" spans="2:11" ht="15.75" customHeight="1">
      <c r="B395" s="131">
        <v>392</v>
      </c>
      <c r="C395" s="141"/>
      <c r="D395" s="141"/>
      <c r="E395" s="140" t="s">
        <v>14</v>
      </c>
      <c r="F395" s="133" t="str">
        <f t="shared" si="31"/>
        <v>هزینه کلی موسسه</v>
      </c>
      <c r="G395" s="142" t="s">
        <v>1142</v>
      </c>
      <c r="H395" s="154" t="s">
        <v>1596</v>
      </c>
      <c r="I395" s="140"/>
      <c r="J395" s="189">
        <v>60006000</v>
      </c>
      <c r="K395" s="176"/>
    </row>
    <row r="396" spans="2:11" ht="15.75" customHeight="1">
      <c r="B396" s="131">
        <v>393</v>
      </c>
      <c r="C396" s="141"/>
      <c r="D396" s="141"/>
      <c r="E396" s="140">
        <v>12</v>
      </c>
      <c r="F396" s="133" t="str">
        <f t="shared" si="31"/>
        <v>الهام صمدی</v>
      </c>
      <c r="G396" s="142" t="s">
        <v>1607</v>
      </c>
      <c r="H396" s="154" t="s">
        <v>1596</v>
      </c>
      <c r="I396" s="140"/>
      <c r="J396" s="189">
        <v>1252400</v>
      </c>
      <c r="K396" s="176"/>
    </row>
    <row r="397" spans="2:11" ht="15.75" customHeight="1">
      <c r="B397" s="131">
        <v>394</v>
      </c>
      <c r="C397" s="141"/>
      <c r="D397" s="141"/>
      <c r="E397" s="140" t="s">
        <v>14</v>
      </c>
      <c r="F397" s="133" t="str">
        <f t="shared" si="31"/>
        <v>هزینه کلی موسسه</v>
      </c>
      <c r="G397" s="142" t="s">
        <v>1164</v>
      </c>
      <c r="H397" s="154" t="s">
        <v>1596</v>
      </c>
      <c r="I397" s="140"/>
      <c r="J397" s="189">
        <v>2502400</v>
      </c>
      <c r="K397" s="176"/>
    </row>
    <row r="398" spans="2:11" ht="15.75" customHeight="1">
      <c r="B398" s="131">
        <v>395</v>
      </c>
      <c r="C398" s="141"/>
      <c r="D398" s="141"/>
      <c r="E398" s="140">
        <v>12</v>
      </c>
      <c r="F398" s="133" t="str">
        <f t="shared" si="31"/>
        <v>الهام صمدی</v>
      </c>
      <c r="G398" s="142" t="s">
        <v>1608</v>
      </c>
      <c r="H398" s="154" t="s">
        <v>1609</v>
      </c>
      <c r="I398" s="140"/>
      <c r="J398" s="189">
        <v>1092400</v>
      </c>
      <c r="K398" s="176"/>
    </row>
    <row r="399" spans="2:11" ht="15.75" customHeight="1">
      <c r="B399" s="131">
        <v>396</v>
      </c>
      <c r="C399" s="141"/>
      <c r="D399" s="141"/>
      <c r="E399" s="140" t="s">
        <v>14</v>
      </c>
      <c r="F399" s="133" t="str">
        <f t="shared" si="31"/>
        <v>هزینه کلی موسسه</v>
      </c>
      <c r="G399" s="142" t="s">
        <v>1610</v>
      </c>
      <c r="H399" s="154" t="s">
        <v>1609</v>
      </c>
      <c r="I399" s="140"/>
      <c r="J399" s="189">
        <v>6452400</v>
      </c>
      <c r="K399" s="176"/>
    </row>
    <row r="400" spans="2:11" ht="15.75" customHeight="1">
      <c r="B400" s="131">
        <v>397</v>
      </c>
      <c r="C400" s="141"/>
      <c r="D400" s="141"/>
      <c r="E400" s="140">
        <v>12</v>
      </c>
      <c r="F400" s="133" t="str">
        <f t="shared" si="31"/>
        <v>الهام صمدی</v>
      </c>
      <c r="G400" s="142" t="s">
        <v>1611</v>
      </c>
      <c r="H400" s="154" t="s">
        <v>1609</v>
      </c>
      <c r="I400" s="140"/>
      <c r="J400" s="189">
        <v>1102400</v>
      </c>
      <c r="K400" s="176"/>
    </row>
    <row r="401" spans="2:11" ht="15.75" customHeight="1">
      <c r="B401" s="131">
        <v>398</v>
      </c>
      <c r="C401" s="141"/>
      <c r="D401" s="141"/>
      <c r="E401" s="140"/>
      <c r="F401" s="133" t="str">
        <f t="shared" si="31"/>
        <v/>
      </c>
      <c r="G401" s="142" t="s">
        <v>1509</v>
      </c>
      <c r="H401" s="154" t="s">
        <v>1612</v>
      </c>
      <c r="I401" s="140"/>
      <c r="J401" s="189">
        <v>12500360</v>
      </c>
      <c r="K401" s="176"/>
    </row>
    <row r="402" spans="2:11" ht="15.75" customHeight="1">
      <c r="B402" s="131">
        <v>399</v>
      </c>
      <c r="C402" s="141"/>
      <c r="D402" s="141"/>
      <c r="E402" s="140"/>
      <c r="F402" s="133" t="str">
        <f t="shared" si="31"/>
        <v/>
      </c>
      <c r="G402" s="142" t="s">
        <v>1525</v>
      </c>
      <c r="H402" s="154" t="s">
        <v>1612</v>
      </c>
      <c r="I402" s="140"/>
      <c r="J402" s="189">
        <v>10000360</v>
      </c>
      <c r="K402" s="176"/>
    </row>
    <row r="403" spans="2:11" ht="15.75" customHeight="1">
      <c r="B403" s="131">
        <v>400</v>
      </c>
      <c r="C403" s="141"/>
      <c r="D403" s="141"/>
      <c r="E403" s="140"/>
      <c r="F403" s="133" t="str">
        <f t="shared" si="31"/>
        <v/>
      </c>
      <c r="G403" s="142" t="s">
        <v>1526</v>
      </c>
      <c r="H403" s="154" t="s">
        <v>1612</v>
      </c>
      <c r="I403" s="140"/>
      <c r="J403" s="189">
        <v>10000360</v>
      </c>
      <c r="K403" s="176"/>
    </row>
    <row r="404" spans="2:11" ht="15.75" customHeight="1">
      <c r="B404" s="131">
        <v>401</v>
      </c>
      <c r="C404" s="141"/>
      <c r="D404" s="141"/>
      <c r="E404" s="140"/>
      <c r="F404" s="133" t="str">
        <f t="shared" si="31"/>
        <v/>
      </c>
      <c r="G404" s="142" t="s">
        <v>1510</v>
      </c>
      <c r="H404" s="154" t="s">
        <v>1612</v>
      </c>
      <c r="I404" s="140"/>
      <c r="J404" s="189">
        <v>15000360</v>
      </c>
      <c r="K404" s="176"/>
    </row>
    <row r="405" spans="2:11" ht="15.75" customHeight="1">
      <c r="B405" s="131">
        <v>402</v>
      </c>
      <c r="C405" s="141"/>
      <c r="D405" s="141"/>
      <c r="E405" s="140"/>
      <c r="F405" s="133" t="str">
        <f t="shared" si="31"/>
        <v/>
      </c>
      <c r="G405" s="142" t="s">
        <v>1503</v>
      </c>
      <c r="H405" s="154" t="s">
        <v>1612</v>
      </c>
      <c r="I405" s="140"/>
      <c r="J405" s="189">
        <v>15000360</v>
      </c>
      <c r="K405" s="176"/>
    </row>
    <row r="406" spans="2:11" ht="15.75" customHeight="1">
      <c r="B406" s="131">
        <v>403</v>
      </c>
      <c r="C406" s="141"/>
      <c r="D406" s="141"/>
      <c r="E406" s="140"/>
      <c r="F406" s="133" t="str">
        <f t="shared" si="31"/>
        <v/>
      </c>
      <c r="G406" s="142" t="s">
        <v>1512</v>
      </c>
      <c r="H406" s="154" t="s">
        <v>1612</v>
      </c>
      <c r="I406" s="140"/>
      <c r="J406" s="189">
        <v>10000360</v>
      </c>
      <c r="K406" s="176"/>
    </row>
    <row r="407" spans="2:11" ht="15.75" customHeight="1">
      <c r="B407" s="131">
        <v>404</v>
      </c>
      <c r="C407" s="141"/>
      <c r="D407" s="141"/>
      <c r="E407" s="140"/>
      <c r="F407" s="133" t="str">
        <f t="shared" si="31"/>
        <v/>
      </c>
      <c r="G407" s="142" t="s">
        <v>1505</v>
      </c>
      <c r="H407" s="154" t="s">
        <v>1612</v>
      </c>
      <c r="I407" s="140"/>
      <c r="J407" s="189">
        <v>10000360</v>
      </c>
      <c r="K407" s="176"/>
    </row>
    <row r="408" spans="2:11" ht="15.75" customHeight="1">
      <c r="B408" s="131">
        <v>405</v>
      </c>
      <c r="C408" s="141"/>
      <c r="D408" s="141"/>
      <c r="E408" s="140"/>
      <c r="F408" s="133" t="str">
        <f t="shared" si="31"/>
        <v/>
      </c>
      <c r="G408" s="142" t="s">
        <v>1507</v>
      </c>
      <c r="H408" s="154" t="s">
        <v>1612</v>
      </c>
      <c r="I408" s="140"/>
      <c r="J408" s="189">
        <v>12500360</v>
      </c>
      <c r="K408" s="176"/>
    </row>
    <row r="409" spans="2:11" ht="15.75" customHeight="1">
      <c r="B409" s="131">
        <v>406</v>
      </c>
      <c r="C409" s="141"/>
      <c r="D409" s="141"/>
      <c r="E409" s="140"/>
      <c r="F409" s="133" t="str">
        <f t="shared" si="31"/>
        <v/>
      </c>
      <c r="G409" s="142" t="s">
        <v>1506</v>
      </c>
      <c r="H409" s="154" t="s">
        <v>1612</v>
      </c>
      <c r="I409" s="140"/>
      <c r="J409" s="189">
        <v>15000360</v>
      </c>
      <c r="K409" s="176"/>
    </row>
    <row r="410" spans="2:11" ht="15.75" customHeight="1">
      <c r="B410" s="131">
        <v>407</v>
      </c>
      <c r="C410" s="141"/>
      <c r="D410" s="141"/>
      <c r="E410" s="140"/>
      <c r="F410" s="133" t="str">
        <f t="shared" si="31"/>
        <v/>
      </c>
      <c r="G410" s="142" t="s">
        <v>1513</v>
      </c>
      <c r="H410" s="154" t="s">
        <v>1612</v>
      </c>
      <c r="I410" s="140"/>
      <c r="J410" s="189">
        <v>12500360</v>
      </c>
      <c r="K410" s="176"/>
    </row>
    <row r="411" spans="2:11" ht="15.75" customHeight="1">
      <c r="B411" s="131">
        <v>408</v>
      </c>
      <c r="C411" s="141"/>
      <c r="D411" s="141"/>
      <c r="E411" s="140"/>
      <c r="F411" s="133" t="str">
        <f t="shared" si="31"/>
        <v/>
      </c>
      <c r="G411" s="142" t="s">
        <v>1527</v>
      </c>
      <c r="H411" s="154" t="s">
        <v>1612</v>
      </c>
      <c r="I411" s="140"/>
      <c r="J411" s="189">
        <v>10000360</v>
      </c>
      <c r="K411" s="176"/>
    </row>
    <row r="412" spans="2:11" ht="15.75" customHeight="1">
      <c r="B412" s="131">
        <v>409</v>
      </c>
      <c r="C412" s="141"/>
      <c r="D412" s="141"/>
      <c r="E412" s="140"/>
      <c r="F412" s="133" t="str">
        <f t="shared" si="31"/>
        <v/>
      </c>
      <c r="G412" s="142" t="s">
        <v>1501</v>
      </c>
      <c r="H412" s="154" t="s">
        <v>1612</v>
      </c>
      <c r="I412" s="140"/>
      <c r="J412" s="189">
        <v>10000360</v>
      </c>
      <c r="K412" s="176"/>
    </row>
    <row r="413" spans="2:11" ht="15.75" customHeight="1">
      <c r="B413" s="131">
        <v>410</v>
      </c>
      <c r="C413" s="141"/>
      <c r="D413" s="141"/>
      <c r="E413" s="140"/>
      <c r="F413" s="133" t="str">
        <f t="shared" si="31"/>
        <v/>
      </c>
      <c r="G413" s="142" t="s">
        <v>1502</v>
      </c>
      <c r="H413" s="154" t="s">
        <v>1612</v>
      </c>
      <c r="I413" s="140"/>
      <c r="J413" s="189">
        <v>10000360</v>
      </c>
      <c r="K413" s="176"/>
    </row>
    <row r="414" spans="2:11" ht="15.75" customHeight="1">
      <c r="B414" s="131">
        <v>411</v>
      </c>
      <c r="C414" s="141"/>
      <c r="D414" s="141"/>
      <c r="E414" s="140"/>
      <c r="F414" s="133" t="str">
        <f t="shared" si="31"/>
        <v/>
      </c>
      <c r="G414" s="142" t="s">
        <v>1504</v>
      </c>
      <c r="H414" s="154" t="s">
        <v>1612</v>
      </c>
      <c r="I414" s="140"/>
      <c r="J414" s="189">
        <v>12500360</v>
      </c>
      <c r="K414" s="176"/>
    </row>
    <row r="415" spans="2:11" ht="15.75" customHeight="1">
      <c r="B415" s="131">
        <v>412</v>
      </c>
      <c r="C415" s="141"/>
      <c r="D415" s="141"/>
      <c r="E415" s="140"/>
      <c r="F415" s="133" t="str">
        <f t="shared" si="31"/>
        <v/>
      </c>
      <c r="G415" s="142" t="s">
        <v>1528</v>
      </c>
      <c r="H415" s="154" t="s">
        <v>1612</v>
      </c>
      <c r="I415" s="140"/>
      <c r="J415" s="189">
        <v>12500360</v>
      </c>
      <c r="K415" s="176"/>
    </row>
    <row r="416" spans="2:11" ht="15.75" customHeight="1">
      <c r="B416" s="131">
        <v>413</v>
      </c>
      <c r="C416" s="141"/>
      <c r="D416" s="141"/>
      <c r="E416" s="140"/>
      <c r="F416" s="133" t="str">
        <f t="shared" si="31"/>
        <v/>
      </c>
      <c r="G416" s="142" t="s">
        <v>1613</v>
      </c>
      <c r="H416" s="154" t="s">
        <v>1612</v>
      </c>
      <c r="I416" s="140"/>
      <c r="J416" s="189">
        <v>12500360</v>
      </c>
      <c r="K416" s="176"/>
    </row>
    <row r="417" spans="2:11" ht="15.75" customHeight="1">
      <c r="B417" s="131">
        <v>414</v>
      </c>
      <c r="C417" s="141"/>
      <c r="D417" s="141"/>
      <c r="E417" s="140"/>
      <c r="F417" s="133" t="str">
        <f t="shared" si="31"/>
        <v/>
      </c>
      <c r="G417" s="142" t="s">
        <v>1673</v>
      </c>
      <c r="H417" s="154" t="s">
        <v>1614</v>
      </c>
      <c r="I417" s="140"/>
      <c r="J417" s="189">
        <v>5002400</v>
      </c>
      <c r="K417" s="176"/>
    </row>
    <row r="418" spans="2:11" ht="15.75" customHeight="1">
      <c r="B418" s="131">
        <v>415</v>
      </c>
      <c r="C418" s="141"/>
      <c r="D418" s="141"/>
      <c r="E418" s="140" t="s">
        <v>14</v>
      </c>
      <c r="F418" s="133" t="str">
        <f t="shared" si="31"/>
        <v>هزینه کلی موسسه</v>
      </c>
      <c r="G418" s="142" t="s">
        <v>1618</v>
      </c>
      <c r="H418" s="154" t="s">
        <v>1614</v>
      </c>
      <c r="I418" s="140"/>
      <c r="J418" s="189">
        <v>7402400</v>
      </c>
      <c r="K418" s="176"/>
    </row>
    <row r="419" spans="2:11" ht="15.75" customHeight="1">
      <c r="B419" s="131">
        <v>416</v>
      </c>
      <c r="C419" s="141"/>
      <c r="D419" s="141"/>
      <c r="E419" s="140" t="s">
        <v>14</v>
      </c>
      <c r="F419" s="133" t="str">
        <f t="shared" si="31"/>
        <v>هزینه کلی موسسه</v>
      </c>
      <c r="G419" s="142" t="s">
        <v>1604</v>
      </c>
      <c r="H419" s="154" t="s">
        <v>1614</v>
      </c>
      <c r="I419" s="140"/>
      <c r="J419" s="189">
        <v>40004000</v>
      </c>
      <c r="K419" s="176"/>
    </row>
    <row r="420" spans="2:11" ht="15.75" customHeight="1">
      <c r="B420" s="131">
        <v>417</v>
      </c>
      <c r="C420" s="141"/>
      <c r="D420" s="141"/>
      <c r="E420" s="140"/>
      <c r="F420" s="133" t="str">
        <f t="shared" si="31"/>
        <v/>
      </c>
      <c r="G420" s="142" t="s">
        <v>1606</v>
      </c>
      <c r="H420" s="154" t="s">
        <v>1615</v>
      </c>
      <c r="I420" s="140"/>
      <c r="J420" s="189">
        <v>85700000</v>
      </c>
      <c r="K420" s="176"/>
    </row>
    <row r="421" spans="2:11" ht="15.75" customHeight="1">
      <c r="B421" s="131">
        <v>418</v>
      </c>
      <c r="C421" s="141"/>
      <c r="D421" s="141"/>
      <c r="E421" s="140" t="s">
        <v>14</v>
      </c>
      <c r="F421" s="133" t="str">
        <f t="shared" si="31"/>
        <v>هزینه کلی موسسه</v>
      </c>
      <c r="G421" s="142" t="s">
        <v>1602</v>
      </c>
      <c r="H421" s="154" t="s">
        <v>1615</v>
      </c>
      <c r="I421" s="140"/>
      <c r="J421" s="189">
        <v>8002400</v>
      </c>
      <c r="K421" s="176"/>
    </row>
    <row r="422" spans="2:11" ht="15.75" customHeight="1">
      <c r="B422" s="131">
        <v>419</v>
      </c>
      <c r="C422" s="141"/>
      <c r="D422" s="141"/>
      <c r="E422" s="140"/>
      <c r="F422" s="133" t="str">
        <f t="shared" si="31"/>
        <v/>
      </c>
      <c r="G422" s="142" t="s">
        <v>1619</v>
      </c>
      <c r="H422" s="154" t="s">
        <v>1615</v>
      </c>
      <c r="I422" s="140"/>
      <c r="J422" s="189">
        <v>6602400</v>
      </c>
      <c r="K422" s="176"/>
    </row>
    <row r="423" spans="2:11" ht="15.75" customHeight="1">
      <c r="B423" s="131">
        <v>420</v>
      </c>
      <c r="C423" s="141"/>
      <c r="D423" s="141"/>
      <c r="E423" s="140" t="s">
        <v>14</v>
      </c>
      <c r="F423" s="133" t="str">
        <f t="shared" si="31"/>
        <v>هزینه کلی موسسه</v>
      </c>
      <c r="G423" s="142" t="s">
        <v>1620</v>
      </c>
      <c r="H423" s="154" t="s">
        <v>1616</v>
      </c>
      <c r="I423" s="140"/>
      <c r="J423" s="189">
        <v>24000</v>
      </c>
      <c r="K423" s="176"/>
    </row>
    <row r="424" spans="2:11" ht="15.75" customHeight="1">
      <c r="B424" s="131">
        <v>421</v>
      </c>
      <c r="C424" s="141"/>
      <c r="D424" s="141"/>
      <c r="E424" s="140" t="s">
        <v>14</v>
      </c>
      <c r="F424" s="133" t="str">
        <f t="shared" si="31"/>
        <v>هزینه کلی موسسه</v>
      </c>
      <c r="G424" s="142" t="s">
        <v>1142</v>
      </c>
      <c r="H424" s="154" t="s">
        <v>1617</v>
      </c>
      <c r="I424" s="140"/>
      <c r="J424" s="189">
        <v>60006000</v>
      </c>
      <c r="K424" s="176"/>
    </row>
    <row r="425" spans="2:11" ht="15.75" customHeight="1">
      <c r="B425" s="131">
        <v>422</v>
      </c>
      <c r="C425" s="141"/>
      <c r="D425" s="141"/>
      <c r="E425" s="140" t="s">
        <v>14</v>
      </c>
      <c r="F425" s="133" t="str">
        <f t="shared" si="31"/>
        <v>هزینه کلی موسسه</v>
      </c>
      <c r="G425" s="142" t="s">
        <v>1666</v>
      </c>
      <c r="H425" s="154" t="s">
        <v>1632</v>
      </c>
      <c r="I425" s="140"/>
      <c r="J425" s="189">
        <v>2502400</v>
      </c>
      <c r="K425" s="176"/>
    </row>
    <row r="426" spans="2:11" ht="15.75" customHeight="1">
      <c r="B426" s="131">
        <v>423</v>
      </c>
      <c r="C426" s="141"/>
      <c r="D426" s="141"/>
      <c r="E426" s="140" t="s">
        <v>14</v>
      </c>
      <c r="F426" s="133" t="str">
        <f t="shared" si="31"/>
        <v>هزینه کلی موسسه</v>
      </c>
      <c r="G426" s="142" t="s">
        <v>1674</v>
      </c>
      <c r="H426" s="154" t="s">
        <v>1632</v>
      </c>
      <c r="I426" s="140"/>
      <c r="J426" s="189">
        <v>1172400</v>
      </c>
      <c r="K426" s="176"/>
    </row>
    <row r="427" spans="2:11" ht="15.75" customHeight="1">
      <c r="B427" s="131">
        <v>424</v>
      </c>
      <c r="C427" s="141"/>
      <c r="D427" s="141"/>
      <c r="E427" s="140"/>
      <c r="F427" s="133" t="str">
        <f t="shared" ref="F427:F484" si="32">IF(E427="","",HLOOKUP(E427,etela,2,0))</f>
        <v/>
      </c>
      <c r="G427" s="142" t="s">
        <v>1670</v>
      </c>
      <c r="H427" s="154" t="s">
        <v>1632</v>
      </c>
      <c r="I427" s="140"/>
      <c r="J427" s="189">
        <v>7252400</v>
      </c>
      <c r="K427" s="176"/>
    </row>
    <row r="428" spans="2:11" ht="15.75" customHeight="1">
      <c r="B428" s="131">
        <v>425</v>
      </c>
      <c r="C428" s="141"/>
      <c r="D428" s="141"/>
      <c r="E428" s="140"/>
      <c r="F428" s="133" t="str">
        <f t="shared" si="32"/>
        <v/>
      </c>
      <c r="G428" s="142" t="s">
        <v>1676</v>
      </c>
      <c r="H428" s="154" t="s">
        <v>1675</v>
      </c>
      <c r="I428" s="140"/>
      <c r="J428" s="189">
        <v>11362400</v>
      </c>
      <c r="K428" s="176"/>
    </row>
    <row r="429" spans="2:11" ht="15.75" customHeight="1">
      <c r="B429" s="131">
        <v>426</v>
      </c>
      <c r="C429" s="141"/>
      <c r="D429" s="141"/>
      <c r="E429" s="140"/>
      <c r="F429" s="133" t="str">
        <f t="shared" si="32"/>
        <v/>
      </c>
      <c r="G429" s="142" t="s">
        <v>1509</v>
      </c>
      <c r="H429" s="154" t="s">
        <v>1675</v>
      </c>
      <c r="I429" s="140"/>
      <c r="J429" s="189">
        <v>12500360</v>
      </c>
      <c r="K429" s="176"/>
    </row>
    <row r="430" spans="2:11" ht="15.75" customHeight="1">
      <c r="B430" s="131">
        <v>427</v>
      </c>
      <c r="C430" s="141"/>
      <c r="D430" s="141"/>
      <c r="E430" s="140"/>
      <c r="F430" s="133" t="str">
        <f t="shared" si="32"/>
        <v/>
      </c>
      <c r="G430" s="142" t="s">
        <v>1525</v>
      </c>
      <c r="H430" s="154" t="s">
        <v>1675</v>
      </c>
      <c r="I430" s="140"/>
      <c r="J430" s="189">
        <v>10000360</v>
      </c>
      <c r="K430" s="176"/>
    </row>
    <row r="431" spans="2:11" ht="15.75" customHeight="1">
      <c r="B431" s="131">
        <v>428</v>
      </c>
      <c r="C431" s="141"/>
      <c r="D431" s="141"/>
      <c r="E431" s="140"/>
      <c r="F431" s="133" t="str">
        <f t="shared" si="32"/>
        <v/>
      </c>
      <c r="G431" s="142" t="s">
        <v>1526</v>
      </c>
      <c r="H431" s="154" t="s">
        <v>1675</v>
      </c>
      <c r="I431" s="140"/>
      <c r="J431" s="189">
        <v>10000360</v>
      </c>
      <c r="K431" s="176"/>
    </row>
    <row r="432" spans="2:11" ht="15.75" customHeight="1">
      <c r="B432" s="131">
        <v>429</v>
      </c>
      <c r="C432" s="141"/>
      <c r="D432" s="141"/>
      <c r="E432" s="140"/>
      <c r="F432" s="133" t="str">
        <f t="shared" si="32"/>
        <v/>
      </c>
      <c r="G432" s="142" t="s">
        <v>1510</v>
      </c>
      <c r="H432" s="154" t="s">
        <v>1675</v>
      </c>
      <c r="I432" s="140"/>
      <c r="J432" s="189">
        <v>15000360</v>
      </c>
      <c r="K432" s="176"/>
    </row>
    <row r="433" spans="2:11" ht="15.75" customHeight="1">
      <c r="B433" s="131">
        <v>430</v>
      </c>
      <c r="C433" s="141"/>
      <c r="D433" s="141"/>
      <c r="E433" s="140"/>
      <c r="F433" s="133" t="str">
        <f t="shared" si="32"/>
        <v/>
      </c>
      <c r="G433" s="142" t="s">
        <v>1503</v>
      </c>
      <c r="H433" s="154" t="s">
        <v>1675</v>
      </c>
      <c r="I433" s="140"/>
      <c r="J433" s="189">
        <v>15000360</v>
      </c>
      <c r="K433" s="176"/>
    </row>
    <row r="434" spans="2:11" ht="15.75" customHeight="1">
      <c r="B434" s="131">
        <v>431</v>
      </c>
      <c r="C434" s="141"/>
      <c r="D434" s="141"/>
      <c r="E434" s="140"/>
      <c r="F434" s="133" t="str">
        <f t="shared" si="32"/>
        <v/>
      </c>
      <c r="G434" s="142" t="s">
        <v>1512</v>
      </c>
      <c r="H434" s="154" t="s">
        <v>1675</v>
      </c>
      <c r="I434" s="140"/>
      <c r="J434" s="189">
        <v>10000360</v>
      </c>
      <c r="K434" s="176"/>
    </row>
    <row r="435" spans="2:11" ht="15.75" customHeight="1">
      <c r="B435" s="131">
        <v>432</v>
      </c>
      <c r="C435" s="141"/>
      <c r="D435" s="141"/>
      <c r="E435" s="140"/>
      <c r="F435" s="133" t="str">
        <f t="shared" si="32"/>
        <v/>
      </c>
      <c r="G435" s="142" t="s">
        <v>1505</v>
      </c>
      <c r="H435" s="154" t="s">
        <v>1675</v>
      </c>
      <c r="I435" s="140"/>
      <c r="J435" s="189">
        <v>10000360</v>
      </c>
      <c r="K435" s="176"/>
    </row>
    <row r="436" spans="2:11" ht="15.75" customHeight="1">
      <c r="B436" s="131">
        <v>433</v>
      </c>
      <c r="C436" s="141"/>
      <c r="D436" s="141"/>
      <c r="E436" s="140"/>
      <c r="F436" s="133" t="str">
        <f t="shared" si="32"/>
        <v/>
      </c>
      <c r="G436" s="142" t="s">
        <v>1507</v>
      </c>
      <c r="H436" s="154" t="s">
        <v>1675</v>
      </c>
      <c r="I436" s="140"/>
      <c r="J436" s="189">
        <v>12500360</v>
      </c>
      <c r="K436" s="176"/>
    </row>
    <row r="437" spans="2:11" ht="15.75" customHeight="1">
      <c r="B437" s="131">
        <v>434</v>
      </c>
      <c r="C437" s="141"/>
      <c r="D437" s="141"/>
      <c r="E437" s="140"/>
      <c r="F437" s="133" t="str">
        <f t="shared" si="32"/>
        <v/>
      </c>
      <c r="G437" s="142" t="s">
        <v>1506</v>
      </c>
      <c r="H437" s="154" t="s">
        <v>1675</v>
      </c>
      <c r="I437" s="140"/>
      <c r="J437" s="189">
        <v>15000360</v>
      </c>
      <c r="K437" s="176"/>
    </row>
    <row r="438" spans="2:11" ht="15.75" customHeight="1">
      <c r="B438" s="131">
        <v>435</v>
      </c>
      <c r="C438" s="141"/>
      <c r="D438" s="141"/>
      <c r="E438" s="140"/>
      <c r="F438" s="133" t="str">
        <f t="shared" si="32"/>
        <v/>
      </c>
      <c r="G438" s="142" t="s">
        <v>1513</v>
      </c>
      <c r="H438" s="154" t="s">
        <v>1675</v>
      </c>
      <c r="I438" s="140"/>
      <c r="J438" s="189">
        <v>12500360</v>
      </c>
      <c r="K438" s="176"/>
    </row>
    <row r="439" spans="2:11" ht="15.75" customHeight="1">
      <c r="B439" s="131">
        <v>436</v>
      </c>
      <c r="C439" s="141"/>
      <c r="D439" s="141"/>
      <c r="E439" s="140"/>
      <c r="F439" s="133" t="str">
        <f t="shared" si="32"/>
        <v/>
      </c>
      <c r="G439" s="142" t="s">
        <v>1527</v>
      </c>
      <c r="H439" s="154" t="s">
        <v>1675</v>
      </c>
      <c r="I439" s="140"/>
      <c r="J439" s="189">
        <v>10000360</v>
      </c>
      <c r="K439" s="176"/>
    </row>
    <row r="440" spans="2:11" ht="15.75" customHeight="1">
      <c r="B440" s="131">
        <v>437</v>
      </c>
      <c r="C440" s="141"/>
      <c r="D440" s="141"/>
      <c r="E440" s="140"/>
      <c r="F440" s="133" t="str">
        <f t="shared" si="32"/>
        <v/>
      </c>
      <c r="G440" s="142" t="s">
        <v>1501</v>
      </c>
      <c r="H440" s="154" t="s">
        <v>1675</v>
      </c>
      <c r="I440" s="140"/>
      <c r="J440" s="189">
        <v>10000360</v>
      </c>
      <c r="K440" s="176"/>
    </row>
    <row r="441" spans="2:11" ht="15.75" customHeight="1">
      <c r="B441" s="131">
        <v>438</v>
      </c>
      <c r="C441" s="141"/>
      <c r="D441" s="141"/>
      <c r="E441" s="140"/>
      <c r="F441" s="133" t="str">
        <f t="shared" si="32"/>
        <v/>
      </c>
      <c r="G441" s="142" t="s">
        <v>1502</v>
      </c>
      <c r="H441" s="154" t="s">
        <v>1675</v>
      </c>
      <c r="I441" s="140"/>
      <c r="J441" s="189">
        <v>10000360</v>
      </c>
      <c r="K441" s="176"/>
    </row>
    <row r="442" spans="2:11" ht="15.75" customHeight="1">
      <c r="B442" s="131">
        <v>439</v>
      </c>
      <c r="C442" s="141"/>
      <c r="D442" s="141"/>
      <c r="E442" s="140"/>
      <c r="F442" s="133" t="str">
        <f t="shared" si="32"/>
        <v/>
      </c>
      <c r="G442" s="142" t="s">
        <v>1504</v>
      </c>
      <c r="H442" s="154" t="s">
        <v>1675</v>
      </c>
      <c r="I442" s="140"/>
      <c r="J442" s="189">
        <v>12500360</v>
      </c>
      <c r="K442" s="176"/>
    </row>
    <row r="443" spans="2:11" ht="15.75" customHeight="1">
      <c r="B443" s="131">
        <v>440</v>
      </c>
      <c r="C443" s="141"/>
      <c r="D443" s="141"/>
      <c r="E443" s="140"/>
      <c r="F443" s="133" t="str">
        <f t="shared" si="32"/>
        <v/>
      </c>
      <c r="G443" s="142" t="s">
        <v>1528</v>
      </c>
      <c r="H443" s="154" t="s">
        <v>1675</v>
      </c>
      <c r="I443" s="140"/>
      <c r="J443" s="189">
        <v>12500360</v>
      </c>
      <c r="K443" s="176"/>
    </row>
    <row r="444" spans="2:11" ht="15.75" customHeight="1">
      <c r="B444" s="131">
        <v>441</v>
      </c>
      <c r="C444" s="141"/>
      <c r="D444" s="141"/>
      <c r="E444" s="140"/>
      <c r="F444" s="133" t="str">
        <f t="shared" si="32"/>
        <v/>
      </c>
      <c r="G444" s="142" t="s">
        <v>1613</v>
      </c>
      <c r="H444" s="154" t="s">
        <v>1675</v>
      </c>
      <c r="I444" s="140"/>
      <c r="J444" s="189">
        <v>12500360</v>
      </c>
      <c r="K444" s="176"/>
    </row>
    <row r="445" spans="2:11" ht="15.75" customHeight="1">
      <c r="B445" s="131">
        <v>442</v>
      </c>
      <c r="C445" s="141"/>
      <c r="D445" s="141"/>
      <c r="E445" s="140"/>
      <c r="F445" s="133" t="str">
        <f t="shared" si="32"/>
        <v/>
      </c>
      <c r="G445" s="142" t="s">
        <v>1677</v>
      </c>
      <c r="H445" s="154" t="s">
        <v>1675</v>
      </c>
      <c r="I445" s="140"/>
      <c r="J445" s="189">
        <v>12500360</v>
      </c>
      <c r="K445" s="176"/>
    </row>
    <row r="446" spans="2:11" ht="15.75" customHeight="1">
      <c r="B446" s="131">
        <v>443</v>
      </c>
      <c r="C446" s="141"/>
      <c r="D446" s="141"/>
      <c r="E446" s="140"/>
      <c r="F446" s="133" t="str">
        <f t="shared" si="32"/>
        <v/>
      </c>
      <c r="G446" s="142" t="s">
        <v>1678</v>
      </c>
      <c r="H446" s="154" t="s">
        <v>1675</v>
      </c>
      <c r="I446" s="140"/>
      <c r="J446" s="189">
        <v>12500360</v>
      </c>
      <c r="K446" s="176"/>
    </row>
    <row r="447" spans="2:11" ht="15.75" customHeight="1">
      <c r="B447" s="131">
        <v>444</v>
      </c>
      <c r="C447" s="141"/>
      <c r="D447" s="141"/>
      <c r="E447" s="140"/>
      <c r="F447" s="133" t="str">
        <f t="shared" si="32"/>
        <v/>
      </c>
      <c r="G447" s="142" t="s">
        <v>1679</v>
      </c>
      <c r="H447" s="154" t="s">
        <v>1675</v>
      </c>
      <c r="I447" s="140"/>
      <c r="J447" s="189">
        <v>12500360</v>
      </c>
      <c r="K447" s="176"/>
    </row>
    <row r="448" spans="2:11" ht="15.75" customHeight="1">
      <c r="B448" s="131">
        <v>445</v>
      </c>
      <c r="C448" s="141"/>
      <c r="D448" s="141"/>
      <c r="E448" s="140"/>
      <c r="F448" s="133" t="str">
        <f t="shared" si="32"/>
        <v/>
      </c>
      <c r="G448" s="142" t="s">
        <v>1680</v>
      </c>
      <c r="H448" s="154" t="s">
        <v>1675</v>
      </c>
      <c r="I448" s="140"/>
      <c r="J448" s="189">
        <v>12500360</v>
      </c>
      <c r="K448" s="176"/>
    </row>
    <row r="449" spans="2:11" ht="15.75" customHeight="1">
      <c r="B449" s="131">
        <v>446</v>
      </c>
      <c r="C449" s="141"/>
      <c r="D449" s="141"/>
      <c r="E449" s="140"/>
      <c r="F449" s="133" t="str">
        <f t="shared" si="32"/>
        <v/>
      </c>
      <c r="G449" s="142" t="s">
        <v>1673</v>
      </c>
      <c r="H449" s="154" t="s">
        <v>1642</v>
      </c>
      <c r="I449" s="140"/>
      <c r="J449" s="189">
        <v>5002400</v>
      </c>
      <c r="K449" s="176"/>
    </row>
    <row r="450" spans="2:11" ht="15.75" customHeight="1">
      <c r="B450" s="131">
        <v>447</v>
      </c>
      <c r="C450" s="141"/>
      <c r="D450" s="141"/>
      <c r="E450" s="140" t="s">
        <v>14</v>
      </c>
      <c r="F450" s="133" t="str">
        <f t="shared" si="32"/>
        <v>هزینه کلی موسسه</v>
      </c>
      <c r="G450" s="142" t="s">
        <v>1604</v>
      </c>
      <c r="H450" s="154" t="s">
        <v>1642</v>
      </c>
      <c r="I450" s="140"/>
      <c r="J450" s="189">
        <v>40004000</v>
      </c>
      <c r="K450" s="176"/>
    </row>
    <row r="451" spans="2:11" ht="15.75" customHeight="1">
      <c r="B451" s="131">
        <v>448</v>
      </c>
      <c r="C451" s="141"/>
      <c r="D451" s="141"/>
      <c r="E451" s="140"/>
      <c r="F451" s="133" t="str">
        <f t="shared" si="32"/>
        <v/>
      </c>
      <c r="G451" s="142" t="s">
        <v>1681</v>
      </c>
      <c r="H451" s="154" t="s">
        <v>1646</v>
      </c>
      <c r="I451" s="140"/>
      <c r="J451" s="189">
        <v>12500360</v>
      </c>
      <c r="K451" s="176"/>
    </row>
    <row r="452" spans="2:11" ht="15.75" customHeight="1">
      <c r="B452" s="131">
        <v>449</v>
      </c>
      <c r="C452" s="141"/>
      <c r="D452" s="141"/>
      <c r="E452" s="140" t="s">
        <v>14</v>
      </c>
      <c r="F452" s="133" t="str">
        <f t="shared" si="32"/>
        <v>هزینه کلی موسسه</v>
      </c>
      <c r="G452" s="142" t="s">
        <v>1602</v>
      </c>
      <c r="H452" s="154" t="s">
        <v>1646</v>
      </c>
      <c r="I452" s="140"/>
      <c r="J452" s="189">
        <v>8002400</v>
      </c>
      <c r="K452" s="176"/>
    </row>
    <row r="453" spans="2:11" ht="15.75" customHeight="1">
      <c r="B453" s="131">
        <v>450</v>
      </c>
      <c r="C453" s="141"/>
      <c r="D453" s="141"/>
      <c r="E453" s="140"/>
      <c r="F453" s="133" t="str">
        <f t="shared" si="32"/>
        <v/>
      </c>
      <c r="G453" s="142" t="s">
        <v>1672</v>
      </c>
      <c r="H453" s="154" t="s">
        <v>1682</v>
      </c>
      <c r="I453" s="140"/>
      <c r="J453" s="189">
        <v>22500000</v>
      </c>
      <c r="K453" s="176"/>
    </row>
    <row r="454" spans="2:11" ht="15.75" customHeight="1">
      <c r="B454" s="131">
        <v>451</v>
      </c>
      <c r="C454" s="141"/>
      <c r="D454" s="141"/>
      <c r="E454" s="140" t="s">
        <v>14</v>
      </c>
      <c r="F454" s="133" t="str">
        <f t="shared" si="32"/>
        <v>هزینه کلی موسسه</v>
      </c>
      <c r="G454" s="142" t="s">
        <v>1683</v>
      </c>
      <c r="H454" s="154" t="s">
        <v>1684</v>
      </c>
      <c r="I454" s="140"/>
      <c r="J454" s="189">
        <v>2002400</v>
      </c>
      <c r="K454" s="176"/>
    </row>
    <row r="455" spans="2:11" ht="15.75" customHeight="1">
      <c r="B455" s="131">
        <v>452</v>
      </c>
      <c r="C455" s="141"/>
      <c r="D455" s="141"/>
      <c r="E455" s="140">
        <v>12</v>
      </c>
      <c r="F455" s="133" t="str">
        <f t="shared" si="32"/>
        <v>الهام صمدی</v>
      </c>
      <c r="G455" s="142" t="s">
        <v>1685</v>
      </c>
      <c r="H455" s="154" t="s">
        <v>1686</v>
      </c>
      <c r="I455" s="140"/>
      <c r="J455" s="189">
        <v>5002400</v>
      </c>
      <c r="K455" s="176"/>
    </row>
    <row r="456" spans="2:11" ht="15.75" customHeight="1">
      <c r="B456" s="131">
        <v>453</v>
      </c>
      <c r="C456" s="141"/>
      <c r="D456" s="141"/>
      <c r="E456" s="140" t="s">
        <v>14</v>
      </c>
      <c r="F456" s="133" t="str">
        <f t="shared" si="32"/>
        <v>هزینه کلی موسسه</v>
      </c>
      <c r="G456" s="142" t="s">
        <v>1687</v>
      </c>
      <c r="H456" s="154" t="s">
        <v>1686</v>
      </c>
      <c r="I456" s="140"/>
      <c r="J456" s="189">
        <v>1002400</v>
      </c>
      <c r="K456" s="176"/>
    </row>
    <row r="457" spans="2:11" ht="15.75" customHeight="1">
      <c r="B457" s="131">
        <v>454</v>
      </c>
      <c r="C457" s="141"/>
      <c r="D457" s="141"/>
      <c r="E457" s="140" t="s">
        <v>14</v>
      </c>
      <c r="F457" s="133" t="str">
        <f t="shared" si="32"/>
        <v>هزینه کلی موسسه</v>
      </c>
      <c r="G457" s="142" t="s">
        <v>1688</v>
      </c>
      <c r="H457" s="154" t="s">
        <v>1686</v>
      </c>
      <c r="I457" s="140"/>
      <c r="J457" s="189">
        <v>1232400</v>
      </c>
      <c r="K457" s="176"/>
    </row>
    <row r="458" spans="2:11" ht="15.75" customHeight="1">
      <c r="B458" s="131">
        <v>455</v>
      </c>
      <c r="C458" s="141"/>
      <c r="D458" s="141"/>
      <c r="E458" s="140"/>
      <c r="F458" s="133" t="str">
        <f t="shared" si="32"/>
        <v/>
      </c>
      <c r="G458" s="142" t="s">
        <v>1509</v>
      </c>
      <c r="H458" s="154" t="s">
        <v>1686</v>
      </c>
      <c r="I458" s="140"/>
      <c r="J458" s="189">
        <v>12500360</v>
      </c>
      <c r="K458" s="176"/>
    </row>
    <row r="459" spans="2:11" ht="15.75" customHeight="1">
      <c r="B459" s="131">
        <v>456</v>
      </c>
      <c r="C459" s="141"/>
      <c r="D459" s="141"/>
      <c r="E459" s="140"/>
      <c r="F459" s="133" t="str">
        <f t="shared" si="32"/>
        <v/>
      </c>
      <c r="G459" s="142" t="s">
        <v>1525</v>
      </c>
      <c r="H459" s="154" t="s">
        <v>1686</v>
      </c>
      <c r="I459" s="140"/>
      <c r="J459" s="189">
        <v>10000360</v>
      </c>
      <c r="K459" s="176"/>
    </row>
    <row r="460" spans="2:11" ht="15.75" customHeight="1">
      <c r="B460" s="131">
        <v>457</v>
      </c>
      <c r="C460" s="141"/>
      <c r="D460" s="141"/>
      <c r="E460" s="140"/>
      <c r="F460" s="133" t="str">
        <f t="shared" si="32"/>
        <v/>
      </c>
      <c r="G460" s="142" t="s">
        <v>1526</v>
      </c>
      <c r="H460" s="154" t="s">
        <v>1686</v>
      </c>
      <c r="I460" s="140"/>
      <c r="J460" s="189">
        <v>10000360</v>
      </c>
      <c r="K460" s="176"/>
    </row>
    <row r="461" spans="2:11" ht="15.75" customHeight="1">
      <c r="B461" s="131">
        <v>458</v>
      </c>
      <c r="C461" s="141"/>
      <c r="D461" s="141"/>
      <c r="E461" s="140"/>
      <c r="F461" s="133" t="str">
        <f t="shared" si="32"/>
        <v/>
      </c>
      <c r="G461" s="142" t="s">
        <v>1510</v>
      </c>
      <c r="H461" s="154" t="s">
        <v>1686</v>
      </c>
      <c r="I461" s="140"/>
      <c r="J461" s="189">
        <v>15000360</v>
      </c>
      <c r="K461" s="176"/>
    </row>
    <row r="462" spans="2:11" ht="15.75" customHeight="1">
      <c r="B462" s="131">
        <v>459</v>
      </c>
      <c r="C462" s="141"/>
      <c r="D462" s="141"/>
      <c r="E462" s="140"/>
      <c r="F462" s="133" t="str">
        <f t="shared" si="32"/>
        <v/>
      </c>
      <c r="G462" s="142" t="s">
        <v>1503</v>
      </c>
      <c r="H462" s="154" t="s">
        <v>1686</v>
      </c>
      <c r="I462" s="140"/>
      <c r="J462" s="189">
        <v>15000360</v>
      </c>
      <c r="K462" s="176"/>
    </row>
    <row r="463" spans="2:11" ht="15.75" customHeight="1">
      <c r="B463" s="131">
        <v>460</v>
      </c>
      <c r="C463" s="141"/>
      <c r="D463" s="141"/>
      <c r="E463" s="140"/>
      <c r="F463" s="133" t="str">
        <f t="shared" si="32"/>
        <v/>
      </c>
      <c r="G463" s="142" t="s">
        <v>1512</v>
      </c>
      <c r="H463" s="154" t="s">
        <v>1686</v>
      </c>
      <c r="I463" s="140"/>
      <c r="J463" s="189">
        <v>10000360</v>
      </c>
      <c r="K463" s="176"/>
    </row>
    <row r="464" spans="2:11" ht="15.75" customHeight="1">
      <c r="B464" s="131">
        <v>461</v>
      </c>
      <c r="C464" s="141"/>
      <c r="D464" s="141"/>
      <c r="E464" s="140"/>
      <c r="F464" s="133" t="str">
        <f t="shared" si="32"/>
        <v/>
      </c>
      <c r="G464" s="142" t="s">
        <v>1505</v>
      </c>
      <c r="H464" s="154" t="s">
        <v>1686</v>
      </c>
      <c r="I464" s="140"/>
      <c r="J464" s="189">
        <v>10000360</v>
      </c>
      <c r="K464" s="176"/>
    </row>
    <row r="465" spans="2:11" ht="15.75" customHeight="1">
      <c r="B465" s="131">
        <v>462</v>
      </c>
      <c r="C465" s="141"/>
      <c r="D465" s="141"/>
      <c r="E465" s="140"/>
      <c r="F465" s="133" t="str">
        <f t="shared" si="32"/>
        <v/>
      </c>
      <c r="G465" s="142" t="s">
        <v>1507</v>
      </c>
      <c r="H465" s="154" t="s">
        <v>1686</v>
      </c>
      <c r="I465" s="140"/>
      <c r="J465" s="189">
        <v>12500360</v>
      </c>
      <c r="K465" s="176"/>
    </row>
    <row r="466" spans="2:11" ht="15.75" customHeight="1">
      <c r="B466" s="131">
        <v>463</v>
      </c>
      <c r="C466" s="141"/>
      <c r="D466" s="141"/>
      <c r="E466" s="140"/>
      <c r="F466" s="133" t="str">
        <f t="shared" si="32"/>
        <v/>
      </c>
      <c r="G466" s="142" t="s">
        <v>1506</v>
      </c>
      <c r="H466" s="154" t="s">
        <v>1686</v>
      </c>
      <c r="I466" s="140"/>
      <c r="J466" s="189">
        <v>15000360</v>
      </c>
      <c r="K466" s="176"/>
    </row>
    <row r="467" spans="2:11" ht="15.75" customHeight="1">
      <c r="B467" s="131">
        <v>464</v>
      </c>
      <c r="C467" s="141"/>
      <c r="D467" s="141"/>
      <c r="E467" s="140"/>
      <c r="F467" s="133" t="str">
        <f t="shared" si="32"/>
        <v/>
      </c>
      <c r="G467" s="142" t="s">
        <v>1513</v>
      </c>
      <c r="H467" s="154" t="s">
        <v>1686</v>
      </c>
      <c r="I467" s="140"/>
      <c r="J467" s="189">
        <v>12500360</v>
      </c>
      <c r="K467" s="176"/>
    </row>
    <row r="468" spans="2:11" ht="15.75" customHeight="1">
      <c r="B468" s="131">
        <v>465</v>
      </c>
      <c r="C468" s="141"/>
      <c r="D468" s="141"/>
      <c r="E468" s="140"/>
      <c r="F468" s="133" t="str">
        <f t="shared" si="32"/>
        <v/>
      </c>
      <c r="G468" s="142" t="s">
        <v>1527</v>
      </c>
      <c r="H468" s="154" t="s">
        <v>1686</v>
      </c>
      <c r="I468" s="140"/>
      <c r="J468" s="189">
        <v>10000360</v>
      </c>
      <c r="K468" s="176"/>
    </row>
    <row r="469" spans="2:11" ht="15.75" customHeight="1">
      <c r="B469" s="131">
        <v>466</v>
      </c>
      <c r="C469" s="141"/>
      <c r="D469" s="141"/>
      <c r="E469" s="140"/>
      <c r="F469" s="133" t="str">
        <f t="shared" si="32"/>
        <v/>
      </c>
      <c r="G469" s="142" t="s">
        <v>1501</v>
      </c>
      <c r="H469" s="154" t="s">
        <v>1686</v>
      </c>
      <c r="I469" s="140"/>
      <c r="J469" s="189">
        <v>10000360</v>
      </c>
      <c r="K469" s="176"/>
    </row>
    <row r="470" spans="2:11" ht="15.75" customHeight="1">
      <c r="B470" s="131">
        <v>467</v>
      </c>
      <c r="C470" s="141"/>
      <c r="D470" s="141"/>
      <c r="E470" s="140"/>
      <c r="F470" s="133" t="str">
        <f t="shared" si="32"/>
        <v/>
      </c>
      <c r="G470" s="142" t="s">
        <v>1502</v>
      </c>
      <c r="H470" s="154" t="s">
        <v>1686</v>
      </c>
      <c r="I470" s="140"/>
      <c r="J470" s="189">
        <v>10000360</v>
      </c>
      <c r="K470" s="176"/>
    </row>
    <row r="471" spans="2:11" ht="15.75" customHeight="1">
      <c r="B471" s="131">
        <v>468</v>
      </c>
      <c r="C471" s="141"/>
      <c r="D471" s="141"/>
      <c r="E471" s="140"/>
      <c r="F471" s="133" t="str">
        <f t="shared" si="32"/>
        <v/>
      </c>
      <c r="G471" s="142" t="s">
        <v>1504</v>
      </c>
      <c r="H471" s="154" t="s">
        <v>1686</v>
      </c>
      <c r="I471" s="140"/>
      <c r="J471" s="189">
        <v>12500360</v>
      </c>
      <c r="K471" s="176"/>
    </row>
    <row r="472" spans="2:11" ht="15.75" customHeight="1">
      <c r="B472" s="131">
        <v>469</v>
      </c>
      <c r="C472" s="141"/>
      <c r="D472" s="141"/>
      <c r="E472" s="140"/>
      <c r="F472" s="133" t="str">
        <f t="shared" si="32"/>
        <v/>
      </c>
      <c r="G472" s="142" t="s">
        <v>1528</v>
      </c>
      <c r="H472" s="154" t="s">
        <v>1686</v>
      </c>
      <c r="I472" s="140"/>
      <c r="J472" s="189">
        <v>12500360</v>
      </c>
      <c r="K472" s="176"/>
    </row>
    <row r="473" spans="2:11" ht="15.75" customHeight="1">
      <c r="B473" s="131">
        <v>470</v>
      </c>
      <c r="C473" s="141"/>
      <c r="D473" s="141"/>
      <c r="E473" s="140"/>
      <c r="F473" s="133" t="str">
        <f t="shared" si="32"/>
        <v/>
      </c>
      <c r="G473" s="142" t="s">
        <v>1613</v>
      </c>
      <c r="H473" s="154" t="s">
        <v>1686</v>
      </c>
      <c r="I473" s="140"/>
      <c r="J473" s="189">
        <v>12500360</v>
      </c>
      <c r="K473" s="176"/>
    </row>
    <row r="474" spans="2:11" ht="15.75" customHeight="1">
      <c r="B474" s="131">
        <v>471</v>
      </c>
      <c r="C474" s="141"/>
      <c r="D474" s="141"/>
      <c r="E474" s="140"/>
      <c r="F474" s="133" t="str">
        <f t="shared" si="32"/>
        <v/>
      </c>
      <c r="G474" s="142" t="s">
        <v>1677</v>
      </c>
      <c r="H474" s="154" t="s">
        <v>1686</v>
      </c>
      <c r="I474" s="140"/>
      <c r="J474" s="189">
        <v>12500360</v>
      </c>
      <c r="K474" s="176"/>
    </row>
    <row r="475" spans="2:11" ht="15.75" customHeight="1">
      <c r="B475" s="131">
        <v>472</v>
      </c>
      <c r="C475" s="141"/>
      <c r="D475" s="141"/>
      <c r="E475" s="140"/>
      <c r="F475" s="133" t="str">
        <f t="shared" si="32"/>
        <v/>
      </c>
      <c r="G475" s="142" t="s">
        <v>1678</v>
      </c>
      <c r="H475" s="154" t="s">
        <v>1686</v>
      </c>
      <c r="I475" s="140"/>
      <c r="J475" s="189">
        <v>12500360</v>
      </c>
      <c r="K475" s="176"/>
    </row>
    <row r="476" spans="2:11" ht="15.75" customHeight="1">
      <c r="B476" s="131">
        <v>473</v>
      </c>
      <c r="C476" s="141"/>
      <c r="D476" s="141"/>
      <c r="E476" s="140"/>
      <c r="F476" s="133" t="str">
        <f t="shared" si="32"/>
        <v/>
      </c>
      <c r="G476" s="142" t="s">
        <v>1679</v>
      </c>
      <c r="H476" s="154" t="s">
        <v>1686</v>
      </c>
      <c r="I476" s="140"/>
      <c r="J476" s="189">
        <v>12500360</v>
      </c>
      <c r="K476" s="176"/>
    </row>
    <row r="477" spans="2:11" ht="15.75" customHeight="1">
      <c r="B477" s="131">
        <v>474</v>
      </c>
      <c r="C477" s="141"/>
      <c r="D477" s="141"/>
      <c r="E477" s="140"/>
      <c r="F477" s="133" t="str">
        <f t="shared" si="32"/>
        <v/>
      </c>
      <c r="G477" s="142" t="s">
        <v>1680</v>
      </c>
      <c r="H477" s="154" t="s">
        <v>1686</v>
      </c>
      <c r="I477" s="140"/>
      <c r="J477" s="189">
        <v>12500360</v>
      </c>
      <c r="K477" s="176"/>
    </row>
    <row r="478" spans="2:11" ht="15.75" customHeight="1">
      <c r="B478" s="131">
        <v>475</v>
      </c>
      <c r="C478" s="141"/>
      <c r="D478" s="141"/>
      <c r="E478" s="140"/>
      <c r="F478" s="133" t="str">
        <f t="shared" si="32"/>
        <v/>
      </c>
      <c r="G478" s="142" t="s">
        <v>1681</v>
      </c>
      <c r="H478" s="154" t="s">
        <v>1686</v>
      </c>
      <c r="I478" s="140"/>
      <c r="J478" s="189">
        <v>12500360</v>
      </c>
      <c r="K478" s="176"/>
    </row>
    <row r="479" spans="2:11" ht="15.75" customHeight="1">
      <c r="B479" s="131">
        <v>476</v>
      </c>
      <c r="C479" s="141"/>
      <c r="D479" s="141"/>
      <c r="E479" s="140" t="s">
        <v>14</v>
      </c>
      <c r="F479" s="133" t="str">
        <f t="shared" si="32"/>
        <v>هزینه کلی موسسه</v>
      </c>
      <c r="G479" s="142" t="s">
        <v>1602</v>
      </c>
      <c r="H479" s="154" t="s">
        <v>1704</v>
      </c>
      <c r="I479" s="140"/>
      <c r="J479" s="189">
        <v>8002400</v>
      </c>
      <c r="K479" s="176"/>
    </row>
    <row r="480" spans="2:11" ht="15.75" customHeight="1">
      <c r="B480" s="131">
        <v>477</v>
      </c>
      <c r="C480" s="141"/>
      <c r="D480" s="141"/>
      <c r="E480" s="140"/>
      <c r="F480" s="133" t="str">
        <f t="shared" si="32"/>
        <v/>
      </c>
      <c r="G480" s="142" t="s">
        <v>1673</v>
      </c>
      <c r="H480" s="154" t="s">
        <v>1704</v>
      </c>
      <c r="I480" s="140"/>
      <c r="J480" s="189">
        <v>5002400</v>
      </c>
      <c r="K480" s="176"/>
    </row>
    <row r="481" spans="2:11" ht="15.75" customHeight="1">
      <c r="B481" s="131">
        <v>478</v>
      </c>
      <c r="C481" s="141"/>
      <c r="D481" s="141"/>
      <c r="E481" s="140" t="s">
        <v>14</v>
      </c>
      <c r="F481" s="133" t="str">
        <f t="shared" si="32"/>
        <v>هزینه کلی موسسه</v>
      </c>
      <c r="G481" s="142" t="s">
        <v>1604</v>
      </c>
      <c r="H481" s="154" t="s">
        <v>1704</v>
      </c>
      <c r="I481" s="140"/>
      <c r="J481" s="189">
        <v>40004000</v>
      </c>
      <c r="K481" s="176"/>
    </row>
    <row r="482" spans="2:11" ht="15.75" customHeight="1">
      <c r="B482" s="131">
        <v>479</v>
      </c>
      <c r="C482" s="141"/>
      <c r="D482" s="141"/>
      <c r="E482" s="140"/>
      <c r="F482" s="133" t="str">
        <f t="shared" si="32"/>
        <v/>
      </c>
      <c r="G482" s="142" t="s">
        <v>1672</v>
      </c>
      <c r="H482" s="154" t="s">
        <v>1717</v>
      </c>
      <c r="I482" s="140"/>
      <c r="J482" s="189">
        <v>22500000</v>
      </c>
      <c r="K482" s="176"/>
    </row>
    <row r="483" spans="2:11" ht="15.75" customHeight="1">
      <c r="B483" s="131">
        <v>480</v>
      </c>
      <c r="C483" s="141"/>
      <c r="D483" s="141"/>
      <c r="E483" s="140"/>
      <c r="F483" s="133" t="str">
        <f t="shared" si="32"/>
        <v/>
      </c>
      <c r="G483" s="142" t="s">
        <v>1672</v>
      </c>
      <c r="H483" s="154" t="s">
        <v>1717</v>
      </c>
      <c r="I483" s="140"/>
      <c r="J483" s="189">
        <v>22500000</v>
      </c>
      <c r="K483" s="176"/>
    </row>
    <row r="484" spans="2:11" ht="15.75" customHeight="1">
      <c r="B484" s="131">
        <v>481</v>
      </c>
      <c r="C484" s="141"/>
      <c r="D484" s="141"/>
      <c r="E484" s="140" t="s">
        <v>14</v>
      </c>
      <c r="F484" s="133" t="str">
        <f t="shared" si="32"/>
        <v>هزینه کلی موسسه</v>
      </c>
      <c r="G484" s="142" t="s">
        <v>1718</v>
      </c>
      <c r="H484" s="154"/>
      <c r="I484" s="140"/>
      <c r="J484" s="189">
        <v>2350000</v>
      </c>
      <c r="K484" s="176"/>
    </row>
    <row r="485" spans="2:11" ht="15.75" customHeight="1">
      <c r="B485" s="131">
        <v>482</v>
      </c>
      <c r="C485" s="141"/>
      <c r="D485" s="141"/>
      <c r="E485" s="140">
        <v>12</v>
      </c>
      <c r="F485" s="133" t="str">
        <f t="shared" ref="F485:F490" si="33">IF(E485="","",HLOOKUP(E485,etela,2,0))</f>
        <v>الهام صمدی</v>
      </c>
      <c r="G485" s="142" t="s">
        <v>1685</v>
      </c>
      <c r="H485" s="154" t="s">
        <v>1722</v>
      </c>
      <c r="I485" s="140"/>
      <c r="J485" s="189">
        <v>5002400</v>
      </c>
      <c r="K485" s="176"/>
    </row>
    <row r="486" spans="2:11" ht="15.75" customHeight="1">
      <c r="B486" s="131">
        <v>483</v>
      </c>
      <c r="C486" s="141"/>
      <c r="D486" s="141"/>
      <c r="E486" s="140"/>
      <c r="F486" s="133" t="str">
        <f t="shared" si="33"/>
        <v/>
      </c>
      <c r="G486" s="142" t="s">
        <v>1723</v>
      </c>
      <c r="H486" s="154" t="s">
        <v>1722</v>
      </c>
      <c r="I486" s="140"/>
      <c r="J486" s="189">
        <v>18769400</v>
      </c>
      <c r="K486" s="176"/>
    </row>
    <row r="487" spans="2:11" ht="15.75" customHeight="1">
      <c r="B487" s="131">
        <v>484</v>
      </c>
      <c r="C487" s="141"/>
      <c r="D487" s="141"/>
      <c r="E487" s="140"/>
      <c r="F487" s="133" t="str">
        <f t="shared" si="33"/>
        <v/>
      </c>
      <c r="G487" s="142" t="s">
        <v>1509</v>
      </c>
      <c r="H487" s="154" t="s">
        <v>1725</v>
      </c>
      <c r="I487" s="140"/>
      <c r="J487" s="189">
        <v>12500360</v>
      </c>
      <c r="K487" s="176"/>
    </row>
    <row r="488" spans="2:11" ht="15.75" customHeight="1">
      <c r="B488" s="131">
        <v>485</v>
      </c>
      <c r="C488" s="141"/>
      <c r="D488" s="141"/>
      <c r="E488" s="140"/>
      <c r="F488" s="133" t="str">
        <f t="shared" si="33"/>
        <v/>
      </c>
      <c r="G488" s="142" t="s">
        <v>1525</v>
      </c>
      <c r="H488" s="154" t="s">
        <v>1725</v>
      </c>
      <c r="I488" s="140"/>
      <c r="J488" s="189">
        <v>10000360</v>
      </c>
      <c r="K488" s="176"/>
    </row>
    <row r="489" spans="2:11" ht="15.75" customHeight="1">
      <c r="B489" s="131">
        <v>486</v>
      </c>
      <c r="C489" s="141"/>
      <c r="D489" s="141"/>
      <c r="E489" s="140"/>
      <c r="F489" s="133" t="str">
        <f t="shared" si="33"/>
        <v/>
      </c>
      <c r="G489" s="142" t="s">
        <v>1526</v>
      </c>
      <c r="H489" s="154" t="s">
        <v>1725</v>
      </c>
      <c r="I489" s="140"/>
      <c r="J489" s="189">
        <v>10000360</v>
      </c>
      <c r="K489" s="176"/>
    </row>
    <row r="490" spans="2:11" ht="15.75" customHeight="1">
      <c r="B490" s="131">
        <v>487</v>
      </c>
      <c r="C490" s="141"/>
      <c r="D490" s="141"/>
      <c r="E490" s="140"/>
      <c r="F490" s="133" t="str">
        <f t="shared" si="33"/>
        <v/>
      </c>
      <c r="G490" s="142" t="s">
        <v>1510</v>
      </c>
      <c r="H490" s="154" t="s">
        <v>1725</v>
      </c>
      <c r="I490" s="140"/>
      <c r="J490" s="189">
        <v>15000360</v>
      </c>
      <c r="K490" s="176"/>
    </row>
    <row r="491" spans="2:11" ht="15.75" customHeight="1">
      <c r="B491" s="131">
        <v>488</v>
      </c>
      <c r="C491" s="141"/>
      <c r="D491" s="141"/>
      <c r="E491" s="140"/>
      <c r="F491" s="133" t="str">
        <f t="shared" ref="F491:F554" si="34">IF(E491="","",HLOOKUP(E491,etela,2,0))</f>
        <v/>
      </c>
      <c r="G491" s="142" t="s">
        <v>1503</v>
      </c>
      <c r="H491" s="154" t="s">
        <v>1725</v>
      </c>
      <c r="I491" s="140"/>
      <c r="J491" s="189">
        <v>15000360</v>
      </c>
      <c r="K491" s="176"/>
    </row>
    <row r="492" spans="2:11" ht="15.75" customHeight="1">
      <c r="B492" s="131">
        <v>489</v>
      </c>
      <c r="C492" s="141"/>
      <c r="D492" s="141"/>
      <c r="E492" s="140"/>
      <c r="F492" s="133" t="str">
        <f t="shared" si="34"/>
        <v/>
      </c>
      <c r="G492" s="142" t="s">
        <v>1512</v>
      </c>
      <c r="H492" s="154" t="s">
        <v>1725</v>
      </c>
      <c r="I492" s="140"/>
      <c r="J492" s="189">
        <v>10000360</v>
      </c>
      <c r="K492" s="176"/>
    </row>
    <row r="493" spans="2:11" ht="15.75" customHeight="1">
      <c r="B493" s="131">
        <v>490</v>
      </c>
      <c r="C493" s="141"/>
      <c r="D493" s="141"/>
      <c r="E493" s="140"/>
      <c r="F493" s="133" t="str">
        <f t="shared" si="34"/>
        <v/>
      </c>
      <c r="G493" s="142" t="s">
        <v>1505</v>
      </c>
      <c r="H493" s="154" t="s">
        <v>1725</v>
      </c>
      <c r="I493" s="140"/>
      <c r="J493" s="189">
        <v>10000360</v>
      </c>
      <c r="K493" s="176"/>
    </row>
    <row r="494" spans="2:11" ht="15.75" customHeight="1">
      <c r="B494" s="131">
        <v>491</v>
      </c>
      <c r="C494" s="141"/>
      <c r="D494" s="141"/>
      <c r="E494" s="140"/>
      <c r="F494" s="133" t="str">
        <f t="shared" si="34"/>
        <v/>
      </c>
      <c r="G494" s="142" t="s">
        <v>1507</v>
      </c>
      <c r="H494" s="154" t="s">
        <v>1725</v>
      </c>
      <c r="I494" s="140"/>
      <c r="J494" s="189">
        <v>12500360</v>
      </c>
      <c r="K494" s="176"/>
    </row>
    <row r="495" spans="2:11" ht="15.75" customHeight="1">
      <c r="B495" s="131">
        <v>492</v>
      </c>
      <c r="C495" s="141"/>
      <c r="D495" s="141"/>
      <c r="E495" s="140"/>
      <c r="F495" s="133" t="str">
        <f t="shared" si="34"/>
        <v/>
      </c>
      <c r="G495" s="142" t="s">
        <v>1506</v>
      </c>
      <c r="H495" s="154" t="s">
        <v>1725</v>
      </c>
      <c r="I495" s="140"/>
      <c r="J495" s="189">
        <v>15000360</v>
      </c>
      <c r="K495" s="176"/>
    </row>
    <row r="496" spans="2:11" ht="15.75" customHeight="1">
      <c r="B496" s="131">
        <v>493</v>
      </c>
      <c r="C496" s="141"/>
      <c r="D496" s="141"/>
      <c r="E496" s="140"/>
      <c r="F496" s="133" t="str">
        <f t="shared" si="34"/>
        <v/>
      </c>
      <c r="G496" s="142" t="s">
        <v>1513</v>
      </c>
      <c r="H496" s="154" t="s">
        <v>1725</v>
      </c>
      <c r="I496" s="140"/>
      <c r="J496" s="189">
        <v>12500360</v>
      </c>
      <c r="K496" s="176"/>
    </row>
    <row r="497" spans="2:11" ht="15.75" customHeight="1">
      <c r="B497" s="131">
        <v>494</v>
      </c>
      <c r="C497" s="141"/>
      <c r="D497" s="141"/>
      <c r="E497" s="140"/>
      <c r="F497" s="133" t="str">
        <f t="shared" si="34"/>
        <v/>
      </c>
      <c r="G497" s="142" t="s">
        <v>1527</v>
      </c>
      <c r="H497" s="154" t="s">
        <v>1725</v>
      </c>
      <c r="I497" s="140"/>
      <c r="J497" s="189">
        <v>10000360</v>
      </c>
      <c r="K497" s="176"/>
    </row>
    <row r="498" spans="2:11" ht="15.75" customHeight="1">
      <c r="B498" s="131">
        <v>495</v>
      </c>
      <c r="C498" s="141"/>
      <c r="D498" s="141"/>
      <c r="E498" s="140"/>
      <c r="F498" s="133" t="str">
        <f t="shared" si="34"/>
        <v/>
      </c>
      <c r="G498" s="142" t="s">
        <v>1501</v>
      </c>
      <c r="H498" s="154" t="s">
        <v>1725</v>
      </c>
      <c r="I498" s="140"/>
      <c r="J498" s="189">
        <v>10000360</v>
      </c>
      <c r="K498" s="176"/>
    </row>
    <row r="499" spans="2:11" ht="15.75" customHeight="1">
      <c r="B499" s="131">
        <v>496</v>
      </c>
      <c r="C499" s="141"/>
      <c r="D499" s="141"/>
      <c r="E499" s="140"/>
      <c r="F499" s="133" t="str">
        <f t="shared" si="34"/>
        <v/>
      </c>
      <c r="G499" s="142" t="s">
        <v>1502</v>
      </c>
      <c r="H499" s="154" t="s">
        <v>1725</v>
      </c>
      <c r="I499" s="140"/>
      <c r="J499" s="189">
        <v>10000360</v>
      </c>
      <c r="K499" s="176"/>
    </row>
    <row r="500" spans="2:11" ht="15.75" customHeight="1">
      <c r="B500" s="131">
        <v>497</v>
      </c>
      <c r="C500" s="141"/>
      <c r="D500" s="141"/>
      <c r="E500" s="140"/>
      <c r="F500" s="133" t="str">
        <f t="shared" si="34"/>
        <v/>
      </c>
      <c r="G500" s="142" t="s">
        <v>1504</v>
      </c>
      <c r="H500" s="154" t="s">
        <v>1725</v>
      </c>
      <c r="I500" s="140"/>
      <c r="J500" s="189">
        <v>12500360</v>
      </c>
      <c r="K500" s="176"/>
    </row>
    <row r="501" spans="2:11" ht="15.75" customHeight="1">
      <c r="B501" s="131">
        <v>498</v>
      </c>
      <c r="C501" s="141"/>
      <c r="D501" s="141"/>
      <c r="E501" s="140"/>
      <c r="F501" s="133" t="str">
        <f t="shared" si="34"/>
        <v/>
      </c>
      <c r="G501" s="142" t="s">
        <v>1528</v>
      </c>
      <c r="H501" s="154" t="s">
        <v>1725</v>
      </c>
      <c r="I501" s="140"/>
      <c r="J501" s="189">
        <v>12500360</v>
      </c>
      <c r="K501" s="176"/>
    </row>
    <row r="502" spans="2:11" ht="15.75" customHeight="1">
      <c r="B502" s="131">
        <v>499</v>
      </c>
      <c r="C502" s="141"/>
      <c r="D502" s="141"/>
      <c r="E502" s="140"/>
      <c r="F502" s="133" t="str">
        <f t="shared" si="34"/>
        <v/>
      </c>
      <c r="G502" s="142" t="s">
        <v>1613</v>
      </c>
      <c r="H502" s="154" t="s">
        <v>1725</v>
      </c>
      <c r="I502" s="140"/>
      <c r="J502" s="189">
        <v>12500360</v>
      </c>
      <c r="K502" s="176"/>
    </row>
    <row r="503" spans="2:11" ht="15.75" customHeight="1">
      <c r="B503" s="131">
        <v>500</v>
      </c>
      <c r="C503" s="141"/>
      <c r="D503" s="141"/>
      <c r="E503" s="140"/>
      <c r="F503" s="133" t="str">
        <f t="shared" si="34"/>
        <v/>
      </c>
      <c r="G503" s="142" t="s">
        <v>1681</v>
      </c>
      <c r="H503" s="154" t="s">
        <v>1725</v>
      </c>
      <c r="I503" s="140"/>
      <c r="J503" s="189">
        <v>12500360</v>
      </c>
      <c r="K503" s="176"/>
    </row>
    <row r="504" spans="2:11" ht="15.75" customHeight="1">
      <c r="B504" s="131">
        <v>501</v>
      </c>
      <c r="C504" s="141"/>
      <c r="D504" s="141"/>
      <c r="E504" s="140"/>
      <c r="F504" s="133" t="str">
        <f t="shared" si="34"/>
        <v/>
      </c>
      <c r="G504" s="142" t="s">
        <v>1680</v>
      </c>
      <c r="H504" s="154" t="s">
        <v>1725</v>
      </c>
      <c r="I504" s="140"/>
      <c r="J504" s="189">
        <v>12500360</v>
      </c>
      <c r="K504" s="176"/>
    </row>
    <row r="505" spans="2:11" ht="15.75" customHeight="1">
      <c r="B505" s="131">
        <v>502</v>
      </c>
      <c r="C505" s="141"/>
      <c r="D505" s="141"/>
      <c r="E505" s="140"/>
      <c r="F505" s="133" t="str">
        <f t="shared" si="34"/>
        <v/>
      </c>
      <c r="G505" s="142" t="s">
        <v>1679</v>
      </c>
      <c r="H505" s="154" t="s">
        <v>1725</v>
      </c>
      <c r="I505" s="140"/>
      <c r="J505" s="189">
        <v>12500360</v>
      </c>
      <c r="K505" s="176"/>
    </row>
    <row r="506" spans="2:11" ht="15.75" customHeight="1">
      <c r="B506" s="131">
        <v>503</v>
      </c>
      <c r="C506" s="141"/>
      <c r="D506" s="141"/>
      <c r="E506" s="140"/>
      <c r="F506" s="133" t="str">
        <f t="shared" si="34"/>
        <v/>
      </c>
      <c r="G506" s="142" t="s">
        <v>1678</v>
      </c>
      <c r="H506" s="154" t="s">
        <v>1725</v>
      </c>
      <c r="I506" s="140"/>
      <c r="J506" s="189">
        <v>12500360</v>
      </c>
      <c r="K506" s="176"/>
    </row>
    <row r="507" spans="2:11" ht="15.75" customHeight="1">
      <c r="B507" s="131">
        <v>504</v>
      </c>
      <c r="C507" s="141"/>
      <c r="D507" s="141"/>
      <c r="E507" s="140"/>
      <c r="F507" s="133" t="str">
        <f t="shared" si="34"/>
        <v/>
      </c>
      <c r="G507" s="142" t="s">
        <v>1677</v>
      </c>
      <c r="H507" s="154" t="s">
        <v>1725</v>
      </c>
      <c r="I507" s="140"/>
      <c r="J507" s="189">
        <v>12500360</v>
      </c>
      <c r="K507" s="176"/>
    </row>
    <row r="508" spans="2:11" ht="15.75" customHeight="1">
      <c r="B508" s="131">
        <v>505</v>
      </c>
      <c r="C508" s="141"/>
      <c r="D508" s="141"/>
      <c r="E508" s="140" t="s">
        <v>14</v>
      </c>
      <c r="F508" s="133" t="str">
        <f t="shared" si="34"/>
        <v>هزینه کلی موسسه</v>
      </c>
      <c r="G508" s="142" t="s">
        <v>1666</v>
      </c>
      <c r="H508" s="154" t="s">
        <v>1725</v>
      </c>
      <c r="I508" s="140"/>
      <c r="J508" s="189">
        <v>2502400</v>
      </c>
      <c r="K508" s="176"/>
    </row>
    <row r="509" spans="2:11" ht="15.75" customHeight="1">
      <c r="B509" s="131">
        <v>506</v>
      </c>
      <c r="C509" s="141"/>
      <c r="D509" s="141"/>
      <c r="E509" s="140"/>
      <c r="F509" s="133" t="str">
        <f t="shared" si="34"/>
        <v/>
      </c>
      <c r="G509" s="142"/>
      <c r="H509" s="154"/>
      <c r="I509" s="140"/>
      <c r="J509" s="189"/>
      <c r="K509" s="176"/>
    </row>
    <row r="510" spans="2:11" ht="15.75" customHeight="1">
      <c r="B510" s="131">
        <v>507</v>
      </c>
      <c r="C510" s="141"/>
      <c r="D510" s="141"/>
      <c r="E510" s="140"/>
      <c r="F510" s="133" t="str">
        <f t="shared" si="34"/>
        <v/>
      </c>
      <c r="G510" s="142"/>
      <c r="H510" s="154"/>
      <c r="I510" s="140"/>
      <c r="J510" s="189"/>
      <c r="K510" s="176"/>
    </row>
    <row r="511" spans="2:11" ht="15.75" customHeight="1">
      <c r="B511" s="131">
        <v>508</v>
      </c>
      <c r="C511" s="141"/>
      <c r="D511" s="141"/>
      <c r="E511" s="140"/>
      <c r="F511" s="133" t="str">
        <f t="shared" si="34"/>
        <v/>
      </c>
      <c r="G511" s="142"/>
      <c r="H511" s="154"/>
      <c r="I511" s="140"/>
      <c r="J511" s="189"/>
      <c r="K511" s="176"/>
    </row>
    <row r="512" spans="2:11" ht="15.75" customHeight="1">
      <c r="B512" s="131">
        <v>509</v>
      </c>
      <c r="C512" s="141"/>
      <c r="D512" s="141"/>
      <c r="E512" s="140"/>
      <c r="F512" s="133" t="str">
        <f t="shared" si="34"/>
        <v/>
      </c>
      <c r="G512" s="142"/>
      <c r="H512" s="154"/>
      <c r="I512" s="140"/>
      <c r="J512" s="189"/>
      <c r="K512" s="176"/>
    </row>
    <row r="513" spans="2:11" ht="15.75" customHeight="1">
      <c r="B513" s="131">
        <v>510</v>
      </c>
      <c r="C513" s="141"/>
      <c r="D513" s="141"/>
      <c r="E513" s="140"/>
      <c r="F513" s="133" t="str">
        <f t="shared" si="34"/>
        <v/>
      </c>
      <c r="G513" s="142"/>
      <c r="H513" s="154"/>
      <c r="I513" s="140"/>
      <c r="J513" s="189"/>
      <c r="K513" s="176"/>
    </row>
    <row r="514" spans="2:11" ht="15.75" customHeight="1">
      <c r="B514" s="131">
        <v>511</v>
      </c>
      <c r="C514" s="141"/>
      <c r="D514" s="141"/>
      <c r="E514" s="140"/>
      <c r="F514" s="133" t="str">
        <f t="shared" si="34"/>
        <v/>
      </c>
      <c r="G514" s="142"/>
      <c r="H514" s="154"/>
      <c r="I514" s="140"/>
      <c r="J514" s="189"/>
      <c r="K514" s="176"/>
    </row>
    <row r="515" spans="2:11" ht="15.75" customHeight="1">
      <c r="B515" s="131">
        <v>512</v>
      </c>
      <c r="C515" s="141"/>
      <c r="D515" s="141"/>
      <c r="E515" s="140"/>
      <c r="F515" s="133" t="str">
        <f t="shared" si="34"/>
        <v/>
      </c>
      <c r="G515" s="142"/>
      <c r="H515" s="154"/>
      <c r="I515" s="140"/>
      <c r="J515" s="189"/>
      <c r="K515" s="176"/>
    </row>
    <row r="516" spans="2:11" ht="15.75" customHeight="1">
      <c r="B516" s="131">
        <v>513</v>
      </c>
      <c r="C516" s="141"/>
      <c r="D516" s="141"/>
      <c r="E516" s="140"/>
      <c r="F516" s="133" t="str">
        <f t="shared" si="34"/>
        <v/>
      </c>
      <c r="G516" s="142"/>
      <c r="H516" s="154"/>
      <c r="I516" s="140"/>
      <c r="J516" s="189"/>
      <c r="K516" s="176"/>
    </row>
    <row r="517" spans="2:11" ht="15.75" customHeight="1">
      <c r="B517" s="131">
        <v>514</v>
      </c>
      <c r="C517" s="141"/>
      <c r="D517" s="141"/>
      <c r="E517" s="140"/>
      <c r="F517" s="133" t="str">
        <f t="shared" si="34"/>
        <v/>
      </c>
      <c r="G517" s="142"/>
      <c r="H517" s="154"/>
      <c r="I517" s="140"/>
      <c r="J517" s="189"/>
      <c r="K517" s="176"/>
    </row>
    <row r="518" spans="2:11" ht="15.75" customHeight="1">
      <c r="B518" s="131">
        <v>515</v>
      </c>
      <c r="C518" s="141"/>
      <c r="D518" s="141"/>
      <c r="E518" s="140"/>
      <c r="F518" s="133" t="str">
        <f t="shared" si="34"/>
        <v/>
      </c>
      <c r="G518" s="142"/>
      <c r="H518" s="154"/>
      <c r="I518" s="140"/>
      <c r="J518" s="189"/>
      <c r="K518" s="176"/>
    </row>
    <row r="519" spans="2:11" ht="15.75" customHeight="1">
      <c r="B519" s="131">
        <v>516</v>
      </c>
      <c r="C519" s="141"/>
      <c r="D519" s="141"/>
      <c r="E519" s="140"/>
      <c r="F519" s="133" t="str">
        <f t="shared" si="34"/>
        <v/>
      </c>
      <c r="G519" s="142"/>
      <c r="H519" s="154"/>
      <c r="I519" s="140"/>
      <c r="J519" s="189"/>
      <c r="K519" s="176"/>
    </row>
    <row r="520" spans="2:11" ht="15.75" customHeight="1">
      <c r="B520" s="131">
        <v>517</v>
      </c>
      <c r="C520" s="141"/>
      <c r="D520" s="141"/>
      <c r="E520" s="140"/>
      <c r="F520" s="133" t="str">
        <f t="shared" si="34"/>
        <v/>
      </c>
      <c r="G520" s="142"/>
      <c r="H520" s="154"/>
      <c r="I520" s="140"/>
      <c r="J520" s="189"/>
      <c r="K520" s="176"/>
    </row>
    <row r="521" spans="2:11" ht="15.75" customHeight="1">
      <c r="B521" s="131">
        <v>518</v>
      </c>
      <c r="C521" s="141"/>
      <c r="D521" s="141"/>
      <c r="E521" s="140"/>
      <c r="F521" s="133" t="str">
        <f t="shared" si="34"/>
        <v/>
      </c>
      <c r="G521" s="142"/>
      <c r="H521" s="154"/>
      <c r="I521" s="140"/>
      <c r="J521" s="189"/>
      <c r="K521" s="176"/>
    </row>
    <row r="522" spans="2:11" ht="15.75" customHeight="1">
      <c r="B522" s="131">
        <v>519</v>
      </c>
      <c r="C522" s="141"/>
      <c r="D522" s="141"/>
      <c r="E522" s="140"/>
      <c r="F522" s="133" t="str">
        <f t="shared" si="34"/>
        <v/>
      </c>
      <c r="G522" s="142"/>
      <c r="H522" s="154"/>
      <c r="I522" s="140"/>
      <c r="J522" s="189"/>
      <c r="K522" s="176"/>
    </row>
    <row r="523" spans="2:11" ht="15.75" customHeight="1">
      <c r="B523" s="131">
        <v>520</v>
      </c>
      <c r="C523" s="141"/>
      <c r="D523" s="141"/>
      <c r="E523" s="140"/>
      <c r="F523" s="133" t="str">
        <f t="shared" si="34"/>
        <v/>
      </c>
      <c r="G523" s="142"/>
      <c r="H523" s="154"/>
      <c r="I523" s="140"/>
      <c r="J523" s="189"/>
      <c r="K523" s="176"/>
    </row>
    <row r="524" spans="2:11" ht="15.75" customHeight="1">
      <c r="B524" s="131">
        <v>521</v>
      </c>
      <c r="C524" s="141"/>
      <c r="D524" s="141"/>
      <c r="E524" s="140"/>
      <c r="F524" s="133" t="str">
        <f t="shared" si="34"/>
        <v/>
      </c>
      <c r="G524" s="142"/>
      <c r="H524" s="154"/>
      <c r="I524" s="140"/>
      <c r="J524" s="189"/>
      <c r="K524" s="176"/>
    </row>
    <row r="525" spans="2:11" ht="15.75" customHeight="1">
      <c r="B525" s="131">
        <v>522</v>
      </c>
      <c r="C525" s="141"/>
      <c r="D525" s="141"/>
      <c r="E525" s="140"/>
      <c r="F525" s="133" t="str">
        <f t="shared" si="34"/>
        <v/>
      </c>
      <c r="G525" s="142"/>
      <c r="H525" s="154"/>
      <c r="I525" s="140"/>
      <c r="J525" s="189"/>
      <c r="K525" s="176"/>
    </row>
    <row r="526" spans="2:11" ht="15.75" customHeight="1">
      <c r="B526" s="131">
        <v>523</v>
      </c>
      <c r="C526" s="141"/>
      <c r="D526" s="141"/>
      <c r="E526" s="140"/>
      <c r="F526" s="133" t="str">
        <f t="shared" si="34"/>
        <v/>
      </c>
      <c r="G526" s="142"/>
      <c r="H526" s="154"/>
      <c r="I526" s="140"/>
      <c r="J526" s="189"/>
      <c r="K526" s="176"/>
    </row>
    <row r="527" spans="2:11" ht="15.75" customHeight="1">
      <c r="B527" s="131">
        <v>524</v>
      </c>
      <c r="C527" s="141"/>
      <c r="D527" s="141"/>
      <c r="E527" s="140"/>
      <c r="F527" s="133" t="str">
        <f t="shared" si="34"/>
        <v/>
      </c>
      <c r="G527" s="142"/>
      <c r="H527" s="154"/>
      <c r="I527" s="140"/>
      <c r="J527" s="189"/>
      <c r="K527" s="176"/>
    </row>
    <row r="528" spans="2:11" ht="15.75" customHeight="1">
      <c r="B528" s="131">
        <v>525</v>
      </c>
      <c r="C528" s="141"/>
      <c r="D528" s="141"/>
      <c r="E528" s="140"/>
      <c r="F528" s="133" t="str">
        <f t="shared" si="34"/>
        <v/>
      </c>
      <c r="G528" s="142"/>
      <c r="H528" s="154"/>
      <c r="I528" s="140"/>
      <c r="J528" s="189"/>
      <c r="K528" s="176"/>
    </row>
    <row r="529" spans="2:11" ht="15.75" customHeight="1">
      <c r="B529" s="131">
        <v>526</v>
      </c>
      <c r="C529" s="141"/>
      <c r="D529" s="141"/>
      <c r="E529" s="140"/>
      <c r="F529" s="133" t="str">
        <f t="shared" si="34"/>
        <v/>
      </c>
      <c r="G529" s="142"/>
      <c r="H529" s="154"/>
      <c r="I529" s="140"/>
      <c r="J529" s="189"/>
      <c r="K529" s="176"/>
    </row>
    <row r="530" spans="2:11" ht="15.75" customHeight="1">
      <c r="B530" s="131">
        <v>527</v>
      </c>
      <c r="C530" s="141"/>
      <c r="D530" s="141"/>
      <c r="E530" s="140"/>
      <c r="F530" s="133" t="str">
        <f t="shared" si="34"/>
        <v/>
      </c>
      <c r="G530" s="142"/>
      <c r="H530" s="154"/>
      <c r="I530" s="140"/>
      <c r="J530" s="189"/>
      <c r="K530" s="176"/>
    </row>
    <row r="531" spans="2:11" ht="15.75" customHeight="1">
      <c r="B531" s="131">
        <v>528</v>
      </c>
      <c r="C531" s="141"/>
      <c r="D531" s="141"/>
      <c r="E531" s="140"/>
      <c r="F531" s="133" t="str">
        <f t="shared" si="34"/>
        <v/>
      </c>
      <c r="G531" s="142"/>
      <c r="H531" s="154"/>
      <c r="I531" s="140"/>
      <c r="J531" s="189"/>
      <c r="K531" s="176"/>
    </row>
    <row r="532" spans="2:11" ht="15.75" customHeight="1">
      <c r="B532" s="131">
        <v>529</v>
      </c>
      <c r="C532" s="141"/>
      <c r="D532" s="141"/>
      <c r="E532" s="140"/>
      <c r="F532" s="133" t="str">
        <f t="shared" si="34"/>
        <v/>
      </c>
      <c r="G532" s="142"/>
      <c r="H532" s="154"/>
      <c r="I532" s="140"/>
      <c r="J532" s="189"/>
      <c r="K532" s="176"/>
    </row>
    <row r="533" spans="2:11" ht="15.75" customHeight="1">
      <c r="B533" s="131">
        <v>530</v>
      </c>
      <c r="C533" s="141"/>
      <c r="D533" s="141"/>
      <c r="E533" s="140"/>
      <c r="F533" s="133" t="str">
        <f t="shared" si="34"/>
        <v/>
      </c>
      <c r="G533" s="142"/>
      <c r="H533" s="154"/>
      <c r="I533" s="140"/>
      <c r="J533" s="189"/>
      <c r="K533" s="176"/>
    </row>
    <row r="534" spans="2:11" ht="15.75" customHeight="1">
      <c r="B534" s="131">
        <v>531</v>
      </c>
      <c r="C534" s="141"/>
      <c r="D534" s="141"/>
      <c r="E534" s="140"/>
      <c r="F534" s="133" t="str">
        <f t="shared" si="34"/>
        <v/>
      </c>
      <c r="G534" s="142"/>
      <c r="H534" s="154"/>
      <c r="I534" s="140"/>
      <c r="J534" s="189"/>
      <c r="K534" s="176"/>
    </row>
    <row r="535" spans="2:11" ht="15.75" customHeight="1">
      <c r="B535" s="131">
        <v>532</v>
      </c>
      <c r="C535" s="141"/>
      <c r="D535" s="141"/>
      <c r="E535" s="140"/>
      <c r="F535" s="133" t="str">
        <f t="shared" si="34"/>
        <v/>
      </c>
      <c r="G535" s="142"/>
      <c r="H535" s="154"/>
      <c r="I535" s="140"/>
      <c r="J535" s="189"/>
      <c r="K535" s="176"/>
    </row>
    <row r="536" spans="2:11" ht="15.75" customHeight="1">
      <c r="B536" s="131">
        <v>533</v>
      </c>
      <c r="C536" s="141"/>
      <c r="D536" s="141"/>
      <c r="E536" s="140"/>
      <c r="F536" s="133" t="str">
        <f t="shared" si="34"/>
        <v/>
      </c>
      <c r="G536" s="142"/>
      <c r="H536" s="154"/>
      <c r="I536" s="140"/>
      <c r="J536" s="189"/>
      <c r="K536" s="176"/>
    </row>
    <row r="537" spans="2:11" ht="15.75" customHeight="1">
      <c r="B537" s="131">
        <v>534</v>
      </c>
      <c r="C537" s="141"/>
      <c r="D537" s="141"/>
      <c r="E537" s="140"/>
      <c r="F537" s="133" t="str">
        <f t="shared" si="34"/>
        <v/>
      </c>
      <c r="G537" s="142"/>
      <c r="H537" s="154"/>
      <c r="I537" s="140"/>
      <c r="J537" s="189"/>
      <c r="K537" s="176"/>
    </row>
    <row r="538" spans="2:11" ht="15.75" customHeight="1">
      <c r="B538" s="131">
        <v>535</v>
      </c>
      <c r="C538" s="141"/>
      <c r="D538" s="141"/>
      <c r="E538" s="140"/>
      <c r="F538" s="133" t="str">
        <f t="shared" si="34"/>
        <v/>
      </c>
      <c r="G538" s="142"/>
      <c r="H538" s="154"/>
      <c r="I538" s="140"/>
      <c r="J538" s="189"/>
      <c r="K538" s="176"/>
    </row>
    <row r="539" spans="2:11" ht="15.75" customHeight="1">
      <c r="B539" s="131">
        <v>536</v>
      </c>
      <c r="C539" s="141"/>
      <c r="D539" s="141"/>
      <c r="E539" s="140"/>
      <c r="F539" s="133" t="str">
        <f t="shared" si="34"/>
        <v/>
      </c>
      <c r="G539" s="142"/>
      <c r="H539" s="154"/>
      <c r="I539" s="140"/>
      <c r="J539" s="189"/>
      <c r="K539" s="176"/>
    </row>
    <row r="540" spans="2:11" ht="15.75" customHeight="1">
      <c r="B540" s="131">
        <v>537</v>
      </c>
      <c r="C540" s="141"/>
      <c r="D540" s="141"/>
      <c r="E540" s="140"/>
      <c r="F540" s="133" t="str">
        <f t="shared" si="34"/>
        <v/>
      </c>
      <c r="G540" s="142"/>
      <c r="H540" s="154"/>
      <c r="I540" s="140"/>
      <c r="J540" s="189"/>
      <c r="K540" s="176"/>
    </row>
    <row r="541" spans="2:11" ht="15.75" customHeight="1">
      <c r="B541" s="131">
        <v>538</v>
      </c>
      <c r="C541" s="141"/>
      <c r="D541" s="141"/>
      <c r="E541" s="140"/>
      <c r="F541" s="133" t="str">
        <f t="shared" si="34"/>
        <v/>
      </c>
      <c r="G541" s="142"/>
      <c r="H541" s="154"/>
      <c r="I541" s="140"/>
      <c r="J541" s="189"/>
      <c r="K541" s="176"/>
    </row>
    <row r="542" spans="2:11" ht="15.75" customHeight="1">
      <c r="B542" s="131">
        <v>539</v>
      </c>
      <c r="C542" s="141"/>
      <c r="D542" s="141"/>
      <c r="E542" s="140"/>
      <c r="F542" s="133" t="str">
        <f t="shared" si="34"/>
        <v/>
      </c>
      <c r="G542" s="142"/>
      <c r="H542" s="154"/>
      <c r="I542" s="140"/>
      <c r="J542" s="189"/>
      <c r="K542" s="176"/>
    </row>
    <row r="543" spans="2:11" ht="15.75" customHeight="1">
      <c r="B543" s="131">
        <v>540</v>
      </c>
      <c r="C543" s="141"/>
      <c r="D543" s="141"/>
      <c r="E543" s="140"/>
      <c r="F543" s="133" t="str">
        <f t="shared" si="34"/>
        <v/>
      </c>
      <c r="G543" s="142"/>
      <c r="H543" s="154"/>
      <c r="I543" s="140"/>
      <c r="J543" s="189"/>
      <c r="K543" s="176"/>
    </row>
    <row r="544" spans="2:11" ht="15.75" customHeight="1">
      <c r="B544" s="131">
        <v>541</v>
      </c>
      <c r="C544" s="141"/>
      <c r="D544" s="141"/>
      <c r="E544" s="140"/>
      <c r="F544" s="133" t="str">
        <f t="shared" si="34"/>
        <v/>
      </c>
      <c r="G544" s="142"/>
      <c r="H544" s="154"/>
      <c r="I544" s="140"/>
      <c r="J544" s="189"/>
      <c r="K544" s="176"/>
    </row>
    <row r="545" spans="2:11" ht="15.75" customHeight="1">
      <c r="B545" s="131">
        <v>542</v>
      </c>
      <c r="C545" s="141"/>
      <c r="D545" s="141"/>
      <c r="E545" s="140"/>
      <c r="F545" s="133" t="str">
        <f t="shared" si="34"/>
        <v/>
      </c>
      <c r="G545" s="142"/>
      <c r="H545" s="154"/>
      <c r="I545" s="140"/>
      <c r="J545" s="189"/>
      <c r="K545" s="176"/>
    </row>
    <row r="546" spans="2:11" ht="15.75" customHeight="1">
      <c r="B546" s="131">
        <v>543</v>
      </c>
      <c r="C546" s="141"/>
      <c r="D546" s="141"/>
      <c r="E546" s="140"/>
      <c r="F546" s="133" t="str">
        <f t="shared" si="34"/>
        <v/>
      </c>
      <c r="G546" s="142"/>
      <c r="H546" s="154"/>
      <c r="I546" s="140"/>
      <c r="J546" s="189"/>
      <c r="K546" s="176"/>
    </row>
    <row r="547" spans="2:11" ht="15.75" customHeight="1">
      <c r="B547" s="131">
        <v>544</v>
      </c>
      <c r="C547" s="141"/>
      <c r="D547" s="141"/>
      <c r="E547" s="140"/>
      <c r="F547" s="133" t="str">
        <f t="shared" si="34"/>
        <v/>
      </c>
      <c r="G547" s="142"/>
      <c r="H547" s="154"/>
      <c r="I547" s="140"/>
      <c r="J547" s="189"/>
      <c r="K547" s="176"/>
    </row>
    <row r="548" spans="2:11" ht="15.75" customHeight="1">
      <c r="B548" s="131">
        <v>545</v>
      </c>
      <c r="C548" s="141"/>
      <c r="D548" s="141"/>
      <c r="E548" s="140"/>
      <c r="F548" s="133" t="str">
        <f t="shared" si="34"/>
        <v/>
      </c>
      <c r="G548" s="142"/>
      <c r="H548" s="154"/>
      <c r="I548" s="140"/>
      <c r="J548" s="189"/>
      <c r="K548" s="176"/>
    </row>
    <row r="549" spans="2:11" ht="15.75" customHeight="1">
      <c r="B549" s="131">
        <v>546</v>
      </c>
      <c r="C549" s="141"/>
      <c r="D549" s="141"/>
      <c r="E549" s="140"/>
      <c r="F549" s="133" t="str">
        <f t="shared" si="34"/>
        <v/>
      </c>
      <c r="G549" s="142"/>
      <c r="H549" s="154"/>
      <c r="I549" s="140"/>
      <c r="J549" s="189"/>
      <c r="K549" s="176"/>
    </row>
    <row r="550" spans="2:11" ht="15.75" customHeight="1">
      <c r="B550" s="131">
        <v>547</v>
      </c>
      <c r="C550" s="141"/>
      <c r="D550" s="141"/>
      <c r="E550" s="140"/>
      <c r="F550" s="133" t="str">
        <f t="shared" si="34"/>
        <v/>
      </c>
      <c r="G550" s="142"/>
      <c r="H550" s="154"/>
      <c r="I550" s="140"/>
      <c r="J550" s="189"/>
      <c r="K550" s="176"/>
    </row>
    <row r="551" spans="2:11" ht="15.75" customHeight="1">
      <c r="B551" s="131">
        <v>548</v>
      </c>
      <c r="C551" s="141"/>
      <c r="D551" s="141"/>
      <c r="E551" s="140"/>
      <c r="F551" s="133" t="str">
        <f t="shared" si="34"/>
        <v/>
      </c>
      <c r="G551" s="142"/>
      <c r="H551" s="154"/>
      <c r="I551" s="140"/>
      <c r="J551" s="189"/>
      <c r="K551" s="176"/>
    </row>
    <row r="552" spans="2:11" ht="15.75" customHeight="1">
      <c r="B552" s="131">
        <v>549</v>
      </c>
      <c r="C552" s="141"/>
      <c r="D552" s="141"/>
      <c r="E552" s="140"/>
      <c r="F552" s="133" t="str">
        <f t="shared" si="34"/>
        <v/>
      </c>
      <c r="G552" s="142"/>
      <c r="H552" s="154"/>
      <c r="I552" s="140"/>
      <c r="J552" s="189"/>
      <c r="K552" s="176"/>
    </row>
    <row r="553" spans="2:11" ht="15.75" customHeight="1">
      <c r="B553" s="131">
        <v>550</v>
      </c>
      <c r="C553" s="141"/>
      <c r="D553" s="141"/>
      <c r="E553" s="140"/>
      <c r="F553" s="133" t="str">
        <f t="shared" si="34"/>
        <v/>
      </c>
      <c r="G553" s="142"/>
      <c r="H553" s="154"/>
      <c r="I553" s="140"/>
      <c r="J553" s="189"/>
      <c r="K553" s="176"/>
    </row>
    <row r="554" spans="2:11" ht="15.75" customHeight="1">
      <c r="B554" s="131">
        <v>551</v>
      </c>
      <c r="C554" s="141"/>
      <c r="D554" s="141"/>
      <c r="E554" s="140"/>
      <c r="F554" s="133" t="str">
        <f t="shared" si="34"/>
        <v/>
      </c>
      <c r="G554" s="142"/>
      <c r="H554" s="154"/>
      <c r="I554" s="140"/>
      <c r="J554" s="189"/>
      <c r="K554" s="176"/>
    </row>
    <row r="555" spans="2:11" ht="15.75" customHeight="1">
      <c r="B555" s="131">
        <v>552</v>
      </c>
      <c r="C555" s="141"/>
      <c r="D555" s="141"/>
      <c r="E555" s="140"/>
      <c r="F555" s="133" t="str">
        <f t="shared" ref="F555:F618" si="35">IF(E555="","",HLOOKUP(E555,etela,2,0))</f>
        <v/>
      </c>
      <c r="G555" s="142"/>
      <c r="H555" s="154"/>
      <c r="I555" s="140"/>
      <c r="J555" s="189"/>
      <c r="K555" s="176"/>
    </row>
    <row r="556" spans="2:11" ht="15.75" customHeight="1">
      <c r="B556" s="131">
        <v>553</v>
      </c>
      <c r="C556" s="141"/>
      <c r="D556" s="141"/>
      <c r="E556" s="140"/>
      <c r="F556" s="133" t="str">
        <f t="shared" si="35"/>
        <v/>
      </c>
      <c r="G556" s="142"/>
      <c r="H556" s="154"/>
      <c r="I556" s="140"/>
      <c r="J556" s="189"/>
      <c r="K556" s="176"/>
    </row>
    <row r="557" spans="2:11" ht="15.75" customHeight="1">
      <c r="B557" s="131">
        <v>554</v>
      </c>
      <c r="C557" s="141"/>
      <c r="D557" s="141"/>
      <c r="E557" s="140"/>
      <c r="F557" s="133" t="str">
        <f t="shared" si="35"/>
        <v/>
      </c>
      <c r="G557" s="142"/>
      <c r="H557" s="154"/>
      <c r="I557" s="140"/>
      <c r="J557" s="189"/>
      <c r="K557" s="176"/>
    </row>
    <row r="558" spans="2:11" ht="15.75" customHeight="1">
      <c r="B558" s="131">
        <v>555</v>
      </c>
      <c r="C558" s="141"/>
      <c r="D558" s="141"/>
      <c r="E558" s="140"/>
      <c r="F558" s="133" t="str">
        <f t="shared" si="35"/>
        <v/>
      </c>
      <c r="G558" s="142"/>
      <c r="H558" s="154"/>
      <c r="I558" s="140"/>
      <c r="J558" s="189"/>
      <c r="K558" s="176"/>
    </row>
    <row r="559" spans="2:11" ht="15.75" customHeight="1">
      <c r="B559" s="131">
        <v>556</v>
      </c>
      <c r="C559" s="141"/>
      <c r="D559" s="141"/>
      <c r="E559" s="140"/>
      <c r="F559" s="133" t="str">
        <f t="shared" si="35"/>
        <v/>
      </c>
      <c r="G559" s="142"/>
      <c r="H559" s="154"/>
      <c r="I559" s="140"/>
      <c r="J559" s="189"/>
      <c r="K559" s="176"/>
    </row>
    <row r="560" spans="2:11" ht="15.75" customHeight="1">
      <c r="B560" s="131">
        <v>557</v>
      </c>
      <c r="C560" s="141"/>
      <c r="D560" s="141"/>
      <c r="E560" s="140"/>
      <c r="F560" s="133" t="str">
        <f t="shared" si="35"/>
        <v/>
      </c>
      <c r="G560" s="142"/>
      <c r="H560" s="154"/>
      <c r="I560" s="140"/>
      <c r="J560" s="189"/>
      <c r="K560" s="176"/>
    </row>
    <row r="561" spans="2:11" ht="15.75" customHeight="1">
      <c r="B561" s="131">
        <v>558</v>
      </c>
      <c r="C561" s="141"/>
      <c r="D561" s="141"/>
      <c r="E561" s="140"/>
      <c r="F561" s="133" t="str">
        <f t="shared" si="35"/>
        <v/>
      </c>
      <c r="G561" s="142"/>
      <c r="H561" s="154"/>
      <c r="I561" s="140"/>
      <c r="J561" s="189"/>
      <c r="K561" s="176"/>
    </row>
    <row r="562" spans="2:11" ht="15.75" customHeight="1">
      <c r="B562" s="131">
        <v>559</v>
      </c>
      <c r="C562" s="141"/>
      <c r="D562" s="141"/>
      <c r="E562" s="140"/>
      <c r="F562" s="133" t="str">
        <f t="shared" si="35"/>
        <v/>
      </c>
      <c r="G562" s="142"/>
      <c r="H562" s="154"/>
      <c r="I562" s="140"/>
      <c r="J562" s="189"/>
      <c r="K562" s="176"/>
    </row>
    <row r="563" spans="2:11" ht="15.75" customHeight="1">
      <c r="B563" s="131">
        <v>560</v>
      </c>
      <c r="C563" s="141"/>
      <c r="D563" s="141"/>
      <c r="E563" s="140"/>
      <c r="F563" s="133" t="str">
        <f t="shared" si="35"/>
        <v/>
      </c>
      <c r="G563" s="142"/>
      <c r="H563" s="154"/>
      <c r="I563" s="140"/>
      <c r="J563" s="189"/>
      <c r="K563" s="176"/>
    </row>
    <row r="564" spans="2:11" ht="15.75" customHeight="1">
      <c r="B564" s="131">
        <v>561</v>
      </c>
      <c r="C564" s="141"/>
      <c r="D564" s="141"/>
      <c r="E564" s="140"/>
      <c r="F564" s="133" t="str">
        <f t="shared" si="35"/>
        <v/>
      </c>
      <c r="G564" s="142"/>
      <c r="H564" s="154"/>
      <c r="I564" s="140"/>
      <c r="J564" s="189"/>
      <c r="K564" s="176"/>
    </row>
    <row r="565" spans="2:11" ht="15.75" customHeight="1">
      <c r="B565" s="131">
        <v>562</v>
      </c>
      <c r="C565" s="141"/>
      <c r="D565" s="141"/>
      <c r="E565" s="140"/>
      <c r="F565" s="133" t="str">
        <f t="shared" si="35"/>
        <v/>
      </c>
      <c r="G565" s="142"/>
      <c r="H565" s="154"/>
      <c r="I565" s="140"/>
      <c r="J565" s="189"/>
      <c r="K565" s="176"/>
    </row>
    <row r="566" spans="2:11" ht="15.75" customHeight="1">
      <c r="B566" s="131">
        <v>563</v>
      </c>
      <c r="C566" s="141"/>
      <c r="D566" s="141"/>
      <c r="E566" s="140"/>
      <c r="F566" s="133" t="str">
        <f t="shared" si="35"/>
        <v/>
      </c>
      <c r="G566" s="142"/>
      <c r="H566" s="154"/>
      <c r="I566" s="140"/>
      <c r="J566" s="189"/>
      <c r="K566" s="176"/>
    </row>
    <row r="567" spans="2:11" ht="15.75" customHeight="1">
      <c r="B567" s="131">
        <v>564</v>
      </c>
      <c r="C567" s="141"/>
      <c r="D567" s="141"/>
      <c r="E567" s="140"/>
      <c r="F567" s="133" t="str">
        <f t="shared" si="35"/>
        <v/>
      </c>
      <c r="G567" s="142"/>
      <c r="H567" s="154"/>
      <c r="I567" s="140"/>
      <c r="J567" s="189"/>
      <c r="K567" s="176"/>
    </row>
    <row r="568" spans="2:11" ht="15.75" customHeight="1">
      <c r="B568" s="131">
        <v>565</v>
      </c>
      <c r="C568" s="141"/>
      <c r="D568" s="141"/>
      <c r="E568" s="140"/>
      <c r="F568" s="133" t="str">
        <f t="shared" si="35"/>
        <v/>
      </c>
      <c r="G568" s="142"/>
      <c r="H568" s="154"/>
      <c r="I568" s="140"/>
      <c r="J568" s="189"/>
      <c r="K568" s="176"/>
    </row>
    <row r="569" spans="2:11" ht="15.75" customHeight="1">
      <c r="B569" s="131">
        <v>566</v>
      </c>
      <c r="C569" s="141"/>
      <c r="D569" s="141"/>
      <c r="E569" s="140"/>
      <c r="F569" s="133" t="str">
        <f t="shared" si="35"/>
        <v/>
      </c>
      <c r="G569" s="142"/>
      <c r="H569" s="154"/>
      <c r="I569" s="140"/>
      <c r="J569" s="189"/>
      <c r="K569" s="176"/>
    </row>
    <row r="570" spans="2:11" ht="15.75" customHeight="1">
      <c r="B570" s="131">
        <v>567</v>
      </c>
      <c r="C570" s="141"/>
      <c r="D570" s="141"/>
      <c r="E570" s="140"/>
      <c r="F570" s="133" t="str">
        <f t="shared" si="35"/>
        <v/>
      </c>
      <c r="G570" s="142"/>
      <c r="H570" s="154"/>
      <c r="I570" s="140"/>
      <c r="J570" s="189"/>
      <c r="K570" s="176"/>
    </row>
    <row r="571" spans="2:11" ht="15.75" customHeight="1">
      <c r="B571" s="131">
        <v>568</v>
      </c>
      <c r="C571" s="141"/>
      <c r="D571" s="141"/>
      <c r="E571" s="140"/>
      <c r="F571" s="133" t="str">
        <f t="shared" si="35"/>
        <v/>
      </c>
      <c r="G571" s="142"/>
      <c r="H571" s="154"/>
      <c r="I571" s="140"/>
      <c r="J571" s="189"/>
      <c r="K571" s="176"/>
    </row>
    <row r="572" spans="2:11" ht="15.75" customHeight="1">
      <c r="B572" s="131">
        <v>569</v>
      </c>
      <c r="C572" s="141"/>
      <c r="D572" s="141"/>
      <c r="E572" s="140"/>
      <c r="F572" s="133" t="str">
        <f t="shared" si="35"/>
        <v/>
      </c>
      <c r="G572" s="142"/>
      <c r="H572" s="154"/>
      <c r="I572" s="140"/>
      <c r="J572" s="189"/>
      <c r="K572" s="176"/>
    </row>
    <row r="573" spans="2:11" ht="15.75" customHeight="1">
      <c r="B573" s="131">
        <v>570</v>
      </c>
      <c r="C573" s="141"/>
      <c r="D573" s="141"/>
      <c r="E573" s="140"/>
      <c r="F573" s="133" t="str">
        <f t="shared" si="35"/>
        <v/>
      </c>
      <c r="G573" s="142"/>
      <c r="H573" s="154"/>
      <c r="I573" s="140"/>
      <c r="J573" s="189"/>
      <c r="K573" s="176"/>
    </row>
    <row r="574" spans="2:11" ht="15.75" customHeight="1">
      <c r="B574" s="131">
        <v>571</v>
      </c>
      <c r="C574" s="141"/>
      <c r="D574" s="141"/>
      <c r="E574" s="140"/>
      <c r="F574" s="133" t="str">
        <f t="shared" si="35"/>
        <v/>
      </c>
      <c r="G574" s="142"/>
      <c r="H574" s="154"/>
      <c r="I574" s="140"/>
      <c r="J574" s="189"/>
      <c r="K574" s="176"/>
    </row>
    <row r="575" spans="2:11" ht="15.75" customHeight="1">
      <c r="B575" s="131">
        <v>572</v>
      </c>
      <c r="C575" s="141"/>
      <c r="D575" s="141"/>
      <c r="E575" s="140"/>
      <c r="F575" s="133" t="str">
        <f t="shared" si="35"/>
        <v/>
      </c>
      <c r="G575" s="142"/>
      <c r="H575" s="154"/>
      <c r="I575" s="140"/>
      <c r="J575" s="189"/>
      <c r="K575" s="176"/>
    </row>
    <row r="576" spans="2:11" ht="15.75" customHeight="1">
      <c r="B576" s="131">
        <v>573</v>
      </c>
      <c r="C576" s="141"/>
      <c r="D576" s="141"/>
      <c r="E576" s="140"/>
      <c r="F576" s="133" t="str">
        <f t="shared" si="35"/>
        <v/>
      </c>
      <c r="G576" s="142"/>
      <c r="H576" s="154"/>
      <c r="I576" s="140"/>
      <c r="J576" s="189"/>
      <c r="K576" s="176"/>
    </row>
    <row r="577" spans="2:11" ht="15.75" customHeight="1">
      <c r="B577" s="131">
        <v>574</v>
      </c>
      <c r="C577" s="141"/>
      <c r="D577" s="141"/>
      <c r="E577" s="140"/>
      <c r="F577" s="133" t="str">
        <f t="shared" si="35"/>
        <v/>
      </c>
      <c r="G577" s="142"/>
      <c r="H577" s="154"/>
      <c r="I577" s="140"/>
      <c r="J577" s="189"/>
      <c r="K577" s="176"/>
    </row>
    <row r="578" spans="2:11" ht="15.75" customHeight="1">
      <c r="B578" s="131">
        <v>575</v>
      </c>
      <c r="C578" s="141"/>
      <c r="D578" s="141"/>
      <c r="E578" s="140"/>
      <c r="F578" s="133" t="str">
        <f t="shared" si="35"/>
        <v/>
      </c>
      <c r="G578" s="142"/>
      <c r="H578" s="154"/>
      <c r="I578" s="140"/>
      <c r="J578" s="189"/>
      <c r="K578" s="176"/>
    </row>
    <row r="579" spans="2:11" ht="15.75" customHeight="1">
      <c r="B579" s="131">
        <v>576</v>
      </c>
      <c r="C579" s="141"/>
      <c r="D579" s="141"/>
      <c r="E579" s="140"/>
      <c r="F579" s="133" t="str">
        <f t="shared" si="35"/>
        <v/>
      </c>
      <c r="G579" s="142"/>
      <c r="H579" s="154"/>
      <c r="I579" s="140"/>
      <c r="J579" s="189"/>
      <c r="K579" s="176"/>
    </row>
    <row r="580" spans="2:11" ht="15.75" customHeight="1">
      <c r="B580" s="131">
        <v>577</v>
      </c>
      <c r="C580" s="141"/>
      <c r="D580" s="141"/>
      <c r="E580" s="140"/>
      <c r="F580" s="133" t="str">
        <f t="shared" si="35"/>
        <v/>
      </c>
      <c r="G580" s="142"/>
      <c r="H580" s="154"/>
      <c r="I580" s="140"/>
      <c r="J580" s="189"/>
      <c r="K580" s="176"/>
    </row>
    <row r="581" spans="2:11" ht="15.75" customHeight="1">
      <c r="B581" s="131">
        <v>578</v>
      </c>
      <c r="C581" s="141"/>
      <c r="D581" s="141"/>
      <c r="E581" s="140"/>
      <c r="F581" s="133" t="str">
        <f t="shared" si="35"/>
        <v/>
      </c>
      <c r="G581" s="142"/>
      <c r="H581" s="154"/>
      <c r="I581" s="140"/>
      <c r="J581" s="189"/>
      <c r="K581" s="176"/>
    </row>
    <row r="582" spans="2:11" ht="15.75" customHeight="1">
      <c r="B582" s="131">
        <v>579</v>
      </c>
      <c r="C582" s="141"/>
      <c r="D582" s="141"/>
      <c r="E582" s="140"/>
      <c r="F582" s="133" t="str">
        <f t="shared" si="35"/>
        <v/>
      </c>
      <c r="G582" s="142"/>
      <c r="H582" s="154"/>
      <c r="I582" s="140"/>
      <c r="J582" s="189"/>
      <c r="K582" s="176"/>
    </row>
    <row r="583" spans="2:11" ht="15.75" customHeight="1">
      <c r="B583" s="131">
        <v>580</v>
      </c>
      <c r="C583" s="141"/>
      <c r="D583" s="141"/>
      <c r="E583" s="140"/>
      <c r="F583" s="133" t="str">
        <f t="shared" si="35"/>
        <v/>
      </c>
      <c r="G583" s="142"/>
      <c r="H583" s="154"/>
      <c r="I583" s="140"/>
      <c r="J583" s="189"/>
      <c r="K583" s="176"/>
    </row>
    <row r="584" spans="2:11" ht="15.75" customHeight="1">
      <c r="B584" s="131">
        <v>581</v>
      </c>
      <c r="C584" s="141"/>
      <c r="D584" s="141"/>
      <c r="E584" s="140"/>
      <c r="F584" s="133" t="str">
        <f t="shared" si="35"/>
        <v/>
      </c>
      <c r="G584" s="142"/>
      <c r="H584" s="154"/>
      <c r="I584" s="140"/>
      <c r="J584" s="189"/>
      <c r="K584" s="176"/>
    </row>
    <row r="585" spans="2:11" ht="15.75" customHeight="1">
      <c r="B585" s="131">
        <v>582</v>
      </c>
      <c r="C585" s="141"/>
      <c r="D585" s="141"/>
      <c r="E585" s="140"/>
      <c r="F585" s="133" t="str">
        <f t="shared" si="35"/>
        <v/>
      </c>
      <c r="G585" s="142"/>
      <c r="H585" s="154"/>
      <c r="I585" s="140"/>
      <c r="J585" s="189"/>
      <c r="K585" s="176"/>
    </row>
    <row r="586" spans="2:11" ht="15.75" customHeight="1">
      <c r="B586" s="131">
        <v>583</v>
      </c>
      <c r="C586" s="141"/>
      <c r="D586" s="141"/>
      <c r="E586" s="140"/>
      <c r="F586" s="133" t="str">
        <f t="shared" si="35"/>
        <v/>
      </c>
      <c r="G586" s="142"/>
      <c r="H586" s="154"/>
      <c r="I586" s="140"/>
      <c r="J586" s="189"/>
      <c r="K586" s="176"/>
    </row>
    <row r="587" spans="2:11" ht="15.75" customHeight="1">
      <c r="B587" s="131">
        <v>584</v>
      </c>
      <c r="C587" s="141"/>
      <c r="D587" s="141"/>
      <c r="E587" s="140"/>
      <c r="F587" s="133" t="str">
        <f t="shared" si="35"/>
        <v/>
      </c>
      <c r="G587" s="142"/>
      <c r="H587" s="154"/>
      <c r="I587" s="140"/>
      <c r="J587" s="189"/>
      <c r="K587" s="176"/>
    </row>
    <row r="588" spans="2:11" ht="15.75" customHeight="1">
      <c r="B588" s="131">
        <v>585</v>
      </c>
      <c r="C588" s="141"/>
      <c r="D588" s="141"/>
      <c r="E588" s="140"/>
      <c r="F588" s="133" t="str">
        <f t="shared" si="35"/>
        <v/>
      </c>
      <c r="G588" s="142"/>
      <c r="H588" s="154"/>
      <c r="I588" s="140"/>
      <c r="J588" s="189"/>
      <c r="K588" s="176"/>
    </row>
    <row r="589" spans="2:11" ht="15.75" customHeight="1">
      <c r="B589" s="131">
        <v>557</v>
      </c>
      <c r="C589" s="141"/>
      <c r="D589" s="141"/>
      <c r="E589" s="140"/>
      <c r="F589" s="133" t="str">
        <f t="shared" si="35"/>
        <v/>
      </c>
      <c r="G589" s="142"/>
      <c r="H589" s="154"/>
      <c r="I589" s="140"/>
      <c r="J589" s="189"/>
      <c r="K589" s="176"/>
    </row>
    <row r="590" spans="2:11" ht="15.75" customHeight="1">
      <c r="B590" s="131">
        <v>558</v>
      </c>
      <c r="C590" s="141"/>
      <c r="D590" s="141"/>
      <c r="E590" s="140"/>
      <c r="F590" s="133" t="str">
        <f t="shared" si="35"/>
        <v/>
      </c>
      <c r="G590" s="142"/>
      <c r="H590" s="154"/>
      <c r="I590" s="140"/>
      <c r="J590" s="189"/>
      <c r="K590" s="176"/>
    </row>
    <row r="591" spans="2:11" ht="15.75" customHeight="1">
      <c r="B591" s="131">
        <v>559</v>
      </c>
      <c r="C591" s="141"/>
      <c r="D591" s="141"/>
      <c r="E591" s="140"/>
      <c r="F591" s="133" t="str">
        <f t="shared" si="35"/>
        <v/>
      </c>
      <c r="G591" s="142"/>
      <c r="H591" s="154"/>
      <c r="I591" s="140"/>
      <c r="J591" s="189"/>
      <c r="K591" s="176"/>
    </row>
    <row r="592" spans="2:11" ht="15.75" customHeight="1">
      <c r="B592" s="131">
        <v>560</v>
      </c>
      <c r="C592" s="141"/>
      <c r="D592" s="141"/>
      <c r="E592" s="140"/>
      <c r="F592" s="133" t="str">
        <f t="shared" si="35"/>
        <v/>
      </c>
      <c r="G592" s="142"/>
      <c r="H592" s="154"/>
      <c r="I592" s="140"/>
      <c r="J592" s="189"/>
      <c r="K592" s="176"/>
    </row>
    <row r="593" spans="2:11" ht="15.75" customHeight="1">
      <c r="B593" s="131">
        <v>561</v>
      </c>
      <c r="C593" s="141"/>
      <c r="D593" s="141"/>
      <c r="E593" s="140"/>
      <c r="F593" s="133" t="str">
        <f t="shared" si="35"/>
        <v/>
      </c>
      <c r="G593" s="142"/>
      <c r="H593" s="154"/>
      <c r="I593" s="140"/>
      <c r="J593" s="189"/>
      <c r="K593" s="176"/>
    </row>
    <row r="594" spans="2:11" ht="15.75" customHeight="1">
      <c r="B594" s="131">
        <v>562</v>
      </c>
      <c r="C594" s="141"/>
      <c r="D594" s="141"/>
      <c r="E594" s="140"/>
      <c r="F594" s="133" t="str">
        <f t="shared" si="35"/>
        <v/>
      </c>
      <c r="G594" s="142"/>
      <c r="H594" s="154"/>
      <c r="I594" s="140"/>
      <c r="J594" s="189"/>
      <c r="K594" s="176"/>
    </row>
    <row r="595" spans="2:11" ht="15.75" customHeight="1">
      <c r="B595" s="131">
        <v>563</v>
      </c>
      <c r="C595" s="141"/>
      <c r="D595" s="141"/>
      <c r="E595" s="140"/>
      <c r="F595" s="133" t="str">
        <f t="shared" si="35"/>
        <v/>
      </c>
      <c r="G595" s="142"/>
      <c r="H595" s="154"/>
      <c r="I595" s="140"/>
      <c r="J595" s="189"/>
      <c r="K595" s="176"/>
    </row>
    <row r="596" spans="2:11" ht="15.75" customHeight="1">
      <c r="B596" s="131">
        <v>564</v>
      </c>
      <c r="C596" s="141"/>
      <c r="D596" s="141"/>
      <c r="E596" s="140"/>
      <c r="F596" s="133" t="str">
        <f t="shared" si="35"/>
        <v/>
      </c>
      <c r="G596" s="142"/>
      <c r="H596" s="154"/>
      <c r="I596" s="140"/>
      <c r="J596" s="189"/>
      <c r="K596" s="176"/>
    </row>
    <row r="597" spans="2:11" ht="15.75" customHeight="1">
      <c r="B597" s="131">
        <v>565</v>
      </c>
      <c r="C597" s="141"/>
      <c r="D597" s="141"/>
      <c r="E597" s="140"/>
      <c r="F597" s="133" t="str">
        <f t="shared" si="35"/>
        <v/>
      </c>
      <c r="G597" s="142"/>
      <c r="H597" s="154"/>
      <c r="I597" s="140"/>
      <c r="J597" s="189"/>
      <c r="K597" s="176"/>
    </row>
    <row r="598" spans="2:11" ht="15.75" customHeight="1">
      <c r="B598" s="131">
        <v>566</v>
      </c>
      <c r="C598" s="141"/>
      <c r="D598" s="141"/>
      <c r="E598" s="140"/>
      <c r="F598" s="133" t="str">
        <f t="shared" si="35"/>
        <v/>
      </c>
      <c r="G598" s="142"/>
      <c r="H598" s="154"/>
      <c r="I598" s="140"/>
      <c r="J598" s="189"/>
      <c r="K598" s="176"/>
    </row>
    <row r="599" spans="2:11" ht="15.75" customHeight="1">
      <c r="B599" s="131">
        <v>567</v>
      </c>
      <c r="C599" s="141"/>
      <c r="D599" s="141"/>
      <c r="E599" s="140"/>
      <c r="F599" s="133" t="str">
        <f t="shared" si="35"/>
        <v/>
      </c>
      <c r="G599" s="142"/>
      <c r="H599" s="154"/>
      <c r="I599" s="140"/>
      <c r="J599" s="189"/>
      <c r="K599" s="176"/>
    </row>
    <row r="600" spans="2:11" ht="15.75" customHeight="1">
      <c r="B600" s="131">
        <v>568</v>
      </c>
      <c r="C600" s="141"/>
      <c r="D600" s="141"/>
      <c r="E600" s="140"/>
      <c r="F600" s="133" t="str">
        <f t="shared" si="35"/>
        <v/>
      </c>
      <c r="G600" s="142"/>
      <c r="H600" s="154"/>
      <c r="I600" s="140"/>
      <c r="J600" s="189"/>
      <c r="K600" s="176"/>
    </row>
    <row r="601" spans="2:11" ht="15.75" customHeight="1">
      <c r="B601" s="131">
        <v>569</v>
      </c>
      <c r="C601" s="141"/>
      <c r="D601" s="141"/>
      <c r="E601" s="140"/>
      <c r="F601" s="133" t="str">
        <f t="shared" si="35"/>
        <v/>
      </c>
      <c r="G601" s="142"/>
      <c r="H601" s="154"/>
      <c r="I601" s="140"/>
      <c r="J601" s="189"/>
      <c r="K601" s="176"/>
    </row>
    <row r="602" spans="2:11" ht="15.75" customHeight="1">
      <c r="B602" s="131">
        <v>570</v>
      </c>
      <c r="C602" s="141"/>
      <c r="D602" s="141"/>
      <c r="E602" s="140"/>
      <c r="F602" s="133" t="str">
        <f t="shared" si="35"/>
        <v/>
      </c>
      <c r="G602" s="142"/>
      <c r="H602" s="154"/>
      <c r="I602" s="140"/>
      <c r="J602" s="189"/>
      <c r="K602" s="176"/>
    </row>
    <row r="603" spans="2:11" ht="15.75" customHeight="1">
      <c r="B603" s="131">
        <v>571</v>
      </c>
      <c r="C603" s="141"/>
      <c r="D603" s="141"/>
      <c r="E603" s="140"/>
      <c r="F603" s="133" t="str">
        <f t="shared" si="35"/>
        <v/>
      </c>
      <c r="G603" s="142"/>
      <c r="H603" s="154"/>
      <c r="I603" s="140"/>
      <c r="J603" s="189"/>
      <c r="K603" s="176"/>
    </row>
    <row r="604" spans="2:11" ht="15.75" customHeight="1">
      <c r="B604" s="131">
        <v>572</v>
      </c>
      <c r="C604" s="141"/>
      <c r="D604" s="141"/>
      <c r="E604" s="140"/>
      <c r="F604" s="133" t="str">
        <f t="shared" si="35"/>
        <v/>
      </c>
      <c r="G604" s="142"/>
      <c r="H604" s="154"/>
      <c r="I604" s="140"/>
      <c r="J604" s="189"/>
      <c r="K604" s="176"/>
    </row>
    <row r="605" spans="2:11" ht="15.75" customHeight="1">
      <c r="B605" s="131">
        <v>573</v>
      </c>
      <c r="C605" s="141"/>
      <c r="D605" s="141"/>
      <c r="E605" s="140"/>
      <c r="F605" s="133" t="str">
        <f t="shared" si="35"/>
        <v/>
      </c>
      <c r="G605" s="142"/>
      <c r="H605" s="154"/>
      <c r="I605" s="140"/>
      <c r="J605" s="189"/>
      <c r="K605" s="176"/>
    </row>
    <row r="606" spans="2:11" ht="15.75" customHeight="1">
      <c r="B606" s="131">
        <v>574</v>
      </c>
      <c r="C606" s="141"/>
      <c r="D606" s="141"/>
      <c r="E606" s="140"/>
      <c r="F606" s="133" t="str">
        <f t="shared" si="35"/>
        <v/>
      </c>
      <c r="G606" s="142"/>
      <c r="H606" s="154"/>
      <c r="I606" s="140"/>
      <c r="J606" s="189"/>
      <c r="K606" s="176"/>
    </row>
    <row r="607" spans="2:11" ht="15.75" customHeight="1">
      <c r="B607" s="131">
        <v>575</v>
      </c>
      <c r="C607" s="141"/>
      <c r="D607" s="141"/>
      <c r="E607" s="140"/>
      <c r="F607" s="133" t="str">
        <f t="shared" si="35"/>
        <v/>
      </c>
      <c r="G607" s="142"/>
      <c r="H607" s="154"/>
      <c r="I607" s="140"/>
      <c r="J607" s="189"/>
      <c r="K607" s="176"/>
    </row>
    <row r="608" spans="2:11" ht="15.75" customHeight="1">
      <c r="B608" s="131">
        <v>576</v>
      </c>
      <c r="C608" s="141"/>
      <c r="D608" s="141"/>
      <c r="E608" s="140"/>
      <c r="F608" s="133" t="str">
        <f t="shared" si="35"/>
        <v/>
      </c>
      <c r="G608" s="142"/>
      <c r="H608" s="154"/>
      <c r="I608" s="140"/>
      <c r="J608" s="189"/>
      <c r="K608" s="176"/>
    </row>
    <row r="609" spans="2:11" ht="15.75" customHeight="1">
      <c r="B609" s="131">
        <v>577</v>
      </c>
      <c r="C609" s="141"/>
      <c r="D609" s="141"/>
      <c r="E609" s="140"/>
      <c r="F609" s="133" t="str">
        <f t="shared" si="35"/>
        <v/>
      </c>
      <c r="G609" s="142"/>
      <c r="H609" s="154"/>
      <c r="I609" s="140"/>
      <c r="J609" s="189"/>
      <c r="K609" s="176"/>
    </row>
    <row r="610" spans="2:11" ht="15.75" customHeight="1">
      <c r="B610" s="131">
        <v>578</v>
      </c>
      <c r="C610" s="141"/>
      <c r="D610" s="141"/>
      <c r="E610" s="140"/>
      <c r="F610" s="133" t="str">
        <f t="shared" si="35"/>
        <v/>
      </c>
      <c r="G610" s="142"/>
      <c r="H610" s="154"/>
      <c r="I610" s="140"/>
      <c r="J610" s="189"/>
      <c r="K610" s="176"/>
    </row>
    <row r="611" spans="2:11" ht="15.75" customHeight="1">
      <c r="B611" s="131">
        <v>579</v>
      </c>
      <c r="C611" s="141"/>
      <c r="D611" s="141"/>
      <c r="E611" s="140"/>
      <c r="F611" s="133" t="str">
        <f t="shared" si="35"/>
        <v/>
      </c>
      <c r="G611" s="142"/>
      <c r="H611" s="154"/>
      <c r="I611" s="140"/>
      <c r="J611" s="189"/>
      <c r="K611" s="176"/>
    </row>
    <row r="612" spans="2:11" ht="15.75" customHeight="1">
      <c r="B612" s="131">
        <v>580</v>
      </c>
      <c r="C612" s="141"/>
      <c r="D612" s="141"/>
      <c r="E612" s="140"/>
      <c r="F612" s="133" t="str">
        <f t="shared" si="35"/>
        <v/>
      </c>
      <c r="G612" s="142"/>
      <c r="H612" s="154"/>
      <c r="I612" s="140"/>
      <c r="J612" s="189"/>
      <c r="K612" s="176"/>
    </row>
    <row r="613" spans="2:11" ht="15.75" customHeight="1">
      <c r="B613" s="131">
        <v>581</v>
      </c>
      <c r="C613" s="141"/>
      <c r="D613" s="141"/>
      <c r="E613" s="140"/>
      <c r="F613" s="133" t="str">
        <f t="shared" si="35"/>
        <v/>
      </c>
      <c r="G613" s="142"/>
      <c r="H613" s="154"/>
      <c r="I613" s="140"/>
      <c r="J613" s="189"/>
      <c r="K613" s="176"/>
    </row>
    <row r="614" spans="2:11" ht="15.75" customHeight="1">
      <c r="B614" s="131">
        <v>582</v>
      </c>
      <c r="C614" s="141"/>
      <c r="D614" s="141"/>
      <c r="E614" s="140"/>
      <c r="F614" s="133" t="str">
        <f t="shared" si="35"/>
        <v/>
      </c>
      <c r="G614" s="142"/>
      <c r="H614" s="154"/>
      <c r="I614" s="140"/>
      <c r="J614" s="189"/>
      <c r="K614" s="176"/>
    </row>
    <row r="615" spans="2:11" ht="15.75" customHeight="1">
      <c r="B615" s="131">
        <v>583</v>
      </c>
      <c r="C615" s="141"/>
      <c r="D615" s="141"/>
      <c r="E615" s="140"/>
      <c r="F615" s="133" t="str">
        <f t="shared" si="35"/>
        <v/>
      </c>
      <c r="G615" s="142"/>
      <c r="H615" s="154"/>
      <c r="I615" s="140"/>
      <c r="J615" s="189"/>
      <c r="K615" s="176"/>
    </row>
    <row r="616" spans="2:11" ht="15.75" customHeight="1">
      <c r="B616" s="131">
        <v>584</v>
      </c>
      <c r="C616" s="141"/>
      <c r="D616" s="141"/>
      <c r="E616" s="140"/>
      <c r="F616" s="133" t="str">
        <f t="shared" si="35"/>
        <v/>
      </c>
      <c r="G616" s="142"/>
      <c r="H616" s="154"/>
      <c r="I616" s="140"/>
      <c r="J616" s="189"/>
      <c r="K616" s="176"/>
    </row>
    <row r="617" spans="2:11" ht="15.75" customHeight="1">
      <c r="B617" s="131">
        <v>585</v>
      </c>
      <c r="C617" s="141"/>
      <c r="D617" s="141"/>
      <c r="E617" s="140"/>
      <c r="F617" s="133" t="str">
        <f t="shared" si="35"/>
        <v/>
      </c>
      <c r="G617" s="142"/>
      <c r="H617" s="154"/>
      <c r="I617" s="140"/>
      <c r="J617" s="189"/>
      <c r="K617" s="176"/>
    </row>
    <row r="618" spans="2:11" ht="15.75" customHeight="1">
      <c r="B618" s="131">
        <v>586</v>
      </c>
      <c r="C618" s="141"/>
      <c r="D618" s="141"/>
      <c r="E618" s="140"/>
      <c r="F618" s="133" t="str">
        <f t="shared" si="35"/>
        <v/>
      </c>
      <c r="G618" s="142"/>
      <c r="H618" s="154"/>
      <c r="I618" s="140"/>
      <c r="J618" s="189"/>
      <c r="K618" s="176"/>
    </row>
    <row r="619" spans="2:11" ht="15.75" customHeight="1">
      <c r="B619" s="131">
        <v>587</v>
      </c>
      <c r="C619" s="141"/>
      <c r="D619" s="141"/>
      <c r="E619" s="140"/>
      <c r="F619" s="133" t="str">
        <f t="shared" ref="F619:F682" si="36">IF(E619="","",HLOOKUP(E619,etela,2,0))</f>
        <v/>
      </c>
      <c r="G619" s="142"/>
      <c r="H619" s="154"/>
      <c r="I619" s="140"/>
      <c r="J619" s="189"/>
      <c r="K619" s="176"/>
    </row>
    <row r="620" spans="2:11" ht="15.75" customHeight="1">
      <c r="B620" s="131">
        <v>588</v>
      </c>
      <c r="C620" s="141"/>
      <c r="D620" s="141"/>
      <c r="E620" s="140"/>
      <c r="F620" s="133" t="str">
        <f t="shared" si="36"/>
        <v/>
      </c>
      <c r="G620" s="142"/>
      <c r="H620" s="154"/>
      <c r="I620" s="140"/>
      <c r="J620" s="189"/>
      <c r="K620" s="176"/>
    </row>
    <row r="621" spans="2:11" ht="15.75" customHeight="1">
      <c r="B621" s="131">
        <v>589</v>
      </c>
      <c r="C621" s="141"/>
      <c r="D621" s="141"/>
      <c r="E621" s="140"/>
      <c r="F621" s="133" t="str">
        <f t="shared" si="36"/>
        <v/>
      </c>
      <c r="G621" s="142"/>
      <c r="H621" s="154"/>
      <c r="I621" s="140"/>
      <c r="J621" s="189"/>
      <c r="K621" s="176"/>
    </row>
    <row r="622" spans="2:11" ht="15.75" customHeight="1">
      <c r="B622" s="131">
        <v>590</v>
      </c>
      <c r="C622" s="141"/>
      <c r="D622" s="141"/>
      <c r="E622" s="140"/>
      <c r="F622" s="133" t="str">
        <f t="shared" si="36"/>
        <v/>
      </c>
      <c r="G622" s="142"/>
      <c r="H622" s="154"/>
      <c r="I622" s="140"/>
      <c r="J622" s="189"/>
      <c r="K622" s="176"/>
    </row>
    <row r="623" spans="2:11" ht="15.75" customHeight="1">
      <c r="B623" s="131">
        <v>591</v>
      </c>
      <c r="C623" s="141"/>
      <c r="D623" s="141"/>
      <c r="E623" s="140"/>
      <c r="F623" s="133" t="str">
        <f t="shared" si="36"/>
        <v/>
      </c>
      <c r="G623" s="142"/>
      <c r="H623" s="154"/>
      <c r="I623" s="140"/>
      <c r="J623" s="189"/>
      <c r="K623" s="176"/>
    </row>
    <row r="624" spans="2:11" ht="15.75" customHeight="1">
      <c r="B624" s="131">
        <v>592</v>
      </c>
      <c r="C624" s="141"/>
      <c r="D624" s="141"/>
      <c r="E624" s="140"/>
      <c r="F624" s="133" t="str">
        <f t="shared" si="36"/>
        <v/>
      </c>
      <c r="G624" s="142"/>
      <c r="H624" s="154"/>
      <c r="I624" s="140"/>
      <c r="J624" s="189"/>
      <c r="K624" s="176"/>
    </row>
    <row r="625" spans="2:11" ht="15.75" customHeight="1">
      <c r="B625" s="131">
        <v>593</v>
      </c>
      <c r="C625" s="141"/>
      <c r="D625" s="141"/>
      <c r="E625" s="140"/>
      <c r="F625" s="133" t="str">
        <f t="shared" si="36"/>
        <v/>
      </c>
      <c r="G625" s="142"/>
      <c r="H625" s="154"/>
      <c r="I625" s="140"/>
      <c r="J625" s="189"/>
      <c r="K625" s="176"/>
    </row>
    <row r="626" spans="2:11" ht="15.75" customHeight="1">
      <c r="B626" s="131">
        <v>594</v>
      </c>
      <c r="C626" s="141"/>
      <c r="D626" s="141"/>
      <c r="E626" s="140"/>
      <c r="F626" s="133" t="str">
        <f t="shared" si="36"/>
        <v/>
      </c>
      <c r="G626" s="142"/>
      <c r="H626" s="154"/>
      <c r="I626" s="140"/>
      <c r="J626" s="189"/>
      <c r="K626" s="176"/>
    </row>
    <row r="627" spans="2:11" ht="15.75" customHeight="1">
      <c r="B627" s="131">
        <v>595</v>
      </c>
      <c r="C627" s="141"/>
      <c r="D627" s="141"/>
      <c r="E627" s="140"/>
      <c r="F627" s="133" t="str">
        <f t="shared" si="36"/>
        <v/>
      </c>
      <c r="G627" s="142"/>
      <c r="H627" s="154"/>
      <c r="I627" s="140"/>
      <c r="J627" s="189"/>
      <c r="K627" s="176"/>
    </row>
    <row r="628" spans="2:11" ht="15.75" customHeight="1">
      <c r="B628" s="131">
        <v>596</v>
      </c>
      <c r="C628" s="141"/>
      <c r="D628" s="141"/>
      <c r="E628" s="140"/>
      <c r="F628" s="133" t="str">
        <f t="shared" si="36"/>
        <v/>
      </c>
      <c r="G628" s="142"/>
      <c r="H628" s="154"/>
      <c r="I628" s="140"/>
      <c r="J628" s="189"/>
      <c r="K628" s="176"/>
    </row>
    <row r="629" spans="2:11" ht="15.75" customHeight="1">
      <c r="B629" s="131">
        <v>597</v>
      </c>
      <c r="C629" s="141"/>
      <c r="D629" s="141"/>
      <c r="E629" s="140"/>
      <c r="F629" s="133" t="str">
        <f t="shared" si="36"/>
        <v/>
      </c>
      <c r="G629" s="142"/>
      <c r="H629" s="154"/>
      <c r="I629" s="140"/>
      <c r="J629" s="189"/>
      <c r="K629" s="176"/>
    </row>
    <row r="630" spans="2:11" ht="15.75" customHeight="1">
      <c r="B630" s="131">
        <v>598</v>
      </c>
      <c r="C630" s="141"/>
      <c r="D630" s="141"/>
      <c r="E630" s="140"/>
      <c r="F630" s="133" t="str">
        <f t="shared" si="36"/>
        <v/>
      </c>
      <c r="G630" s="142"/>
      <c r="H630" s="154"/>
      <c r="I630" s="140"/>
      <c r="J630" s="189"/>
      <c r="K630" s="176"/>
    </row>
    <row r="631" spans="2:11" ht="15.75" customHeight="1">
      <c r="B631" s="131">
        <v>599</v>
      </c>
      <c r="C631" s="141"/>
      <c r="D631" s="141"/>
      <c r="E631" s="140"/>
      <c r="F631" s="133" t="str">
        <f t="shared" si="36"/>
        <v/>
      </c>
      <c r="G631" s="142"/>
      <c r="H631" s="154"/>
      <c r="I631" s="140"/>
      <c r="J631" s="189"/>
      <c r="K631" s="176"/>
    </row>
    <row r="632" spans="2:11" ht="15.75" customHeight="1">
      <c r="B632" s="131">
        <v>600</v>
      </c>
      <c r="C632" s="141"/>
      <c r="D632" s="141"/>
      <c r="E632" s="140"/>
      <c r="F632" s="133" t="str">
        <f t="shared" si="36"/>
        <v/>
      </c>
      <c r="G632" s="142"/>
      <c r="H632" s="154"/>
      <c r="I632" s="140"/>
      <c r="J632" s="189"/>
      <c r="K632" s="176"/>
    </row>
    <row r="633" spans="2:11" ht="15.75" customHeight="1">
      <c r="B633" s="131">
        <v>601</v>
      </c>
      <c r="C633" s="141"/>
      <c r="D633" s="141"/>
      <c r="E633" s="140"/>
      <c r="F633" s="133" t="str">
        <f t="shared" si="36"/>
        <v/>
      </c>
      <c r="G633" s="142"/>
      <c r="H633" s="154"/>
      <c r="I633" s="140"/>
      <c r="J633" s="189"/>
      <c r="K633" s="176"/>
    </row>
    <row r="634" spans="2:11" ht="15.75" customHeight="1">
      <c r="B634" s="131">
        <v>602</v>
      </c>
      <c r="C634" s="141"/>
      <c r="D634" s="141"/>
      <c r="E634" s="140"/>
      <c r="F634" s="133" t="str">
        <f t="shared" si="36"/>
        <v/>
      </c>
      <c r="G634" s="142"/>
      <c r="H634" s="154"/>
      <c r="I634" s="140"/>
      <c r="J634" s="189"/>
      <c r="K634" s="176"/>
    </row>
    <row r="635" spans="2:11" ht="15.75" customHeight="1">
      <c r="B635" s="131">
        <v>603</v>
      </c>
      <c r="C635" s="141"/>
      <c r="D635" s="141"/>
      <c r="E635" s="140"/>
      <c r="F635" s="133" t="str">
        <f t="shared" si="36"/>
        <v/>
      </c>
      <c r="G635" s="142"/>
      <c r="H635" s="154"/>
      <c r="I635" s="140"/>
      <c r="J635" s="189"/>
      <c r="K635" s="176"/>
    </row>
    <row r="636" spans="2:11" ht="15.75" customHeight="1">
      <c r="B636" s="131">
        <v>604</v>
      </c>
      <c r="C636" s="141"/>
      <c r="D636" s="141"/>
      <c r="E636" s="140"/>
      <c r="F636" s="133" t="str">
        <f t="shared" si="36"/>
        <v/>
      </c>
      <c r="G636" s="142"/>
      <c r="H636" s="154"/>
      <c r="I636" s="140"/>
      <c r="J636" s="189"/>
      <c r="K636" s="176"/>
    </row>
    <row r="637" spans="2:11" ht="15.75" customHeight="1">
      <c r="B637" s="131">
        <v>605</v>
      </c>
      <c r="C637" s="141"/>
      <c r="D637" s="141"/>
      <c r="E637" s="140"/>
      <c r="F637" s="133" t="str">
        <f t="shared" si="36"/>
        <v/>
      </c>
      <c r="G637" s="142"/>
      <c r="H637" s="154"/>
      <c r="I637" s="140"/>
      <c r="J637" s="189"/>
      <c r="K637" s="176"/>
    </row>
    <row r="638" spans="2:11" ht="15.75" customHeight="1">
      <c r="B638" s="131">
        <v>606</v>
      </c>
      <c r="C638" s="141"/>
      <c r="D638" s="141"/>
      <c r="E638" s="140"/>
      <c r="F638" s="133" t="str">
        <f t="shared" si="36"/>
        <v/>
      </c>
      <c r="G638" s="142"/>
      <c r="H638" s="154"/>
      <c r="I638" s="140"/>
      <c r="J638" s="189"/>
      <c r="K638" s="176"/>
    </row>
    <row r="639" spans="2:11" ht="15.75" customHeight="1">
      <c r="B639" s="131">
        <v>607</v>
      </c>
      <c r="C639" s="141"/>
      <c r="D639" s="141"/>
      <c r="E639" s="140"/>
      <c r="F639" s="133" t="str">
        <f t="shared" si="36"/>
        <v/>
      </c>
      <c r="G639" s="142"/>
      <c r="H639" s="154"/>
      <c r="I639" s="140"/>
      <c r="J639" s="189"/>
      <c r="K639" s="176"/>
    </row>
    <row r="640" spans="2:11" ht="15.75" customHeight="1">
      <c r="B640" s="131">
        <v>608</v>
      </c>
      <c r="C640" s="141"/>
      <c r="D640" s="141"/>
      <c r="E640" s="140"/>
      <c r="F640" s="133" t="str">
        <f t="shared" si="36"/>
        <v/>
      </c>
      <c r="G640" s="142"/>
      <c r="H640" s="154"/>
      <c r="I640" s="140"/>
      <c r="J640" s="189"/>
      <c r="K640" s="176"/>
    </row>
    <row r="641" spans="2:11" ht="15.75" customHeight="1">
      <c r="B641" s="131">
        <v>609</v>
      </c>
      <c r="C641" s="141"/>
      <c r="D641" s="141"/>
      <c r="E641" s="140"/>
      <c r="F641" s="133" t="str">
        <f t="shared" si="36"/>
        <v/>
      </c>
      <c r="G641" s="142"/>
      <c r="H641" s="154"/>
      <c r="I641" s="140"/>
      <c r="J641" s="189"/>
      <c r="K641" s="176"/>
    </row>
    <row r="642" spans="2:11" ht="15.75" customHeight="1">
      <c r="B642" s="131">
        <v>610</v>
      </c>
      <c r="C642" s="141"/>
      <c r="D642" s="141"/>
      <c r="E642" s="140"/>
      <c r="F642" s="133" t="str">
        <f t="shared" si="36"/>
        <v/>
      </c>
      <c r="G642" s="142"/>
      <c r="H642" s="154"/>
      <c r="I642" s="140"/>
      <c r="J642" s="189"/>
      <c r="K642" s="176"/>
    </row>
    <row r="643" spans="2:11" ht="15.75" customHeight="1">
      <c r="B643" s="131">
        <v>611</v>
      </c>
      <c r="C643" s="141"/>
      <c r="D643" s="141"/>
      <c r="E643" s="140"/>
      <c r="F643" s="133" t="str">
        <f t="shared" si="36"/>
        <v/>
      </c>
      <c r="G643" s="142"/>
      <c r="H643" s="154"/>
      <c r="I643" s="140"/>
      <c r="J643" s="189"/>
      <c r="K643" s="176"/>
    </row>
    <row r="644" spans="2:11" ht="15.75" customHeight="1">
      <c r="B644" s="131">
        <v>612</v>
      </c>
      <c r="C644" s="141"/>
      <c r="D644" s="141"/>
      <c r="E644" s="140"/>
      <c r="F644" s="133" t="str">
        <f t="shared" si="36"/>
        <v/>
      </c>
      <c r="G644" s="142"/>
      <c r="H644" s="154"/>
      <c r="I644" s="140"/>
      <c r="J644" s="189"/>
      <c r="K644" s="176"/>
    </row>
    <row r="645" spans="2:11" ht="15.75" customHeight="1">
      <c r="B645" s="131">
        <v>613</v>
      </c>
      <c r="C645" s="141"/>
      <c r="D645" s="141"/>
      <c r="E645" s="140"/>
      <c r="F645" s="133" t="str">
        <f t="shared" si="36"/>
        <v/>
      </c>
      <c r="G645" s="142"/>
      <c r="H645" s="154"/>
      <c r="I645" s="140"/>
      <c r="J645" s="189"/>
      <c r="K645" s="176"/>
    </row>
    <row r="646" spans="2:11" ht="15.75" customHeight="1">
      <c r="B646" s="131">
        <v>614</v>
      </c>
      <c r="C646" s="141"/>
      <c r="D646" s="141"/>
      <c r="E646" s="140"/>
      <c r="F646" s="133" t="str">
        <f t="shared" si="36"/>
        <v/>
      </c>
      <c r="G646" s="142"/>
      <c r="H646" s="154"/>
      <c r="I646" s="140"/>
      <c r="J646" s="189"/>
      <c r="K646" s="176"/>
    </row>
    <row r="647" spans="2:11" ht="15.75" customHeight="1">
      <c r="B647" s="131">
        <v>615</v>
      </c>
      <c r="C647" s="141"/>
      <c r="D647" s="141"/>
      <c r="E647" s="140"/>
      <c r="F647" s="133" t="str">
        <f t="shared" si="36"/>
        <v/>
      </c>
      <c r="G647" s="142"/>
      <c r="H647" s="154"/>
      <c r="I647" s="140"/>
      <c r="J647" s="189"/>
      <c r="K647" s="176"/>
    </row>
    <row r="648" spans="2:11" ht="15.75" customHeight="1">
      <c r="B648" s="131">
        <v>616</v>
      </c>
      <c r="C648" s="141"/>
      <c r="D648" s="141"/>
      <c r="E648" s="140"/>
      <c r="F648" s="133" t="str">
        <f t="shared" si="36"/>
        <v/>
      </c>
      <c r="G648" s="142"/>
      <c r="H648" s="154"/>
      <c r="I648" s="140"/>
      <c r="J648" s="189"/>
      <c r="K648" s="176"/>
    </row>
    <row r="649" spans="2:11" ht="15.75" customHeight="1">
      <c r="B649" s="131">
        <v>617</v>
      </c>
      <c r="C649" s="141"/>
      <c r="D649" s="141"/>
      <c r="E649" s="140"/>
      <c r="F649" s="133" t="str">
        <f t="shared" si="36"/>
        <v/>
      </c>
      <c r="G649" s="142"/>
      <c r="H649" s="154"/>
      <c r="I649" s="140"/>
      <c r="J649" s="189"/>
      <c r="K649" s="176"/>
    </row>
    <row r="650" spans="2:11" ht="15.75" customHeight="1">
      <c r="B650" s="131">
        <v>618</v>
      </c>
      <c r="C650" s="141"/>
      <c r="D650" s="141"/>
      <c r="E650" s="140"/>
      <c r="F650" s="133" t="str">
        <f t="shared" si="36"/>
        <v/>
      </c>
      <c r="G650" s="142"/>
      <c r="H650" s="154"/>
      <c r="I650" s="140"/>
      <c r="J650" s="189"/>
      <c r="K650" s="176"/>
    </row>
    <row r="651" spans="2:11" ht="15.75" customHeight="1">
      <c r="B651" s="131">
        <v>619</v>
      </c>
      <c r="C651" s="141"/>
      <c r="D651" s="141"/>
      <c r="E651" s="140"/>
      <c r="F651" s="133" t="str">
        <f t="shared" si="36"/>
        <v/>
      </c>
      <c r="G651" s="142"/>
      <c r="H651" s="154"/>
      <c r="I651" s="140"/>
      <c r="J651" s="189"/>
      <c r="K651" s="176"/>
    </row>
    <row r="652" spans="2:11" ht="15.75" customHeight="1">
      <c r="B652" s="131">
        <v>620</v>
      </c>
      <c r="C652" s="141"/>
      <c r="D652" s="141"/>
      <c r="E652" s="140"/>
      <c r="F652" s="133" t="str">
        <f t="shared" si="36"/>
        <v/>
      </c>
      <c r="G652" s="142"/>
      <c r="H652" s="154"/>
      <c r="I652" s="140"/>
      <c r="J652" s="189"/>
      <c r="K652" s="176"/>
    </row>
    <row r="653" spans="2:11" ht="15.75" customHeight="1">
      <c r="B653" s="131">
        <v>621</v>
      </c>
      <c r="C653" s="141"/>
      <c r="D653" s="141"/>
      <c r="E653" s="140"/>
      <c r="F653" s="133" t="str">
        <f t="shared" si="36"/>
        <v/>
      </c>
      <c r="G653" s="142"/>
      <c r="H653" s="154"/>
      <c r="I653" s="140"/>
      <c r="J653" s="189"/>
      <c r="K653" s="176"/>
    </row>
    <row r="654" spans="2:11" ht="15.75" customHeight="1">
      <c r="B654" s="131">
        <v>622</v>
      </c>
      <c r="C654" s="141"/>
      <c r="D654" s="141"/>
      <c r="E654" s="140"/>
      <c r="F654" s="133" t="str">
        <f t="shared" si="36"/>
        <v/>
      </c>
      <c r="G654" s="142"/>
      <c r="H654" s="154"/>
      <c r="I654" s="140"/>
      <c r="J654" s="189"/>
      <c r="K654" s="176"/>
    </row>
    <row r="655" spans="2:11" ht="15.75" customHeight="1">
      <c r="B655" s="131">
        <v>623</v>
      </c>
      <c r="C655" s="141"/>
      <c r="D655" s="141"/>
      <c r="E655" s="140"/>
      <c r="F655" s="133" t="str">
        <f t="shared" si="36"/>
        <v/>
      </c>
      <c r="G655" s="142"/>
      <c r="H655" s="154"/>
      <c r="I655" s="140"/>
      <c r="J655" s="189"/>
      <c r="K655" s="176"/>
    </row>
    <row r="656" spans="2:11" ht="15.75" customHeight="1">
      <c r="B656" s="131">
        <v>624</v>
      </c>
      <c r="C656" s="141"/>
      <c r="D656" s="141"/>
      <c r="E656" s="140"/>
      <c r="F656" s="133" t="str">
        <f t="shared" si="36"/>
        <v/>
      </c>
      <c r="G656" s="142"/>
      <c r="H656" s="154"/>
      <c r="I656" s="140"/>
      <c r="J656" s="189"/>
      <c r="K656" s="176"/>
    </row>
    <row r="657" spans="2:11" ht="15.75" customHeight="1">
      <c r="B657" s="131">
        <v>625</v>
      </c>
      <c r="C657" s="141"/>
      <c r="D657" s="141"/>
      <c r="E657" s="140"/>
      <c r="F657" s="133" t="str">
        <f t="shared" si="36"/>
        <v/>
      </c>
      <c r="G657" s="142"/>
      <c r="H657" s="154"/>
      <c r="I657" s="140"/>
      <c r="J657" s="189"/>
      <c r="K657" s="176"/>
    </row>
    <row r="658" spans="2:11" ht="15.75" customHeight="1">
      <c r="B658" s="131">
        <v>626</v>
      </c>
      <c r="C658" s="141"/>
      <c r="D658" s="141"/>
      <c r="E658" s="140"/>
      <c r="F658" s="133" t="str">
        <f t="shared" si="36"/>
        <v/>
      </c>
      <c r="G658" s="142"/>
      <c r="H658" s="154"/>
      <c r="I658" s="140"/>
      <c r="J658" s="189"/>
      <c r="K658" s="176"/>
    </row>
    <row r="659" spans="2:11" ht="15.75" customHeight="1">
      <c r="B659" s="131">
        <v>627</v>
      </c>
      <c r="C659" s="141"/>
      <c r="D659" s="141"/>
      <c r="E659" s="140"/>
      <c r="F659" s="133" t="str">
        <f t="shared" si="36"/>
        <v/>
      </c>
      <c r="G659" s="142"/>
      <c r="H659" s="154"/>
      <c r="I659" s="140"/>
      <c r="J659" s="189"/>
      <c r="K659" s="176"/>
    </row>
    <row r="660" spans="2:11" ht="15.75" customHeight="1">
      <c r="B660" s="131">
        <v>628</v>
      </c>
      <c r="C660" s="141"/>
      <c r="D660" s="141"/>
      <c r="E660" s="140"/>
      <c r="F660" s="133" t="str">
        <f t="shared" si="36"/>
        <v/>
      </c>
      <c r="G660" s="142"/>
      <c r="H660" s="154"/>
      <c r="I660" s="140"/>
      <c r="J660" s="189"/>
      <c r="K660" s="176"/>
    </row>
    <row r="661" spans="2:11" ht="15.75" customHeight="1">
      <c r="B661" s="131">
        <v>629</v>
      </c>
      <c r="C661" s="141"/>
      <c r="D661" s="141"/>
      <c r="E661" s="140"/>
      <c r="F661" s="133" t="str">
        <f t="shared" si="36"/>
        <v/>
      </c>
      <c r="G661" s="142"/>
      <c r="H661" s="154"/>
      <c r="I661" s="140"/>
      <c r="J661" s="189"/>
      <c r="K661" s="176"/>
    </row>
    <row r="662" spans="2:11" ht="15.75" customHeight="1">
      <c r="B662" s="131">
        <v>630</v>
      </c>
      <c r="C662" s="141"/>
      <c r="D662" s="141"/>
      <c r="E662" s="140"/>
      <c r="F662" s="133" t="str">
        <f t="shared" si="36"/>
        <v/>
      </c>
      <c r="G662" s="142"/>
      <c r="H662" s="154"/>
      <c r="I662" s="140"/>
      <c r="J662" s="189"/>
      <c r="K662" s="176"/>
    </row>
    <row r="663" spans="2:11" ht="15.75" customHeight="1">
      <c r="B663" s="131">
        <v>631</v>
      </c>
      <c r="C663" s="141"/>
      <c r="D663" s="141"/>
      <c r="E663" s="140"/>
      <c r="F663" s="133" t="str">
        <f t="shared" si="36"/>
        <v/>
      </c>
      <c r="G663" s="142"/>
      <c r="H663" s="154"/>
      <c r="I663" s="140"/>
      <c r="J663" s="189"/>
      <c r="K663" s="176"/>
    </row>
    <row r="664" spans="2:11" ht="15.75" customHeight="1">
      <c r="B664" s="131">
        <v>632</v>
      </c>
      <c r="C664" s="141"/>
      <c r="D664" s="141"/>
      <c r="E664" s="140"/>
      <c r="F664" s="133" t="str">
        <f t="shared" si="36"/>
        <v/>
      </c>
      <c r="G664" s="142"/>
      <c r="H664" s="154"/>
      <c r="I664" s="140"/>
      <c r="J664" s="189"/>
      <c r="K664" s="176"/>
    </row>
    <row r="665" spans="2:11" ht="15.75" customHeight="1">
      <c r="B665" s="131">
        <v>633</v>
      </c>
      <c r="C665" s="141"/>
      <c r="D665" s="141"/>
      <c r="E665" s="140"/>
      <c r="F665" s="133" t="str">
        <f t="shared" si="36"/>
        <v/>
      </c>
      <c r="G665" s="142"/>
      <c r="H665" s="154"/>
      <c r="I665" s="140"/>
      <c r="J665" s="189"/>
      <c r="K665" s="176"/>
    </row>
    <row r="666" spans="2:11" ht="15.75" customHeight="1">
      <c r="B666" s="131">
        <v>634</v>
      </c>
      <c r="C666" s="141"/>
      <c r="D666" s="141"/>
      <c r="E666" s="140"/>
      <c r="F666" s="133" t="str">
        <f t="shared" si="36"/>
        <v/>
      </c>
      <c r="G666" s="142"/>
      <c r="H666" s="154"/>
      <c r="I666" s="140"/>
      <c r="J666" s="189"/>
      <c r="K666" s="176"/>
    </row>
    <row r="667" spans="2:11" ht="15.75" customHeight="1">
      <c r="B667" s="131">
        <v>635</v>
      </c>
      <c r="C667" s="141"/>
      <c r="D667" s="141"/>
      <c r="E667" s="140"/>
      <c r="F667" s="133" t="str">
        <f t="shared" si="36"/>
        <v/>
      </c>
      <c r="G667" s="142"/>
      <c r="H667" s="154"/>
      <c r="I667" s="140"/>
      <c r="J667" s="189"/>
      <c r="K667" s="176"/>
    </row>
    <row r="668" spans="2:11" ht="15.75" customHeight="1">
      <c r="B668" s="131">
        <v>636</v>
      </c>
      <c r="C668" s="141"/>
      <c r="D668" s="141"/>
      <c r="E668" s="140"/>
      <c r="F668" s="133" t="str">
        <f t="shared" si="36"/>
        <v/>
      </c>
      <c r="G668" s="142"/>
      <c r="H668" s="154"/>
      <c r="I668" s="140"/>
      <c r="J668" s="189"/>
      <c r="K668" s="176"/>
    </row>
    <row r="669" spans="2:11" ht="15.75" customHeight="1">
      <c r="B669" s="131">
        <v>637</v>
      </c>
      <c r="C669" s="141"/>
      <c r="D669" s="141"/>
      <c r="E669" s="140"/>
      <c r="F669" s="133" t="str">
        <f t="shared" si="36"/>
        <v/>
      </c>
      <c r="G669" s="142"/>
      <c r="H669" s="154"/>
      <c r="I669" s="140"/>
      <c r="J669" s="189"/>
      <c r="K669" s="176"/>
    </row>
    <row r="670" spans="2:11" ht="15.75" customHeight="1">
      <c r="B670" s="131">
        <v>638</v>
      </c>
      <c r="C670" s="141"/>
      <c r="D670" s="141"/>
      <c r="E670" s="140"/>
      <c r="F670" s="133" t="str">
        <f t="shared" si="36"/>
        <v/>
      </c>
      <c r="G670" s="142"/>
      <c r="H670" s="154"/>
      <c r="I670" s="140"/>
      <c r="J670" s="189"/>
      <c r="K670" s="176"/>
    </row>
    <row r="671" spans="2:11" ht="15.75" customHeight="1">
      <c r="B671" s="131">
        <v>639</v>
      </c>
      <c r="C671" s="141"/>
      <c r="D671" s="141"/>
      <c r="E671" s="140"/>
      <c r="F671" s="133" t="str">
        <f t="shared" si="36"/>
        <v/>
      </c>
      <c r="G671" s="142"/>
      <c r="H671" s="154"/>
      <c r="I671" s="140"/>
      <c r="J671" s="189"/>
      <c r="K671" s="176"/>
    </row>
    <row r="672" spans="2:11" ht="15.75" customHeight="1">
      <c r="B672" s="131">
        <v>640</v>
      </c>
      <c r="C672" s="141"/>
      <c r="D672" s="141"/>
      <c r="E672" s="140"/>
      <c r="F672" s="133" t="str">
        <f t="shared" si="36"/>
        <v/>
      </c>
      <c r="G672" s="142"/>
      <c r="H672" s="154"/>
      <c r="I672" s="140"/>
      <c r="J672" s="189"/>
      <c r="K672" s="176"/>
    </row>
    <row r="673" spans="2:11" ht="15.75" customHeight="1">
      <c r="B673" s="131">
        <v>641</v>
      </c>
      <c r="C673" s="141"/>
      <c r="D673" s="141"/>
      <c r="E673" s="140"/>
      <c r="F673" s="133" t="str">
        <f t="shared" si="36"/>
        <v/>
      </c>
      <c r="G673" s="142"/>
      <c r="H673" s="154"/>
      <c r="I673" s="140"/>
      <c r="J673" s="189"/>
      <c r="K673" s="176"/>
    </row>
    <row r="674" spans="2:11" ht="15.75" customHeight="1">
      <c r="B674" s="131">
        <v>642</v>
      </c>
      <c r="C674" s="141"/>
      <c r="D674" s="141"/>
      <c r="E674" s="140"/>
      <c r="F674" s="133" t="str">
        <f t="shared" si="36"/>
        <v/>
      </c>
      <c r="G674" s="142"/>
      <c r="H674" s="154"/>
      <c r="I674" s="140"/>
      <c r="J674" s="189"/>
      <c r="K674" s="176"/>
    </row>
    <row r="675" spans="2:11" ht="15.75" customHeight="1">
      <c r="B675" s="131">
        <v>643</v>
      </c>
      <c r="C675" s="141"/>
      <c r="D675" s="141"/>
      <c r="E675" s="140"/>
      <c r="F675" s="133" t="str">
        <f t="shared" si="36"/>
        <v/>
      </c>
      <c r="G675" s="142"/>
      <c r="H675" s="154"/>
      <c r="I675" s="140"/>
      <c r="J675" s="189"/>
      <c r="K675" s="176"/>
    </row>
    <row r="676" spans="2:11" ht="15.75" customHeight="1">
      <c r="B676" s="131">
        <v>644</v>
      </c>
      <c r="C676" s="141"/>
      <c r="D676" s="141"/>
      <c r="E676" s="140"/>
      <c r="F676" s="133" t="str">
        <f t="shared" si="36"/>
        <v/>
      </c>
      <c r="G676" s="142"/>
      <c r="H676" s="154"/>
      <c r="I676" s="140"/>
      <c r="J676" s="189"/>
      <c r="K676" s="176"/>
    </row>
    <row r="677" spans="2:11" ht="15.75" customHeight="1">
      <c r="B677" s="131">
        <v>645</v>
      </c>
      <c r="C677" s="141"/>
      <c r="D677" s="141"/>
      <c r="E677" s="140"/>
      <c r="F677" s="133" t="str">
        <f t="shared" si="36"/>
        <v/>
      </c>
      <c r="G677" s="142"/>
      <c r="H677" s="154"/>
      <c r="I677" s="140"/>
      <c r="J677" s="189"/>
      <c r="K677" s="176"/>
    </row>
    <row r="678" spans="2:11" ht="15.75" customHeight="1">
      <c r="B678" s="131">
        <v>646</v>
      </c>
      <c r="C678" s="141"/>
      <c r="D678" s="141"/>
      <c r="E678" s="140"/>
      <c r="F678" s="133" t="str">
        <f t="shared" si="36"/>
        <v/>
      </c>
      <c r="G678" s="142"/>
      <c r="H678" s="154"/>
      <c r="I678" s="140"/>
      <c r="J678" s="189"/>
      <c r="K678" s="176"/>
    </row>
    <row r="679" spans="2:11" ht="15.75" customHeight="1">
      <c r="B679" s="131">
        <v>647</v>
      </c>
      <c r="C679" s="141"/>
      <c r="D679" s="141"/>
      <c r="E679" s="140"/>
      <c r="F679" s="133" t="str">
        <f t="shared" si="36"/>
        <v/>
      </c>
      <c r="G679" s="142"/>
      <c r="H679" s="154"/>
      <c r="I679" s="140"/>
      <c r="J679" s="189"/>
      <c r="K679" s="176"/>
    </row>
    <row r="680" spans="2:11" ht="15.75" customHeight="1">
      <c r="B680" s="131">
        <v>648</v>
      </c>
      <c r="C680" s="141"/>
      <c r="D680" s="141"/>
      <c r="E680" s="140"/>
      <c r="F680" s="133" t="str">
        <f t="shared" si="36"/>
        <v/>
      </c>
      <c r="G680" s="142"/>
      <c r="H680" s="154"/>
      <c r="I680" s="140"/>
      <c r="J680" s="189"/>
      <c r="K680" s="176"/>
    </row>
    <row r="681" spans="2:11" ht="15.75" customHeight="1">
      <c r="B681" s="131">
        <v>649</v>
      </c>
      <c r="C681" s="141"/>
      <c r="D681" s="141"/>
      <c r="E681" s="140"/>
      <c r="F681" s="133" t="str">
        <f t="shared" si="36"/>
        <v/>
      </c>
      <c r="G681" s="142"/>
      <c r="H681" s="154"/>
      <c r="I681" s="140"/>
      <c r="J681" s="189"/>
      <c r="K681" s="176"/>
    </row>
    <row r="682" spans="2:11" ht="15.75" customHeight="1">
      <c r="B682" s="131">
        <v>650</v>
      </c>
      <c r="C682" s="141"/>
      <c r="D682" s="141"/>
      <c r="E682" s="140"/>
      <c r="F682" s="133" t="str">
        <f t="shared" si="36"/>
        <v/>
      </c>
      <c r="G682" s="142"/>
      <c r="H682" s="154"/>
      <c r="I682" s="140"/>
      <c r="J682" s="189"/>
      <c r="K682" s="176"/>
    </row>
    <row r="683" spans="2:11" ht="15.75" customHeight="1">
      <c r="B683" s="131">
        <v>651</v>
      </c>
      <c r="C683" s="141"/>
      <c r="D683" s="141"/>
      <c r="E683" s="140"/>
      <c r="F683" s="133" t="str">
        <f t="shared" ref="F683:F746" si="37">IF(E683="","",HLOOKUP(E683,etela,2,0))</f>
        <v/>
      </c>
      <c r="G683" s="142"/>
      <c r="H683" s="154"/>
      <c r="I683" s="140"/>
      <c r="J683" s="189"/>
      <c r="K683" s="176"/>
    </row>
    <row r="684" spans="2:11" ht="15.75" customHeight="1">
      <c r="B684" s="131">
        <v>652</v>
      </c>
      <c r="C684" s="141"/>
      <c r="D684" s="141"/>
      <c r="E684" s="140"/>
      <c r="F684" s="133" t="str">
        <f t="shared" si="37"/>
        <v/>
      </c>
      <c r="G684" s="142"/>
      <c r="H684" s="154"/>
      <c r="I684" s="140"/>
      <c r="J684" s="189"/>
      <c r="K684" s="176"/>
    </row>
    <row r="685" spans="2:11" ht="15.75" customHeight="1">
      <c r="B685" s="131">
        <v>653</v>
      </c>
      <c r="C685" s="141"/>
      <c r="D685" s="141"/>
      <c r="E685" s="140"/>
      <c r="F685" s="133" t="str">
        <f t="shared" si="37"/>
        <v/>
      </c>
      <c r="G685" s="142"/>
      <c r="H685" s="154"/>
      <c r="I685" s="140"/>
      <c r="J685" s="189"/>
      <c r="K685" s="176"/>
    </row>
    <row r="686" spans="2:11" ht="15.75" customHeight="1">
      <c r="B686" s="131">
        <v>654</v>
      </c>
      <c r="C686" s="141"/>
      <c r="D686" s="141"/>
      <c r="E686" s="140"/>
      <c r="F686" s="133" t="str">
        <f t="shared" si="37"/>
        <v/>
      </c>
      <c r="G686" s="142"/>
      <c r="H686" s="154"/>
      <c r="I686" s="140"/>
      <c r="J686" s="189"/>
      <c r="K686" s="176"/>
    </row>
    <row r="687" spans="2:11" ht="15.75" customHeight="1">
      <c r="B687" s="131">
        <v>655</v>
      </c>
      <c r="C687" s="141"/>
      <c r="D687" s="141"/>
      <c r="E687" s="140"/>
      <c r="F687" s="133" t="str">
        <f t="shared" si="37"/>
        <v/>
      </c>
      <c r="G687" s="142"/>
      <c r="H687" s="154"/>
      <c r="I687" s="140"/>
      <c r="J687" s="189"/>
      <c r="K687" s="176"/>
    </row>
    <row r="688" spans="2:11" ht="15.75" customHeight="1">
      <c r="B688" s="131">
        <v>656</v>
      </c>
      <c r="C688" s="141"/>
      <c r="D688" s="141"/>
      <c r="E688" s="140"/>
      <c r="F688" s="133" t="str">
        <f t="shared" si="37"/>
        <v/>
      </c>
      <c r="G688" s="142"/>
      <c r="H688" s="154"/>
      <c r="I688" s="140"/>
      <c r="J688" s="189"/>
      <c r="K688" s="176"/>
    </row>
    <row r="689" spans="2:11" ht="15.75" customHeight="1">
      <c r="B689" s="131">
        <v>657</v>
      </c>
      <c r="C689" s="141"/>
      <c r="D689" s="141"/>
      <c r="E689" s="140"/>
      <c r="F689" s="133" t="str">
        <f t="shared" si="37"/>
        <v/>
      </c>
      <c r="G689" s="142"/>
      <c r="H689" s="154"/>
      <c r="I689" s="140"/>
      <c r="J689" s="189"/>
      <c r="K689" s="176"/>
    </row>
    <row r="690" spans="2:11" ht="15.75" customHeight="1">
      <c r="B690" s="131">
        <v>658</v>
      </c>
      <c r="C690" s="141"/>
      <c r="D690" s="141"/>
      <c r="E690" s="140"/>
      <c r="F690" s="133" t="str">
        <f t="shared" si="37"/>
        <v/>
      </c>
      <c r="G690" s="142"/>
      <c r="H690" s="154"/>
      <c r="I690" s="140"/>
      <c r="J690" s="189"/>
      <c r="K690" s="176"/>
    </row>
    <row r="691" spans="2:11" ht="15.75" customHeight="1">
      <c r="B691" s="131">
        <v>659</v>
      </c>
      <c r="C691" s="141"/>
      <c r="D691" s="141"/>
      <c r="E691" s="140"/>
      <c r="F691" s="133" t="str">
        <f t="shared" si="37"/>
        <v/>
      </c>
      <c r="G691" s="142"/>
      <c r="H691" s="154"/>
      <c r="I691" s="140"/>
      <c r="J691" s="189"/>
      <c r="K691" s="176"/>
    </row>
    <row r="692" spans="2:11" ht="15.75" customHeight="1">
      <c r="B692" s="131">
        <v>660</v>
      </c>
      <c r="C692" s="141"/>
      <c r="D692" s="141"/>
      <c r="E692" s="140"/>
      <c r="F692" s="133" t="str">
        <f t="shared" si="37"/>
        <v/>
      </c>
      <c r="G692" s="142"/>
      <c r="H692" s="154"/>
      <c r="I692" s="140"/>
      <c r="J692" s="189"/>
      <c r="K692" s="176"/>
    </row>
    <row r="693" spans="2:11" ht="15.75" customHeight="1">
      <c r="B693" s="131">
        <v>661</v>
      </c>
      <c r="C693" s="141"/>
      <c r="D693" s="141"/>
      <c r="E693" s="140"/>
      <c r="F693" s="133" t="str">
        <f t="shared" si="37"/>
        <v/>
      </c>
      <c r="G693" s="142"/>
      <c r="H693" s="154"/>
      <c r="I693" s="140"/>
      <c r="J693" s="189"/>
      <c r="K693" s="176"/>
    </row>
    <row r="694" spans="2:11" ht="15.75" customHeight="1">
      <c r="B694" s="131">
        <v>662</v>
      </c>
      <c r="C694" s="141"/>
      <c r="D694" s="141"/>
      <c r="E694" s="140"/>
      <c r="F694" s="133" t="str">
        <f t="shared" si="37"/>
        <v/>
      </c>
      <c r="G694" s="142"/>
      <c r="H694" s="154"/>
      <c r="I694" s="140"/>
      <c r="J694" s="189"/>
      <c r="K694" s="176"/>
    </row>
    <row r="695" spans="2:11" ht="15.75" customHeight="1">
      <c r="B695" s="131">
        <v>663</v>
      </c>
      <c r="C695" s="141"/>
      <c r="D695" s="141"/>
      <c r="E695" s="140"/>
      <c r="F695" s="133" t="str">
        <f t="shared" si="37"/>
        <v/>
      </c>
      <c r="G695" s="142"/>
      <c r="H695" s="154"/>
      <c r="I695" s="140"/>
      <c r="J695" s="189"/>
      <c r="K695" s="176"/>
    </row>
    <row r="696" spans="2:11" ht="15.75" customHeight="1">
      <c r="B696" s="131">
        <v>664</v>
      </c>
      <c r="C696" s="141"/>
      <c r="D696" s="141"/>
      <c r="E696" s="140"/>
      <c r="F696" s="133" t="str">
        <f t="shared" si="37"/>
        <v/>
      </c>
      <c r="G696" s="142"/>
      <c r="H696" s="154"/>
      <c r="I696" s="140"/>
      <c r="J696" s="189"/>
      <c r="K696" s="176"/>
    </row>
    <row r="697" spans="2:11" ht="15.75" customHeight="1">
      <c r="B697" s="131">
        <v>665</v>
      </c>
      <c r="C697" s="141"/>
      <c r="D697" s="141"/>
      <c r="E697" s="140"/>
      <c r="F697" s="133" t="str">
        <f t="shared" si="37"/>
        <v/>
      </c>
      <c r="G697" s="142"/>
      <c r="H697" s="154"/>
      <c r="I697" s="140"/>
      <c r="J697" s="189"/>
      <c r="K697" s="176"/>
    </row>
    <row r="698" spans="2:11" ht="15.75" customHeight="1">
      <c r="B698" s="131">
        <v>666</v>
      </c>
      <c r="C698" s="141"/>
      <c r="D698" s="141"/>
      <c r="E698" s="140"/>
      <c r="F698" s="133" t="str">
        <f t="shared" si="37"/>
        <v/>
      </c>
      <c r="G698" s="142"/>
      <c r="H698" s="154"/>
      <c r="I698" s="140"/>
      <c r="J698" s="189"/>
      <c r="K698" s="176"/>
    </row>
    <row r="699" spans="2:11" ht="15.75" customHeight="1">
      <c r="B699" s="131">
        <v>667</v>
      </c>
      <c r="C699" s="141"/>
      <c r="D699" s="141"/>
      <c r="E699" s="140"/>
      <c r="F699" s="133" t="str">
        <f t="shared" si="37"/>
        <v/>
      </c>
      <c r="G699" s="142"/>
      <c r="H699" s="154"/>
      <c r="I699" s="140"/>
      <c r="J699" s="189"/>
      <c r="K699" s="176"/>
    </row>
    <row r="700" spans="2:11" ht="15.75" customHeight="1">
      <c r="B700" s="131">
        <v>668</v>
      </c>
      <c r="C700" s="141"/>
      <c r="D700" s="141"/>
      <c r="E700" s="140"/>
      <c r="F700" s="133" t="str">
        <f t="shared" si="37"/>
        <v/>
      </c>
      <c r="G700" s="142"/>
      <c r="H700" s="154"/>
      <c r="I700" s="140"/>
      <c r="J700" s="189"/>
      <c r="K700" s="176"/>
    </row>
    <row r="701" spans="2:11" ht="15.75" customHeight="1">
      <c r="B701" s="131">
        <v>669</v>
      </c>
      <c r="C701" s="141"/>
      <c r="D701" s="141"/>
      <c r="E701" s="140"/>
      <c r="F701" s="133" t="str">
        <f t="shared" si="37"/>
        <v/>
      </c>
      <c r="G701" s="142"/>
      <c r="H701" s="154"/>
      <c r="I701" s="140"/>
      <c r="J701" s="189"/>
      <c r="K701" s="176"/>
    </row>
    <row r="702" spans="2:11" ht="15.75" customHeight="1">
      <c r="B702" s="131">
        <v>670</v>
      </c>
      <c r="C702" s="141"/>
      <c r="D702" s="141"/>
      <c r="E702" s="140"/>
      <c r="F702" s="133" t="str">
        <f t="shared" si="37"/>
        <v/>
      </c>
      <c r="G702" s="142"/>
      <c r="H702" s="154"/>
      <c r="I702" s="140"/>
      <c r="J702" s="189"/>
      <c r="K702" s="176"/>
    </row>
    <row r="703" spans="2:11" ht="15.75" customHeight="1">
      <c r="B703" s="131">
        <v>671</v>
      </c>
      <c r="C703" s="141"/>
      <c r="D703" s="141"/>
      <c r="E703" s="140"/>
      <c r="F703" s="133" t="str">
        <f t="shared" si="37"/>
        <v/>
      </c>
      <c r="G703" s="142"/>
      <c r="H703" s="154"/>
      <c r="I703" s="140"/>
      <c r="J703" s="189"/>
      <c r="K703" s="176"/>
    </row>
    <row r="704" spans="2:11" ht="15.75" customHeight="1">
      <c r="B704" s="131">
        <v>672</v>
      </c>
      <c r="C704" s="141"/>
      <c r="D704" s="141"/>
      <c r="E704" s="140"/>
      <c r="F704" s="133" t="str">
        <f t="shared" si="37"/>
        <v/>
      </c>
      <c r="G704" s="142"/>
      <c r="H704" s="154"/>
      <c r="I704" s="140"/>
      <c r="J704" s="189"/>
      <c r="K704" s="176"/>
    </row>
    <row r="705" spans="2:11" ht="15.75" customHeight="1">
      <c r="B705" s="131">
        <v>673</v>
      </c>
      <c r="C705" s="141"/>
      <c r="D705" s="141"/>
      <c r="E705" s="140"/>
      <c r="F705" s="133" t="str">
        <f t="shared" si="37"/>
        <v/>
      </c>
      <c r="G705" s="142"/>
      <c r="H705" s="154"/>
      <c r="I705" s="140"/>
      <c r="J705" s="189"/>
      <c r="K705" s="176"/>
    </row>
    <row r="706" spans="2:11" ht="15.75" customHeight="1">
      <c r="B706" s="131">
        <v>674</v>
      </c>
      <c r="C706" s="141"/>
      <c r="D706" s="141"/>
      <c r="E706" s="140"/>
      <c r="F706" s="133" t="str">
        <f t="shared" si="37"/>
        <v/>
      </c>
      <c r="G706" s="142"/>
      <c r="H706" s="154"/>
      <c r="I706" s="140"/>
      <c r="J706" s="189"/>
      <c r="K706" s="176"/>
    </row>
    <row r="707" spans="2:11" ht="15.75" customHeight="1">
      <c r="B707" s="131">
        <v>675</v>
      </c>
      <c r="C707" s="141"/>
      <c r="D707" s="141"/>
      <c r="E707" s="140"/>
      <c r="F707" s="133" t="str">
        <f t="shared" si="37"/>
        <v/>
      </c>
      <c r="G707" s="142"/>
      <c r="H707" s="154"/>
      <c r="I707" s="140"/>
      <c r="J707" s="189"/>
      <c r="K707" s="176"/>
    </row>
    <row r="708" spans="2:11" ht="15.75" customHeight="1">
      <c r="B708" s="131">
        <v>676</v>
      </c>
      <c r="C708" s="141"/>
      <c r="D708" s="141"/>
      <c r="E708" s="140"/>
      <c r="F708" s="133" t="str">
        <f t="shared" si="37"/>
        <v/>
      </c>
      <c r="G708" s="142"/>
      <c r="H708" s="154"/>
      <c r="I708" s="140"/>
      <c r="J708" s="189"/>
      <c r="K708" s="176"/>
    </row>
    <row r="709" spans="2:11" ht="15.75" customHeight="1">
      <c r="B709" s="131">
        <v>677</v>
      </c>
      <c r="C709" s="141"/>
      <c r="D709" s="141"/>
      <c r="E709" s="140"/>
      <c r="F709" s="133" t="str">
        <f t="shared" si="37"/>
        <v/>
      </c>
      <c r="G709" s="142"/>
      <c r="H709" s="154"/>
      <c r="I709" s="140"/>
      <c r="J709" s="189"/>
      <c r="K709" s="176"/>
    </row>
    <row r="710" spans="2:11" ht="15.75" customHeight="1">
      <c r="B710" s="131">
        <v>678</v>
      </c>
      <c r="C710" s="141"/>
      <c r="D710" s="141"/>
      <c r="E710" s="140"/>
      <c r="F710" s="133" t="str">
        <f t="shared" si="37"/>
        <v/>
      </c>
      <c r="G710" s="142"/>
      <c r="H710" s="154"/>
      <c r="I710" s="140"/>
      <c r="J710" s="189"/>
      <c r="K710" s="176"/>
    </row>
    <row r="711" spans="2:11" ht="15.75" customHeight="1">
      <c r="B711" s="131">
        <v>679</v>
      </c>
      <c r="C711" s="141"/>
      <c r="D711" s="141"/>
      <c r="E711" s="140"/>
      <c r="F711" s="133" t="str">
        <f t="shared" si="37"/>
        <v/>
      </c>
      <c r="G711" s="142"/>
      <c r="H711" s="154"/>
      <c r="I711" s="140"/>
      <c r="J711" s="189"/>
      <c r="K711" s="176"/>
    </row>
    <row r="712" spans="2:11" ht="15.75" customHeight="1">
      <c r="B712" s="131">
        <v>680</v>
      </c>
      <c r="C712" s="141"/>
      <c r="D712" s="141"/>
      <c r="E712" s="140"/>
      <c r="F712" s="133" t="str">
        <f t="shared" si="37"/>
        <v/>
      </c>
      <c r="G712" s="142"/>
      <c r="H712" s="154"/>
      <c r="I712" s="140"/>
      <c r="J712" s="189"/>
      <c r="K712" s="176"/>
    </row>
    <row r="713" spans="2:11" ht="15.75" customHeight="1">
      <c r="B713" s="131">
        <v>681</v>
      </c>
      <c r="C713" s="141"/>
      <c r="D713" s="141"/>
      <c r="E713" s="140"/>
      <c r="F713" s="133" t="str">
        <f t="shared" si="37"/>
        <v/>
      </c>
      <c r="G713" s="142"/>
      <c r="H713" s="154"/>
      <c r="I713" s="140"/>
      <c r="J713" s="189"/>
      <c r="K713" s="176"/>
    </row>
    <row r="714" spans="2:11" ht="15.75" customHeight="1">
      <c r="B714" s="131">
        <v>682</v>
      </c>
      <c r="C714" s="141"/>
      <c r="D714" s="141"/>
      <c r="E714" s="140"/>
      <c r="F714" s="133" t="str">
        <f t="shared" si="37"/>
        <v/>
      </c>
      <c r="G714" s="142"/>
      <c r="H714" s="154"/>
      <c r="I714" s="140"/>
      <c r="J714" s="189"/>
      <c r="K714" s="176"/>
    </row>
    <row r="715" spans="2:11" ht="15.75" customHeight="1">
      <c r="B715" s="131">
        <v>683</v>
      </c>
      <c r="C715" s="141"/>
      <c r="D715" s="141"/>
      <c r="E715" s="140"/>
      <c r="F715" s="133" t="str">
        <f t="shared" si="37"/>
        <v/>
      </c>
      <c r="G715" s="142"/>
      <c r="H715" s="154"/>
      <c r="I715" s="140"/>
      <c r="J715" s="189"/>
      <c r="K715" s="176"/>
    </row>
    <row r="716" spans="2:11" ht="15.75" customHeight="1">
      <c r="B716" s="131">
        <v>684</v>
      </c>
      <c r="C716" s="141"/>
      <c r="D716" s="141"/>
      <c r="E716" s="140"/>
      <c r="F716" s="133" t="str">
        <f t="shared" si="37"/>
        <v/>
      </c>
      <c r="G716" s="142"/>
      <c r="H716" s="154"/>
      <c r="I716" s="140"/>
      <c r="J716" s="189"/>
      <c r="K716" s="176"/>
    </row>
    <row r="717" spans="2:11" ht="15.75" customHeight="1">
      <c r="B717" s="131">
        <v>685</v>
      </c>
      <c r="C717" s="141"/>
      <c r="D717" s="141"/>
      <c r="E717" s="140"/>
      <c r="F717" s="133" t="str">
        <f t="shared" si="37"/>
        <v/>
      </c>
      <c r="G717" s="142"/>
      <c r="H717" s="154"/>
      <c r="I717" s="140"/>
      <c r="J717" s="189"/>
      <c r="K717" s="176"/>
    </row>
    <row r="718" spans="2:11" ht="15.75" customHeight="1">
      <c r="B718" s="131">
        <v>686</v>
      </c>
      <c r="C718" s="141"/>
      <c r="D718" s="141"/>
      <c r="E718" s="140"/>
      <c r="F718" s="133" t="str">
        <f t="shared" si="37"/>
        <v/>
      </c>
      <c r="G718" s="142"/>
      <c r="H718" s="154"/>
      <c r="I718" s="140"/>
      <c r="J718" s="189"/>
      <c r="K718" s="176"/>
    </row>
    <row r="719" spans="2:11" ht="15.75" customHeight="1">
      <c r="B719" s="131">
        <v>687</v>
      </c>
      <c r="C719" s="141"/>
      <c r="D719" s="141"/>
      <c r="E719" s="140"/>
      <c r="F719" s="133" t="str">
        <f t="shared" si="37"/>
        <v/>
      </c>
      <c r="G719" s="142"/>
      <c r="H719" s="154"/>
      <c r="I719" s="140"/>
      <c r="J719" s="189"/>
      <c r="K719" s="176"/>
    </row>
    <row r="720" spans="2:11" ht="15.75" customHeight="1">
      <c r="B720" s="131">
        <v>688</v>
      </c>
      <c r="C720" s="141"/>
      <c r="D720" s="141"/>
      <c r="E720" s="140"/>
      <c r="F720" s="133" t="str">
        <f t="shared" si="37"/>
        <v/>
      </c>
      <c r="G720" s="142"/>
      <c r="H720" s="154"/>
      <c r="I720" s="140"/>
      <c r="J720" s="189"/>
      <c r="K720" s="176"/>
    </row>
    <row r="721" spans="2:11" ht="15.75" customHeight="1">
      <c r="B721" s="131">
        <v>689</v>
      </c>
      <c r="C721" s="141"/>
      <c r="D721" s="141"/>
      <c r="E721" s="140"/>
      <c r="F721" s="133" t="str">
        <f t="shared" si="37"/>
        <v/>
      </c>
      <c r="G721" s="142"/>
      <c r="H721" s="154"/>
      <c r="I721" s="140"/>
      <c r="J721" s="189"/>
      <c r="K721" s="176"/>
    </row>
    <row r="722" spans="2:11" ht="15.75" customHeight="1">
      <c r="B722" s="131">
        <v>690</v>
      </c>
      <c r="C722" s="141"/>
      <c r="D722" s="141"/>
      <c r="E722" s="140"/>
      <c r="F722" s="133" t="str">
        <f t="shared" si="37"/>
        <v/>
      </c>
      <c r="G722" s="142"/>
      <c r="H722" s="154"/>
      <c r="I722" s="140"/>
      <c r="J722" s="189"/>
      <c r="K722" s="176"/>
    </row>
    <row r="723" spans="2:11" ht="15.75" customHeight="1">
      <c r="B723" s="131">
        <v>691</v>
      </c>
      <c r="C723" s="141"/>
      <c r="D723" s="141"/>
      <c r="E723" s="140"/>
      <c r="F723" s="133" t="str">
        <f t="shared" si="37"/>
        <v/>
      </c>
      <c r="G723" s="142"/>
      <c r="H723" s="154"/>
      <c r="I723" s="140"/>
      <c r="J723" s="189"/>
      <c r="K723" s="176"/>
    </row>
    <row r="724" spans="2:11" ht="15.75" customHeight="1">
      <c r="B724" s="131">
        <v>692</v>
      </c>
      <c r="C724" s="141"/>
      <c r="D724" s="141"/>
      <c r="E724" s="140"/>
      <c r="F724" s="133" t="str">
        <f t="shared" si="37"/>
        <v/>
      </c>
      <c r="G724" s="142"/>
      <c r="H724" s="154"/>
      <c r="I724" s="140"/>
      <c r="J724" s="189"/>
      <c r="K724" s="176"/>
    </row>
    <row r="725" spans="2:11" ht="15.75" customHeight="1">
      <c r="B725" s="131">
        <v>693</v>
      </c>
      <c r="C725" s="141"/>
      <c r="D725" s="141"/>
      <c r="E725" s="140"/>
      <c r="F725" s="133" t="str">
        <f t="shared" si="37"/>
        <v/>
      </c>
      <c r="G725" s="142"/>
      <c r="H725" s="154"/>
      <c r="I725" s="140"/>
      <c r="J725" s="189"/>
      <c r="K725" s="176"/>
    </row>
    <row r="726" spans="2:11" ht="15.75" customHeight="1">
      <c r="B726" s="131">
        <v>694</v>
      </c>
      <c r="C726" s="141"/>
      <c r="D726" s="141"/>
      <c r="E726" s="140"/>
      <c r="F726" s="133" t="str">
        <f t="shared" si="37"/>
        <v/>
      </c>
      <c r="G726" s="142"/>
      <c r="H726" s="154"/>
      <c r="I726" s="140"/>
      <c r="J726" s="189"/>
      <c r="K726" s="176"/>
    </row>
    <row r="727" spans="2:11" ht="15.75" customHeight="1">
      <c r="B727" s="131">
        <v>695</v>
      </c>
      <c r="C727" s="141"/>
      <c r="D727" s="141"/>
      <c r="E727" s="140"/>
      <c r="F727" s="133" t="str">
        <f t="shared" si="37"/>
        <v/>
      </c>
      <c r="G727" s="142"/>
      <c r="H727" s="154"/>
      <c r="I727" s="140"/>
      <c r="J727" s="189"/>
      <c r="K727" s="176"/>
    </row>
    <row r="728" spans="2:11" ht="15.75" customHeight="1">
      <c r="B728" s="131">
        <v>696</v>
      </c>
      <c r="C728" s="141"/>
      <c r="D728" s="141"/>
      <c r="E728" s="140"/>
      <c r="F728" s="133" t="str">
        <f t="shared" si="37"/>
        <v/>
      </c>
      <c r="G728" s="142"/>
      <c r="H728" s="154"/>
      <c r="I728" s="140"/>
      <c r="J728" s="189"/>
      <c r="K728" s="176"/>
    </row>
    <row r="729" spans="2:11" ht="15.75" customHeight="1">
      <c r="B729" s="131">
        <v>697</v>
      </c>
      <c r="C729" s="141"/>
      <c r="D729" s="141"/>
      <c r="E729" s="140"/>
      <c r="F729" s="133" t="str">
        <f t="shared" si="37"/>
        <v/>
      </c>
      <c r="G729" s="142"/>
      <c r="H729" s="154"/>
      <c r="I729" s="140"/>
      <c r="J729" s="189"/>
      <c r="K729" s="176"/>
    </row>
    <row r="730" spans="2:11" ht="15.75" customHeight="1">
      <c r="B730" s="131">
        <v>698</v>
      </c>
      <c r="C730" s="141"/>
      <c r="D730" s="141"/>
      <c r="E730" s="140"/>
      <c r="F730" s="133" t="str">
        <f t="shared" si="37"/>
        <v/>
      </c>
      <c r="G730" s="142"/>
      <c r="H730" s="154"/>
      <c r="I730" s="140"/>
      <c r="J730" s="189"/>
      <c r="K730" s="176"/>
    </row>
    <row r="731" spans="2:11" ht="15.75" customHeight="1">
      <c r="B731" s="131">
        <v>699</v>
      </c>
      <c r="C731" s="141"/>
      <c r="D731" s="141"/>
      <c r="E731" s="140"/>
      <c r="F731" s="133" t="str">
        <f t="shared" si="37"/>
        <v/>
      </c>
      <c r="G731" s="142"/>
      <c r="H731" s="154"/>
      <c r="I731" s="140"/>
      <c r="J731" s="189"/>
      <c r="K731" s="176"/>
    </row>
    <row r="732" spans="2:11" ht="15.75" customHeight="1">
      <c r="B732" s="131">
        <v>700</v>
      </c>
      <c r="C732" s="141"/>
      <c r="D732" s="141"/>
      <c r="E732" s="140"/>
      <c r="F732" s="133" t="str">
        <f t="shared" si="37"/>
        <v/>
      </c>
      <c r="G732" s="142"/>
      <c r="H732" s="154"/>
      <c r="I732" s="140"/>
      <c r="J732" s="189"/>
      <c r="K732" s="176"/>
    </row>
    <row r="733" spans="2:11" ht="15.75" customHeight="1">
      <c r="B733" s="131">
        <v>701</v>
      </c>
      <c r="C733" s="141"/>
      <c r="D733" s="141"/>
      <c r="E733" s="140"/>
      <c r="F733" s="133" t="str">
        <f t="shared" si="37"/>
        <v/>
      </c>
      <c r="G733" s="142"/>
      <c r="H733" s="154"/>
      <c r="I733" s="140"/>
      <c r="J733" s="189"/>
      <c r="K733" s="176"/>
    </row>
    <row r="734" spans="2:11" ht="15.75" customHeight="1">
      <c r="B734" s="131">
        <v>702</v>
      </c>
      <c r="C734" s="141"/>
      <c r="D734" s="141"/>
      <c r="E734" s="140"/>
      <c r="F734" s="133" t="str">
        <f t="shared" si="37"/>
        <v/>
      </c>
      <c r="G734" s="142"/>
      <c r="H734" s="154"/>
      <c r="I734" s="140"/>
      <c r="J734" s="189"/>
      <c r="K734" s="176"/>
    </row>
    <row r="735" spans="2:11" ht="15.75" customHeight="1">
      <c r="B735" s="131">
        <v>703</v>
      </c>
      <c r="C735" s="141"/>
      <c r="D735" s="141"/>
      <c r="E735" s="140"/>
      <c r="F735" s="133" t="str">
        <f t="shared" si="37"/>
        <v/>
      </c>
      <c r="G735" s="142"/>
      <c r="H735" s="154"/>
      <c r="I735" s="140"/>
      <c r="J735" s="189"/>
      <c r="K735" s="176"/>
    </row>
    <row r="736" spans="2:11" ht="15.75" customHeight="1">
      <c r="B736" s="131">
        <v>704</v>
      </c>
      <c r="C736" s="141"/>
      <c r="D736" s="141"/>
      <c r="E736" s="140"/>
      <c r="F736" s="133" t="str">
        <f t="shared" si="37"/>
        <v/>
      </c>
      <c r="G736" s="142"/>
      <c r="H736" s="154"/>
      <c r="I736" s="140"/>
      <c r="J736" s="189"/>
      <c r="K736" s="176"/>
    </row>
    <row r="737" spans="2:11" ht="15.75" customHeight="1">
      <c r="B737" s="131">
        <v>705</v>
      </c>
      <c r="C737" s="141"/>
      <c r="D737" s="141"/>
      <c r="E737" s="140"/>
      <c r="F737" s="133" t="str">
        <f t="shared" si="37"/>
        <v/>
      </c>
      <c r="G737" s="142"/>
      <c r="H737" s="154"/>
      <c r="I737" s="140"/>
      <c r="J737" s="189"/>
      <c r="K737" s="176"/>
    </row>
    <row r="738" spans="2:11" ht="15.75" customHeight="1">
      <c r="B738" s="131">
        <v>706</v>
      </c>
      <c r="C738" s="141"/>
      <c r="D738" s="141"/>
      <c r="E738" s="140"/>
      <c r="F738" s="133" t="str">
        <f t="shared" si="37"/>
        <v/>
      </c>
      <c r="G738" s="142"/>
      <c r="H738" s="154"/>
      <c r="I738" s="140"/>
      <c r="J738" s="189"/>
      <c r="K738" s="176"/>
    </row>
    <row r="739" spans="2:11" ht="15.75" customHeight="1">
      <c r="B739" s="131">
        <v>707</v>
      </c>
      <c r="C739" s="141"/>
      <c r="D739" s="141"/>
      <c r="E739" s="140"/>
      <c r="F739" s="133" t="str">
        <f t="shared" si="37"/>
        <v/>
      </c>
      <c r="G739" s="142"/>
      <c r="H739" s="154"/>
      <c r="I739" s="140"/>
      <c r="J739" s="189"/>
      <c r="K739" s="176"/>
    </row>
    <row r="740" spans="2:11" ht="15.75" customHeight="1">
      <c r="B740" s="131">
        <v>708</v>
      </c>
      <c r="C740" s="141"/>
      <c r="D740" s="141"/>
      <c r="E740" s="140"/>
      <c r="F740" s="133" t="str">
        <f t="shared" si="37"/>
        <v/>
      </c>
      <c r="G740" s="142"/>
      <c r="H740" s="154"/>
      <c r="I740" s="140"/>
      <c r="J740" s="189"/>
      <c r="K740" s="176"/>
    </row>
    <row r="741" spans="2:11" ht="15.75" customHeight="1">
      <c r="B741" s="131">
        <v>709</v>
      </c>
      <c r="C741" s="141"/>
      <c r="D741" s="141"/>
      <c r="E741" s="140"/>
      <c r="F741" s="133" t="str">
        <f t="shared" si="37"/>
        <v/>
      </c>
      <c r="G741" s="142"/>
      <c r="H741" s="154"/>
      <c r="I741" s="140"/>
      <c r="J741" s="189"/>
      <c r="K741" s="176"/>
    </row>
    <row r="742" spans="2:11" ht="15.75" customHeight="1">
      <c r="B742" s="131">
        <v>710</v>
      </c>
      <c r="C742" s="141"/>
      <c r="D742" s="141"/>
      <c r="E742" s="140"/>
      <c r="F742" s="133" t="str">
        <f t="shared" si="37"/>
        <v/>
      </c>
      <c r="G742" s="142"/>
      <c r="H742" s="154"/>
      <c r="I742" s="140"/>
      <c r="J742" s="189"/>
      <c r="K742" s="176"/>
    </row>
    <row r="743" spans="2:11" ht="15.75" customHeight="1">
      <c r="B743" s="131">
        <v>711</v>
      </c>
      <c r="C743" s="141"/>
      <c r="D743" s="141"/>
      <c r="E743" s="140"/>
      <c r="F743" s="133" t="str">
        <f t="shared" si="37"/>
        <v/>
      </c>
      <c r="G743" s="142"/>
      <c r="H743" s="154"/>
      <c r="I743" s="140"/>
      <c r="J743" s="189"/>
      <c r="K743" s="176"/>
    </row>
    <row r="744" spans="2:11" ht="15.75" customHeight="1">
      <c r="B744" s="131">
        <v>712</v>
      </c>
      <c r="C744" s="141"/>
      <c r="D744" s="141"/>
      <c r="E744" s="140"/>
      <c r="F744" s="133" t="str">
        <f t="shared" si="37"/>
        <v/>
      </c>
      <c r="G744" s="142"/>
      <c r="H744" s="154"/>
      <c r="I744" s="140"/>
      <c r="J744" s="189"/>
      <c r="K744" s="176"/>
    </row>
    <row r="745" spans="2:11" ht="15.75" customHeight="1">
      <c r="B745" s="131">
        <v>713</v>
      </c>
      <c r="C745" s="141"/>
      <c r="D745" s="141"/>
      <c r="E745" s="140"/>
      <c r="F745" s="133" t="str">
        <f t="shared" si="37"/>
        <v/>
      </c>
      <c r="G745" s="142"/>
      <c r="H745" s="154"/>
      <c r="I745" s="140"/>
      <c r="J745" s="189"/>
      <c r="K745" s="176"/>
    </row>
    <row r="746" spans="2:11" ht="15.75" customHeight="1">
      <c r="B746" s="131">
        <v>714</v>
      </c>
      <c r="C746" s="141"/>
      <c r="D746" s="141"/>
      <c r="E746" s="140"/>
      <c r="F746" s="133" t="str">
        <f t="shared" si="37"/>
        <v/>
      </c>
      <c r="G746" s="142"/>
      <c r="H746" s="154"/>
      <c r="I746" s="140"/>
      <c r="J746" s="189"/>
      <c r="K746" s="176"/>
    </row>
    <row r="747" spans="2:11" ht="15.75" customHeight="1">
      <c r="B747" s="131">
        <v>715</v>
      </c>
      <c r="C747" s="141"/>
      <c r="D747" s="141"/>
      <c r="E747" s="140"/>
      <c r="F747" s="133" t="str">
        <f t="shared" ref="F747:F775" si="38">IF(E747="","",HLOOKUP(E747,etela,2,0))</f>
        <v/>
      </c>
      <c r="G747" s="142"/>
      <c r="H747" s="154"/>
      <c r="I747" s="140"/>
      <c r="J747" s="189"/>
      <c r="K747" s="176"/>
    </row>
    <row r="748" spans="2:11" ht="15.75" customHeight="1">
      <c r="B748" s="131">
        <v>716</v>
      </c>
      <c r="C748" s="141"/>
      <c r="D748" s="141"/>
      <c r="E748" s="140"/>
      <c r="F748" s="133" t="str">
        <f t="shared" si="38"/>
        <v/>
      </c>
      <c r="G748" s="142"/>
      <c r="H748" s="154"/>
      <c r="I748" s="140"/>
      <c r="J748" s="189"/>
      <c r="K748" s="176"/>
    </row>
    <row r="749" spans="2:11" ht="15.75" customHeight="1">
      <c r="B749" s="131">
        <v>717</v>
      </c>
      <c r="C749" s="141"/>
      <c r="D749" s="141"/>
      <c r="E749" s="140"/>
      <c r="F749" s="133" t="str">
        <f t="shared" si="38"/>
        <v/>
      </c>
      <c r="G749" s="142"/>
      <c r="H749" s="154"/>
      <c r="I749" s="140"/>
      <c r="J749" s="189"/>
      <c r="K749" s="176"/>
    </row>
    <row r="750" spans="2:11" ht="15.75" customHeight="1">
      <c r="B750" s="131">
        <v>718</v>
      </c>
      <c r="C750" s="141"/>
      <c r="D750" s="141"/>
      <c r="E750" s="140"/>
      <c r="F750" s="133" t="str">
        <f t="shared" si="38"/>
        <v/>
      </c>
      <c r="G750" s="142"/>
      <c r="H750" s="154"/>
      <c r="I750" s="140"/>
      <c r="J750" s="189"/>
      <c r="K750" s="176"/>
    </row>
    <row r="751" spans="2:11" ht="15.75" customHeight="1">
      <c r="B751" s="131">
        <v>719</v>
      </c>
      <c r="C751" s="141"/>
      <c r="D751" s="141"/>
      <c r="E751" s="140"/>
      <c r="F751" s="133" t="str">
        <f t="shared" si="38"/>
        <v/>
      </c>
      <c r="G751" s="142"/>
      <c r="H751" s="154"/>
      <c r="I751" s="140"/>
      <c r="J751" s="189"/>
      <c r="K751" s="176"/>
    </row>
    <row r="752" spans="2:11" ht="15.75" customHeight="1">
      <c r="B752" s="131">
        <v>720</v>
      </c>
      <c r="C752" s="141"/>
      <c r="D752" s="141"/>
      <c r="E752" s="140"/>
      <c r="F752" s="133" t="str">
        <f t="shared" si="38"/>
        <v/>
      </c>
      <c r="G752" s="142"/>
      <c r="H752" s="154"/>
      <c r="I752" s="140"/>
      <c r="J752" s="189"/>
      <c r="K752" s="176"/>
    </row>
    <row r="753" spans="2:11" ht="15.75" customHeight="1">
      <c r="B753" s="131">
        <v>721</v>
      </c>
      <c r="C753" s="141"/>
      <c r="D753" s="141"/>
      <c r="E753" s="140"/>
      <c r="F753" s="133" t="str">
        <f t="shared" si="38"/>
        <v/>
      </c>
      <c r="G753" s="142"/>
      <c r="H753" s="154"/>
      <c r="I753" s="140"/>
      <c r="J753" s="189"/>
      <c r="K753" s="176"/>
    </row>
    <row r="754" spans="2:11" ht="15.75" customHeight="1">
      <c r="B754" s="131">
        <v>722</v>
      </c>
      <c r="C754" s="141"/>
      <c r="D754" s="141"/>
      <c r="E754" s="140"/>
      <c r="F754" s="133" t="str">
        <f t="shared" si="38"/>
        <v/>
      </c>
      <c r="G754" s="142"/>
      <c r="H754" s="154"/>
      <c r="I754" s="140"/>
      <c r="J754" s="189"/>
      <c r="K754" s="176"/>
    </row>
    <row r="755" spans="2:11" ht="15.75" customHeight="1">
      <c r="B755" s="131">
        <v>723</v>
      </c>
      <c r="C755" s="141"/>
      <c r="D755" s="141"/>
      <c r="E755" s="140"/>
      <c r="F755" s="133" t="str">
        <f t="shared" si="38"/>
        <v/>
      </c>
      <c r="G755" s="142"/>
      <c r="H755" s="154"/>
      <c r="I755" s="140"/>
      <c r="J755" s="189"/>
      <c r="K755" s="176"/>
    </row>
    <row r="756" spans="2:11" ht="15.75" customHeight="1">
      <c r="B756" s="131">
        <v>724</v>
      </c>
      <c r="C756" s="141"/>
      <c r="D756" s="141"/>
      <c r="E756" s="140"/>
      <c r="F756" s="133" t="str">
        <f t="shared" si="38"/>
        <v/>
      </c>
      <c r="G756" s="142"/>
      <c r="H756" s="154"/>
      <c r="I756" s="140"/>
      <c r="J756" s="189"/>
      <c r="K756" s="176"/>
    </row>
    <row r="757" spans="2:11" ht="15.75" customHeight="1">
      <c r="B757" s="131">
        <v>725</v>
      </c>
      <c r="C757" s="141"/>
      <c r="D757" s="141"/>
      <c r="E757" s="140"/>
      <c r="F757" s="133" t="str">
        <f t="shared" si="38"/>
        <v/>
      </c>
      <c r="G757" s="142"/>
      <c r="H757" s="154"/>
      <c r="I757" s="140"/>
      <c r="J757" s="189"/>
      <c r="K757" s="176"/>
    </row>
    <row r="758" spans="2:11" ht="15.75" customHeight="1">
      <c r="B758" s="131">
        <v>726</v>
      </c>
      <c r="C758" s="141"/>
      <c r="D758" s="141"/>
      <c r="E758" s="140"/>
      <c r="F758" s="133" t="str">
        <f t="shared" si="38"/>
        <v/>
      </c>
      <c r="G758" s="142"/>
      <c r="H758" s="154"/>
      <c r="I758" s="140"/>
      <c r="J758" s="189"/>
      <c r="K758" s="176"/>
    </row>
    <row r="759" spans="2:11" ht="15.75" customHeight="1">
      <c r="B759" s="131">
        <v>727</v>
      </c>
      <c r="C759" s="141"/>
      <c r="D759" s="141"/>
      <c r="E759" s="140"/>
      <c r="F759" s="133" t="str">
        <f t="shared" si="38"/>
        <v/>
      </c>
      <c r="G759" s="142"/>
      <c r="H759" s="154"/>
      <c r="I759" s="140"/>
      <c r="J759" s="189"/>
      <c r="K759" s="176"/>
    </row>
    <row r="760" spans="2:11" ht="15.75" customHeight="1">
      <c r="B760" s="131">
        <v>728</v>
      </c>
      <c r="C760" s="141"/>
      <c r="D760" s="141"/>
      <c r="E760" s="140"/>
      <c r="F760" s="133" t="str">
        <f t="shared" si="38"/>
        <v/>
      </c>
      <c r="G760" s="142"/>
      <c r="H760" s="154"/>
      <c r="I760" s="140"/>
      <c r="J760" s="189"/>
      <c r="K760" s="176"/>
    </row>
    <row r="761" spans="2:11" ht="15.75" customHeight="1">
      <c r="B761" s="131">
        <v>729</v>
      </c>
      <c r="C761" s="141"/>
      <c r="D761" s="141"/>
      <c r="E761" s="140"/>
      <c r="F761" s="133" t="str">
        <f t="shared" si="38"/>
        <v/>
      </c>
      <c r="G761" s="142"/>
      <c r="H761" s="154"/>
      <c r="I761" s="140"/>
      <c r="J761" s="189"/>
      <c r="K761" s="176"/>
    </row>
    <row r="762" spans="2:11" ht="15.75" customHeight="1">
      <c r="B762" s="131">
        <v>730</v>
      </c>
      <c r="C762" s="141"/>
      <c r="D762" s="141"/>
      <c r="E762" s="140"/>
      <c r="F762" s="133" t="str">
        <f t="shared" si="38"/>
        <v/>
      </c>
      <c r="G762" s="142"/>
      <c r="H762" s="154"/>
      <c r="I762" s="140"/>
      <c r="J762" s="189"/>
      <c r="K762" s="176"/>
    </row>
    <row r="763" spans="2:11" ht="15.75" customHeight="1">
      <c r="B763" s="131">
        <v>731</v>
      </c>
      <c r="C763" s="141"/>
      <c r="D763" s="141"/>
      <c r="E763" s="140"/>
      <c r="F763" s="133" t="str">
        <f t="shared" si="38"/>
        <v/>
      </c>
      <c r="G763" s="142"/>
      <c r="H763" s="154"/>
      <c r="I763" s="140"/>
      <c r="J763" s="189"/>
      <c r="K763" s="176"/>
    </row>
    <row r="764" spans="2:11" ht="15.75" customHeight="1">
      <c r="B764" s="131">
        <v>732</v>
      </c>
      <c r="C764" s="141"/>
      <c r="D764" s="141"/>
      <c r="E764" s="140"/>
      <c r="F764" s="133" t="str">
        <f t="shared" si="38"/>
        <v/>
      </c>
      <c r="G764" s="142"/>
      <c r="H764" s="154"/>
      <c r="I764" s="140"/>
      <c r="J764" s="189"/>
      <c r="K764" s="176"/>
    </row>
    <row r="765" spans="2:11" ht="15.75" customHeight="1">
      <c r="B765" s="131">
        <v>733</v>
      </c>
      <c r="C765" s="141"/>
      <c r="D765" s="141"/>
      <c r="E765" s="140"/>
      <c r="F765" s="133" t="str">
        <f t="shared" si="38"/>
        <v/>
      </c>
      <c r="G765" s="142"/>
      <c r="H765" s="154"/>
      <c r="I765" s="140"/>
      <c r="J765" s="189"/>
      <c r="K765" s="176"/>
    </row>
    <row r="766" spans="2:11" ht="15.75" customHeight="1">
      <c r="B766" s="131">
        <v>734</v>
      </c>
      <c r="C766" s="141"/>
      <c r="D766" s="141"/>
      <c r="E766" s="140"/>
      <c r="F766" s="133" t="str">
        <f t="shared" si="38"/>
        <v/>
      </c>
      <c r="G766" s="142"/>
      <c r="H766" s="154"/>
      <c r="I766" s="140"/>
      <c r="J766" s="189"/>
      <c r="K766" s="176"/>
    </row>
    <row r="767" spans="2:11" ht="15.75" customHeight="1">
      <c r="B767" s="131">
        <v>735</v>
      </c>
      <c r="C767" s="141"/>
      <c r="D767" s="141"/>
      <c r="E767" s="140"/>
      <c r="F767" s="133" t="str">
        <f t="shared" si="38"/>
        <v/>
      </c>
      <c r="G767" s="142"/>
      <c r="H767" s="154"/>
      <c r="I767" s="140"/>
      <c r="J767" s="189"/>
      <c r="K767" s="176"/>
    </row>
    <row r="768" spans="2:11" ht="15.75" customHeight="1">
      <c r="B768" s="131">
        <v>736</v>
      </c>
      <c r="C768" s="141"/>
      <c r="D768" s="141"/>
      <c r="E768" s="140"/>
      <c r="F768" s="133" t="str">
        <f t="shared" si="38"/>
        <v/>
      </c>
      <c r="G768" s="142"/>
      <c r="H768" s="154"/>
      <c r="I768" s="140"/>
      <c r="J768" s="189"/>
      <c r="K768" s="176"/>
    </row>
    <row r="769" spans="1:23" ht="15.75" customHeight="1">
      <c r="B769" s="131">
        <v>737</v>
      </c>
      <c r="C769" s="141"/>
      <c r="D769" s="141"/>
      <c r="E769" s="140"/>
      <c r="F769" s="133" t="str">
        <f t="shared" si="38"/>
        <v/>
      </c>
      <c r="G769" s="142"/>
      <c r="H769" s="154"/>
      <c r="I769" s="140"/>
      <c r="J769" s="189"/>
      <c r="K769" s="176"/>
    </row>
    <row r="770" spans="1:23" ht="15.75" customHeight="1">
      <c r="B770" s="131">
        <v>738</v>
      </c>
      <c r="C770" s="141"/>
      <c r="D770" s="141"/>
      <c r="E770" s="140"/>
      <c r="F770" s="133" t="str">
        <f t="shared" si="38"/>
        <v/>
      </c>
      <c r="G770" s="142"/>
      <c r="H770" s="154"/>
      <c r="I770" s="140"/>
      <c r="J770" s="189"/>
      <c r="K770" s="176"/>
    </row>
    <row r="771" spans="1:23" ht="15.75" customHeight="1">
      <c r="B771" s="131">
        <v>739</v>
      </c>
      <c r="C771" s="141"/>
      <c r="D771" s="141"/>
      <c r="E771" s="140"/>
      <c r="F771" s="133" t="str">
        <f t="shared" si="38"/>
        <v/>
      </c>
      <c r="G771" s="142"/>
      <c r="H771" s="154"/>
      <c r="I771" s="140"/>
      <c r="J771" s="189"/>
      <c r="K771" s="176"/>
    </row>
    <row r="772" spans="1:23" ht="15.75" customHeight="1">
      <c r="B772" s="131">
        <v>740</v>
      </c>
      <c r="C772" s="141"/>
      <c r="D772" s="141"/>
      <c r="E772" s="140"/>
      <c r="F772" s="133" t="str">
        <f t="shared" si="38"/>
        <v/>
      </c>
      <c r="G772" s="142"/>
      <c r="H772" s="154"/>
      <c r="I772" s="140"/>
      <c r="J772" s="189"/>
      <c r="K772" s="176"/>
    </row>
    <row r="773" spans="1:23" ht="15.75" customHeight="1">
      <c r="B773" s="131">
        <v>741</v>
      </c>
      <c r="C773" s="141"/>
      <c r="D773" s="141"/>
      <c r="E773" s="140"/>
      <c r="F773" s="133" t="str">
        <f t="shared" si="38"/>
        <v/>
      </c>
      <c r="G773" s="142"/>
      <c r="H773" s="154"/>
      <c r="I773" s="140"/>
      <c r="J773" s="189"/>
      <c r="K773" s="176"/>
    </row>
    <row r="774" spans="1:23" ht="15.75" customHeight="1">
      <c r="B774" s="131">
        <v>742</v>
      </c>
      <c r="C774" s="141"/>
      <c r="D774" s="141"/>
      <c r="E774" s="140"/>
      <c r="F774" s="133" t="str">
        <f t="shared" si="38"/>
        <v/>
      </c>
      <c r="G774" s="142"/>
      <c r="H774" s="154"/>
      <c r="I774" s="140"/>
      <c r="J774" s="189"/>
      <c r="K774" s="176"/>
    </row>
    <row r="775" spans="1:23" ht="15.75" customHeight="1">
      <c r="B775" s="131">
        <v>723</v>
      </c>
      <c r="C775" s="141"/>
      <c r="D775" s="141"/>
      <c r="E775" s="140"/>
      <c r="F775" s="133" t="str">
        <f t="shared" si="38"/>
        <v/>
      </c>
      <c r="G775" s="142"/>
      <c r="H775" s="154"/>
      <c r="I775" s="140"/>
      <c r="J775" s="189"/>
      <c r="K775" s="176"/>
    </row>
    <row r="776" spans="1:23" ht="25.5" customHeight="1" thickBot="1">
      <c r="A776" s="191"/>
      <c r="B776" s="303" t="s">
        <v>314</v>
      </c>
      <c r="C776" s="304"/>
      <c r="D776" s="304"/>
      <c r="E776" s="305"/>
      <c r="F776" s="192"/>
      <c r="G776" s="193"/>
      <c r="H776" s="194"/>
      <c r="I776" s="195"/>
      <c r="J776" s="196">
        <f>SUM(J3:J183)</f>
        <v>1355270912</v>
      </c>
      <c r="K776" s="146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</row>
    <row r="777" spans="1:23" ht="15.75" customHeight="1" thickTop="1">
      <c r="A777" s="177"/>
      <c r="E777" s="152"/>
      <c r="F777" s="150"/>
      <c r="H777" s="149"/>
      <c r="J777" s="166"/>
    </row>
    <row r="778" spans="1:23" ht="15.75" customHeight="1">
      <c r="E778" s="152"/>
      <c r="F778" s="150"/>
      <c r="H778" s="149"/>
      <c r="J778" s="166"/>
    </row>
    <row r="779" spans="1:23" ht="15.75" customHeight="1">
      <c r="E779" s="152"/>
      <c r="F779" s="150"/>
      <c r="H779" s="149"/>
      <c r="J779" s="166"/>
    </row>
    <row r="780" spans="1:23" ht="15.75" customHeight="1">
      <c r="E780" s="152"/>
      <c r="F780" s="150"/>
      <c r="H780" s="149"/>
      <c r="J780" s="166"/>
    </row>
    <row r="781" spans="1:23" ht="15.75" customHeight="1">
      <c r="E781" s="152"/>
      <c r="F781" s="150"/>
      <c r="H781" s="149"/>
      <c r="J781" s="166"/>
    </row>
    <row r="782" spans="1:23" ht="15.75" customHeight="1">
      <c r="E782" s="152"/>
      <c r="F782" s="150"/>
      <c r="H782" s="149"/>
      <c r="J782" s="166"/>
    </row>
    <row r="783" spans="1:23" ht="15.75" customHeight="1">
      <c r="E783" s="152"/>
      <c r="F783" s="150"/>
      <c r="H783" s="149"/>
      <c r="J783" s="166"/>
    </row>
    <row r="784" spans="1:23" ht="15.75" customHeight="1">
      <c r="E784" s="152"/>
      <c r="F784" s="150"/>
      <c r="H784" s="149"/>
      <c r="J784" s="166"/>
    </row>
    <row r="785" spans="5:10" ht="15.75" customHeight="1">
      <c r="E785" s="152"/>
      <c r="F785" s="150"/>
      <c r="H785" s="149"/>
      <c r="J785" s="166"/>
    </row>
    <row r="786" spans="5:10" ht="15.75" customHeight="1">
      <c r="E786" s="152"/>
      <c r="F786" s="150"/>
      <c r="H786" s="149"/>
      <c r="J786" s="166"/>
    </row>
    <row r="787" spans="5:10" ht="15.75" customHeight="1">
      <c r="E787" s="152"/>
      <c r="F787" s="150"/>
      <c r="H787" s="149"/>
      <c r="J787" s="166"/>
    </row>
    <row r="788" spans="5:10" ht="15.75" customHeight="1">
      <c r="E788" s="152"/>
      <c r="F788" s="150"/>
      <c r="H788" s="149"/>
      <c r="J788" s="166"/>
    </row>
    <row r="789" spans="5:10" ht="15.75" customHeight="1">
      <c r="E789" s="152"/>
      <c r="F789" s="150"/>
      <c r="H789" s="149"/>
      <c r="J789" s="166"/>
    </row>
    <row r="790" spans="5:10" ht="15.75" customHeight="1">
      <c r="E790" s="152"/>
      <c r="F790" s="150"/>
      <c r="H790" s="149"/>
      <c r="J790" s="166"/>
    </row>
    <row r="791" spans="5:10" ht="15.75" customHeight="1">
      <c r="E791" s="152"/>
      <c r="F791" s="150"/>
      <c r="H791" s="149"/>
      <c r="J791" s="166"/>
    </row>
    <row r="792" spans="5:10" ht="15.75" customHeight="1">
      <c r="E792" s="152"/>
      <c r="F792" s="150"/>
      <c r="H792" s="149"/>
      <c r="J792" s="166"/>
    </row>
    <row r="793" spans="5:10" ht="15.75" customHeight="1">
      <c r="E793" s="152"/>
      <c r="F793" s="150"/>
      <c r="H793" s="149"/>
      <c r="J793" s="166"/>
    </row>
    <row r="794" spans="5:10" ht="15.75" customHeight="1">
      <c r="E794" s="152"/>
      <c r="F794" s="150"/>
      <c r="H794" s="149"/>
      <c r="J794" s="166"/>
    </row>
    <row r="795" spans="5:10" ht="15.75" customHeight="1">
      <c r="E795" s="152"/>
      <c r="F795" s="150"/>
      <c r="H795" s="149"/>
      <c r="J795" s="166"/>
    </row>
    <row r="796" spans="5:10" ht="15.75" customHeight="1">
      <c r="E796" s="152"/>
      <c r="F796" s="150"/>
      <c r="H796" s="149"/>
      <c r="J796" s="166"/>
    </row>
    <row r="797" spans="5:10" ht="15.75" customHeight="1">
      <c r="E797" s="152"/>
      <c r="F797" s="150"/>
      <c r="H797" s="149"/>
      <c r="J797" s="166"/>
    </row>
    <row r="798" spans="5:10" ht="15.75" customHeight="1">
      <c r="E798" s="152"/>
      <c r="F798" s="150"/>
      <c r="H798" s="149"/>
      <c r="J798" s="166"/>
    </row>
    <row r="799" spans="5:10" ht="15.75" customHeight="1">
      <c r="E799" s="152"/>
      <c r="F799" s="150"/>
      <c r="H799" s="149"/>
      <c r="J799" s="166"/>
    </row>
    <row r="800" spans="5:10" ht="15.75" customHeight="1">
      <c r="E800" s="152"/>
      <c r="F800" s="150"/>
      <c r="H800" s="149"/>
      <c r="J800" s="166"/>
    </row>
    <row r="801" spans="5:10" ht="15.75" customHeight="1">
      <c r="E801" s="152"/>
      <c r="F801" s="150"/>
      <c r="H801" s="149"/>
      <c r="J801" s="166"/>
    </row>
    <row r="802" spans="5:10" ht="15.75" customHeight="1">
      <c r="E802" s="152"/>
      <c r="F802" s="150"/>
      <c r="H802" s="149"/>
      <c r="J802" s="166"/>
    </row>
    <row r="803" spans="5:10" ht="15.75" customHeight="1">
      <c r="E803" s="152"/>
      <c r="F803" s="150"/>
      <c r="H803" s="149"/>
      <c r="J803" s="166"/>
    </row>
    <row r="804" spans="5:10" ht="15.75" customHeight="1">
      <c r="E804" s="152"/>
      <c r="F804" s="150"/>
      <c r="H804" s="149"/>
      <c r="J804" s="166"/>
    </row>
    <row r="805" spans="5:10" ht="15.75" customHeight="1">
      <c r="E805" s="152"/>
      <c r="F805" s="150"/>
      <c r="H805" s="149"/>
      <c r="J805" s="166"/>
    </row>
    <row r="806" spans="5:10" ht="15.75" customHeight="1">
      <c r="E806" s="152"/>
      <c r="F806" s="150"/>
      <c r="H806" s="149"/>
      <c r="J806" s="166"/>
    </row>
    <row r="807" spans="5:10" ht="15.75" customHeight="1">
      <c r="E807" s="152"/>
      <c r="F807" s="150"/>
      <c r="H807" s="149"/>
      <c r="J807" s="166"/>
    </row>
    <row r="808" spans="5:10" ht="15.75" customHeight="1">
      <c r="E808" s="152"/>
      <c r="F808" s="150"/>
      <c r="H808" s="149"/>
      <c r="J808" s="166"/>
    </row>
    <row r="809" spans="5:10" ht="15.75" customHeight="1">
      <c r="E809" s="152"/>
      <c r="F809" s="150"/>
      <c r="H809" s="149"/>
      <c r="J809" s="166"/>
    </row>
    <row r="810" spans="5:10" ht="15.75" customHeight="1">
      <c r="E810" s="152"/>
      <c r="F810" s="150"/>
      <c r="H810" s="149"/>
      <c r="J810" s="166"/>
    </row>
    <row r="811" spans="5:10" ht="15.75" customHeight="1">
      <c r="E811" s="152"/>
      <c r="F811" s="150"/>
      <c r="H811" s="149"/>
      <c r="J811" s="166"/>
    </row>
    <row r="812" spans="5:10" ht="15.75" customHeight="1">
      <c r="E812" s="152"/>
      <c r="F812" s="150"/>
      <c r="H812" s="149"/>
      <c r="J812" s="166"/>
    </row>
    <row r="813" spans="5:10" ht="15.75" customHeight="1">
      <c r="E813" s="152"/>
      <c r="F813" s="150"/>
      <c r="H813" s="149"/>
      <c r="J813" s="166"/>
    </row>
    <row r="814" spans="5:10" ht="15.75" customHeight="1">
      <c r="E814" s="152"/>
      <c r="F814" s="150"/>
      <c r="H814" s="149"/>
      <c r="J814" s="166"/>
    </row>
    <row r="815" spans="5:10" ht="15.75" customHeight="1">
      <c r="E815" s="152"/>
      <c r="F815" s="150"/>
      <c r="H815" s="149"/>
      <c r="J815" s="166"/>
    </row>
    <row r="816" spans="5:10" ht="15.75" customHeight="1">
      <c r="E816" s="152"/>
      <c r="F816" s="150"/>
      <c r="H816" s="149"/>
      <c r="J816" s="166"/>
    </row>
    <row r="817" spans="5:10" ht="15.75" customHeight="1">
      <c r="E817" s="152"/>
      <c r="F817" s="150"/>
      <c r="H817" s="149"/>
      <c r="J817" s="166"/>
    </row>
    <row r="818" spans="5:10" ht="15.75" customHeight="1">
      <c r="E818" s="152"/>
      <c r="F818" s="150"/>
      <c r="H818" s="149"/>
      <c r="J818" s="166"/>
    </row>
    <row r="819" spans="5:10" ht="15.75" customHeight="1">
      <c r="E819" s="152"/>
      <c r="F819" s="150"/>
      <c r="H819" s="149"/>
      <c r="J819" s="166"/>
    </row>
    <row r="820" spans="5:10" ht="15.75" customHeight="1">
      <c r="E820" s="152"/>
      <c r="F820" s="150"/>
      <c r="H820" s="149"/>
      <c r="J820" s="166"/>
    </row>
    <row r="821" spans="5:10" ht="15.75" customHeight="1">
      <c r="E821" s="152"/>
      <c r="F821" s="150"/>
      <c r="H821" s="149"/>
      <c r="J821" s="166"/>
    </row>
    <row r="822" spans="5:10" ht="15.75" customHeight="1">
      <c r="E822" s="152"/>
      <c r="F822" s="150"/>
      <c r="H822" s="149"/>
      <c r="J822" s="166"/>
    </row>
    <row r="823" spans="5:10" ht="15.75" customHeight="1">
      <c r="E823" s="152"/>
      <c r="F823" s="150"/>
      <c r="H823" s="149"/>
      <c r="J823" s="166"/>
    </row>
    <row r="824" spans="5:10" ht="15.75" customHeight="1">
      <c r="E824" s="152"/>
      <c r="F824" s="150"/>
      <c r="H824" s="149"/>
      <c r="J824" s="166"/>
    </row>
    <row r="825" spans="5:10" ht="15.75" customHeight="1">
      <c r="E825" s="152"/>
      <c r="F825" s="150"/>
      <c r="H825" s="149"/>
      <c r="J825" s="166"/>
    </row>
    <row r="826" spans="5:10" ht="15.75" customHeight="1">
      <c r="E826" s="152"/>
      <c r="F826" s="150"/>
      <c r="H826" s="149"/>
      <c r="J826" s="166"/>
    </row>
    <row r="827" spans="5:10" ht="15.75" customHeight="1">
      <c r="E827" s="152"/>
      <c r="F827" s="150"/>
      <c r="H827" s="149"/>
      <c r="J827" s="166"/>
    </row>
    <row r="828" spans="5:10" ht="15.75" customHeight="1">
      <c r="E828" s="152"/>
      <c r="F828" s="150"/>
      <c r="H828" s="149"/>
      <c r="J828" s="166"/>
    </row>
    <row r="829" spans="5:10" ht="15.75" customHeight="1">
      <c r="E829" s="152"/>
      <c r="F829" s="150"/>
      <c r="H829" s="149"/>
      <c r="J829" s="166"/>
    </row>
    <row r="830" spans="5:10" ht="15.75" customHeight="1">
      <c r="E830" s="152"/>
      <c r="F830" s="150"/>
      <c r="H830" s="149"/>
      <c r="J830" s="166"/>
    </row>
    <row r="831" spans="5:10" ht="15.75" customHeight="1">
      <c r="E831" s="152"/>
      <c r="F831" s="150"/>
      <c r="H831" s="149"/>
      <c r="J831" s="166"/>
    </row>
    <row r="832" spans="5:10" ht="15.75" customHeight="1">
      <c r="E832" s="152"/>
      <c r="F832" s="150"/>
      <c r="H832" s="149"/>
      <c r="J832" s="166"/>
    </row>
    <row r="833" spans="5:10" ht="15.75" customHeight="1">
      <c r="E833" s="152"/>
      <c r="F833" s="150"/>
      <c r="H833" s="149"/>
      <c r="J833" s="166"/>
    </row>
    <row r="834" spans="5:10" ht="15.75" customHeight="1">
      <c r="E834" s="152"/>
      <c r="F834" s="150"/>
      <c r="H834" s="149"/>
      <c r="J834" s="166"/>
    </row>
    <row r="835" spans="5:10" ht="15.75" customHeight="1">
      <c r="E835" s="152"/>
      <c r="F835" s="150"/>
      <c r="H835" s="149"/>
      <c r="J835" s="166"/>
    </row>
    <row r="836" spans="5:10" ht="15.75" customHeight="1">
      <c r="E836" s="152"/>
      <c r="F836" s="150"/>
      <c r="H836" s="149"/>
      <c r="J836" s="166"/>
    </row>
    <row r="837" spans="5:10" ht="15.75" customHeight="1">
      <c r="E837" s="152"/>
      <c r="F837" s="150"/>
      <c r="H837" s="149"/>
      <c r="J837" s="166"/>
    </row>
    <row r="838" spans="5:10" ht="15.75" customHeight="1">
      <c r="E838" s="152"/>
      <c r="F838" s="150"/>
      <c r="H838" s="149"/>
      <c r="J838" s="166"/>
    </row>
    <row r="839" spans="5:10" ht="15.75" customHeight="1">
      <c r="E839" s="152"/>
      <c r="F839" s="150"/>
      <c r="H839" s="149"/>
      <c r="J839" s="166"/>
    </row>
    <row r="840" spans="5:10" ht="15.75" customHeight="1">
      <c r="E840" s="152"/>
      <c r="F840" s="150"/>
      <c r="H840" s="149"/>
      <c r="J840" s="166"/>
    </row>
    <row r="841" spans="5:10" ht="15.75" customHeight="1">
      <c r="E841" s="152"/>
      <c r="F841" s="150"/>
      <c r="H841" s="149"/>
      <c r="J841" s="166"/>
    </row>
    <row r="842" spans="5:10" ht="15.75" customHeight="1">
      <c r="E842" s="152"/>
      <c r="F842" s="150"/>
      <c r="H842" s="149"/>
      <c r="J842" s="166"/>
    </row>
    <row r="843" spans="5:10" ht="15.75" customHeight="1">
      <c r="E843" s="152"/>
      <c r="F843" s="150"/>
      <c r="H843" s="149"/>
      <c r="J843" s="166"/>
    </row>
    <row r="844" spans="5:10" ht="15.75" customHeight="1">
      <c r="E844" s="152"/>
      <c r="F844" s="150"/>
      <c r="H844" s="149"/>
      <c r="J844" s="166"/>
    </row>
    <row r="845" spans="5:10" ht="15.75" customHeight="1">
      <c r="E845" s="152"/>
      <c r="F845" s="150"/>
      <c r="H845" s="149"/>
      <c r="J845" s="166"/>
    </row>
    <row r="846" spans="5:10" ht="15.75" customHeight="1">
      <c r="E846" s="152"/>
      <c r="F846" s="150"/>
      <c r="H846" s="149"/>
      <c r="J846" s="166"/>
    </row>
    <row r="847" spans="5:10" ht="15.75" customHeight="1">
      <c r="E847" s="152"/>
      <c r="F847" s="150"/>
      <c r="H847" s="149"/>
      <c r="J847" s="166"/>
    </row>
    <row r="848" spans="5:10" ht="15.75" customHeight="1">
      <c r="E848" s="152"/>
      <c r="F848" s="150"/>
      <c r="H848" s="149"/>
      <c r="J848" s="166"/>
    </row>
    <row r="849" spans="5:10" ht="15.75" customHeight="1">
      <c r="E849" s="152"/>
      <c r="F849" s="150"/>
      <c r="H849" s="149"/>
      <c r="J849" s="166"/>
    </row>
    <row r="850" spans="5:10" ht="15.75" customHeight="1">
      <c r="E850" s="152"/>
      <c r="F850" s="150"/>
      <c r="H850" s="149"/>
      <c r="J850" s="166"/>
    </row>
    <row r="851" spans="5:10" ht="15.75" customHeight="1">
      <c r="E851" s="152"/>
      <c r="F851" s="150"/>
      <c r="H851" s="149"/>
      <c r="J851" s="166"/>
    </row>
    <row r="852" spans="5:10" ht="15.75" customHeight="1">
      <c r="E852" s="152"/>
      <c r="F852" s="150"/>
      <c r="H852" s="149"/>
      <c r="J852" s="166"/>
    </row>
    <row r="853" spans="5:10" ht="15.75" customHeight="1">
      <c r="E853" s="152"/>
      <c r="F853" s="150"/>
      <c r="H853" s="149"/>
      <c r="J853" s="166"/>
    </row>
    <row r="854" spans="5:10" ht="15.75" customHeight="1">
      <c r="E854" s="152"/>
      <c r="F854" s="150"/>
      <c r="H854" s="149"/>
      <c r="J854" s="166"/>
    </row>
    <row r="855" spans="5:10" ht="15.75" customHeight="1">
      <c r="E855" s="152"/>
      <c r="F855" s="150"/>
      <c r="H855" s="149"/>
      <c r="J855" s="166"/>
    </row>
    <row r="856" spans="5:10" ht="15.75" customHeight="1">
      <c r="E856" s="152"/>
      <c r="F856" s="150"/>
      <c r="H856" s="149"/>
      <c r="J856" s="166"/>
    </row>
    <row r="857" spans="5:10" ht="15.75" customHeight="1">
      <c r="E857" s="152"/>
      <c r="F857" s="150"/>
      <c r="H857" s="149"/>
      <c r="J857" s="166"/>
    </row>
    <row r="858" spans="5:10" ht="15.75" customHeight="1">
      <c r="E858" s="152"/>
      <c r="F858" s="150"/>
      <c r="H858" s="149"/>
      <c r="J858" s="166"/>
    </row>
    <row r="859" spans="5:10" ht="15.75" customHeight="1">
      <c r="E859" s="152"/>
      <c r="F859" s="150"/>
      <c r="H859" s="149"/>
      <c r="J859" s="166"/>
    </row>
    <row r="860" spans="5:10" ht="15.75" customHeight="1">
      <c r="E860" s="152"/>
      <c r="F860" s="150"/>
      <c r="H860" s="149"/>
      <c r="J860" s="166"/>
    </row>
    <row r="861" spans="5:10" ht="15.75" customHeight="1">
      <c r="E861" s="152"/>
      <c r="F861" s="150"/>
      <c r="H861" s="149"/>
      <c r="J861" s="166"/>
    </row>
    <row r="862" spans="5:10" ht="15.75" customHeight="1">
      <c r="E862" s="152"/>
      <c r="F862" s="150"/>
      <c r="H862" s="149"/>
      <c r="J862" s="166"/>
    </row>
    <row r="863" spans="5:10" ht="15.75" customHeight="1">
      <c r="E863" s="152"/>
      <c r="F863" s="150"/>
      <c r="H863" s="149"/>
      <c r="J863" s="166"/>
    </row>
    <row r="864" spans="5:10" ht="15.75" customHeight="1">
      <c r="E864" s="152"/>
      <c r="F864" s="150"/>
      <c r="H864" s="149"/>
      <c r="J864" s="166"/>
    </row>
    <row r="865" spans="5:10" ht="15.75" customHeight="1">
      <c r="E865" s="152"/>
      <c r="F865" s="150"/>
      <c r="H865" s="149"/>
      <c r="J865" s="166"/>
    </row>
    <row r="866" spans="5:10" ht="15.75" customHeight="1">
      <c r="E866" s="152"/>
      <c r="F866" s="150"/>
      <c r="H866" s="149"/>
      <c r="J866" s="166"/>
    </row>
    <row r="867" spans="5:10" ht="15.75" customHeight="1">
      <c r="E867" s="152"/>
      <c r="F867" s="150"/>
      <c r="H867" s="149"/>
      <c r="J867" s="166"/>
    </row>
    <row r="868" spans="5:10" ht="15.75" customHeight="1">
      <c r="E868" s="152"/>
      <c r="F868" s="150"/>
      <c r="H868" s="149"/>
      <c r="J868" s="166"/>
    </row>
    <row r="869" spans="5:10" ht="15.75" customHeight="1">
      <c r="E869" s="152"/>
      <c r="F869" s="150"/>
      <c r="H869" s="149"/>
      <c r="J869" s="166"/>
    </row>
    <row r="870" spans="5:10" ht="15.75" customHeight="1">
      <c r="E870" s="152"/>
      <c r="F870" s="150"/>
      <c r="H870" s="149"/>
      <c r="J870" s="166"/>
    </row>
    <row r="871" spans="5:10" ht="15.75" customHeight="1">
      <c r="E871" s="152"/>
      <c r="F871" s="150"/>
      <c r="H871" s="149"/>
      <c r="J871" s="166"/>
    </row>
    <row r="872" spans="5:10" ht="15.75" customHeight="1">
      <c r="E872" s="152"/>
      <c r="F872" s="150"/>
      <c r="H872" s="149"/>
      <c r="J872" s="166"/>
    </row>
    <row r="873" spans="5:10" ht="15.75" customHeight="1">
      <c r="E873" s="152"/>
      <c r="F873" s="150"/>
      <c r="H873" s="149"/>
      <c r="J873" s="166"/>
    </row>
    <row r="874" spans="5:10" ht="15.75" customHeight="1">
      <c r="E874" s="152"/>
      <c r="F874" s="150"/>
      <c r="H874" s="149"/>
      <c r="J874" s="166"/>
    </row>
    <row r="875" spans="5:10" ht="15.75" customHeight="1">
      <c r="E875" s="152"/>
      <c r="F875" s="150"/>
      <c r="H875" s="149"/>
      <c r="J875" s="166"/>
    </row>
    <row r="876" spans="5:10" ht="15.75" customHeight="1">
      <c r="E876" s="152"/>
      <c r="F876" s="150"/>
      <c r="H876" s="149"/>
      <c r="J876" s="166"/>
    </row>
    <row r="877" spans="5:10" ht="15.75" customHeight="1">
      <c r="E877" s="152"/>
      <c r="F877" s="150"/>
      <c r="H877" s="149"/>
      <c r="J877" s="166"/>
    </row>
    <row r="878" spans="5:10" ht="15.75" customHeight="1">
      <c r="E878" s="152"/>
      <c r="F878" s="150"/>
      <c r="H878" s="149"/>
      <c r="J878" s="166"/>
    </row>
    <row r="879" spans="5:10" ht="15.75" customHeight="1">
      <c r="E879" s="152"/>
      <c r="F879" s="150"/>
      <c r="H879" s="149"/>
      <c r="J879" s="166"/>
    </row>
    <row r="880" spans="5:10" ht="15.75" customHeight="1">
      <c r="E880" s="152"/>
      <c r="F880" s="150"/>
      <c r="H880" s="149"/>
      <c r="J880" s="166"/>
    </row>
    <row r="881" spans="5:10" ht="15.75" customHeight="1">
      <c r="E881" s="152"/>
      <c r="F881" s="150"/>
      <c r="H881" s="149"/>
      <c r="J881" s="166"/>
    </row>
    <row r="882" spans="5:10" ht="15.75" customHeight="1">
      <c r="E882" s="152"/>
      <c r="F882" s="150"/>
      <c r="H882" s="149"/>
      <c r="J882" s="166"/>
    </row>
    <row r="883" spans="5:10" ht="15.75" customHeight="1">
      <c r="E883" s="152"/>
      <c r="F883" s="150"/>
      <c r="H883" s="149"/>
      <c r="J883" s="166"/>
    </row>
    <row r="884" spans="5:10" ht="15.75" customHeight="1">
      <c r="E884" s="152"/>
      <c r="F884" s="150"/>
      <c r="H884" s="149"/>
      <c r="J884" s="166"/>
    </row>
    <row r="885" spans="5:10" ht="15.75" customHeight="1">
      <c r="E885" s="152"/>
      <c r="F885" s="150"/>
      <c r="H885" s="149"/>
      <c r="J885" s="166"/>
    </row>
    <row r="886" spans="5:10" ht="15.75" customHeight="1">
      <c r="E886" s="152"/>
      <c r="F886" s="150"/>
      <c r="H886" s="149"/>
      <c r="J886" s="166"/>
    </row>
    <row r="887" spans="5:10" ht="15.75" customHeight="1">
      <c r="E887" s="152"/>
      <c r="F887" s="150"/>
      <c r="H887" s="149"/>
      <c r="J887" s="166"/>
    </row>
    <row r="888" spans="5:10" ht="15.75" customHeight="1">
      <c r="E888" s="152"/>
      <c r="F888" s="150"/>
      <c r="H888" s="149"/>
      <c r="J888" s="166"/>
    </row>
    <row r="889" spans="5:10" ht="15.75" customHeight="1">
      <c r="E889" s="152"/>
      <c r="F889" s="150"/>
      <c r="H889" s="149"/>
      <c r="J889" s="166"/>
    </row>
    <row r="890" spans="5:10" ht="15.75" customHeight="1">
      <c r="E890" s="152"/>
      <c r="F890" s="150"/>
      <c r="H890" s="149"/>
      <c r="J890" s="166"/>
    </row>
    <row r="891" spans="5:10" ht="15.75" customHeight="1">
      <c r="E891" s="152"/>
      <c r="F891" s="150"/>
      <c r="H891" s="149"/>
      <c r="J891" s="166"/>
    </row>
    <row r="892" spans="5:10" ht="15.75" customHeight="1">
      <c r="E892" s="152"/>
      <c r="F892" s="150"/>
      <c r="H892" s="149"/>
      <c r="J892" s="166"/>
    </row>
    <row r="893" spans="5:10" ht="15.75" customHeight="1">
      <c r="E893" s="152"/>
      <c r="F893" s="150"/>
      <c r="H893" s="149"/>
      <c r="J893" s="166"/>
    </row>
    <row r="894" spans="5:10" ht="15.75" customHeight="1">
      <c r="E894" s="152"/>
      <c r="F894" s="150"/>
      <c r="H894" s="149"/>
      <c r="J894" s="166"/>
    </row>
    <row r="895" spans="5:10" ht="15.75" customHeight="1">
      <c r="E895" s="152"/>
      <c r="F895" s="150"/>
      <c r="H895" s="149"/>
      <c r="J895" s="166"/>
    </row>
    <row r="896" spans="5:10" ht="15.75" customHeight="1">
      <c r="E896" s="152"/>
      <c r="F896" s="150"/>
      <c r="H896" s="149"/>
      <c r="J896" s="166"/>
    </row>
    <row r="897" spans="5:10" ht="15.75" customHeight="1">
      <c r="E897" s="152"/>
      <c r="F897" s="150"/>
      <c r="H897" s="149"/>
      <c r="J897" s="166"/>
    </row>
    <row r="898" spans="5:10" ht="15.75" customHeight="1">
      <c r="E898" s="152"/>
      <c r="F898" s="150"/>
      <c r="H898" s="149"/>
      <c r="J898" s="166"/>
    </row>
    <row r="899" spans="5:10" ht="15.75" customHeight="1">
      <c r="E899" s="152"/>
      <c r="F899" s="150"/>
      <c r="H899" s="149"/>
      <c r="J899" s="166"/>
    </row>
    <row r="900" spans="5:10" ht="15.75" customHeight="1">
      <c r="E900" s="152"/>
      <c r="F900" s="150"/>
      <c r="H900" s="149"/>
      <c r="J900" s="166"/>
    </row>
    <row r="901" spans="5:10" ht="15.75" customHeight="1">
      <c r="E901" s="152"/>
      <c r="F901" s="150"/>
      <c r="H901" s="149"/>
      <c r="J901" s="166"/>
    </row>
    <row r="902" spans="5:10" ht="15.75" customHeight="1">
      <c r="E902" s="152"/>
      <c r="F902" s="150"/>
      <c r="H902" s="149"/>
      <c r="J902" s="166"/>
    </row>
    <row r="903" spans="5:10" ht="15.75" customHeight="1">
      <c r="E903" s="152"/>
      <c r="F903" s="150"/>
      <c r="H903" s="149"/>
      <c r="J903" s="166"/>
    </row>
    <row r="904" spans="5:10" ht="15.75" customHeight="1">
      <c r="E904" s="152"/>
      <c r="F904" s="150"/>
      <c r="H904" s="149"/>
      <c r="J904" s="166"/>
    </row>
    <row r="905" spans="5:10" ht="15.75" customHeight="1">
      <c r="E905" s="152"/>
      <c r="F905" s="150"/>
      <c r="H905" s="149"/>
      <c r="J905" s="166"/>
    </row>
    <row r="906" spans="5:10" ht="15.75" customHeight="1">
      <c r="E906" s="152"/>
      <c r="F906" s="150"/>
      <c r="H906" s="149"/>
      <c r="J906" s="166"/>
    </row>
    <row r="907" spans="5:10" ht="15.75" customHeight="1">
      <c r="E907" s="152"/>
      <c r="F907" s="150"/>
      <c r="H907" s="149"/>
      <c r="J907" s="166"/>
    </row>
    <row r="908" spans="5:10" ht="15.75" customHeight="1">
      <c r="E908" s="152"/>
      <c r="F908" s="150"/>
      <c r="H908" s="149"/>
      <c r="J908" s="166"/>
    </row>
    <row r="909" spans="5:10" ht="15.75" customHeight="1">
      <c r="E909" s="152"/>
      <c r="F909" s="150"/>
      <c r="H909" s="149"/>
      <c r="J909" s="166"/>
    </row>
    <row r="910" spans="5:10" ht="15.75" customHeight="1">
      <c r="E910" s="152"/>
      <c r="F910" s="150"/>
      <c r="H910" s="149"/>
      <c r="J910" s="166"/>
    </row>
    <row r="911" spans="5:10" ht="15.75" customHeight="1">
      <c r="E911" s="152"/>
      <c r="F911" s="150"/>
      <c r="H911" s="149"/>
      <c r="J911" s="166"/>
    </row>
    <row r="912" spans="5:10" ht="15.75" customHeight="1">
      <c r="E912" s="152"/>
      <c r="F912" s="150"/>
      <c r="H912" s="149"/>
      <c r="J912" s="166"/>
    </row>
    <row r="913" spans="5:10" ht="15.75" customHeight="1">
      <c r="E913" s="152"/>
      <c r="F913" s="150"/>
      <c r="H913" s="149"/>
      <c r="J913" s="166"/>
    </row>
    <row r="914" spans="5:10" ht="15.75" customHeight="1">
      <c r="E914" s="152"/>
      <c r="F914" s="150"/>
      <c r="H914" s="149"/>
      <c r="J914" s="166"/>
    </row>
    <row r="915" spans="5:10" ht="15.75" customHeight="1">
      <c r="E915" s="152"/>
      <c r="F915" s="150"/>
      <c r="H915" s="149"/>
      <c r="J915" s="166"/>
    </row>
    <row r="916" spans="5:10" ht="15.75" customHeight="1">
      <c r="E916" s="152"/>
      <c r="F916" s="150"/>
      <c r="H916" s="149"/>
      <c r="J916" s="166"/>
    </row>
    <row r="917" spans="5:10" ht="15.75" customHeight="1">
      <c r="E917" s="152"/>
      <c r="F917" s="150"/>
      <c r="H917" s="149"/>
      <c r="J917" s="166"/>
    </row>
    <row r="918" spans="5:10" ht="15.75" customHeight="1">
      <c r="E918" s="152"/>
      <c r="F918" s="150"/>
      <c r="H918" s="149"/>
      <c r="J918" s="166"/>
    </row>
    <row r="919" spans="5:10" ht="15.75" customHeight="1">
      <c r="E919" s="152"/>
      <c r="F919" s="150"/>
      <c r="H919" s="149"/>
      <c r="J919" s="166"/>
    </row>
    <row r="920" spans="5:10" ht="15.75" customHeight="1">
      <c r="E920" s="152"/>
      <c r="F920" s="150"/>
      <c r="H920" s="149"/>
      <c r="J920" s="166"/>
    </row>
    <row r="921" spans="5:10" ht="15.75" customHeight="1">
      <c r="E921" s="152"/>
      <c r="F921" s="150"/>
      <c r="H921" s="149"/>
      <c r="J921" s="166"/>
    </row>
    <row r="922" spans="5:10" ht="15.75" customHeight="1">
      <c r="E922" s="152"/>
      <c r="F922" s="150"/>
      <c r="H922" s="149"/>
      <c r="J922" s="166"/>
    </row>
    <row r="923" spans="5:10" ht="15.75" customHeight="1">
      <c r="E923" s="152"/>
      <c r="F923" s="150"/>
      <c r="H923" s="149"/>
      <c r="J923" s="166"/>
    </row>
    <row r="924" spans="5:10" ht="15.75" customHeight="1">
      <c r="E924" s="152"/>
      <c r="F924" s="150"/>
      <c r="H924" s="149"/>
      <c r="J924" s="166"/>
    </row>
    <row r="925" spans="5:10" ht="15.75" customHeight="1">
      <c r="E925" s="152"/>
      <c r="F925" s="150"/>
      <c r="H925" s="149"/>
      <c r="J925" s="166"/>
    </row>
    <row r="926" spans="5:10" ht="15.75" customHeight="1">
      <c r="E926" s="152"/>
      <c r="F926" s="150"/>
      <c r="H926" s="149"/>
      <c r="J926" s="166"/>
    </row>
    <row r="927" spans="5:10" ht="15.75" customHeight="1">
      <c r="E927" s="152"/>
      <c r="F927" s="150"/>
      <c r="H927" s="149"/>
      <c r="J927" s="166"/>
    </row>
    <row r="928" spans="5:10" ht="15.75" customHeight="1">
      <c r="E928" s="152"/>
      <c r="F928" s="150"/>
      <c r="H928" s="149"/>
      <c r="J928" s="166"/>
    </row>
    <row r="929" spans="5:10" ht="15.75" customHeight="1">
      <c r="E929" s="152"/>
      <c r="F929" s="150"/>
      <c r="H929" s="149"/>
      <c r="J929" s="166"/>
    </row>
    <row r="930" spans="5:10" ht="15.75" customHeight="1">
      <c r="E930" s="152"/>
      <c r="F930" s="150"/>
      <c r="H930" s="149"/>
      <c r="J930" s="166"/>
    </row>
    <row r="931" spans="5:10" ht="15.75" customHeight="1">
      <c r="E931" s="152"/>
      <c r="F931" s="150"/>
      <c r="H931" s="149"/>
      <c r="J931" s="166"/>
    </row>
    <row r="932" spans="5:10" ht="15.75" customHeight="1">
      <c r="E932" s="152"/>
      <c r="F932" s="150"/>
      <c r="H932" s="149"/>
      <c r="J932" s="166"/>
    </row>
    <row r="933" spans="5:10" ht="15.75" customHeight="1">
      <c r="E933" s="152"/>
      <c r="F933" s="150"/>
      <c r="H933" s="149"/>
      <c r="J933" s="166"/>
    </row>
    <row r="934" spans="5:10" ht="15.75" customHeight="1">
      <c r="E934" s="152"/>
      <c r="F934" s="150"/>
      <c r="H934" s="149"/>
      <c r="J934" s="166"/>
    </row>
    <row r="935" spans="5:10" ht="15.75" customHeight="1">
      <c r="E935" s="152"/>
      <c r="F935" s="150"/>
      <c r="H935" s="149"/>
      <c r="J935" s="166"/>
    </row>
    <row r="936" spans="5:10" ht="15.75" customHeight="1">
      <c r="E936" s="152"/>
      <c r="F936" s="150"/>
      <c r="H936" s="149"/>
      <c r="J936" s="166"/>
    </row>
    <row r="937" spans="5:10" ht="15.75" customHeight="1">
      <c r="E937" s="152"/>
      <c r="F937" s="150"/>
      <c r="H937" s="149"/>
      <c r="J937" s="166"/>
    </row>
    <row r="938" spans="5:10" ht="15.75" customHeight="1">
      <c r="E938" s="152"/>
      <c r="F938" s="150"/>
      <c r="H938" s="149"/>
      <c r="J938" s="166"/>
    </row>
    <row r="939" spans="5:10" ht="15.75" customHeight="1">
      <c r="E939" s="152"/>
      <c r="F939" s="150"/>
      <c r="H939" s="149"/>
      <c r="J939" s="166"/>
    </row>
    <row r="940" spans="5:10" ht="15.75" customHeight="1">
      <c r="E940" s="152"/>
      <c r="F940" s="150"/>
      <c r="H940" s="149"/>
      <c r="J940" s="166"/>
    </row>
    <row r="941" spans="5:10" ht="15.75" customHeight="1">
      <c r="E941" s="152"/>
      <c r="F941" s="150"/>
      <c r="H941" s="149"/>
      <c r="J941" s="166"/>
    </row>
    <row r="942" spans="5:10" ht="15.75" customHeight="1">
      <c r="E942" s="152"/>
      <c r="F942" s="150"/>
      <c r="H942" s="149"/>
      <c r="J942" s="166"/>
    </row>
    <row r="943" spans="5:10" ht="15.75" customHeight="1">
      <c r="E943" s="152"/>
      <c r="F943" s="150"/>
      <c r="H943" s="149"/>
      <c r="J943" s="166"/>
    </row>
    <row r="944" spans="5:10" ht="15.75" customHeight="1">
      <c r="E944" s="152"/>
      <c r="F944" s="150"/>
      <c r="H944" s="149"/>
      <c r="J944" s="166"/>
    </row>
    <row r="945" spans="5:10" ht="15.75" customHeight="1">
      <c r="E945" s="152"/>
      <c r="F945" s="150"/>
      <c r="H945" s="149"/>
      <c r="J945" s="166"/>
    </row>
    <row r="946" spans="5:10" ht="15.75" customHeight="1">
      <c r="E946" s="152"/>
      <c r="F946" s="150"/>
      <c r="H946" s="149"/>
      <c r="J946" s="166"/>
    </row>
    <row r="947" spans="5:10" ht="15.75" customHeight="1">
      <c r="E947" s="152"/>
      <c r="F947" s="150"/>
      <c r="H947" s="149"/>
      <c r="J947" s="166"/>
    </row>
    <row r="948" spans="5:10" ht="15.75" customHeight="1">
      <c r="E948" s="152"/>
      <c r="F948" s="150"/>
      <c r="H948" s="149"/>
      <c r="J948" s="166"/>
    </row>
    <row r="949" spans="5:10" ht="15.75" customHeight="1">
      <c r="E949" s="152"/>
      <c r="F949" s="150"/>
      <c r="H949" s="149"/>
      <c r="J949" s="166"/>
    </row>
    <row r="950" spans="5:10" ht="15.75" customHeight="1">
      <c r="E950" s="152"/>
      <c r="F950" s="150"/>
      <c r="H950" s="149"/>
      <c r="J950" s="166"/>
    </row>
    <row r="951" spans="5:10" ht="15.75" customHeight="1">
      <c r="E951" s="152"/>
      <c r="F951" s="150"/>
      <c r="H951" s="149"/>
      <c r="J951" s="166"/>
    </row>
    <row r="952" spans="5:10" ht="15.75" customHeight="1">
      <c r="E952" s="152"/>
      <c r="F952" s="150"/>
      <c r="H952" s="149"/>
      <c r="J952" s="166"/>
    </row>
    <row r="953" spans="5:10" ht="15.75" customHeight="1">
      <c r="E953" s="152"/>
      <c r="F953" s="150"/>
      <c r="H953" s="149"/>
      <c r="J953" s="166"/>
    </row>
    <row r="954" spans="5:10" ht="15.75" customHeight="1">
      <c r="E954" s="152"/>
      <c r="F954" s="150"/>
      <c r="H954" s="149"/>
      <c r="J954" s="166"/>
    </row>
    <row r="955" spans="5:10" ht="15.75" customHeight="1">
      <c r="E955" s="152"/>
      <c r="F955" s="150"/>
      <c r="H955" s="149"/>
      <c r="J955" s="166"/>
    </row>
    <row r="956" spans="5:10" ht="15.75" customHeight="1">
      <c r="E956" s="152"/>
      <c r="F956" s="150"/>
      <c r="H956" s="149"/>
      <c r="J956" s="166"/>
    </row>
    <row r="957" spans="5:10" ht="15.75" customHeight="1">
      <c r="E957" s="152"/>
      <c r="F957" s="150"/>
      <c r="H957" s="149"/>
      <c r="J957" s="166"/>
    </row>
    <row r="958" spans="5:10" ht="15.75" customHeight="1">
      <c r="E958" s="152"/>
      <c r="F958" s="150"/>
      <c r="H958" s="149"/>
      <c r="J958" s="166"/>
    </row>
    <row r="959" spans="5:10" ht="15.75" customHeight="1">
      <c r="E959" s="152"/>
      <c r="F959" s="150"/>
      <c r="H959" s="149"/>
      <c r="J959" s="166"/>
    </row>
    <row r="960" spans="5:10" ht="15.75" customHeight="1">
      <c r="E960" s="152"/>
      <c r="F960" s="150"/>
      <c r="H960" s="149"/>
      <c r="J960" s="166"/>
    </row>
    <row r="961" spans="5:10" ht="15.75" customHeight="1">
      <c r="E961" s="152"/>
      <c r="F961" s="150"/>
      <c r="H961" s="149"/>
      <c r="J961" s="166"/>
    </row>
    <row r="962" spans="5:10" ht="15.75" customHeight="1">
      <c r="E962" s="152"/>
      <c r="F962" s="150"/>
      <c r="H962" s="149"/>
      <c r="J962" s="166"/>
    </row>
    <row r="963" spans="5:10" ht="15.75" customHeight="1">
      <c r="E963" s="152"/>
      <c r="F963" s="150"/>
      <c r="H963" s="149"/>
      <c r="J963" s="166"/>
    </row>
    <row r="964" spans="5:10" ht="15.75" customHeight="1">
      <c r="E964" s="152"/>
      <c r="F964" s="150"/>
      <c r="H964" s="149"/>
      <c r="J964" s="166"/>
    </row>
    <row r="965" spans="5:10" ht="15.75" customHeight="1">
      <c r="E965" s="152"/>
      <c r="F965" s="150"/>
      <c r="H965" s="149"/>
      <c r="J965" s="166"/>
    </row>
    <row r="966" spans="5:10" ht="15.75" customHeight="1">
      <c r="E966" s="152"/>
      <c r="F966" s="150"/>
      <c r="H966" s="149"/>
      <c r="J966" s="166"/>
    </row>
    <row r="967" spans="5:10" ht="15.75" customHeight="1">
      <c r="E967" s="152"/>
      <c r="F967" s="150"/>
      <c r="H967" s="149"/>
      <c r="J967" s="166"/>
    </row>
    <row r="968" spans="5:10" ht="15.75" customHeight="1">
      <c r="E968" s="152"/>
      <c r="F968" s="150"/>
      <c r="H968" s="149"/>
      <c r="J968" s="166"/>
    </row>
    <row r="969" spans="5:10" ht="15.75" customHeight="1">
      <c r="E969" s="152"/>
      <c r="F969" s="150"/>
      <c r="H969" s="149"/>
      <c r="J969" s="166"/>
    </row>
    <row r="970" spans="5:10" ht="15.75" customHeight="1">
      <c r="E970" s="152"/>
      <c r="F970" s="150"/>
      <c r="H970" s="149"/>
      <c r="J970" s="166"/>
    </row>
    <row r="971" spans="5:10" ht="15.75" customHeight="1">
      <c r="E971" s="152"/>
      <c r="F971" s="150"/>
      <c r="H971" s="149"/>
      <c r="J971" s="166"/>
    </row>
    <row r="972" spans="5:10" ht="15.75" customHeight="1">
      <c r="E972" s="152"/>
      <c r="F972" s="150"/>
      <c r="H972" s="149"/>
      <c r="J972" s="166"/>
    </row>
    <row r="973" spans="5:10" ht="15.75" customHeight="1">
      <c r="E973" s="152"/>
      <c r="F973" s="150"/>
      <c r="H973" s="149"/>
      <c r="J973" s="166"/>
    </row>
    <row r="974" spans="5:10" ht="15.75" customHeight="1">
      <c r="E974" s="152"/>
      <c r="F974" s="150"/>
      <c r="H974" s="149"/>
      <c r="J974" s="166"/>
    </row>
    <row r="975" spans="5:10" ht="15.75" customHeight="1">
      <c r="E975" s="152"/>
      <c r="F975" s="150"/>
      <c r="H975" s="149"/>
      <c r="J975" s="166"/>
    </row>
    <row r="976" spans="5:10" ht="15.75" customHeight="1">
      <c r="E976" s="152"/>
      <c r="F976" s="150"/>
      <c r="H976" s="149"/>
      <c r="J976" s="166"/>
    </row>
    <row r="977" spans="5:10" ht="15.75" customHeight="1">
      <c r="E977" s="152"/>
      <c r="F977" s="150"/>
      <c r="H977" s="149"/>
      <c r="J977" s="166"/>
    </row>
    <row r="978" spans="5:10" ht="15.75" customHeight="1">
      <c r="E978" s="152"/>
      <c r="F978" s="150"/>
      <c r="H978" s="149"/>
      <c r="J978" s="166"/>
    </row>
    <row r="979" spans="5:10" ht="15.75" customHeight="1">
      <c r="E979" s="152"/>
      <c r="F979" s="150"/>
      <c r="H979" s="149"/>
      <c r="J979" s="166"/>
    </row>
    <row r="980" spans="5:10" ht="15.75" customHeight="1">
      <c r="E980" s="152"/>
      <c r="F980" s="150"/>
      <c r="H980" s="149"/>
      <c r="J980" s="166"/>
    </row>
    <row r="981" spans="5:10" ht="15.75" customHeight="1">
      <c r="E981" s="152"/>
      <c r="F981" s="150"/>
      <c r="H981" s="149"/>
      <c r="J981" s="166"/>
    </row>
    <row r="982" spans="5:10" ht="15.75" customHeight="1">
      <c r="E982" s="152"/>
      <c r="F982" s="150"/>
      <c r="H982" s="149"/>
      <c r="J982" s="166"/>
    </row>
    <row r="983" spans="5:10" ht="15.75" customHeight="1">
      <c r="E983" s="152"/>
      <c r="F983" s="150"/>
      <c r="H983" s="149"/>
      <c r="J983" s="166"/>
    </row>
    <row r="984" spans="5:10" ht="15.75" customHeight="1">
      <c r="E984" s="152"/>
      <c r="F984" s="150"/>
      <c r="H984" s="149"/>
      <c r="J984" s="166"/>
    </row>
    <row r="985" spans="5:10" ht="15.75" customHeight="1">
      <c r="E985" s="152"/>
      <c r="F985" s="150"/>
      <c r="H985" s="149"/>
      <c r="J985" s="166"/>
    </row>
    <row r="986" spans="5:10" ht="15.75" customHeight="1">
      <c r="E986" s="152"/>
      <c r="F986" s="150"/>
      <c r="H986" s="149"/>
      <c r="J986" s="166"/>
    </row>
    <row r="987" spans="5:10" ht="15.75" customHeight="1">
      <c r="E987" s="152"/>
      <c r="F987" s="150"/>
      <c r="H987" s="149"/>
      <c r="J987" s="166"/>
    </row>
    <row r="988" spans="5:10" ht="15.75" customHeight="1">
      <c r="E988" s="152"/>
      <c r="F988" s="150"/>
      <c r="H988" s="149"/>
      <c r="J988" s="166"/>
    </row>
    <row r="989" spans="5:10" ht="15.75" customHeight="1">
      <c r="E989" s="152"/>
      <c r="F989" s="150"/>
      <c r="H989" s="149"/>
      <c r="J989" s="166"/>
    </row>
    <row r="990" spans="5:10" ht="15.75" customHeight="1">
      <c r="E990" s="152"/>
      <c r="F990" s="150"/>
      <c r="H990" s="149"/>
      <c r="J990" s="166"/>
    </row>
    <row r="991" spans="5:10" ht="15.75" customHeight="1">
      <c r="E991" s="152"/>
      <c r="F991" s="150"/>
      <c r="H991" s="149"/>
      <c r="J991" s="166"/>
    </row>
    <row r="992" spans="5:10" ht="15.75" customHeight="1">
      <c r="E992" s="152"/>
      <c r="F992" s="150"/>
      <c r="H992" s="149"/>
      <c r="J992" s="166"/>
    </row>
    <row r="993" spans="5:10" ht="15.75" customHeight="1">
      <c r="E993" s="152"/>
      <c r="F993" s="150"/>
      <c r="H993" s="149"/>
      <c r="J993" s="166"/>
    </row>
    <row r="994" spans="5:10" ht="15.75" customHeight="1">
      <c r="E994" s="152"/>
      <c r="F994" s="150"/>
      <c r="H994" s="149"/>
      <c r="J994" s="166"/>
    </row>
    <row r="995" spans="5:10" ht="15.75" customHeight="1">
      <c r="E995" s="152"/>
      <c r="F995" s="150"/>
      <c r="H995" s="149"/>
      <c r="J995" s="166"/>
    </row>
    <row r="996" spans="5:10" ht="15.75" customHeight="1">
      <c r="E996" s="152"/>
      <c r="F996" s="150"/>
      <c r="H996" s="149"/>
      <c r="J996" s="166"/>
    </row>
    <row r="997" spans="5:10" ht="15.75" customHeight="1">
      <c r="E997" s="152"/>
      <c r="F997" s="150"/>
      <c r="H997" s="149"/>
      <c r="J997" s="166"/>
    </row>
    <row r="998" spans="5:10" ht="15.75" customHeight="1">
      <c r="E998" s="152"/>
      <c r="F998" s="150"/>
      <c r="H998" s="149"/>
      <c r="J998" s="166"/>
    </row>
    <row r="999" spans="5:10" ht="15.75" customHeight="1">
      <c r="E999" s="152"/>
      <c r="F999" s="150"/>
      <c r="H999" s="149"/>
      <c r="J999" s="166"/>
    </row>
    <row r="1000" spans="5:10" ht="15.75" customHeight="1">
      <c r="E1000" s="152"/>
      <c r="F1000" s="150"/>
      <c r="H1000" s="149"/>
      <c r="J1000" s="166"/>
    </row>
    <row r="1001" spans="5:10" ht="15.75" customHeight="1">
      <c r="E1001" s="152"/>
      <c r="F1001" s="150"/>
      <c r="H1001" s="149"/>
      <c r="J1001" s="166"/>
    </row>
    <row r="1002" spans="5:10" ht="15.75" customHeight="1">
      <c r="E1002" s="152"/>
      <c r="F1002" s="150"/>
      <c r="H1002" s="149"/>
      <c r="J1002" s="166"/>
    </row>
    <row r="1003" spans="5:10" ht="15.75" customHeight="1">
      <c r="E1003" s="152"/>
      <c r="F1003" s="150"/>
      <c r="H1003" s="149"/>
      <c r="J1003" s="166"/>
    </row>
    <row r="1004" spans="5:10" ht="15.75" customHeight="1">
      <c r="E1004" s="152"/>
      <c r="F1004" s="150"/>
      <c r="H1004" s="149"/>
      <c r="J1004" s="166"/>
    </row>
    <row r="1005" spans="5:10" ht="15.75" customHeight="1">
      <c r="E1005" s="152"/>
      <c r="F1005" s="150"/>
      <c r="H1005" s="149"/>
      <c r="J1005" s="166"/>
    </row>
    <row r="1006" spans="5:10" ht="15.75" customHeight="1">
      <c r="E1006" s="152"/>
      <c r="F1006" s="150"/>
      <c r="H1006" s="149"/>
      <c r="J1006" s="166"/>
    </row>
    <row r="1007" spans="5:10" ht="15.75" customHeight="1">
      <c r="E1007" s="152"/>
      <c r="F1007" s="150"/>
      <c r="H1007" s="149"/>
      <c r="J1007" s="166"/>
    </row>
    <row r="1008" spans="5:10" ht="15.75" customHeight="1">
      <c r="E1008" s="152"/>
      <c r="F1008" s="150"/>
      <c r="H1008" s="149"/>
      <c r="J1008" s="166"/>
    </row>
    <row r="1009" spans="5:10" ht="15.75" customHeight="1">
      <c r="E1009" s="152"/>
      <c r="F1009" s="150"/>
      <c r="H1009" s="149"/>
      <c r="J1009" s="166"/>
    </row>
    <row r="1010" spans="5:10" ht="15.75" customHeight="1">
      <c r="E1010" s="152"/>
      <c r="F1010" s="150"/>
      <c r="H1010" s="149"/>
      <c r="J1010" s="166"/>
    </row>
    <row r="1011" spans="5:10" ht="15.75" customHeight="1">
      <c r="E1011" s="152"/>
      <c r="F1011" s="150"/>
      <c r="H1011" s="149"/>
      <c r="J1011" s="166"/>
    </row>
    <row r="1012" spans="5:10" ht="15.75" customHeight="1">
      <c r="E1012" s="152"/>
      <c r="F1012" s="150"/>
      <c r="H1012" s="149"/>
      <c r="J1012" s="166"/>
    </row>
    <row r="1013" spans="5:10" ht="15.75" customHeight="1">
      <c r="E1013" s="152"/>
      <c r="F1013" s="150"/>
      <c r="H1013" s="149"/>
      <c r="J1013" s="166"/>
    </row>
    <row r="1014" spans="5:10" ht="15.75" customHeight="1">
      <c r="E1014" s="152"/>
      <c r="F1014" s="150"/>
      <c r="H1014" s="149"/>
      <c r="J1014" s="166"/>
    </row>
    <row r="1015" spans="5:10" ht="15.75" customHeight="1">
      <c r="E1015" s="152"/>
      <c r="F1015" s="150"/>
      <c r="H1015" s="149"/>
      <c r="J1015" s="166"/>
    </row>
    <row r="1016" spans="5:10" ht="15.75" customHeight="1">
      <c r="E1016" s="152"/>
      <c r="F1016" s="150"/>
      <c r="H1016" s="149"/>
      <c r="J1016" s="166"/>
    </row>
    <row r="1017" spans="5:10" ht="15.75" customHeight="1">
      <c r="E1017" s="152"/>
      <c r="F1017" s="150"/>
      <c r="H1017" s="149"/>
      <c r="J1017" s="166"/>
    </row>
    <row r="1018" spans="5:10" ht="15.75" customHeight="1">
      <c r="E1018" s="152"/>
      <c r="F1018" s="150"/>
      <c r="H1018" s="149"/>
      <c r="J1018" s="166"/>
    </row>
    <row r="1019" spans="5:10" ht="15.75" customHeight="1">
      <c r="E1019" s="152"/>
      <c r="F1019" s="150"/>
      <c r="H1019" s="149"/>
      <c r="J1019" s="166"/>
    </row>
    <row r="1020" spans="5:10" ht="15.75" customHeight="1">
      <c r="E1020" s="152"/>
      <c r="F1020" s="150"/>
      <c r="H1020" s="149"/>
      <c r="J1020" s="166"/>
    </row>
    <row r="1021" spans="5:10" ht="15.75" customHeight="1">
      <c r="E1021" s="152"/>
      <c r="F1021" s="150"/>
      <c r="H1021" s="149"/>
      <c r="J1021" s="166"/>
    </row>
    <row r="1022" spans="5:10" ht="15.75" customHeight="1">
      <c r="E1022" s="152"/>
      <c r="F1022" s="150"/>
      <c r="H1022" s="149"/>
      <c r="J1022" s="166"/>
    </row>
    <row r="1023" spans="5:10" ht="15.75" customHeight="1">
      <c r="E1023" s="152"/>
      <c r="F1023" s="150"/>
      <c r="H1023" s="149"/>
      <c r="J1023" s="166"/>
    </row>
    <row r="1024" spans="5:10" ht="15.75" customHeight="1">
      <c r="E1024" s="152"/>
      <c r="F1024" s="150"/>
      <c r="H1024" s="149"/>
      <c r="J1024" s="166"/>
    </row>
    <row r="1025" spans="5:10" ht="15.75" customHeight="1">
      <c r="E1025" s="152"/>
      <c r="F1025" s="150"/>
      <c r="H1025" s="149"/>
      <c r="J1025" s="166"/>
    </row>
    <row r="1026" spans="5:10" ht="15.75" customHeight="1">
      <c r="E1026" s="152"/>
      <c r="F1026" s="150"/>
      <c r="H1026" s="149"/>
      <c r="J1026" s="166"/>
    </row>
    <row r="1027" spans="5:10" ht="15.75" customHeight="1">
      <c r="E1027" s="152"/>
      <c r="F1027" s="150"/>
      <c r="H1027" s="149"/>
      <c r="J1027" s="166"/>
    </row>
    <row r="1028" spans="5:10" ht="15.75" customHeight="1">
      <c r="E1028" s="152"/>
      <c r="F1028" s="150"/>
      <c r="H1028" s="149"/>
      <c r="J1028" s="166"/>
    </row>
    <row r="1029" spans="5:10" ht="15.75" customHeight="1">
      <c r="E1029" s="152"/>
      <c r="F1029" s="150"/>
      <c r="H1029" s="149"/>
      <c r="J1029" s="166"/>
    </row>
    <row r="1030" spans="5:10" ht="15.75" customHeight="1">
      <c r="E1030" s="152"/>
      <c r="F1030" s="150"/>
      <c r="H1030" s="149"/>
      <c r="J1030" s="166"/>
    </row>
    <row r="1031" spans="5:10" ht="15.75" customHeight="1">
      <c r="E1031" s="152"/>
      <c r="F1031" s="150"/>
      <c r="H1031" s="149"/>
      <c r="J1031" s="166"/>
    </row>
    <row r="1032" spans="5:10" ht="15.75" customHeight="1">
      <c r="E1032" s="152"/>
      <c r="F1032" s="150"/>
      <c r="H1032" s="149"/>
      <c r="J1032" s="166"/>
    </row>
    <row r="1033" spans="5:10" ht="15.75" customHeight="1">
      <c r="E1033" s="152"/>
      <c r="F1033" s="150"/>
      <c r="H1033" s="149"/>
      <c r="J1033" s="166"/>
    </row>
    <row r="1034" spans="5:10" ht="15.75" customHeight="1">
      <c r="E1034" s="152"/>
      <c r="F1034" s="150"/>
      <c r="H1034" s="149"/>
      <c r="J1034" s="166"/>
    </row>
    <row r="1035" spans="5:10" ht="15.75" customHeight="1">
      <c r="E1035" s="152"/>
      <c r="F1035" s="150"/>
      <c r="H1035" s="149"/>
      <c r="J1035" s="166"/>
    </row>
    <row r="1036" spans="5:10" ht="15.75" customHeight="1">
      <c r="E1036" s="152"/>
      <c r="F1036" s="150"/>
      <c r="H1036" s="149"/>
      <c r="J1036" s="166"/>
    </row>
    <row r="1037" spans="5:10" ht="15.75" customHeight="1">
      <c r="E1037" s="152"/>
      <c r="F1037" s="150"/>
      <c r="H1037" s="149"/>
      <c r="J1037" s="166"/>
    </row>
    <row r="1038" spans="5:10" ht="15.75" customHeight="1">
      <c r="E1038" s="152"/>
      <c r="F1038" s="150"/>
      <c r="H1038" s="149"/>
      <c r="J1038" s="166"/>
    </row>
    <row r="1039" spans="5:10" ht="15.75" customHeight="1">
      <c r="E1039" s="152"/>
      <c r="F1039" s="150"/>
      <c r="H1039" s="149"/>
      <c r="J1039" s="166"/>
    </row>
    <row r="1040" spans="5:10" ht="15.75" customHeight="1">
      <c r="E1040" s="152"/>
      <c r="F1040" s="150"/>
      <c r="H1040" s="149"/>
      <c r="J1040" s="166"/>
    </row>
    <row r="1041" spans="5:10" ht="15.75" customHeight="1">
      <c r="E1041" s="152"/>
      <c r="F1041" s="150"/>
      <c r="H1041" s="149"/>
      <c r="J1041" s="166"/>
    </row>
    <row r="1042" spans="5:10" ht="15.75" customHeight="1">
      <c r="E1042" s="152"/>
      <c r="F1042" s="150"/>
      <c r="H1042" s="149"/>
      <c r="J1042" s="166"/>
    </row>
    <row r="1043" spans="5:10" ht="15.75" customHeight="1">
      <c r="E1043" s="152"/>
      <c r="F1043" s="150"/>
      <c r="H1043" s="149"/>
      <c r="J1043" s="166"/>
    </row>
    <row r="1044" spans="5:10" ht="15.75" customHeight="1">
      <c r="E1044" s="152"/>
      <c r="F1044" s="150"/>
      <c r="H1044" s="149"/>
      <c r="J1044" s="166"/>
    </row>
    <row r="1045" spans="5:10" ht="15.75" customHeight="1">
      <c r="E1045" s="152"/>
      <c r="F1045" s="150"/>
      <c r="H1045" s="149"/>
      <c r="J1045" s="166"/>
    </row>
    <row r="1046" spans="5:10" ht="15.75" customHeight="1">
      <c r="E1046" s="152"/>
      <c r="F1046" s="150"/>
      <c r="H1046" s="149"/>
      <c r="J1046" s="166"/>
    </row>
    <row r="1047" spans="5:10" ht="15.75" customHeight="1">
      <c r="E1047" s="152"/>
      <c r="F1047" s="150"/>
      <c r="H1047" s="149"/>
      <c r="J1047" s="166"/>
    </row>
    <row r="1048" spans="5:10" ht="15.75" customHeight="1">
      <c r="E1048" s="152"/>
      <c r="F1048" s="150"/>
      <c r="H1048" s="149"/>
      <c r="J1048" s="166"/>
    </row>
    <row r="1049" spans="5:10" ht="15.75" customHeight="1">
      <c r="E1049" s="152"/>
      <c r="F1049" s="150"/>
      <c r="H1049" s="149"/>
      <c r="J1049" s="166"/>
    </row>
    <row r="1050" spans="5:10" ht="15.75" customHeight="1">
      <c r="E1050" s="152"/>
      <c r="F1050" s="150"/>
      <c r="H1050" s="149"/>
      <c r="J1050" s="166"/>
    </row>
    <row r="1051" spans="5:10" ht="15.75" customHeight="1">
      <c r="E1051" s="152"/>
      <c r="F1051" s="150"/>
      <c r="H1051" s="149"/>
      <c r="J1051" s="166"/>
    </row>
    <row r="1052" spans="5:10" ht="15.75" customHeight="1">
      <c r="E1052" s="152"/>
      <c r="F1052" s="150"/>
      <c r="H1052" s="149"/>
      <c r="J1052" s="166"/>
    </row>
    <row r="1053" spans="5:10" ht="15.75" customHeight="1">
      <c r="E1053" s="152"/>
      <c r="F1053" s="150"/>
      <c r="H1053" s="149"/>
      <c r="J1053" s="166"/>
    </row>
    <row r="1054" spans="5:10" ht="15.75" customHeight="1">
      <c r="E1054" s="152"/>
      <c r="F1054" s="150"/>
      <c r="H1054" s="149"/>
      <c r="J1054" s="166"/>
    </row>
    <row r="1055" spans="5:10" ht="15.75" customHeight="1">
      <c r="E1055" s="152"/>
      <c r="F1055" s="150"/>
      <c r="H1055" s="149"/>
      <c r="J1055" s="166"/>
    </row>
    <row r="1056" spans="5:10" ht="15.75" customHeight="1">
      <c r="E1056" s="152"/>
      <c r="F1056" s="150"/>
      <c r="H1056" s="149"/>
      <c r="J1056" s="166"/>
    </row>
    <row r="1057" spans="5:10" ht="15.75" customHeight="1">
      <c r="E1057" s="152"/>
      <c r="F1057" s="150"/>
      <c r="H1057" s="149"/>
      <c r="J1057" s="166"/>
    </row>
    <row r="1058" spans="5:10" ht="15.75" customHeight="1">
      <c r="E1058" s="152"/>
      <c r="F1058" s="150"/>
      <c r="H1058" s="149"/>
      <c r="J1058" s="166"/>
    </row>
    <row r="1059" spans="5:10" ht="15.75" customHeight="1">
      <c r="E1059" s="152"/>
      <c r="F1059" s="150"/>
      <c r="H1059" s="149"/>
      <c r="J1059" s="166"/>
    </row>
    <row r="1060" spans="5:10" ht="15.75" customHeight="1">
      <c r="E1060" s="152"/>
      <c r="F1060" s="150"/>
      <c r="H1060" s="149"/>
      <c r="J1060" s="166"/>
    </row>
    <row r="1061" spans="5:10" ht="15.75" customHeight="1">
      <c r="E1061" s="152"/>
      <c r="F1061" s="150"/>
      <c r="H1061" s="149"/>
      <c r="J1061" s="166"/>
    </row>
    <row r="1062" spans="5:10" ht="15.75" customHeight="1">
      <c r="E1062" s="152"/>
      <c r="F1062" s="150"/>
      <c r="H1062" s="149"/>
      <c r="J1062" s="166"/>
    </row>
    <row r="1063" spans="5:10" ht="15.75" customHeight="1">
      <c r="E1063" s="152"/>
      <c r="F1063" s="150"/>
      <c r="H1063" s="149"/>
      <c r="J1063" s="166"/>
    </row>
    <row r="1064" spans="5:10" ht="15.75" customHeight="1">
      <c r="E1064" s="152"/>
      <c r="F1064" s="150"/>
      <c r="H1064" s="149"/>
      <c r="J1064" s="166"/>
    </row>
    <row r="1065" spans="5:10" ht="15.75" customHeight="1">
      <c r="E1065" s="152"/>
      <c r="F1065" s="150"/>
      <c r="H1065" s="149"/>
      <c r="J1065" s="166"/>
    </row>
    <row r="1066" spans="5:10" ht="15.75" customHeight="1">
      <c r="E1066" s="152"/>
      <c r="F1066" s="150"/>
      <c r="H1066" s="149"/>
      <c r="J1066" s="166"/>
    </row>
    <row r="1067" spans="5:10" ht="15.75" customHeight="1">
      <c r="E1067" s="152"/>
      <c r="F1067" s="150"/>
      <c r="H1067" s="149"/>
      <c r="J1067" s="166"/>
    </row>
    <row r="1068" spans="5:10" ht="15.75" customHeight="1">
      <c r="E1068" s="152"/>
      <c r="F1068" s="150"/>
      <c r="H1068" s="149"/>
      <c r="J1068" s="166"/>
    </row>
    <row r="1069" spans="5:10" ht="15.75" customHeight="1">
      <c r="E1069" s="152"/>
      <c r="F1069" s="150"/>
      <c r="H1069" s="149"/>
      <c r="J1069" s="166"/>
    </row>
    <row r="1070" spans="5:10" ht="15.75" customHeight="1">
      <c r="E1070" s="152"/>
      <c r="F1070" s="150"/>
      <c r="H1070" s="149"/>
      <c r="J1070" s="166"/>
    </row>
    <row r="1071" spans="5:10" ht="15.75" customHeight="1">
      <c r="E1071" s="152"/>
      <c r="F1071" s="150"/>
      <c r="H1071" s="149"/>
      <c r="J1071" s="166"/>
    </row>
    <row r="1072" spans="5:10" ht="15.75" customHeight="1">
      <c r="E1072" s="152"/>
      <c r="F1072" s="150"/>
      <c r="H1072" s="149"/>
      <c r="J1072" s="166"/>
    </row>
    <row r="1073" spans="5:10" ht="15.75" customHeight="1">
      <c r="E1073" s="152"/>
      <c r="F1073" s="150"/>
      <c r="H1073" s="149"/>
      <c r="J1073" s="166"/>
    </row>
    <row r="1074" spans="5:10" ht="15.75" customHeight="1">
      <c r="E1074" s="152"/>
      <c r="F1074" s="150"/>
      <c r="H1074" s="149"/>
      <c r="J1074" s="166"/>
    </row>
    <row r="1075" spans="5:10" ht="15.75" customHeight="1">
      <c r="E1075" s="152"/>
      <c r="F1075" s="150"/>
      <c r="H1075" s="149"/>
      <c r="J1075" s="166"/>
    </row>
    <row r="1076" spans="5:10" ht="15.75" customHeight="1">
      <c r="E1076" s="152"/>
      <c r="F1076" s="150"/>
      <c r="H1076" s="149"/>
      <c r="J1076" s="166"/>
    </row>
    <row r="1077" spans="5:10" ht="15.75" customHeight="1">
      <c r="E1077" s="152"/>
      <c r="F1077" s="150"/>
      <c r="H1077" s="149"/>
      <c r="J1077" s="166"/>
    </row>
    <row r="1078" spans="5:10" ht="15.75" customHeight="1">
      <c r="E1078" s="152"/>
      <c r="F1078" s="150"/>
      <c r="H1078" s="149"/>
      <c r="J1078" s="166"/>
    </row>
    <row r="1079" spans="5:10" ht="15.75" customHeight="1">
      <c r="E1079" s="152"/>
      <c r="F1079" s="150"/>
      <c r="H1079" s="149"/>
      <c r="J1079" s="166"/>
    </row>
    <row r="1080" spans="5:10" ht="15.75" customHeight="1">
      <c r="E1080" s="152"/>
      <c r="F1080" s="150"/>
      <c r="H1080" s="149"/>
      <c r="J1080" s="166"/>
    </row>
    <row r="1081" spans="5:10" ht="15.75" customHeight="1">
      <c r="E1081" s="152"/>
      <c r="F1081" s="150"/>
      <c r="H1081" s="149"/>
      <c r="J1081" s="166"/>
    </row>
    <row r="1082" spans="5:10" ht="15.75" customHeight="1">
      <c r="E1082" s="152"/>
      <c r="F1082" s="150"/>
      <c r="H1082" s="149"/>
      <c r="J1082" s="166"/>
    </row>
    <row r="1083" spans="5:10" ht="15.75" customHeight="1">
      <c r="E1083" s="152"/>
      <c r="F1083" s="150"/>
      <c r="H1083" s="149"/>
      <c r="J1083" s="166"/>
    </row>
    <row r="1084" spans="5:10" ht="15.75" customHeight="1">
      <c r="E1084" s="152"/>
      <c r="F1084" s="150"/>
      <c r="H1084" s="149"/>
      <c r="J1084" s="166"/>
    </row>
    <row r="1085" spans="5:10" ht="15.75" customHeight="1">
      <c r="E1085" s="152"/>
      <c r="F1085" s="150"/>
      <c r="H1085" s="149"/>
      <c r="J1085" s="166"/>
    </row>
    <row r="1086" spans="5:10" ht="15.75" customHeight="1">
      <c r="E1086" s="152"/>
      <c r="F1086" s="150"/>
      <c r="H1086" s="149"/>
      <c r="J1086" s="166"/>
    </row>
    <row r="1087" spans="5:10" ht="15.75" customHeight="1">
      <c r="E1087" s="152"/>
      <c r="F1087" s="150"/>
      <c r="H1087" s="149"/>
      <c r="J1087" s="166"/>
    </row>
    <row r="1088" spans="5:10" ht="15.75" customHeight="1">
      <c r="E1088" s="152"/>
      <c r="F1088" s="150"/>
      <c r="H1088" s="149"/>
      <c r="J1088" s="166"/>
    </row>
    <row r="1089" spans="5:10" ht="15.75" customHeight="1">
      <c r="E1089" s="152"/>
      <c r="F1089" s="150"/>
      <c r="H1089" s="149"/>
      <c r="J1089" s="166"/>
    </row>
    <row r="1090" spans="5:10" ht="15.75" customHeight="1">
      <c r="E1090" s="152"/>
      <c r="F1090" s="150"/>
      <c r="H1090" s="149"/>
      <c r="J1090" s="166"/>
    </row>
    <row r="1091" spans="5:10" ht="15.75" customHeight="1">
      <c r="E1091" s="152"/>
      <c r="F1091" s="150"/>
      <c r="H1091" s="149"/>
      <c r="J1091" s="166"/>
    </row>
    <row r="1092" spans="5:10" ht="15.75" customHeight="1">
      <c r="E1092" s="152"/>
      <c r="F1092" s="150"/>
      <c r="H1092" s="149"/>
      <c r="J1092" s="166"/>
    </row>
    <row r="1093" spans="5:10" ht="15.75" customHeight="1">
      <c r="E1093" s="152"/>
      <c r="F1093" s="150"/>
      <c r="H1093" s="149"/>
      <c r="J1093" s="166"/>
    </row>
    <row r="1094" spans="5:10" ht="15.75" customHeight="1">
      <c r="E1094" s="152"/>
      <c r="F1094" s="150"/>
      <c r="H1094" s="149"/>
      <c r="J1094" s="166"/>
    </row>
    <row r="1095" spans="5:10" ht="15.75" customHeight="1">
      <c r="E1095" s="152"/>
      <c r="F1095" s="150"/>
      <c r="H1095" s="149"/>
      <c r="J1095" s="166"/>
    </row>
    <row r="1096" spans="5:10" ht="15.75" customHeight="1">
      <c r="E1096" s="152"/>
      <c r="F1096" s="150"/>
      <c r="H1096" s="149"/>
      <c r="J1096" s="166"/>
    </row>
    <row r="1097" spans="5:10" ht="15.75" customHeight="1">
      <c r="E1097" s="152"/>
      <c r="F1097" s="150"/>
      <c r="H1097" s="149"/>
      <c r="J1097" s="166"/>
    </row>
    <row r="1098" spans="5:10" ht="15.75" customHeight="1">
      <c r="E1098" s="152"/>
      <c r="F1098" s="150"/>
      <c r="H1098" s="149"/>
      <c r="J1098" s="166"/>
    </row>
    <row r="1099" spans="5:10" ht="15.75" customHeight="1">
      <c r="E1099" s="152"/>
      <c r="F1099" s="150"/>
      <c r="H1099" s="149"/>
      <c r="J1099" s="166"/>
    </row>
    <row r="1100" spans="5:10" ht="15.75" customHeight="1">
      <c r="E1100" s="152"/>
      <c r="F1100" s="150"/>
      <c r="H1100" s="149"/>
      <c r="J1100" s="166"/>
    </row>
    <row r="1101" spans="5:10" ht="15.75" customHeight="1">
      <c r="E1101" s="152"/>
      <c r="F1101" s="150"/>
      <c r="H1101" s="149"/>
      <c r="J1101" s="166"/>
    </row>
    <row r="1102" spans="5:10" ht="15.75" customHeight="1">
      <c r="E1102" s="152"/>
      <c r="F1102" s="150"/>
      <c r="H1102" s="149"/>
      <c r="J1102" s="166"/>
    </row>
    <row r="1103" spans="5:10" ht="15.75" customHeight="1">
      <c r="E1103" s="152"/>
      <c r="F1103" s="150"/>
      <c r="H1103" s="149"/>
      <c r="J1103" s="166"/>
    </row>
    <row r="1104" spans="5:10" ht="15.75" customHeight="1">
      <c r="E1104" s="152"/>
      <c r="F1104" s="150"/>
      <c r="H1104" s="149"/>
      <c r="J1104" s="166"/>
    </row>
    <row r="1105" spans="5:10" ht="15.75" customHeight="1">
      <c r="E1105" s="152"/>
      <c r="F1105" s="150"/>
      <c r="H1105" s="149"/>
      <c r="J1105" s="166"/>
    </row>
    <row r="1106" spans="5:10" ht="15.75" customHeight="1">
      <c r="E1106" s="152"/>
      <c r="F1106" s="150"/>
      <c r="H1106" s="149"/>
      <c r="J1106" s="166"/>
    </row>
    <row r="1107" spans="5:10" ht="15.75" customHeight="1">
      <c r="E1107" s="152"/>
      <c r="F1107" s="150"/>
      <c r="H1107" s="149"/>
      <c r="J1107" s="166"/>
    </row>
    <row r="1108" spans="5:10" ht="15.75" customHeight="1">
      <c r="E1108" s="152"/>
      <c r="F1108" s="150"/>
      <c r="H1108" s="149"/>
      <c r="J1108" s="166"/>
    </row>
    <row r="1109" spans="5:10" ht="15.75" customHeight="1">
      <c r="E1109" s="152"/>
      <c r="F1109" s="150"/>
      <c r="H1109" s="149"/>
      <c r="J1109" s="166"/>
    </row>
    <row r="1110" spans="5:10" ht="15.75" customHeight="1">
      <c r="E1110" s="152"/>
      <c r="F1110" s="150"/>
      <c r="H1110" s="149"/>
      <c r="J1110" s="166"/>
    </row>
    <row r="1111" spans="5:10" ht="15.75" customHeight="1">
      <c r="E1111" s="152"/>
      <c r="F1111" s="150"/>
      <c r="H1111" s="149"/>
      <c r="J1111" s="166"/>
    </row>
    <row r="1112" spans="5:10" ht="15.75" customHeight="1">
      <c r="E1112" s="152"/>
      <c r="F1112" s="150"/>
      <c r="H1112" s="149"/>
      <c r="J1112" s="166"/>
    </row>
    <row r="1113" spans="5:10" ht="15.75" customHeight="1">
      <c r="E1113" s="152"/>
      <c r="F1113" s="150"/>
      <c r="H1113" s="149"/>
      <c r="J1113" s="166"/>
    </row>
    <row r="1114" spans="5:10" ht="15.75" customHeight="1">
      <c r="E1114" s="152"/>
      <c r="F1114" s="150"/>
      <c r="H1114" s="149"/>
      <c r="J1114" s="166"/>
    </row>
    <row r="1115" spans="5:10" ht="15.75" customHeight="1">
      <c r="E1115" s="152"/>
      <c r="F1115" s="150"/>
      <c r="H1115" s="149"/>
      <c r="J1115" s="166"/>
    </row>
    <row r="1116" spans="5:10" ht="15.75" customHeight="1">
      <c r="E1116" s="152"/>
      <c r="F1116" s="150"/>
      <c r="H1116" s="149"/>
      <c r="J1116" s="166"/>
    </row>
    <row r="1117" spans="5:10" ht="15.75" customHeight="1">
      <c r="E1117" s="152"/>
      <c r="F1117" s="150"/>
      <c r="H1117" s="149"/>
      <c r="J1117" s="166"/>
    </row>
    <row r="1118" spans="5:10" ht="15.75" customHeight="1">
      <c r="E1118" s="152"/>
      <c r="F1118" s="150"/>
      <c r="H1118" s="149"/>
      <c r="J1118" s="166"/>
    </row>
    <row r="1119" spans="5:10" ht="15.75" customHeight="1">
      <c r="E1119" s="152"/>
      <c r="F1119" s="150"/>
      <c r="H1119" s="149"/>
      <c r="J1119" s="166"/>
    </row>
    <row r="1120" spans="5:10" ht="15.75" customHeight="1">
      <c r="E1120" s="152"/>
      <c r="F1120" s="150"/>
      <c r="H1120" s="149"/>
      <c r="J1120" s="166"/>
    </row>
    <row r="1121" spans="5:10" ht="15.75" customHeight="1">
      <c r="E1121" s="152"/>
      <c r="F1121" s="150"/>
      <c r="H1121" s="149"/>
      <c r="J1121" s="166"/>
    </row>
    <row r="1122" spans="5:10" ht="15.75" customHeight="1">
      <c r="E1122" s="152"/>
      <c r="F1122" s="150"/>
      <c r="H1122" s="149"/>
      <c r="J1122" s="166"/>
    </row>
    <row r="1123" spans="5:10" ht="15.75" customHeight="1">
      <c r="E1123" s="152"/>
      <c r="F1123" s="150"/>
      <c r="H1123" s="149"/>
      <c r="J1123" s="166"/>
    </row>
    <row r="1124" spans="5:10" ht="15.75" customHeight="1">
      <c r="E1124" s="152"/>
      <c r="F1124" s="150"/>
      <c r="H1124" s="149"/>
      <c r="J1124" s="166"/>
    </row>
    <row r="1125" spans="5:10" ht="15.75" customHeight="1">
      <c r="E1125" s="152"/>
      <c r="F1125" s="150"/>
      <c r="H1125" s="149"/>
      <c r="J1125" s="166"/>
    </row>
    <row r="1126" spans="5:10" ht="15.75" customHeight="1">
      <c r="E1126" s="152"/>
      <c r="F1126" s="150"/>
      <c r="H1126" s="149"/>
      <c r="J1126" s="166"/>
    </row>
    <row r="1127" spans="5:10" ht="15.75" customHeight="1">
      <c r="E1127" s="152"/>
      <c r="F1127" s="150"/>
      <c r="H1127" s="149"/>
      <c r="J1127" s="166"/>
    </row>
    <row r="1128" spans="5:10" ht="15.75" customHeight="1">
      <c r="E1128" s="152"/>
      <c r="F1128" s="150"/>
      <c r="H1128" s="149"/>
      <c r="J1128" s="166"/>
    </row>
    <row r="1129" spans="5:10" ht="15.75" customHeight="1">
      <c r="E1129" s="152"/>
      <c r="F1129" s="150"/>
      <c r="H1129" s="149"/>
      <c r="J1129" s="166"/>
    </row>
    <row r="1130" spans="5:10" ht="15.75" customHeight="1">
      <c r="E1130" s="152"/>
      <c r="F1130" s="150"/>
      <c r="H1130" s="149"/>
      <c r="J1130" s="166"/>
    </row>
    <row r="1131" spans="5:10" ht="15.75" customHeight="1">
      <c r="E1131" s="152"/>
      <c r="F1131" s="150"/>
      <c r="H1131" s="149"/>
      <c r="J1131" s="166"/>
    </row>
    <row r="1132" spans="5:10" ht="15.75" customHeight="1">
      <c r="E1132" s="152"/>
      <c r="F1132" s="150"/>
      <c r="H1132" s="149"/>
      <c r="J1132" s="166"/>
    </row>
    <row r="1133" spans="5:10" ht="15.75" customHeight="1">
      <c r="E1133" s="152"/>
      <c r="F1133" s="150"/>
      <c r="H1133" s="149"/>
      <c r="J1133" s="166"/>
    </row>
    <row r="1134" spans="5:10" ht="15.75" customHeight="1">
      <c r="E1134" s="152"/>
      <c r="F1134" s="150"/>
      <c r="H1134" s="149"/>
      <c r="J1134" s="166"/>
    </row>
    <row r="1135" spans="5:10" ht="15.75" customHeight="1">
      <c r="E1135" s="152"/>
      <c r="F1135" s="150"/>
      <c r="H1135" s="149"/>
      <c r="J1135" s="166"/>
    </row>
    <row r="1136" spans="5:10" ht="15.75" customHeight="1">
      <c r="E1136" s="152"/>
      <c r="F1136" s="150"/>
      <c r="H1136" s="149"/>
      <c r="J1136" s="166"/>
    </row>
    <row r="1137" spans="5:10" ht="15.75" customHeight="1">
      <c r="E1137" s="152"/>
      <c r="F1137" s="150"/>
      <c r="H1137" s="149"/>
      <c r="J1137" s="166"/>
    </row>
    <row r="1138" spans="5:10" ht="15.75" customHeight="1">
      <c r="E1138" s="152"/>
      <c r="F1138" s="150"/>
      <c r="H1138" s="149"/>
      <c r="J1138" s="166"/>
    </row>
    <row r="1139" spans="5:10" ht="15.75" customHeight="1">
      <c r="E1139" s="152"/>
      <c r="F1139" s="150"/>
      <c r="H1139" s="149"/>
      <c r="J1139" s="166"/>
    </row>
    <row r="1140" spans="5:10" ht="15.75" customHeight="1">
      <c r="E1140" s="152"/>
      <c r="F1140" s="150"/>
      <c r="H1140" s="149"/>
      <c r="J1140" s="166"/>
    </row>
    <row r="1141" spans="5:10" ht="15.75" customHeight="1">
      <c r="E1141" s="152"/>
      <c r="F1141" s="150"/>
      <c r="H1141" s="149"/>
      <c r="J1141" s="166"/>
    </row>
    <row r="1142" spans="5:10" ht="15.75" customHeight="1">
      <c r="E1142" s="152"/>
      <c r="F1142" s="150"/>
      <c r="H1142" s="149"/>
      <c r="J1142" s="166"/>
    </row>
    <row r="1143" spans="5:10" ht="15.75" customHeight="1">
      <c r="E1143" s="152"/>
      <c r="F1143" s="150"/>
      <c r="H1143" s="149"/>
      <c r="J1143" s="166"/>
    </row>
    <row r="1144" spans="5:10" ht="15.75" customHeight="1">
      <c r="E1144" s="152"/>
      <c r="F1144" s="150"/>
      <c r="H1144" s="149"/>
      <c r="J1144" s="166"/>
    </row>
    <row r="1145" spans="5:10" ht="15.75" customHeight="1">
      <c r="E1145" s="152"/>
      <c r="F1145" s="150"/>
      <c r="H1145" s="149"/>
      <c r="J1145" s="166"/>
    </row>
    <row r="1146" spans="5:10" ht="15.75" customHeight="1">
      <c r="E1146" s="152"/>
      <c r="F1146" s="150"/>
      <c r="H1146" s="149"/>
      <c r="J1146" s="166"/>
    </row>
    <row r="1147" spans="5:10" ht="15.75" customHeight="1">
      <c r="E1147" s="152"/>
      <c r="F1147" s="150"/>
      <c r="H1147" s="149"/>
      <c r="J1147" s="166"/>
    </row>
    <row r="1148" spans="5:10" ht="15.75" customHeight="1">
      <c r="E1148" s="152"/>
      <c r="F1148" s="150"/>
      <c r="H1148" s="149"/>
      <c r="J1148" s="166"/>
    </row>
    <row r="1149" spans="5:10" ht="15.75" customHeight="1">
      <c r="E1149" s="152"/>
      <c r="F1149" s="150"/>
      <c r="H1149" s="149"/>
      <c r="J1149" s="166"/>
    </row>
    <row r="1150" spans="5:10" ht="15.75" customHeight="1">
      <c r="E1150" s="152"/>
      <c r="F1150" s="150"/>
      <c r="H1150" s="149"/>
      <c r="J1150" s="166"/>
    </row>
    <row r="1151" spans="5:10" ht="15.75" customHeight="1">
      <c r="E1151" s="152"/>
      <c r="F1151" s="150"/>
      <c r="H1151" s="149"/>
      <c r="J1151" s="166"/>
    </row>
    <row r="1152" spans="5:10" ht="15.75" customHeight="1">
      <c r="E1152" s="152"/>
      <c r="F1152" s="150"/>
      <c r="H1152" s="149"/>
      <c r="J1152" s="166"/>
    </row>
    <row r="1153" spans="5:10" ht="15.75" customHeight="1">
      <c r="E1153" s="152"/>
      <c r="F1153" s="150"/>
      <c r="H1153" s="149"/>
      <c r="J1153" s="166"/>
    </row>
    <row r="1154" spans="5:10" ht="15.75" customHeight="1">
      <c r="E1154" s="152"/>
      <c r="F1154" s="150"/>
      <c r="H1154" s="149"/>
      <c r="J1154" s="166"/>
    </row>
    <row r="1155" spans="5:10" ht="15.75" customHeight="1">
      <c r="E1155" s="152"/>
      <c r="F1155" s="150"/>
      <c r="H1155" s="149"/>
      <c r="J1155" s="166"/>
    </row>
    <row r="1156" spans="5:10" ht="15.75" customHeight="1">
      <c r="E1156" s="152"/>
      <c r="F1156" s="150"/>
      <c r="H1156" s="149"/>
      <c r="J1156" s="166"/>
    </row>
    <row r="1157" spans="5:10" ht="15.75" customHeight="1">
      <c r="E1157" s="152"/>
      <c r="F1157" s="150"/>
      <c r="H1157" s="149"/>
      <c r="J1157" s="166"/>
    </row>
    <row r="1158" spans="5:10" ht="15.75" customHeight="1">
      <c r="E1158" s="152"/>
      <c r="F1158" s="150"/>
      <c r="H1158" s="149"/>
      <c r="J1158" s="166"/>
    </row>
    <row r="1159" spans="5:10" ht="15.75" customHeight="1">
      <c r="E1159" s="152"/>
      <c r="F1159" s="150"/>
      <c r="H1159" s="149"/>
      <c r="J1159" s="166"/>
    </row>
    <row r="1160" spans="5:10" ht="15.75" customHeight="1">
      <c r="E1160" s="152"/>
      <c r="F1160" s="150"/>
      <c r="H1160" s="149"/>
      <c r="J1160" s="166"/>
    </row>
    <row r="1161" spans="5:10" ht="15.75" customHeight="1">
      <c r="E1161" s="152"/>
      <c r="F1161" s="150"/>
      <c r="H1161" s="149"/>
      <c r="J1161" s="166"/>
    </row>
    <row r="1162" spans="5:10" ht="15.75" customHeight="1">
      <c r="E1162" s="152"/>
      <c r="F1162" s="150"/>
      <c r="H1162" s="149"/>
      <c r="J1162" s="166"/>
    </row>
    <row r="1163" spans="5:10" ht="15.75" customHeight="1">
      <c r="E1163" s="152"/>
      <c r="F1163" s="150"/>
      <c r="H1163" s="149"/>
      <c r="J1163" s="166"/>
    </row>
    <row r="1164" spans="5:10" ht="15.75" customHeight="1">
      <c r="E1164" s="152"/>
      <c r="F1164" s="150"/>
      <c r="H1164" s="149"/>
      <c r="J1164" s="166"/>
    </row>
    <row r="1165" spans="5:10" ht="15.75" customHeight="1">
      <c r="E1165" s="152"/>
      <c r="F1165" s="150"/>
      <c r="H1165" s="149"/>
      <c r="J1165" s="166"/>
    </row>
    <row r="1166" spans="5:10" ht="15.75" customHeight="1">
      <c r="E1166" s="152"/>
      <c r="F1166" s="150"/>
      <c r="H1166" s="149"/>
      <c r="J1166" s="166"/>
    </row>
    <row r="1167" spans="5:10" ht="15.75" customHeight="1">
      <c r="E1167" s="152"/>
      <c r="F1167" s="150"/>
      <c r="H1167" s="149"/>
      <c r="J1167" s="166"/>
    </row>
    <row r="1168" spans="5:10" ht="15.75" customHeight="1">
      <c r="E1168" s="152"/>
      <c r="F1168" s="150"/>
      <c r="H1168" s="149"/>
      <c r="J1168" s="166"/>
    </row>
    <row r="1169" spans="5:10" ht="15.75" customHeight="1">
      <c r="E1169" s="152"/>
      <c r="F1169" s="150"/>
      <c r="H1169" s="149"/>
      <c r="J1169" s="166"/>
    </row>
    <row r="1170" spans="5:10" ht="15.75" customHeight="1">
      <c r="E1170" s="152"/>
      <c r="F1170" s="150"/>
      <c r="H1170" s="149"/>
      <c r="J1170" s="166"/>
    </row>
    <row r="1171" spans="5:10" ht="15.75" customHeight="1">
      <c r="E1171" s="152"/>
      <c r="F1171" s="150"/>
      <c r="H1171" s="149"/>
      <c r="J1171" s="166"/>
    </row>
    <row r="1172" spans="5:10" ht="15.75" customHeight="1">
      <c r="E1172" s="152"/>
      <c r="F1172" s="150"/>
      <c r="H1172" s="149"/>
      <c r="J1172" s="166"/>
    </row>
    <row r="1173" spans="5:10" ht="15.75" customHeight="1">
      <c r="E1173" s="152"/>
      <c r="F1173" s="150"/>
      <c r="H1173" s="149"/>
      <c r="J1173" s="166"/>
    </row>
    <row r="1174" spans="5:10" ht="15.75" customHeight="1">
      <c r="E1174" s="152"/>
      <c r="F1174" s="150"/>
      <c r="H1174" s="149"/>
      <c r="J1174" s="166"/>
    </row>
    <row r="1175" spans="5:10" ht="15.75" customHeight="1">
      <c r="E1175" s="152"/>
      <c r="F1175" s="150"/>
      <c r="H1175" s="149"/>
      <c r="J1175" s="166"/>
    </row>
    <row r="1176" spans="5:10" ht="15.75" customHeight="1">
      <c r="E1176" s="152"/>
      <c r="F1176" s="150"/>
      <c r="H1176" s="149"/>
      <c r="J1176" s="166"/>
    </row>
    <row r="1177" spans="5:10" ht="15.75" customHeight="1">
      <c r="E1177" s="152"/>
      <c r="F1177" s="150"/>
      <c r="H1177" s="149"/>
      <c r="J1177" s="166"/>
    </row>
    <row r="1178" spans="5:10" ht="15.75" customHeight="1">
      <c r="E1178" s="152"/>
      <c r="F1178" s="150"/>
      <c r="H1178" s="149"/>
      <c r="J1178" s="166"/>
    </row>
    <row r="1179" spans="5:10" ht="15.75" customHeight="1">
      <c r="E1179" s="152"/>
      <c r="F1179" s="150"/>
      <c r="H1179" s="149"/>
      <c r="J1179" s="166"/>
    </row>
    <row r="1180" spans="5:10" ht="15.75" customHeight="1">
      <c r="E1180" s="152"/>
      <c r="F1180" s="150"/>
      <c r="H1180" s="149"/>
      <c r="J1180" s="166"/>
    </row>
    <row r="1181" spans="5:10" ht="15.75" customHeight="1">
      <c r="E1181" s="152"/>
      <c r="F1181" s="150"/>
      <c r="H1181" s="149"/>
      <c r="J1181" s="166"/>
    </row>
    <row r="1182" spans="5:10" ht="15.75" customHeight="1">
      <c r="E1182" s="152"/>
      <c r="F1182" s="150"/>
      <c r="H1182" s="149"/>
      <c r="J1182" s="166"/>
    </row>
    <row r="1183" spans="5:10" ht="15.75" customHeight="1">
      <c r="E1183" s="152"/>
      <c r="F1183" s="150"/>
      <c r="H1183" s="149"/>
      <c r="J1183" s="166"/>
    </row>
    <row r="1184" spans="5:10" ht="15.75" customHeight="1">
      <c r="E1184" s="152"/>
      <c r="F1184" s="150"/>
      <c r="H1184" s="149"/>
      <c r="J1184" s="166"/>
    </row>
    <row r="1185" spans="5:10" ht="15.75" customHeight="1">
      <c r="E1185" s="152"/>
      <c r="F1185" s="150"/>
      <c r="H1185" s="149"/>
      <c r="J1185" s="166"/>
    </row>
    <row r="1186" spans="5:10" ht="15.75" customHeight="1">
      <c r="E1186" s="152"/>
      <c r="F1186" s="150"/>
      <c r="H1186" s="149"/>
      <c r="J1186" s="166"/>
    </row>
    <row r="1187" spans="5:10" ht="15.75" customHeight="1">
      <c r="E1187" s="152"/>
      <c r="F1187" s="150"/>
      <c r="H1187" s="149"/>
      <c r="J1187" s="166"/>
    </row>
    <row r="1188" spans="5:10" ht="15.75" customHeight="1">
      <c r="E1188" s="152"/>
      <c r="F1188" s="150"/>
      <c r="H1188" s="149"/>
      <c r="J1188" s="166"/>
    </row>
    <row r="1189" spans="5:10" ht="15.75" customHeight="1">
      <c r="E1189" s="152"/>
      <c r="F1189" s="150"/>
      <c r="H1189" s="149"/>
      <c r="J1189" s="166"/>
    </row>
    <row r="1190" spans="5:10" ht="15.75" customHeight="1">
      <c r="E1190" s="152"/>
      <c r="F1190" s="150"/>
      <c r="H1190" s="149"/>
      <c r="J1190" s="166"/>
    </row>
    <row r="1191" spans="5:10" ht="15.75" customHeight="1">
      <c r="E1191" s="152"/>
      <c r="F1191" s="150"/>
      <c r="H1191" s="149"/>
      <c r="J1191" s="166"/>
    </row>
    <row r="1192" spans="5:10" ht="15.75" customHeight="1">
      <c r="E1192" s="152"/>
      <c r="F1192" s="150"/>
      <c r="H1192" s="149"/>
      <c r="J1192" s="166"/>
    </row>
    <row r="1193" spans="5:10" ht="15.75" customHeight="1">
      <c r="E1193" s="152"/>
      <c r="F1193" s="150"/>
      <c r="H1193" s="149"/>
      <c r="J1193" s="166"/>
    </row>
    <row r="1194" spans="5:10" ht="15.75" customHeight="1">
      <c r="E1194" s="152"/>
      <c r="F1194" s="150"/>
      <c r="H1194" s="149"/>
      <c r="J1194" s="166"/>
    </row>
    <row r="1195" spans="5:10" ht="15.75" customHeight="1">
      <c r="E1195" s="152"/>
      <c r="F1195" s="150"/>
      <c r="H1195" s="149"/>
      <c r="J1195" s="166"/>
    </row>
    <row r="1196" spans="5:10" ht="15.75" customHeight="1">
      <c r="E1196" s="152"/>
      <c r="F1196" s="150"/>
      <c r="H1196" s="149"/>
      <c r="J1196" s="166"/>
    </row>
    <row r="1197" spans="5:10" ht="15.75" customHeight="1">
      <c r="E1197" s="152"/>
      <c r="F1197" s="150"/>
      <c r="H1197" s="149"/>
      <c r="J1197" s="166"/>
    </row>
    <row r="1198" spans="5:10" ht="15.75" customHeight="1">
      <c r="E1198" s="152"/>
      <c r="F1198" s="150"/>
      <c r="H1198" s="149"/>
      <c r="J1198" s="166"/>
    </row>
    <row r="1199" spans="5:10" ht="15.75" customHeight="1">
      <c r="E1199" s="152"/>
      <c r="F1199" s="150"/>
      <c r="H1199" s="149"/>
      <c r="J1199" s="166"/>
    </row>
    <row r="1200" spans="5:10" ht="15.75" customHeight="1">
      <c r="E1200" s="152"/>
      <c r="F1200" s="150"/>
      <c r="H1200" s="149"/>
      <c r="J1200" s="166"/>
    </row>
    <row r="1201" spans="5:10" ht="15.75" customHeight="1">
      <c r="E1201" s="152"/>
      <c r="F1201" s="150"/>
      <c r="H1201" s="149"/>
      <c r="J1201" s="166"/>
    </row>
    <row r="1202" spans="5:10" ht="15.75" customHeight="1">
      <c r="E1202" s="152"/>
      <c r="F1202" s="150"/>
      <c r="H1202" s="149"/>
      <c r="J1202" s="166"/>
    </row>
    <row r="1203" spans="5:10" ht="15.75" customHeight="1">
      <c r="E1203" s="152"/>
      <c r="F1203" s="150"/>
      <c r="H1203" s="149"/>
      <c r="J1203" s="166"/>
    </row>
    <row r="1204" spans="5:10" ht="15.75" customHeight="1">
      <c r="E1204" s="152"/>
      <c r="F1204" s="150"/>
      <c r="H1204" s="149"/>
      <c r="J1204" s="166"/>
    </row>
    <row r="1205" spans="5:10" ht="15.75" customHeight="1">
      <c r="E1205" s="152"/>
      <c r="F1205" s="150"/>
      <c r="H1205" s="149"/>
      <c r="J1205" s="166"/>
    </row>
    <row r="1206" spans="5:10" ht="15.75" customHeight="1">
      <c r="E1206" s="152"/>
      <c r="F1206" s="150"/>
      <c r="H1206" s="149"/>
      <c r="J1206" s="166"/>
    </row>
    <row r="1207" spans="5:10" ht="15.75" customHeight="1">
      <c r="E1207" s="152"/>
      <c r="F1207" s="150"/>
      <c r="H1207" s="149"/>
      <c r="J1207" s="166"/>
    </row>
    <row r="1208" spans="5:10" ht="15.75" customHeight="1">
      <c r="E1208" s="152"/>
      <c r="F1208" s="150"/>
      <c r="H1208" s="149"/>
      <c r="J1208" s="166"/>
    </row>
    <row r="1209" spans="5:10" ht="15.75" customHeight="1">
      <c r="E1209" s="152"/>
      <c r="F1209" s="150"/>
      <c r="H1209" s="149"/>
      <c r="J1209" s="166"/>
    </row>
    <row r="1210" spans="5:10" ht="15.75" customHeight="1">
      <c r="E1210" s="152"/>
      <c r="F1210" s="150"/>
      <c r="H1210" s="149"/>
      <c r="J1210" s="166"/>
    </row>
    <row r="1211" spans="5:10" ht="15.75" customHeight="1">
      <c r="E1211" s="152"/>
      <c r="F1211" s="150"/>
      <c r="H1211" s="149"/>
      <c r="J1211" s="166"/>
    </row>
    <row r="1212" spans="5:10" ht="15.75" customHeight="1">
      <c r="E1212" s="152"/>
      <c r="F1212" s="150"/>
      <c r="H1212" s="149"/>
      <c r="J1212" s="166"/>
    </row>
    <row r="1213" spans="5:10" ht="15.75" customHeight="1">
      <c r="E1213" s="152"/>
      <c r="F1213" s="150"/>
      <c r="H1213" s="149"/>
      <c r="J1213" s="166"/>
    </row>
    <row r="1214" spans="5:10" ht="15.75" customHeight="1">
      <c r="E1214" s="152"/>
      <c r="F1214" s="150"/>
      <c r="H1214" s="149"/>
      <c r="J1214" s="166"/>
    </row>
    <row r="1215" spans="5:10" ht="15.75" customHeight="1">
      <c r="E1215" s="152"/>
      <c r="F1215" s="150"/>
      <c r="H1215" s="149"/>
      <c r="J1215" s="166"/>
    </row>
    <row r="1216" spans="5:10" ht="15.75" customHeight="1">
      <c r="E1216" s="152"/>
      <c r="F1216" s="150"/>
      <c r="H1216" s="149"/>
      <c r="J1216" s="166"/>
    </row>
    <row r="1217" spans="5:10" ht="15.75" customHeight="1">
      <c r="E1217" s="152"/>
      <c r="F1217" s="150"/>
      <c r="H1217" s="149"/>
      <c r="J1217" s="166"/>
    </row>
    <row r="1218" spans="5:10" ht="15.75" customHeight="1">
      <c r="E1218" s="152"/>
      <c r="F1218" s="150"/>
      <c r="H1218" s="149"/>
      <c r="J1218" s="166"/>
    </row>
    <row r="1219" spans="5:10" ht="15.75" customHeight="1">
      <c r="E1219" s="152"/>
      <c r="F1219" s="150"/>
      <c r="H1219" s="149"/>
      <c r="J1219" s="166"/>
    </row>
    <row r="1220" spans="5:10" ht="15.75" customHeight="1">
      <c r="E1220" s="152"/>
      <c r="F1220" s="150"/>
      <c r="H1220" s="149"/>
      <c r="J1220" s="166"/>
    </row>
    <row r="1221" spans="5:10" ht="15.75" customHeight="1">
      <c r="E1221" s="152"/>
      <c r="F1221" s="150"/>
      <c r="H1221" s="149"/>
      <c r="J1221" s="166"/>
    </row>
    <row r="1222" spans="5:10" ht="15.75" customHeight="1">
      <c r="E1222" s="152"/>
      <c r="F1222" s="150"/>
      <c r="H1222" s="149"/>
      <c r="J1222" s="166"/>
    </row>
    <row r="1223" spans="5:10" ht="15.75" customHeight="1">
      <c r="E1223" s="152"/>
      <c r="F1223" s="150"/>
      <c r="H1223" s="149"/>
      <c r="J1223" s="166"/>
    </row>
    <row r="1224" spans="5:10" ht="15.75" customHeight="1">
      <c r="E1224" s="152"/>
      <c r="F1224" s="150"/>
      <c r="H1224" s="149"/>
      <c r="J1224" s="166"/>
    </row>
    <row r="1225" spans="5:10" ht="15.75" customHeight="1">
      <c r="E1225" s="152"/>
      <c r="F1225" s="150"/>
      <c r="H1225" s="149"/>
      <c r="J1225" s="166"/>
    </row>
    <row r="1226" spans="5:10" ht="15.75" customHeight="1">
      <c r="E1226" s="152"/>
      <c r="F1226" s="150"/>
      <c r="H1226" s="149"/>
      <c r="J1226" s="166"/>
    </row>
    <row r="1227" spans="5:10" ht="15.75" customHeight="1">
      <c r="E1227" s="152"/>
      <c r="F1227" s="150"/>
      <c r="H1227" s="149"/>
      <c r="J1227" s="166"/>
    </row>
    <row r="1228" spans="5:10" ht="15.75" customHeight="1">
      <c r="E1228" s="152"/>
      <c r="F1228" s="150"/>
      <c r="H1228" s="149"/>
      <c r="J1228" s="166"/>
    </row>
    <row r="1229" spans="5:10" ht="15.75" customHeight="1">
      <c r="E1229" s="152"/>
      <c r="F1229" s="150"/>
      <c r="H1229" s="149"/>
      <c r="J1229" s="166"/>
    </row>
    <row r="1230" spans="5:10" ht="15.75" customHeight="1">
      <c r="E1230" s="152"/>
      <c r="F1230" s="150"/>
      <c r="H1230" s="149"/>
      <c r="J1230" s="166"/>
    </row>
    <row r="1231" spans="5:10" ht="15.75" customHeight="1">
      <c r="E1231" s="152"/>
      <c r="F1231" s="150"/>
      <c r="H1231" s="149"/>
      <c r="J1231" s="166"/>
    </row>
    <row r="1232" spans="5:10" ht="15.75" customHeight="1">
      <c r="E1232" s="152"/>
      <c r="F1232" s="150"/>
      <c r="H1232" s="149"/>
      <c r="J1232" s="166"/>
    </row>
    <row r="1233" spans="5:10" ht="15.75" customHeight="1">
      <c r="E1233" s="152"/>
      <c r="F1233" s="150"/>
      <c r="H1233" s="149"/>
      <c r="J1233" s="166"/>
    </row>
    <row r="1234" spans="5:10" ht="15.75" customHeight="1">
      <c r="E1234" s="152"/>
      <c r="F1234" s="150"/>
      <c r="H1234" s="149"/>
      <c r="J1234" s="166"/>
    </row>
    <row r="1235" spans="5:10" ht="15.75" customHeight="1">
      <c r="E1235" s="152"/>
      <c r="F1235" s="150"/>
      <c r="H1235" s="149"/>
      <c r="J1235" s="166"/>
    </row>
    <row r="1236" spans="5:10" ht="15.75" customHeight="1">
      <c r="E1236" s="152"/>
      <c r="F1236" s="150"/>
      <c r="H1236" s="149"/>
      <c r="J1236" s="166"/>
    </row>
    <row r="1237" spans="5:10" ht="15.75" customHeight="1">
      <c r="E1237" s="152"/>
      <c r="F1237" s="150"/>
      <c r="H1237" s="149"/>
      <c r="J1237" s="166"/>
    </row>
    <row r="1238" spans="5:10" ht="15.75" customHeight="1">
      <c r="E1238" s="152"/>
      <c r="F1238" s="150"/>
      <c r="H1238" s="149"/>
      <c r="J1238" s="166"/>
    </row>
    <row r="1239" spans="5:10" ht="15.75" customHeight="1">
      <c r="E1239" s="152"/>
      <c r="F1239" s="150"/>
      <c r="H1239" s="149"/>
      <c r="J1239" s="166"/>
    </row>
    <row r="1240" spans="5:10" ht="15.75" customHeight="1">
      <c r="E1240" s="152"/>
      <c r="F1240" s="150"/>
      <c r="H1240" s="149"/>
      <c r="J1240" s="166"/>
    </row>
    <row r="1241" spans="5:10" ht="15.75" customHeight="1">
      <c r="E1241" s="152"/>
      <c r="F1241" s="150"/>
      <c r="H1241" s="149"/>
      <c r="J1241" s="166"/>
    </row>
    <row r="1242" spans="5:10" ht="15.75" customHeight="1">
      <c r="E1242" s="152"/>
      <c r="F1242" s="150"/>
      <c r="H1242" s="149"/>
      <c r="J1242" s="166"/>
    </row>
    <row r="1243" spans="5:10" ht="15.75" customHeight="1">
      <c r="E1243" s="152"/>
      <c r="F1243" s="150"/>
      <c r="H1243" s="149"/>
      <c r="J1243" s="166"/>
    </row>
    <row r="1244" spans="5:10" ht="15.75" customHeight="1">
      <c r="E1244" s="152"/>
      <c r="F1244" s="150"/>
      <c r="H1244" s="149"/>
      <c r="J1244" s="166"/>
    </row>
    <row r="1245" spans="5:10" ht="15.75" customHeight="1">
      <c r="E1245" s="152"/>
      <c r="F1245" s="150"/>
      <c r="H1245" s="149"/>
      <c r="J1245" s="166"/>
    </row>
    <row r="1246" spans="5:10" ht="15.75" customHeight="1">
      <c r="E1246" s="152"/>
      <c r="F1246" s="150"/>
      <c r="H1246" s="149"/>
      <c r="J1246" s="166"/>
    </row>
    <row r="1247" spans="5:10" ht="15.75" customHeight="1">
      <c r="E1247" s="152"/>
      <c r="F1247" s="150"/>
      <c r="H1247" s="149"/>
      <c r="J1247" s="166"/>
    </row>
    <row r="1248" spans="5:10" ht="15.75" customHeight="1">
      <c r="E1248" s="152"/>
      <c r="F1248" s="150"/>
      <c r="H1248" s="149"/>
      <c r="J1248" s="166"/>
    </row>
    <row r="1249" spans="5:10" ht="15.75" customHeight="1">
      <c r="E1249" s="152"/>
      <c r="F1249" s="150"/>
      <c r="H1249" s="149"/>
      <c r="J1249" s="166"/>
    </row>
    <row r="1250" spans="5:10" ht="15.75" customHeight="1">
      <c r="E1250" s="152"/>
      <c r="F1250" s="150"/>
      <c r="H1250" s="149"/>
      <c r="J1250" s="166"/>
    </row>
    <row r="1251" spans="5:10" ht="15.75" customHeight="1">
      <c r="E1251" s="152"/>
      <c r="F1251" s="150"/>
      <c r="H1251" s="149"/>
      <c r="J1251" s="166"/>
    </row>
    <row r="1252" spans="5:10" ht="15.75" customHeight="1">
      <c r="E1252" s="152"/>
      <c r="F1252" s="150"/>
      <c r="H1252" s="149"/>
      <c r="J1252" s="166"/>
    </row>
    <row r="1253" spans="5:10" ht="15.75" customHeight="1">
      <c r="E1253" s="152"/>
      <c r="F1253" s="150"/>
      <c r="H1253" s="149"/>
      <c r="J1253" s="166"/>
    </row>
    <row r="1254" spans="5:10" ht="15.75" customHeight="1">
      <c r="E1254" s="152"/>
      <c r="F1254" s="150"/>
      <c r="H1254" s="149"/>
      <c r="J1254" s="166"/>
    </row>
    <row r="1255" spans="5:10" ht="15.75" customHeight="1">
      <c r="E1255" s="152"/>
      <c r="F1255" s="150"/>
      <c r="H1255" s="149"/>
      <c r="J1255" s="166"/>
    </row>
    <row r="1256" spans="5:10" ht="15.75" customHeight="1">
      <c r="E1256" s="152"/>
      <c r="F1256" s="150"/>
      <c r="H1256" s="149"/>
      <c r="J1256" s="166"/>
    </row>
    <row r="1257" spans="5:10" ht="15.75" customHeight="1">
      <c r="E1257" s="152"/>
      <c r="F1257" s="150"/>
      <c r="H1257" s="149"/>
      <c r="J1257" s="166"/>
    </row>
    <row r="1258" spans="5:10" ht="15.75" customHeight="1">
      <c r="E1258" s="152"/>
      <c r="F1258" s="150"/>
      <c r="H1258" s="149"/>
      <c r="J1258" s="166"/>
    </row>
    <row r="1259" spans="5:10" ht="15.75" customHeight="1">
      <c r="E1259" s="152"/>
      <c r="F1259" s="150"/>
      <c r="H1259" s="149"/>
      <c r="J1259" s="166"/>
    </row>
    <row r="1260" spans="5:10" ht="15.75" customHeight="1">
      <c r="E1260" s="152"/>
      <c r="F1260" s="150"/>
      <c r="H1260" s="149"/>
      <c r="J1260" s="166"/>
    </row>
    <row r="1261" spans="5:10" ht="15.75" customHeight="1">
      <c r="E1261" s="152"/>
      <c r="F1261" s="150"/>
      <c r="H1261" s="149"/>
      <c r="J1261" s="166"/>
    </row>
    <row r="1262" spans="5:10" ht="15.75" customHeight="1">
      <c r="E1262" s="152"/>
      <c r="F1262" s="150"/>
      <c r="H1262" s="149"/>
      <c r="J1262" s="166"/>
    </row>
    <row r="1263" spans="5:10" ht="15.75" customHeight="1">
      <c r="E1263" s="152"/>
      <c r="F1263" s="150"/>
      <c r="H1263" s="149"/>
      <c r="J1263" s="166"/>
    </row>
    <row r="1264" spans="5:10" ht="15.75" customHeight="1">
      <c r="E1264" s="152"/>
      <c r="F1264" s="150"/>
      <c r="H1264" s="149"/>
      <c r="J1264" s="166"/>
    </row>
    <row r="1265" spans="5:10" ht="15.75" customHeight="1">
      <c r="E1265" s="152"/>
      <c r="F1265" s="150"/>
      <c r="H1265" s="149"/>
      <c r="J1265" s="166"/>
    </row>
    <row r="1266" spans="5:10" ht="15.75" customHeight="1">
      <c r="E1266" s="152"/>
      <c r="F1266" s="150"/>
      <c r="H1266" s="149"/>
      <c r="J1266" s="166"/>
    </row>
    <row r="1267" spans="5:10" ht="15.75" customHeight="1">
      <c r="E1267" s="152"/>
      <c r="F1267" s="150"/>
      <c r="H1267" s="149"/>
      <c r="J1267" s="166"/>
    </row>
    <row r="1268" spans="5:10" ht="15.75" customHeight="1">
      <c r="E1268" s="152"/>
      <c r="F1268" s="150"/>
      <c r="H1268" s="149"/>
      <c r="J1268" s="166"/>
    </row>
    <row r="1269" spans="5:10" ht="15.75" customHeight="1">
      <c r="E1269" s="152"/>
      <c r="F1269" s="150"/>
      <c r="H1269" s="149"/>
      <c r="J1269" s="166"/>
    </row>
    <row r="1270" spans="5:10" ht="15.75" customHeight="1">
      <c r="E1270" s="152"/>
      <c r="F1270" s="150"/>
      <c r="H1270" s="149"/>
      <c r="J1270" s="166"/>
    </row>
    <row r="1271" spans="5:10" ht="15.75" customHeight="1">
      <c r="E1271" s="152"/>
      <c r="F1271" s="150"/>
      <c r="H1271" s="149"/>
      <c r="J1271" s="166"/>
    </row>
    <row r="1272" spans="5:10" ht="15.75" customHeight="1">
      <c r="E1272" s="152"/>
      <c r="F1272" s="150"/>
      <c r="H1272" s="149"/>
      <c r="J1272" s="166"/>
    </row>
    <row r="1273" spans="5:10" ht="15.75" customHeight="1">
      <c r="E1273" s="152"/>
      <c r="F1273" s="150"/>
      <c r="H1273" s="149"/>
      <c r="J1273" s="166"/>
    </row>
    <row r="1274" spans="5:10" ht="15.75" customHeight="1">
      <c r="E1274" s="152"/>
      <c r="F1274" s="150"/>
      <c r="H1274" s="149"/>
      <c r="J1274" s="166"/>
    </row>
    <row r="1275" spans="5:10" ht="15.75" customHeight="1">
      <c r="E1275" s="152"/>
      <c r="F1275" s="150"/>
      <c r="H1275" s="149"/>
      <c r="J1275" s="166"/>
    </row>
    <row r="1276" spans="5:10" ht="15.75" customHeight="1">
      <c r="E1276" s="152"/>
      <c r="F1276" s="150"/>
      <c r="H1276" s="149"/>
      <c r="J1276" s="166"/>
    </row>
    <row r="1277" spans="5:10" ht="15.75" customHeight="1">
      <c r="E1277" s="152"/>
      <c r="F1277" s="150"/>
      <c r="H1277" s="149"/>
      <c r="J1277" s="166"/>
    </row>
    <row r="1278" spans="5:10" ht="15.75" customHeight="1">
      <c r="E1278" s="152"/>
      <c r="F1278" s="150"/>
      <c r="H1278" s="149"/>
      <c r="J1278" s="166"/>
    </row>
    <row r="1279" spans="5:10" ht="15.75" customHeight="1">
      <c r="E1279" s="152"/>
      <c r="F1279" s="150"/>
      <c r="H1279" s="149"/>
      <c r="J1279" s="166"/>
    </row>
    <row r="1280" spans="5:10" ht="15.75" customHeight="1">
      <c r="E1280" s="152"/>
      <c r="F1280" s="150"/>
      <c r="H1280" s="149"/>
      <c r="J1280" s="166"/>
    </row>
    <row r="1281" spans="5:10" ht="15.75" customHeight="1">
      <c r="E1281" s="152"/>
      <c r="F1281" s="150"/>
      <c r="H1281" s="149"/>
      <c r="J1281" s="166"/>
    </row>
    <row r="1282" spans="5:10" ht="15.75" customHeight="1">
      <c r="E1282" s="152"/>
      <c r="F1282" s="150"/>
      <c r="H1282" s="149"/>
      <c r="J1282" s="166"/>
    </row>
    <row r="1283" spans="5:10" ht="15.75" customHeight="1">
      <c r="E1283" s="152"/>
      <c r="F1283" s="150"/>
      <c r="H1283" s="149"/>
      <c r="J1283" s="166"/>
    </row>
    <row r="1284" spans="5:10" ht="15.75" customHeight="1">
      <c r="E1284" s="152"/>
      <c r="F1284" s="150"/>
      <c r="H1284" s="149"/>
      <c r="J1284" s="166"/>
    </row>
    <row r="1285" spans="5:10" ht="15.75" customHeight="1">
      <c r="E1285" s="152"/>
      <c r="F1285" s="150"/>
      <c r="H1285" s="149"/>
      <c r="J1285" s="166"/>
    </row>
    <row r="1286" spans="5:10" ht="15.75" customHeight="1">
      <c r="E1286" s="152"/>
      <c r="F1286" s="150"/>
      <c r="H1286" s="149"/>
      <c r="J1286" s="166"/>
    </row>
    <row r="1287" spans="5:10" ht="15.75" customHeight="1">
      <c r="E1287" s="152"/>
      <c r="F1287" s="150"/>
      <c r="H1287" s="149"/>
      <c r="J1287" s="166"/>
    </row>
    <row r="1288" spans="5:10" ht="15.75" customHeight="1">
      <c r="E1288" s="152"/>
      <c r="F1288" s="150"/>
      <c r="H1288" s="149"/>
      <c r="J1288" s="166"/>
    </row>
    <row r="1289" spans="5:10" ht="15.75" customHeight="1">
      <c r="E1289" s="152"/>
      <c r="F1289" s="150"/>
      <c r="H1289" s="149"/>
      <c r="J1289" s="166"/>
    </row>
    <row r="1290" spans="5:10" ht="15.75" customHeight="1">
      <c r="E1290" s="152"/>
      <c r="F1290" s="150"/>
      <c r="H1290" s="149"/>
      <c r="J1290" s="166"/>
    </row>
    <row r="1291" spans="5:10" ht="15.75" customHeight="1">
      <c r="E1291" s="152"/>
      <c r="F1291" s="150"/>
      <c r="H1291" s="149"/>
      <c r="J1291" s="166"/>
    </row>
    <row r="1292" spans="5:10" ht="15.75" customHeight="1">
      <c r="E1292" s="152"/>
      <c r="F1292" s="150"/>
      <c r="H1292" s="149"/>
      <c r="J1292" s="166"/>
    </row>
    <row r="1293" spans="5:10" ht="15.75" customHeight="1">
      <c r="E1293" s="152"/>
      <c r="F1293" s="150"/>
      <c r="H1293" s="149"/>
      <c r="J1293" s="166"/>
    </row>
    <row r="1294" spans="5:10" ht="15.75" customHeight="1">
      <c r="E1294" s="152"/>
      <c r="F1294" s="150"/>
      <c r="H1294" s="149"/>
      <c r="J1294" s="166"/>
    </row>
    <row r="1295" spans="5:10" ht="15.75" customHeight="1">
      <c r="E1295" s="152"/>
      <c r="F1295" s="150"/>
      <c r="H1295" s="149"/>
      <c r="J1295" s="166"/>
    </row>
    <row r="1296" spans="5:10" ht="15.75" customHeight="1">
      <c r="E1296" s="152"/>
      <c r="F1296" s="150"/>
      <c r="H1296" s="149"/>
      <c r="J1296" s="166"/>
    </row>
    <row r="1297" spans="5:10" ht="15.75" customHeight="1">
      <c r="E1297" s="152"/>
      <c r="F1297" s="150"/>
      <c r="H1297" s="149"/>
      <c r="J1297" s="166"/>
    </row>
    <row r="1298" spans="5:10" ht="15.75" customHeight="1">
      <c r="E1298" s="152"/>
      <c r="F1298" s="150"/>
      <c r="H1298" s="149"/>
      <c r="J1298" s="166"/>
    </row>
    <row r="1299" spans="5:10" ht="15.75" customHeight="1">
      <c r="E1299" s="152"/>
      <c r="F1299" s="150"/>
      <c r="H1299" s="149"/>
      <c r="J1299" s="166"/>
    </row>
    <row r="1300" spans="5:10" ht="15.75" customHeight="1">
      <c r="E1300" s="152"/>
      <c r="F1300" s="150"/>
      <c r="H1300" s="149"/>
      <c r="J1300" s="166"/>
    </row>
    <row r="1301" spans="5:10" ht="15.75" customHeight="1">
      <c r="E1301" s="152"/>
      <c r="F1301" s="150"/>
      <c r="H1301" s="149"/>
      <c r="J1301" s="166"/>
    </row>
    <row r="1302" spans="5:10" ht="15.75" customHeight="1">
      <c r="E1302" s="152"/>
      <c r="F1302" s="150"/>
      <c r="H1302" s="149"/>
      <c r="J1302" s="166"/>
    </row>
    <row r="1303" spans="5:10" ht="15.75" customHeight="1">
      <c r="E1303" s="152"/>
      <c r="F1303" s="150"/>
      <c r="H1303" s="149"/>
      <c r="J1303" s="166"/>
    </row>
    <row r="1304" spans="5:10" ht="15.75" customHeight="1">
      <c r="E1304" s="152"/>
      <c r="F1304" s="150"/>
      <c r="H1304" s="149"/>
      <c r="J1304" s="166"/>
    </row>
    <row r="1305" spans="5:10" ht="15.75" customHeight="1">
      <c r="E1305" s="152"/>
      <c r="F1305" s="150"/>
      <c r="H1305" s="149"/>
      <c r="J1305" s="166"/>
    </row>
    <row r="1306" spans="5:10" ht="15.75" customHeight="1">
      <c r="E1306" s="152"/>
      <c r="F1306" s="150"/>
      <c r="H1306" s="149"/>
      <c r="J1306" s="166"/>
    </row>
    <row r="1307" spans="5:10" ht="15.75" customHeight="1">
      <c r="E1307" s="152"/>
      <c r="F1307" s="150"/>
      <c r="H1307" s="149"/>
      <c r="J1307" s="166"/>
    </row>
    <row r="1308" spans="5:10" ht="15.75" customHeight="1">
      <c r="E1308" s="152"/>
      <c r="F1308" s="150"/>
      <c r="H1308" s="149"/>
      <c r="J1308" s="166"/>
    </row>
    <row r="1309" spans="5:10" ht="15.75" customHeight="1">
      <c r="E1309" s="152"/>
      <c r="F1309" s="150"/>
      <c r="H1309" s="149"/>
      <c r="J1309" s="166"/>
    </row>
    <row r="1310" spans="5:10" ht="15.75" customHeight="1">
      <c r="E1310" s="152"/>
      <c r="F1310" s="150"/>
      <c r="H1310" s="149"/>
      <c r="J1310" s="166"/>
    </row>
    <row r="1311" spans="5:10" ht="15.75" customHeight="1">
      <c r="E1311" s="152"/>
      <c r="F1311" s="150"/>
      <c r="H1311" s="149"/>
      <c r="J1311" s="166"/>
    </row>
    <row r="1312" spans="5:10" ht="15.75" customHeight="1">
      <c r="E1312" s="152"/>
      <c r="F1312" s="150"/>
      <c r="H1312" s="149"/>
      <c r="J1312" s="166"/>
    </row>
    <row r="1313" spans="5:10" ht="15.75" customHeight="1">
      <c r="E1313" s="152"/>
      <c r="F1313" s="150"/>
      <c r="H1313" s="149"/>
      <c r="J1313" s="166"/>
    </row>
    <row r="1314" spans="5:10" ht="15.75" customHeight="1">
      <c r="E1314" s="152"/>
      <c r="F1314" s="150"/>
      <c r="H1314" s="149"/>
      <c r="J1314" s="166"/>
    </row>
    <row r="1315" spans="5:10" ht="15.75" customHeight="1">
      <c r="E1315" s="152"/>
      <c r="F1315" s="150"/>
      <c r="H1315" s="149"/>
      <c r="J1315" s="166"/>
    </row>
    <row r="1316" spans="5:10" ht="15.75" customHeight="1">
      <c r="E1316" s="152"/>
      <c r="F1316" s="150"/>
      <c r="H1316" s="149"/>
      <c r="J1316" s="166"/>
    </row>
    <row r="1317" spans="5:10" ht="15.75" customHeight="1">
      <c r="E1317" s="152"/>
      <c r="F1317" s="150"/>
      <c r="H1317" s="149"/>
      <c r="J1317" s="166"/>
    </row>
    <row r="1318" spans="5:10" ht="15.75" customHeight="1">
      <c r="E1318" s="152"/>
      <c r="F1318" s="150"/>
      <c r="H1318" s="149"/>
      <c r="J1318" s="166"/>
    </row>
    <row r="1319" spans="5:10" ht="15.75" customHeight="1">
      <c r="E1319" s="152"/>
      <c r="F1319" s="150"/>
      <c r="H1319" s="149"/>
      <c r="J1319" s="166"/>
    </row>
    <row r="1320" spans="5:10" ht="15.75" customHeight="1">
      <c r="E1320" s="152"/>
      <c r="F1320" s="150"/>
      <c r="H1320" s="149"/>
      <c r="J1320" s="166"/>
    </row>
    <row r="1321" spans="5:10" ht="15.75" customHeight="1">
      <c r="E1321" s="152"/>
      <c r="F1321" s="150"/>
      <c r="H1321" s="149"/>
      <c r="J1321" s="166"/>
    </row>
    <row r="1322" spans="5:10" ht="15.75" customHeight="1">
      <c r="E1322" s="152"/>
      <c r="F1322" s="150"/>
      <c r="H1322" s="149"/>
      <c r="J1322" s="166"/>
    </row>
    <row r="1323" spans="5:10" ht="15.75" customHeight="1">
      <c r="E1323" s="152"/>
      <c r="F1323" s="150"/>
      <c r="H1323" s="149"/>
      <c r="J1323" s="166"/>
    </row>
    <row r="1324" spans="5:10" ht="15.75" customHeight="1">
      <c r="E1324" s="152"/>
      <c r="F1324" s="150"/>
      <c r="H1324" s="149"/>
      <c r="J1324" s="166"/>
    </row>
    <row r="1325" spans="5:10" ht="15.75" customHeight="1">
      <c r="E1325" s="152"/>
      <c r="F1325" s="150"/>
      <c r="H1325" s="149"/>
      <c r="J1325" s="166"/>
    </row>
    <row r="1326" spans="5:10" ht="15.75" customHeight="1">
      <c r="E1326" s="152"/>
      <c r="F1326" s="150"/>
      <c r="H1326" s="149"/>
      <c r="J1326" s="166"/>
    </row>
    <row r="1327" spans="5:10" ht="15.75" customHeight="1">
      <c r="E1327" s="152"/>
      <c r="F1327" s="150"/>
      <c r="H1327" s="149"/>
      <c r="J1327" s="166"/>
    </row>
    <row r="1328" spans="5:10" ht="15.75" customHeight="1">
      <c r="E1328" s="152"/>
      <c r="F1328" s="150"/>
      <c r="H1328" s="149"/>
      <c r="J1328" s="166"/>
    </row>
    <row r="1329" spans="5:10" ht="15.75" customHeight="1">
      <c r="E1329" s="152"/>
      <c r="F1329" s="150"/>
      <c r="H1329" s="149"/>
      <c r="J1329" s="166"/>
    </row>
    <row r="1330" spans="5:10" ht="15.75" customHeight="1">
      <c r="E1330" s="152"/>
      <c r="F1330" s="150"/>
      <c r="H1330" s="149"/>
      <c r="J1330" s="166"/>
    </row>
    <row r="1331" spans="5:10" ht="15.75" customHeight="1">
      <c r="E1331" s="152"/>
      <c r="F1331" s="150"/>
      <c r="H1331" s="149"/>
      <c r="J1331" s="166"/>
    </row>
    <row r="1332" spans="5:10" ht="15.75" customHeight="1">
      <c r="E1332" s="152"/>
      <c r="F1332" s="150"/>
      <c r="H1332" s="149"/>
      <c r="J1332" s="166"/>
    </row>
    <row r="1333" spans="5:10" ht="15.75" customHeight="1">
      <c r="E1333" s="152"/>
      <c r="F1333" s="150"/>
      <c r="H1333" s="149"/>
      <c r="J1333" s="166"/>
    </row>
    <row r="1334" spans="5:10" ht="15.75" customHeight="1">
      <c r="E1334" s="152"/>
      <c r="F1334" s="150"/>
      <c r="H1334" s="149"/>
      <c r="J1334" s="166"/>
    </row>
    <row r="1335" spans="5:10" ht="15.75" customHeight="1">
      <c r="E1335" s="152"/>
      <c r="F1335" s="150"/>
      <c r="H1335" s="149"/>
      <c r="J1335" s="166"/>
    </row>
    <row r="1336" spans="5:10" ht="15.75" customHeight="1">
      <c r="E1336" s="152"/>
      <c r="F1336" s="150"/>
      <c r="H1336" s="149"/>
      <c r="J1336" s="166"/>
    </row>
    <row r="1337" spans="5:10" ht="15.75" customHeight="1">
      <c r="E1337" s="152"/>
      <c r="F1337" s="150"/>
      <c r="H1337" s="149"/>
      <c r="J1337" s="166"/>
    </row>
    <row r="1338" spans="5:10" ht="15.75" customHeight="1">
      <c r="E1338" s="152"/>
      <c r="F1338" s="150"/>
      <c r="H1338" s="149"/>
      <c r="J1338" s="166"/>
    </row>
    <row r="1339" spans="5:10" ht="15.75" customHeight="1">
      <c r="E1339" s="152"/>
      <c r="F1339" s="150"/>
      <c r="H1339" s="149"/>
      <c r="J1339" s="166"/>
    </row>
    <row r="1340" spans="5:10" ht="15.75" customHeight="1">
      <c r="E1340" s="152"/>
      <c r="F1340" s="150"/>
      <c r="H1340" s="149"/>
      <c r="J1340" s="166"/>
    </row>
    <row r="1341" spans="5:10" ht="15.75" customHeight="1">
      <c r="E1341" s="152"/>
      <c r="F1341" s="150"/>
      <c r="H1341" s="149"/>
      <c r="J1341" s="166"/>
    </row>
    <row r="1342" spans="5:10" ht="15.75" customHeight="1">
      <c r="E1342" s="152"/>
      <c r="F1342" s="150"/>
      <c r="H1342" s="149"/>
      <c r="J1342" s="166"/>
    </row>
    <row r="1343" spans="5:10" ht="15.75" customHeight="1">
      <c r="E1343" s="152"/>
      <c r="F1343" s="150"/>
      <c r="H1343" s="149"/>
      <c r="J1343" s="166"/>
    </row>
    <row r="1344" spans="5:10" ht="15.75" customHeight="1">
      <c r="E1344" s="152"/>
      <c r="F1344" s="150"/>
      <c r="H1344" s="149"/>
      <c r="J1344" s="166"/>
    </row>
    <row r="1345" spans="5:10" ht="15.75" customHeight="1">
      <c r="E1345" s="152"/>
      <c r="F1345" s="150"/>
      <c r="H1345" s="149"/>
      <c r="J1345" s="166"/>
    </row>
    <row r="1346" spans="5:10" ht="15.75" customHeight="1">
      <c r="E1346" s="152"/>
      <c r="F1346" s="150"/>
      <c r="H1346" s="149"/>
      <c r="J1346" s="166"/>
    </row>
    <row r="1347" spans="5:10" ht="15.75" customHeight="1">
      <c r="E1347" s="152"/>
      <c r="F1347" s="150"/>
      <c r="H1347" s="149"/>
      <c r="J1347" s="166"/>
    </row>
    <row r="1348" spans="5:10" ht="15.75" customHeight="1">
      <c r="E1348" s="152"/>
      <c r="F1348" s="150"/>
      <c r="H1348" s="149"/>
      <c r="J1348" s="166"/>
    </row>
    <row r="1349" spans="5:10" ht="15.75" customHeight="1">
      <c r="E1349" s="152"/>
      <c r="F1349" s="150"/>
      <c r="H1349" s="149"/>
      <c r="J1349" s="166"/>
    </row>
    <row r="1350" spans="5:10" ht="15.75" customHeight="1">
      <c r="E1350" s="152"/>
      <c r="F1350" s="150"/>
      <c r="H1350" s="149"/>
      <c r="J1350" s="166"/>
    </row>
    <row r="1351" spans="5:10" ht="15.75" customHeight="1">
      <c r="E1351" s="152"/>
      <c r="F1351" s="150"/>
      <c r="H1351" s="149"/>
      <c r="J1351" s="166"/>
    </row>
    <row r="1352" spans="5:10" ht="15.75" customHeight="1">
      <c r="E1352" s="152"/>
      <c r="F1352" s="150"/>
      <c r="H1352" s="149"/>
      <c r="J1352" s="166"/>
    </row>
    <row r="1353" spans="5:10" ht="15.75" customHeight="1">
      <c r="E1353" s="152"/>
      <c r="F1353" s="150"/>
      <c r="H1353" s="149"/>
      <c r="J1353" s="166"/>
    </row>
    <row r="1354" spans="5:10" ht="15.75" customHeight="1">
      <c r="E1354" s="152"/>
      <c r="F1354" s="150"/>
      <c r="H1354" s="149"/>
      <c r="J1354" s="166"/>
    </row>
    <row r="1355" spans="5:10" ht="15.75" customHeight="1">
      <c r="E1355" s="152"/>
      <c r="F1355" s="150"/>
      <c r="H1355" s="149"/>
      <c r="J1355" s="166"/>
    </row>
    <row r="1356" spans="5:10" ht="15.75" customHeight="1">
      <c r="E1356" s="152"/>
      <c r="F1356" s="150"/>
      <c r="H1356" s="149"/>
      <c r="J1356" s="166"/>
    </row>
    <row r="1357" spans="5:10" ht="15.75" customHeight="1">
      <c r="E1357" s="152"/>
      <c r="F1357" s="150"/>
      <c r="H1357" s="149"/>
      <c r="J1357" s="166"/>
    </row>
    <row r="1358" spans="5:10" ht="15.75" customHeight="1">
      <c r="E1358" s="152"/>
      <c r="F1358" s="150"/>
      <c r="H1358" s="149"/>
      <c r="J1358" s="166"/>
    </row>
    <row r="1359" spans="5:10" ht="15.75" customHeight="1">
      <c r="E1359" s="152"/>
      <c r="F1359" s="150"/>
      <c r="H1359" s="149"/>
      <c r="J1359" s="166"/>
    </row>
    <row r="1360" spans="5:10" ht="15.75" customHeight="1">
      <c r="E1360" s="152"/>
      <c r="F1360" s="150"/>
      <c r="H1360" s="149"/>
      <c r="J1360" s="166"/>
    </row>
    <row r="1361" spans="5:10" ht="15.75" customHeight="1">
      <c r="E1361" s="152"/>
      <c r="F1361" s="150"/>
      <c r="H1361" s="149"/>
      <c r="J1361" s="166"/>
    </row>
    <row r="1362" spans="5:10" ht="15.75" customHeight="1">
      <c r="E1362" s="152"/>
      <c r="F1362" s="150"/>
      <c r="H1362" s="149"/>
      <c r="J1362" s="166"/>
    </row>
    <row r="1363" spans="5:10" ht="15.75" customHeight="1">
      <c r="E1363" s="152"/>
      <c r="F1363" s="150"/>
      <c r="H1363" s="149"/>
      <c r="J1363" s="166"/>
    </row>
    <row r="1364" spans="5:10" ht="15.75" customHeight="1">
      <c r="E1364" s="152"/>
      <c r="F1364" s="150"/>
      <c r="H1364" s="149"/>
      <c r="J1364" s="166"/>
    </row>
    <row r="1365" spans="5:10" ht="15.75" customHeight="1">
      <c r="E1365" s="152"/>
      <c r="F1365" s="150"/>
      <c r="H1365" s="149"/>
      <c r="J1365" s="166"/>
    </row>
    <row r="1366" spans="5:10" ht="15.75" customHeight="1">
      <c r="E1366" s="152"/>
      <c r="F1366" s="150"/>
      <c r="H1366" s="149"/>
      <c r="J1366" s="166"/>
    </row>
    <row r="1367" spans="5:10" ht="15.75" customHeight="1">
      <c r="E1367" s="152"/>
      <c r="F1367" s="150"/>
      <c r="H1367" s="149"/>
      <c r="J1367" s="166"/>
    </row>
    <row r="1368" spans="5:10" ht="15.75" customHeight="1">
      <c r="E1368" s="152"/>
      <c r="F1368" s="150"/>
      <c r="H1368" s="149"/>
      <c r="J1368" s="166"/>
    </row>
    <row r="1369" spans="5:10" ht="15.75" customHeight="1">
      <c r="E1369" s="152"/>
      <c r="F1369" s="150"/>
      <c r="H1369" s="149"/>
      <c r="J1369" s="166"/>
    </row>
    <row r="1370" spans="5:10" ht="15.75" customHeight="1">
      <c r="E1370" s="152"/>
      <c r="F1370" s="150"/>
      <c r="H1370" s="149"/>
      <c r="J1370" s="166"/>
    </row>
    <row r="1371" spans="5:10" ht="15.75" customHeight="1">
      <c r="E1371" s="152"/>
      <c r="F1371" s="150"/>
      <c r="H1371" s="149"/>
      <c r="J1371" s="166"/>
    </row>
    <row r="1372" spans="5:10" ht="15.75" customHeight="1">
      <c r="E1372" s="152"/>
      <c r="F1372" s="150"/>
      <c r="H1372" s="149"/>
      <c r="J1372" s="166"/>
    </row>
    <row r="1373" spans="5:10" ht="15.75" customHeight="1">
      <c r="E1373" s="152"/>
      <c r="F1373" s="150"/>
      <c r="H1373" s="149"/>
      <c r="J1373" s="166"/>
    </row>
    <row r="1374" spans="5:10" ht="15.75" customHeight="1">
      <c r="E1374" s="152"/>
      <c r="F1374" s="150"/>
      <c r="H1374" s="149"/>
      <c r="J1374" s="166"/>
    </row>
    <row r="1375" spans="5:10" ht="15.75" customHeight="1">
      <c r="E1375" s="152"/>
      <c r="F1375" s="150"/>
      <c r="H1375" s="149"/>
      <c r="J1375" s="166"/>
    </row>
    <row r="1376" spans="5:10" ht="15.75" customHeight="1">
      <c r="E1376" s="152"/>
      <c r="F1376" s="150"/>
      <c r="H1376" s="149"/>
      <c r="J1376" s="166"/>
    </row>
    <row r="1377" spans="5:10" ht="15.75" customHeight="1">
      <c r="E1377" s="152"/>
      <c r="F1377" s="150"/>
      <c r="H1377" s="149"/>
      <c r="J1377" s="166"/>
    </row>
    <row r="1378" spans="5:10" ht="15.75" customHeight="1">
      <c r="E1378" s="152"/>
      <c r="F1378" s="150"/>
      <c r="H1378" s="149"/>
      <c r="J1378" s="166"/>
    </row>
    <row r="1379" spans="5:10" ht="15.75" customHeight="1">
      <c r="E1379" s="152"/>
      <c r="F1379" s="150"/>
      <c r="H1379" s="149"/>
      <c r="J1379" s="166"/>
    </row>
    <row r="1380" spans="5:10" ht="15.75" customHeight="1">
      <c r="E1380" s="152"/>
      <c r="F1380" s="150"/>
      <c r="H1380" s="149"/>
      <c r="J1380" s="166"/>
    </row>
    <row r="1381" spans="5:10" ht="15.75" customHeight="1">
      <c r="E1381" s="152"/>
      <c r="F1381" s="150"/>
      <c r="H1381" s="149"/>
      <c r="J1381" s="166"/>
    </row>
    <row r="1382" spans="5:10" ht="15.75" customHeight="1">
      <c r="E1382" s="152"/>
      <c r="F1382" s="150"/>
      <c r="H1382" s="149"/>
      <c r="J1382" s="166"/>
    </row>
    <row r="1383" spans="5:10" ht="15.75" customHeight="1">
      <c r="E1383" s="152"/>
      <c r="F1383" s="150"/>
      <c r="H1383" s="149"/>
      <c r="J1383" s="166"/>
    </row>
    <row r="1384" spans="5:10" ht="15.75" customHeight="1">
      <c r="E1384" s="152"/>
      <c r="F1384" s="150"/>
      <c r="H1384" s="149"/>
      <c r="J1384" s="166"/>
    </row>
    <row r="1385" spans="5:10" ht="15.75" customHeight="1">
      <c r="E1385" s="152"/>
      <c r="F1385" s="150"/>
      <c r="H1385" s="149"/>
      <c r="J1385" s="166"/>
    </row>
    <row r="1386" spans="5:10" ht="15.75" customHeight="1">
      <c r="E1386" s="152"/>
      <c r="F1386" s="150"/>
      <c r="H1386" s="149"/>
      <c r="J1386" s="166"/>
    </row>
    <row r="1387" spans="5:10" ht="15.75" customHeight="1">
      <c r="E1387" s="152"/>
      <c r="F1387" s="150"/>
      <c r="H1387" s="149"/>
      <c r="J1387" s="166"/>
    </row>
    <row r="1388" spans="5:10" ht="15.75" customHeight="1">
      <c r="E1388" s="152"/>
      <c r="F1388" s="150"/>
      <c r="H1388" s="149"/>
      <c r="J1388" s="166"/>
    </row>
    <row r="1389" spans="5:10" ht="15.75" customHeight="1">
      <c r="E1389" s="152"/>
      <c r="F1389" s="150"/>
      <c r="H1389" s="149"/>
      <c r="J1389" s="166"/>
    </row>
    <row r="1390" spans="5:10" ht="15.75" customHeight="1">
      <c r="E1390" s="152"/>
      <c r="F1390" s="150"/>
      <c r="H1390" s="149"/>
      <c r="J1390" s="166"/>
    </row>
    <row r="1391" spans="5:10" ht="15.75" customHeight="1">
      <c r="E1391" s="152"/>
      <c r="F1391" s="150"/>
      <c r="H1391" s="149"/>
      <c r="J1391" s="166"/>
    </row>
    <row r="1392" spans="5:10" ht="15.75" customHeight="1">
      <c r="E1392" s="152"/>
      <c r="F1392" s="150"/>
      <c r="H1392" s="149"/>
      <c r="J1392" s="166"/>
    </row>
    <row r="1393" spans="5:10" ht="15.75" customHeight="1">
      <c r="E1393" s="152"/>
      <c r="F1393" s="150"/>
      <c r="H1393" s="149"/>
      <c r="J1393" s="166"/>
    </row>
    <row r="1394" spans="5:10" ht="15.75" customHeight="1">
      <c r="E1394" s="152"/>
      <c r="F1394" s="150"/>
      <c r="H1394" s="149"/>
      <c r="J1394" s="166"/>
    </row>
    <row r="1395" spans="5:10" ht="15.75" customHeight="1">
      <c r="E1395" s="152"/>
      <c r="F1395" s="150"/>
      <c r="H1395" s="149"/>
      <c r="J1395" s="166"/>
    </row>
    <row r="1396" spans="5:10" ht="15.75" customHeight="1">
      <c r="E1396" s="152"/>
      <c r="F1396" s="150"/>
      <c r="H1396" s="149"/>
      <c r="J1396" s="166"/>
    </row>
    <row r="1397" spans="5:10" ht="15.75" customHeight="1">
      <c r="E1397" s="152"/>
      <c r="F1397" s="150"/>
      <c r="H1397" s="149"/>
      <c r="J1397" s="166"/>
    </row>
    <row r="1398" spans="5:10" ht="15.75" customHeight="1">
      <c r="E1398" s="152"/>
      <c r="F1398" s="150"/>
      <c r="H1398" s="149"/>
      <c r="J1398" s="166"/>
    </row>
    <row r="1399" spans="5:10" ht="15.75" customHeight="1">
      <c r="E1399" s="152"/>
      <c r="F1399" s="150"/>
      <c r="H1399" s="149"/>
      <c r="J1399" s="166"/>
    </row>
    <row r="1400" spans="5:10" ht="15.75" customHeight="1">
      <c r="E1400" s="152"/>
      <c r="F1400" s="150"/>
      <c r="H1400" s="149"/>
      <c r="J1400" s="166"/>
    </row>
    <row r="1401" spans="5:10" ht="15.75" customHeight="1">
      <c r="E1401" s="152"/>
      <c r="F1401" s="150"/>
      <c r="H1401" s="149"/>
      <c r="J1401" s="166"/>
    </row>
    <row r="1402" spans="5:10" ht="15.75" customHeight="1">
      <c r="E1402" s="152"/>
      <c r="F1402" s="150"/>
      <c r="H1402" s="149"/>
      <c r="J1402" s="166"/>
    </row>
    <row r="1403" spans="5:10" ht="15.75" customHeight="1">
      <c r="E1403" s="152"/>
      <c r="F1403" s="150"/>
      <c r="H1403" s="149"/>
      <c r="J1403" s="166"/>
    </row>
    <row r="1404" spans="5:10" ht="15.75" customHeight="1">
      <c r="E1404" s="152"/>
      <c r="F1404" s="150"/>
      <c r="H1404" s="149"/>
      <c r="J1404" s="166"/>
    </row>
    <row r="1405" spans="5:10" ht="15.75" customHeight="1">
      <c r="E1405" s="152"/>
      <c r="F1405" s="150"/>
      <c r="H1405" s="149"/>
      <c r="J1405" s="166"/>
    </row>
    <row r="1406" spans="5:10" ht="15.75" customHeight="1">
      <c r="E1406" s="152"/>
      <c r="F1406" s="150"/>
      <c r="H1406" s="149"/>
      <c r="J1406" s="166"/>
    </row>
    <row r="1407" spans="5:10" ht="15.75" customHeight="1">
      <c r="E1407" s="152"/>
      <c r="F1407" s="150"/>
      <c r="H1407" s="149"/>
      <c r="J1407" s="166"/>
    </row>
    <row r="1408" spans="5:10" ht="15.75" customHeight="1">
      <c r="E1408" s="152"/>
      <c r="F1408" s="150"/>
      <c r="H1408" s="149"/>
      <c r="J1408" s="166"/>
    </row>
    <row r="1409" spans="5:10" ht="15.75" customHeight="1">
      <c r="E1409" s="152"/>
      <c r="F1409" s="150"/>
      <c r="H1409" s="149"/>
      <c r="J1409" s="166"/>
    </row>
    <row r="1410" spans="5:10" ht="15.75" customHeight="1">
      <c r="E1410" s="152"/>
      <c r="F1410" s="150"/>
      <c r="H1410" s="149"/>
      <c r="J1410" s="166"/>
    </row>
    <row r="1411" spans="5:10" ht="15.75" customHeight="1">
      <c r="E1411" s="152"/>
      <c r="F1411" s="150"/>
      <c r="H1411" s="149"/>
      <c r="J1411" s="166"/>
    </row>
    <row r="1412" spans="5:10" ht="15.75" customHeight="1">
      <c r="E1412" s="152"/>
      <c r="F1412" s="150"/>
      <c r="H1412" s="149"/>
      <c r="J1412" s="166"/>
    </row>
    <row r="1413" spans="5:10" ht="15.75" customHeight="1">
      <c r="E1413" s="152"/>
      <c r="F1413" s="150"/>
      <c r="H1413" s="149"/>
      <c r="J1413" s="166"/>
    </row>
    <row r="1414" spans="5:10" ht="15.75" customHeight="1">
      <c r="E1414" s="152"/>
      <c r="F1414" s="150"/>
      <c r="H1414" s="149"/>
      <c r="J1414" s="166"/>
    </row>
    <row r="1415" spans="5:10" ht="15.75" customHeight="1">
      <c r="E1415" s="152"/>
      <c r="F1415" s="150"/>
      <c r="H1415" s="149"/>
      <c r="J1415" s="166"/>
    </row>
    <row r="1416" spans="5:10" ht="15.75" customHeight="1">
      <c r="E1416" s="152"/>
      <c r="F1416" s="150"/>
      <c r="H1416" s="149"/>
      <c r="J1416" s="166"/>
    </row>
    <row r="1417" spans="5:10" ht="15.75" customHeight="1">
      <c r="E1417" s="152"/>
      <c r="F1417" s="150"/>
      <c r="H1417" s="149"/>
      <c r="J1417" s="166"/>
    </row>
    <row r="1418" spans="5:10" ht="15.75" customHeight="1">
      <c r="E1418" s="152"/>
      <c r="F1418" s="150"/>
      <c r="H1418" s="149"/>
      <c r="J1418" s="166"/>
    </row>
    <row r="1419" spans="5:10" ht="15.75" customHeight="1">
      <c r="E1419" s="152"/>
      <c r="F1419" s="150"/>
      <c r="H1419" s="149"/>
      <c r="J1419" s="166"/>
    </row>
    <row r="1420" spans="5:10" ht="15.75" customHeight="1">
      <c r="E1420" s="152"/>
      <c r="F1420" s="150"/>
      <c r="H1420" s="149"/>
      <c r="J1420" s="166"/>
    </row>
    <row r="1421" spans="5:10" ht="15.75" customHeight="1">
      <c r="E1421" s="152"/>
      <c r="F1421" s="150"/>
      <c r="H1421" s="149"/>
      <c r="J1421" s="166"/>
    </row>
    <row r="1422" spans="5:10" ht="15.75" customHeight="1">
      <c r="E1422" s="152"/>
      <c r="F1422" s="150"/>
      <c r="H1422" s="149"/>
      <c r="J1422" s="166"/>
    </row>
    <row r="1423" spans="5:10" ht="15.75" customHeight="1">
      <c r="E1423" s="152"/>
      <c r="F1423" s="150"/>
      <c r="H1423" s="149"/>
      <c r="J1423" s="166"/>
    </row>
    <row r="1424" spans="5:10" ht="15.75" customHeight="1">
      <c r="E1424" s="152"/>
      <c r="F1424" s="150"/>
      <c r="H1424" s="149"/>
      <c r="J1424" s="166"/>
    </row>
    <row r="1425" spans="5:10" ht="15.75" customHeight="1">
      <c r="E1425" s="152"/>
      <c r="F1425" s="150"/>
      <c r="H1425" s="149"/>
      <c r="J1425" s="166"/>
    </row>
    <row r="1426" spans="5:10" ht="15.75" customHeight="1">
      <c r="E1426" s="152"/>
      <c r="F1426" s="150"/>
      <c r="H1426" s="149"/>
      <c r="J1426" s="166"/>
    </row>
    <row r="1427" spans="5:10" ht="15.75" customHeight="1">
      <c r="E1427" s="152"/>
      <c r="F1427" s="150"/>
      <c r="H1427" s="149"/>
      <c r="J1427" s="166"/>
    </row>
    <row r="1428" spans="5:10" ht="15.75" customHeight="1">
      <c r="E1428" s="152"/>
      <c r="F1428" s="150"/>
      <c r="H1428" s="149"/>
      <c r="J1428" s="166"/>
    </row>
    <row r="1429" spans="5:10" ht="15.75" customHeight="1">
      <c r="E1429" s="152"/>
      <c r="F1429" s="150"/>
      <c r="H1429" s="149"/>
      <c r="J1429" s="166"/>
    </row>
    <row r="1430" spans="5:10" ht="15.75" customHeight="1">
      <c r="E1430" s="152"/>
      <c r="F1430" s="150"/>
      <c r="H1430" s="149"/>
      <c r="J1430" s="166"/>
    </row>
    <row r="1431" spans="5:10" ht="15.75" customHeight="1">
      <c r="E1431" s="152"/>
      <c r="F1431" s="150"/>
      <c r="H1431" s="149"/>
      <c r="J1431" s="166"/>
    </row>
    <row r="1432" spans="5:10" ht="15.75" customHeight="1">
      <c r="E1432" s="152"/>
      <c r="F1432" s="150"/>
      <c r="H1432" s="149"/>
      <c r="J1432" s="166"/>
    </row>
    <row r="1433" spans="5:10" ht="15.75" customHeight="1">
      <c r="E1433" s="152"/>
      <c r="F1433" s="150"/>
      <c r="H1433" s="149"/>
      <c r="J1433" s="166"/>
    </row>
    <row r="1434" spans="5:10" ht="15.75" customHeight="1">
      <c r="E1434" s="152"/>
      <c r="F1434" s="150"/>
      <c r="H1434" s="149"/>
      <c r="J1434" s="166"/>
    </row>
    <row r="1435" spans="5:10" ht="15.75" customHeight="1">
      <c r="E1435" s="152"/>
      <c r="F1435" s="150"/>
      <c r="H1435" s="149"/>
      <c r="J1435" s="166"/>
    </row>
    <row r="1436" spans="5:10" ht="15.75" customHeight="1">
      <c r="E1436" s="152"/>
      <c r="F1436" s="150"/>
      <c r="H1436" s="149"/>
      <c r="J1436" s="166"/>
    </row>
    <row r="1437" spans="5:10" ht="15.75" customHeight="1">
      <c r="E1437" s="152"/>
      <c r="F1437" s="150"/>
      <c r="H1437" s="149"/>
      <c r="J1437" s="166"/>
    </row>
    <row r="1438" spans="5:10" ht="15.75" customHeight="1">
      <c r="E1438" s="152"/>
      <c r="F1438" s="150"/>
      <c r="H1438" s="149"/>
      <c r="J1438" s="166"/>
    </row>
    <row r="1439" spans="5:10" ht="15.75" customHeight="1">
      <c r="E1439" s="152"/>
      <c r="F1439" s="150"/>
      <c r="H1439" s="149"/>
      <c r="J1439" s="166"/>
    </row>
    <row r="1440" spans="5:10" ht="15.75" customHeight="1">
      <c r="E1440" s="152"/>
      <c r="F1440" s="150"/>
      <c r="H1440" s="149"/>
      <c r="J1440" s="166"/>
    </row>
    <row r="1441" spans="5:10" ht="15.75" customHeight="1">
      <c r="E1441" s="152"/>
      <c r="F1441" s="150"/>
      <c r="H1441" s="149"/>
      <c r="J1441" s="166"/>
    </row>
    <row r="1442" spans="5:10" ht="15.75" customHeight="1">
      <c r="E1442" s="152"/>
      <c r="F1442" s="150"/>
      <c r="H1442" s="149"/>
      <c r="J1442" s="166"/>
    </row>
    <row r="1443" spans="5:10" ht="15.75" customHeight="1">
      <c r="E1443" s="152"/>
      <c r="F1443" s="150"/>
      <c r="H1443" s="149"/>
      <c r="J1443" s="166"/>
    </row>
    <row r="1444" spans="5:10" ht="15.75" customHeight="1">
      <c r="E1444" s="152"/>
      <c r="F1444" s="150"/>
      <c r="H1444" s="149"/>
      <c r="J1444" s="166"/>
    </row>
    <row r="1445" spans="5:10" ht="15.75" customHeight="1">
      <c r="E1445" s="152"/>
      <c r="F1445" s="150"/>
      <c r="H1445" s="149"/>
      <c r="J1445" s="166"/>
    </row>
    <row r="1446" spans="5:10" ht="15.75" customHeight="1">
      <c r="E1446" s="152"/>
      <c r="F1446" s="150"/>
      <c r="H1446" s="149"/>
      <c r="J1446" s="166"/>
    </row>
    <row r="1447" spans="5:10" ht="15.75" customHeight="1">
      <c r="E1447" s="152"/>
      <c r="F1447" s="150"/>
      <c r="H1447" s="149"/>
      <c r="J1447" s="166"/>
    </row>
    <row r="1448" spans="5:10" ht="15.75" customHeight="1">
      <c r="E1448" s="152"/>
      <c r="F1448" s="150"/>
      <c r="H1448" s="149"/>
      <c r="J1448" s="166"/>
    </row>
    <row r="1449" spans="5:10" ht="15.75" customHeight="1">
      <c r="E1449" s="152"/>
      <c r="F1449" s="150"/>
      <c r="H1449" s="149"/>
      <c r="J1449" s="166"/>
    </row>
    <row r="1450" spans="5:10" ht="15.75" customHeight="1">
      <c r="E1450" s="152"/>
      <c r="F1450" s="150"/>
      <c r="H1450" s="149"/>
      <c r="J1450" s="166"/>
    </row>
    <row r="1451" spans="5:10" ht="15.75" customHeight="1">
      <c r="E1451" s="152"/>
      <c r="F1451" s="150"/>
      <c r="H1451" s="149"/>
      <c r="J1451" s="166"/>
    </row>
    <row r="1452" spans="5:10" ht="15.75" customHeight="1">
      <c r="E1452" s="152"/>
      <c r="F1452" s="150"/>
      <c r="H1452" s="149"/>
      <c r="J1452" s="166"/>
    </row>
    <row r="1453" spans="5:10" ht="15.75" customHeight="1">
      <c r="E1453" s="152"/>
      <c r="F1453" s="150"/>
      <c r="H1453" s="149"/>
      <c r="J1453" s="166"/>
    </row>
    <row r="1454" spans="5:10" ht="15.75" customHeight="1">
      <c r="E1454" s="152"/>
      <c r="F1454" s="150"/>
      <c r="H1454" s="149"/>
      <c r="J1454" s="166"/>
    </row>
    <row r="1455" spans="5:10" ht="15.75" customHeight="1">
      <c r="E1455" s="152"/>
      <c r="F1455" s="150"/>
      <c r="H1455" s="149"/>
      <c r="J1455" s="166"/>
    </row>
    <row r="1456" spans="5:10" ht="15.75" customHeight="1">
      <c r="E1456" s="152"/>
      <c r="F1456" s="150"/>
      <c r="H1456" s="149"/>
      <c r="J1456" s="166"/>
    </row>
    <row r="1457" spans="5:10" ht="15.75" customHeight="1">
      <c r="E1457" s="152"/>
      <c r="F1457" s="150"/>
      <c r="H1457" s="149"/>
      <c r="J1457" s="166"/>
    </row>
    <row r="1458" spans="5:10" ht="15.75" customHeight="1">
      <c r="E1458" s="152"/>
      <c r="F1458" s="150"/>
      <c r="H1458" s="149"/>
      <c r="J1458" s="166"/>
    </row>
    <row r="1459" spans="5:10" ht="15.75" customHeight="1">
      <c r="E1459" s="152"/>
      <c r="F1459" s="150"/>
      <c r="H1459" s="149"/>
      <c r="J1459" s="166"/>
    </row>
    <row r="1460" spans="5:10" ht="15.75" customHeight="1">
      <c r="E1460" s="152"/>
      <c r="F1460" s="150"/>
      <c r="H1460" s="149"/>
      <c r="J1460" s="166"/>
    </row>
    <row r="1461" spans="5:10" ht="15.75" customHeight="1">
      <c r="E1461" s="152"/>
      <c r="F1461" s="150"/>
      <c r="H1461" s="149"/>
      <c r="J1461" s="166"/>
    </row>
    <row r="1462" spans="5:10" ht="15.75" customHeight="1">
      <c r="E1462" s="152"/>
      <c r="F1462" s="150"/>
      <c r="H1462" s="149"/>
      <c r="J1462" s="166"/>
    </row>
    <row r="1463" spans="5:10" ht="15.75" customHeight="1">
      <c r="E1463" s="152"/>
      <c r="F1463" s="150"/>
      <c r="H1463" s="149"/>
      <c r="J1463" s="166"/>
    </row>
    <row r="1464" spans="5:10" ht="15.75" customHeight="1">
      <c r="E1464" s="152"/>
      <c r="F1464" s="150"/>
      <c r="H1464" s="149"/>
      <c r="J1464" s="166"/>
    </row>
    <row r="1465" spans="5:10" ht="15.75" customHeight="1">
      <c r="E1465" s="152"/>
      <c r="F1465" s="150"/>
      <c r="H1465" s="149"/>
      <c r="J1465" s="166"/>
    </row>
    <row r="1466" spans="5:10" ht="15.75" customHeight="1">
      <c r="E1466" s="152"/>
      <c r="F1466" s="150"/>
      <c r="H1466" s="149"/>
      <c r="J1466" s="166"/>
    </row>
    <row r="1467" spans="5:10" ht="15.75" customHeight="1">
      <c r="E1467" s="152"/>
      <c r="F1467" s="150"/>
      <c r="H1467" s="149"/>
      <c r="J1467" s="166"/>
    </row>
    <row r="1468" spans="5:10" ht="15.75" customHeight="1">
      <c r="E1468" s="152"/>
      <c r="F1468" s="150"/>
      <c r="H1468" s="149"/>
      <c r="J1468" s="166"/>
    </row>
    <row r="1469" spans="5:10" ht="15.75" customHeight="1">
      <c r="E1469" s="152"/>
      <c r="F1469" s="150"/>
      <c r="H1469" s="149"/>
      <c r="J1469" s="166"/>
    </row>
    <row r="1470" spans="5:10" ht="15.75" customHeight="1">
      <c r="E1470" s="152"/>
      <c r="F1470" s="150"/>
      <c r="H1470" s="149"/>
      <c r="J1470" s="166"/>
    </row>
    <row r="1471" spans="5:10" ht="15.75" customHeight="1">
      <c r="E1471" s="152"/>
      <c r="F1471" s="150"/>
      <c r="H1471" s="149"/>
      <c r="J1471" s="166"/>
    </row>
    <row r="1472" spans="5:10" ht="15.75" customHeight="1">
      <c r="E1472" s="152"/>
      <c r="F1472" s="150"/>
      <c r="H1472" s="149"/>
      <c r="J1472" s="166"/>
    </row>
    <row r="1473" spans="5:10" ht="15.75" customHeight="1">
      <c r="E1473" s="152"/>
      <c r="F1473" s="150"/>
      <c r="H1473" s="149"/>
      <c r="J1473" s="166"/>
    </row>
    <row r="1474" spans="5:10" ht="15.75" customHeight="1">
      <c r="E1474" s="152"/>
      <c r="F1474" s="150"/>
      <c r="H1474" s="149"/>
      <c r="J1474" s="166"/>
    </row>
    <row r="1475" spans="5:10" ht="15.75" customHeight="1">
      <c r="E1475" s="152"/>
      <c r="F1475" s="150"/>
      <c r="H1475" s="149"/>
      <c r="J1475" s="166"/>
    </row>
    <row r="1476" spans="5:10" ht="15.75" customHeight="1">
      <c r="E1476" s="152"/>
      <c r="F1476" s="150"/>
      <c r="H1476" s="149"/>
      <c r="J1476" s="166"/>
    </row>
    <row r="1477" spans="5:10" ht="15.75" customHeight="1">
      <c r="E1477" s="152"/>
      <c r="F1477" s="150"/>
      <c r="H1477" s="149"/>
      <c r="J1477" s="166"/>
    </row>
    <row r="1478" spans="5:10" ht="15.75" customHeight="1">
      <c r="E1478" s="152"/>
      <c r="F1478" s="150"/>
      <c r="H1478" s="149"/>
      <c r="J1478" s="166"/>
    </row>
    <row r="1479" spans="5:10" ht="15.75" customHeight="1">
      <c r="E1479" s="152"/>
      <c r="F1479" s="150"/>
      <c r="H1479" s="149"/>
      <c r="J1479" s="166"/>
    </row>
    <row r="1480" spans="5:10" ht="15.75" customHeight="1">
      <c r="E1480" s="152"/>
      <c r="F1480" s="150"/>
      <c r="H1480" s="149"/>
      <c r="J1480" s="166"/>
    </row>
    <row r="1481" spans="5:10" ht="15.75" customHeight="1">
      <c r="E1481" s="152"/>
      <c r="F1481" s="150"/>
      <c r="H1481" s="149"/>
      <c r="J1481" s="166"/>
    </row>
    <row r="1482" spans="5:10" ht="15.75" customHeight="1">
      <c r="E1482" s="152"/>
      <c r="F1482" s="150"/>
      <c r="H1482" s="149"/>
      <c r="J1482" s="166"/>
    </row>
    <row r="1483" spans="5:10" ht="15.75" customHeight="1">
      <c r="E1483" s="152"/>
      <c r="F1483" s="150"/>
      <c r="H1483" s="149"/>
      <c r="J1483" s="166"/>
    </row>
    <row r="1484" spans="5:10" ht="15.75" customHeight="1">
      <c r="E1484" s="152"/>
      <c r="F1484" s="150"/>
      <c r="H1484" s="149"/>
      <c r="J1484" s="166"/>
    </row>
    <row r="1485" spans="5:10" ht="15.75" customHeight="1">
      <c r="E1485" s="152"/>
      <c r="F1485" s="150"/>
      <c r="H1485" s="149"/>
      <c r="J1485" s="166"/>
    </row>
    <row r="1486" spans="5:10" ht="15.75" customHeight="1">
      <c r="E1486" s="152"/>
      <c r="F1486" s="150"/>
      <c r="H1486" s="149"/>
      <c r="J1486" s="166"/>
    </row>
    <row r="1487" spans="5:10" ht="15.75" customHeight="1">
      <c r="E1487" s="152"/>
      <c r="F1487" s="150"/>
      <c r="H1487" s="149"/>
      <c r="J1487" s="166"/>
    </row>
    <row r="1488" spans="5:10" ht="15.75" customHeight="1">
      <c r="E1488" s="152"/>
      <c r="F1488" s="150"/>
      <c r="H1488" s="149"/>
      <c r="J1488" s="166"/>
    </row>
    <row r="1489" spans="5:10" ht="15.75" customHeight="1">
      <c r="E1489" s="152"/>
      <c r="F1489" s="150"/>
      <c r="H1489" s="149"/>
      <c r="J1489" s="166"/>
    </row>
    <row r="1490" spans="5:10" ht="15.75" customHeight="1">
      <c r="E1490" s="152"/>
      <c r="F1490" s="150"/>
      <c r="H1490" s="149"/>
      <c r="J1490" s="166"/>
    </row>
    <row r="1491" spans="5:10" ht="15.75" customHeight="1">
      <c r="E1491" s="152"/>
      <c r="F1491" s="150"/>
      <c r="H1491" s="149"/>
      <c r="J1491" s="166"/>
    </row>
    <row r="1492" spans="5:10" ht="15.75" customHeight="1">
      <c r="E1492" s="152"/>
      <c r="F1492" s="150"/>
      <c r="H1492" s="149"/>
      <c r="J1492" s="166"/>
    </row>
    <row r="1493" spans="5:10" ht="15.75" customHeight="1">
      <c r="E1493" s="152"/>
      <c r="F1493" s="150"/>
      <c r="H1493" s="149"/>
      <c r="J1493" s="166"/>
    </row>
    <row r="1494" spans="5:10" ht="15.75" customHeight="1">
      <c r="E1494" s="152"/>
      <c r="F1494" s="150"/>
      <c r="H1494" s="149"/>
      <c r="J1494" s="166"/>
    </row>
    <row r="1495" spans="5:10" ht="15.75" customHeight="1">
      <c r="E1495" s="152"/>
      <c r="F1495" s="150"/>
      <c r="H1495" s="149"/>
      <c r="J1495" s="166"/>
    </row>
    <row r="1496" spans="5:10" ht="15.75" customHeight="1">
      <c r="E1496" s="152"/>
      <c r="F1496" s="150"/>
      <c r="H1496" s="149"/>
      <c r="J1496" s="166"/>
    </row>
    <row r="1497" spans="5:10" ht="15.75" customHeight="1">
      <c r="E1497" s="152"/>
      <c r="F1497" s="150"/>
      <c r="H1497" s="149"/>
      <c r="J1497" s="166"/>
    </row>
    <row r="1498" spans="5:10" ht="15.75" customHeight="1">
      <c r="E1498" s="152"/>
      <c r="F1498" s="150"/>
      <c r="H1498" s="149"/>
      <c r="J1498" s="166"/>
    </row>
    <row r="1499" spans="5:10" ht="15.75" customHeight="1">
      <c r="E1499" s="152"/>
      <c r="F1499" s="150"/>
      <c r="H1499" s="149"/>
      <c r="J1499" s="166"/>
    </row>
    <row r="1500" spans="5:10" ht="15.75" customHeight="1">
      <c r="E1500" s="152"/>
      <c r="F1500" s="150"/>
      <c r="H1500" s="149"/>
      <c r="J1500" s="166"/>
    </row>
    <row r="1501" spans="5:10" ht="15.75" customHeight="1">
      <c r="E1501" s="152"/>
      <c r="F1501" s="150"/>
      <c r="H1501" s="149"/>
      <c r="J1501" s="166"/>
    </row>
    <row r="1502" spans="5:10" ht="15.75" customHeight="1">
      <c r="E1502" s="152"/>
      <c r="F1502" s="150"/>
      <c r="H1502" s="149"/>
      <c r="J1502" s="166"/>
    </row>
    <row r="1503" spans="5:10" ht="15.75" customHeight="1">
      <c r="E1503" s="152"/>
      <c r="F1503" s="150"/>
      <c r="H1503" s="149"/>
      <c r="J1503" s="166"/>
    </row>
    <row r="1504" spans="5:10" ht="15.75" customHeight="1">
      <c r="E1504" s="152"/>
      <c r="F1504" s="150"/>
      <c r="H1504" s="149"/>
      <c r="J1504" s="166"/>
    </row>
    <row r="1505" spans="5:10" ht="15.75" customHeight="1">
      <c r="E1505" s="152"/>
      <c r="F1505" s="150"/>
      <c r="H1505" s="149"/>
      <c r="J1505" s="166"/>
    </row>
    <row r="1506" spans="5:10" ht="15.75" customHeight="1">
      <c r="E1506" s="152"/>
      <c r="F1506" s="150"/>
      <c r="H1506" s="149"/>
      <c r="J1506" s="166"/>
    </row>
    <row r="1507" spans="5:10" ht="15.75" customHeight="1">
      <c r="E1507" s="152"/>
      <c r="F1507" s="150"/>
      <c r="H1507" s="149"/>
      <c r="J1507" s="166"/>
    </row>
    <row r="1508" spans="5:10" ht="15.75" customHeight="1">
      <c r="E1508" s="152"/>
      <c r="F1508" s="150"/>
      <c r="H1508" s="149"/>
      <c r="J1508" s="166"/>
    </row>
    <row r="1509" spans="5:10" ht="15.75" customHeight="1">
      <c r="E1509" s="152"/>
      <c r="F1509" s="150"/>
      <c r="H1509" s="149"/>
      <c r="J1509" s="166"/>
    </row>
    <row r="1510" spans="5:10" ht="15.75" customHeight="1">
      <c r="E1510" s="152"/>
      <c r="F1510" s="150"/>
      <c r="H1510" s="149"/>
      <c r="J1510" s="166"/>
    </row>
    <row r="1511" spans="5:10" ht="15.75" customHeight="1">
      <c r="E1511" s="152"/>
      <c r="F1511" s="150"/>
      <c r="H1511" s="149"/>
      <c r="J1511" s="166"/>
    </row>
    <row r="1512" spans="5:10" ht="15.75" customHeight="1">
      <c r="E1512" s="152"/>
      <c r="F1512" s="150"/>
      <c r="H1512" s="149"/>
      <c r="J1512" s="166"/>
    </row>
    <row r="1513" spans="5:10" ht="15.75" customHeight="1">
      <c r="E1513" s="152"/>
      <c r="F1513" s="150"/>
      <c r="H1513" s="149"/>
      <c r="J1513" s="166"/>
    </row>
    <row r="1514" spans="5:10" ht="15.75" customHeight="1">
      <c r="E1514" s="152"/>
      <c r="F1514" s="150"/>
      <c r="H1514" s="149"/>
      <c r="J1514" s="166"/>
    </row>
    <row r="1515" spans="5:10" ht="15.75" customHeight="1">
      <c r="E1515" s="152"/>
      <c r="F1515" s="150"/>
      <c r="H1515" s="149"/>
      <c r="J1515" s="166"/>
    </row>
    <row r="1516" spans="5:10" ht="15.75" customHeight="1">
      <c r="E1516" s="152"/>
      <c r="F1516" s="150"/>
      <c r="H1516" s="149"/>
      <c r="J1516" s="166"/>
    </row>
    <row r="1517" spans="5:10" ht="15.75" customHeight="1">
      <c r="E1517" s="152"/>
      <c r="F1517" s="150"/>
      <c r="H1517" s="149"/>
      <c r="J1517" s="166"/>
    </row>
    <row r="1518" spans="5:10" ht="15.75" customHeight="1">
      <c r="E1518" s="152"/>
      <c r="F1518" s="150"/>
      <c r="H1518" s="149"/>
      <c r="J1518" s="166"/>
    </row>
    <row r="1519" spans="5:10" ht="15.75" customHeight="1">
      <c r="E1519" s="152"/>
      <c r="F1519" s="150"/>
      <c r="H1519" s="149"/>
      <c r="J1519" s="166"/>
    </row>
    <row r="1520" spans="5:10" ht="15.75" customHeight="1">
      <c r="E1520" s="152"/>
      <c r="F1520" s="150"/>
      <c r="H1520" s="149"/>
      <c r="J1520" s="166"/>
    </row>
    <row r="1521" spans="5:10" ht="15.75" customHeight="1">
      <c r="E1521" s="152"/>
      <c r="F1521" s="150"/>
      <c r="H1521" s="149"/>
      <c r="J1521" s="166"/>
    </row>
    <row r="1522" spans="5:10" ht="15.75" customHeight="1">
      <c r="E1522" s="152"/>
      <c r="F1522" s="150"/>
      <c r="H1522" s="149"/>
      <c r="J1522" s="166"/>
    </row>
    <row r="1523" spans="5:10" ht="15.75" customHeight="1">
      <c r="E1523" s="152"/>
      <c r="F1523" s="150"/>
      <c r="H1523" s="149"/>
      <c r="J1523" s="166"/>
    </row>
    <row r="1524" spans="5:10" ht="15.75" customHeight="1">
      <c r="E1524" s="152"/>
      <c r="F1524" s="150"/>
      <c r="H1524" s="149"/>
      <c r="J1524" s="166"/>
    </row>
    <row r="1525" spans="5:10" ht="15.75" customHeight="1">
      <c r="E1525" s="152"/>
      <c r="F1525" s="150"/>
      <c r="H1525" s="149"/>
      <c r="J1525" s="166"/>
    </row>
    <row r="1526" spans="5:10" ht="15.75" customHeight="1">
      <c r="E1526" s="152"/>
      <c r="F1526" s="150"/>
      <c r="H1526" s="149"/>
      <c r="J1526" s="166"/>
    </row>
    <row r="1527" spans="5:10" ht="15.75" customHeight="1">
      <c r="E1527" s="152"/>
      <c r="F1527" s="150"/>
      <c r="H1527" s="149"/>
      <c r="J1527" s="166"/>
    </row>
    <row r="1528" spans="5:10" ht="15.75" customHeight="1">
      <c r="E1528" s="152"/>
      <c r="F1528" s="150"/>
      <c r="H1528" s="149"/>
      <c r="J1528" s="166"/>
    </row>
    <row r="1529" spans="5:10" ht="15.75" customHeight="1">
      <c r="E1529" s="152"/>
      <c r="F1529" s="150"/>
      <c r="H1529" s="149"/>
      <c r="J1529" s="166"/>
    </row>
    <row r="1530" spans="5:10" ht="15.75" customHeight="1">
      <c r="E1530" s="152"/>
      <c r="F1530" s="150"/>
      <c r="H1530" s="149"/>
      <c r="J1530" s="166"/>
    </row>
    <row r="1531" spans="5:10" ht="15.75" customHeight="1">
      <c r="E1531" s="152"/>
      <c r="F1531" s="150"/>
      <c r="H1531" s="149"/>
      <c r="J1531" s="166"/>
    </row>
    <row r="1532" spans="5:10" ht="15.75" customHeight="1">
      <c r="E1532" s="152"/>
      <c r="F1532" s="150"/>
      <c r="H1532" s="149"/>
      <c r="J1532" s="166"/>
    </row>
    <row r="1533" spans="5:10" ht="15.75" customHeight="1">
      <c r="E1533" s="152"/>
      <c r="F1533" s="150"/>
      <c r="H1533" s="149"/>
      <c r="J1533" s="166"/>
    </row>
    <row r="1534" spans="5:10" ht="15.75" customHeight="1">
      <c r="E1534" s="152"/>
      <c r="F1534" s="150"/>
      <c r="H1534" s="149"/>
      <c r="J1534" s="166"/>
    </row>
    <row r="1535" spans="5:10" ht="15.75" customHeight="1">
      <c r="E1535" s="152"/>
      <c r="F1535" s="150"/>
      <c r="H1535" s="149"/>
      <c r="J1535" s="166"/>
    </row>
    <row r="1536" spans="5:10" ht="15.75" customHeight="1">
      <c r="E1536" s="152"/>
      <c r="F1536" s="150"/>
      <c r="H1536" s="149"/>
      <c r="J1536" s="166"/>
    </row>
    <row r="1537" spans="5:10" ht="15.75" customHeight="1">
      <c r="E1537" s="152"/>
      <c r="F1537" s="150"/>
      <c r="H1537" s="149"/>
      <c r="J1537" s="166"/>
    </row>
    <row r="1538" spans="5:10" ht="15.75" customHeight="1">
      <c r="E1538" s="152"/>
      <c r="F1538" s="150"/>
      <c r="H1538" s="149"/>
      <c r="J1538" s="166"/>
    </row>
    <row r="1539" spans="5:10" ht="15.75" customHeight="1">
      <c r="E1539" s="152"/>
      <c r="F1539" s="150"/>
      <c r="H1539" s="149"/>
      <c r="J1539" s="166"/>
    </row>
    <row r="1540" spans="5:10" ht="15.75" customHeight="1">
      <c r="E1540" s="152"/>
      <c r="F1540" s="150"/>
      <c r="H1540" s="149"/>
      <c r="J1540" s="166"/>
    </row>
    <row r="1541" spans="5:10" ht="15.75" customHeight="1">
      <c r="E1541" s="152"/>
      <c r="F1541" s="150"/>
      <c r="H1541" s="149"/>
      <c r="J1541" s="166"/>
    </row>
    <row r="1542" spans="5:10" ht="15.75" customHeight="1">
      <c r="E1542" s="152"/>
      <c r="F1542" s="150"/>
      <c r="H1542" s="149"/>
      <c r="J1542" s="166"/>
    </row>
    <row r="1543" spans="5:10" ht="15.75" customHeight="1">
      <c r="E1543" s="152"/>
      <c r="F1543" s="150"/>
      <c r="H1543" s="149"/>
      <c r="J1543" s="166"/>
    </row>
    <row r="1544" spans="5:10" ht="15.75" customHeight="1">
      <c r="E1544" s="152"/>
      <c r="F1544" s="150"/>
      <c r="H1544" s="149"/>
      <c r="J1544" s="166"/>
    </row>
    <row r="1545" spans="5:10" ht="15.75" customHeight="1">
      <c r="E1545" s="152"/>
      <c r="F1545" s="150"/>
      <c r="H1545" s="149"/>
      <c r="J1545" s="166"/>
    </row>
    <row r="1546" spans="5:10" ht="15.75" customHeight="1">
      <c r="E1546" s="152"/>
      <c r="F1546" s="150"/>
      <c r="H1546" s="149"/>
      <c r="J1546" s="166"/>
    </row>
    <row r="1547" spans="5:10" ht="15.75" customHeight="1">
      <c r="E1547" s="152"/>
      <c r="F1547" s="150"/>
      <c r="H1547" s="149"/>
      <c r="J1547" s="166"/>
    </row>
    <row r="1548" spans="5:10" ht="15.75" customHeight="1">
      <c r="E1548" s="152"/>
      <c r="F1548" s="150"/>
      <c r="H1548" s="149"/>
      <c r="J1548" s="166"/>
    </row>
    <row r="1549" spans="5:10" ht="15.75" customHeight="1">
      <c r="E1549" s="152"/>
      <c r="F1549" s="150"/>
      <c r="H1549" s="149"/>
      <c r="J1549" s="166"/>
    </row>
    <row r="1550" spans="5:10" ht="15.75" customHeight="1">
      <c r="E1550" s="152"/>
      <c r="F1550" s="150"/>
      <c r="H1550" s="149"/>
      <c r="J1550" s="166"/>
    </row>
    <row r="1551" spans="5:10" ht="15.75" customHeight="1">
      <c r="E1551" s="152"/>
      <c r="F1551" s="150"/>
      <c r="H1551" s="149"/>
      <c r="J1551" s="166"/>
    </row>
    <row r="1552" spans="5:10" ht="15.75" customHeight="1">
      <c r="E1552" s="152"/>
      <c r="F1552" s="150"/>
      <c r="H1552" s="149"/>
      <c r="J1552" s="166"/>
    </row>
    <row r="1553" spans="5:10" ht="15.75" customHeight="1">
      <c r="E1553" s="152"/>
      <c r="F1553" s="150"/>
      <c r="H1553" s="149"/>
      <c r="J1553" s="166"/>
    </row>
    <row r="1554" spans="5:10" ht="15.75" customHeight="1">
      <c r="E1554" s="152"/>
      <c r="F1554" s="150"/>
      <c r="H1554" s="149"/>
      <c r="J1554" s="166"/>
    </row>
    <row r="1555" spans="5:10" ht="15.75" customHeight="1">
      <c r="E1555" s="152"/>
      <c r="F1555" s="150"/>
      <c r="H1555" s="149"/>
      <c r="J1555" s="166"/>
    </row>
    <row r="1556" spans="5:10" ht="15.75" customHeight="1">
      <c r="E1556" s="152"/>
      <c r="F1556" s="150"/>
      <c r="H1556" s="149"/>
      <c r="J1556" s="166"/>
    </row>
    <row r="1557" spans="5:10" ht="15.75" customHeight="1">
      <c r="E1557" s="152"/>
      <c r="F1557" s="150"/>
      <c r="H1557" s="149"/>
      <c r="J1557" s="166"/>
    </row>
    <row r="1558" spans="5:10" ht="15.75" customHeight="1">
      <c r="E1558" s="152"/>
      <c r="F1558" s="150"/>
      <c r="H1558" s="149"/>
      <c r="J1558" s="166"/>
    </row>
    <row r="1559" spans="5:10" ht="15.75" customHeight="1">
      <c r="E1559" s="152"/>
      <c r="F1559" s="150"/>
      <c r="H1559" s="149"/>
      <c r="J1559" s="166"/>
    </row>
    <row r="1560" spans="5:10" ht="15.75" customHeight="1">
      <c r="E1560" s="152"/>
      <c r="F1560" s="150"/>
      <c r="H1560" s="149"/>
      <c r="J1560" s="166"/>
    </row>
    <row r="1561" spans="5:10" ht="15.75" customHeight="1">
      <c r="E1561" s="152"/>
      <c r="F1561" s="150"/>
      <c r="H1561" s="149"/>
      <c r="J1561" s="166"/>
    </row>
    <row r="1562" spans="5:10" ht="15.75" customHeight="1">
      <c r="E1562" s="152"/>
      <c r="F1562" s="150"/>
      <c r="H1562" s="149"/>
      <c r="J1562" s="166"/>
    </row>
    <row r="1563" spans="5:10" ht="15.75" customHeight="1">
      <c r="E1563" s="152"/>
      <c r="F1563" s="150"/>
      <c r="H1563" s="149"/>
      <c r="J1563" s="166"/>
    </row>
    <row r="1564" spans="5:10" ht="15.75" customHeight="1">
      <c r="E1564" s="152"/>
      <c r="F1564" s="150"/>
      <c r="H1564" s="149"/>
      <c r="J1564" s="166"/>
    </row>
    <row r="1565" spans="5:10" ht="15.75" customHeight="1">
      <c r="E1565" s="152"/>
      <c r="F1565" s="150"/>
      <c r="H1565" s="149"/>
      <c r="J1565" s="166"/>
    </row>
    <row r="1566" spans="5:10" ht="15.75" customHeight="1">
      <c r="E1566" s="152"/>
      <c r="F1566" s="150"/>
      <c r="H1566" s="149"/>
      <c r="J1566" s="166"/>
    </row>
    <row r="1567" spans="5:10" ht="15.75" customHeight="1">
      <c r="E1567" s="152"/>
      <c r="F1567" s="150"/>
      <c r="H1567" s="149"/>
      <c r="J1567" s="166"/>
    </row>
    <row r="1568" spans="5:10" ht="15.75" customHeight="1">
      <c r="E1568" s="152"/>
      <c r="F1568" s="150"/>
      <c r="H1568" s="149"/>
      <c r="J1568" s="166"/>
    </row>
    <row r="1569" spans="5:10" ht="15.75" customHeight="1">
      <c r="E1569" s="152"/>
      <c r="F1569" s="150"/>
      <c r="H1569" s="149"/>
      <c r="J1569" s="166"/>
    </row>
    <row r="1570" spans="5:10" ht="15.75" customHeight="1">
      <c r="E1570" s="152"/>
      <c r="F1570" s="150"/>
      <c r="H1570" s="149"/>
      <c r="J1570" s="166"/>
    </row>
    <row r="1571" spans="5:10" ht="15.75" customHeight="1">
      <c r="E1571" s="152"/>
      <c r="F1571" s="150"/>
      <c r="H1571" s="149"/>
      <c r="J1571" s="166"/>
    </row>
    <row r="1572" spans="5:10" ht="15.75" customHeight="1">
      <c r="E1572" s="152"/>
      <c r="F1572" s="150"/>
      <c r="H1572" s="149"/>
      <c r="J1572" s="166"/>
    </row>
    <row r="1573" spans="5:10" ht="15.75" customHeight="1">
      <c r="E1573" s="152"/>
      <c r="F1573" s="150"/>
      <c r="H1573" s="149"/>
      <c r="J1573" s="166"/>
    </row>
    <row r="1574" spans="5:10" ht="15.75" customHeight="1">
      <c r="E1574" s="152"/>
      <c r="F1574" s="150"/>
      <c r="H1574" s="149"/>
      <c r="J1574" s="166"/>
    </row>
    <row r="1575" spans="5:10" ht="15.75" customHeight="1">
      <c r="E1575" s="152"/>
      <c r="F1575" s="150"/>
      <c r="H1575" s="149"/>
      <c r="J1575" s="166"/>
    </row>
    <row r="1576" spans="5:10" ht="15.75" customHeight="1">
      <c r="E1576" s="152"/>
      <c r="F1576" s="150"/>
      <c r="H1576" s="149"/>
      <c r="J1576" s="166"/>
    </row>
    <row r="1577" spans="5:10" ht="15.75" customHeight="1">
      <c r="E1577" s="152"/>
      <c r="F1577" s="150"/>
      <c r="H1577" s="149"/>
      <c r="J1577" s="166"/>
    </row>
    <row r="1578" spans="5:10" ht="15.75" customHeight="1">
      <c r="E1578" s="152"/>
      <c r="F1578" s="150"/>
      <c r="H1578" s="149"/>
      <c r="J1578" s="166"/>
    </row>
    <row r="1579" spans="5:10" ht="15.75" customHeight="1">
      <c r="E1579" s="152"/>
      <c r="F1579" s="150"/>
      <c r="H1579" s="149"/>
      <c r="J1579" s="166"/>
    </row>
    <row r="1580" spans="5:10" ht="15.75" customHeight="1">
      <c r="E1580" s="152"/>
      <c r="F1580" s="150"/>
      <c r="H1580" s="149"/>
      <c r="J1580" s="166"/>
    </row>
    <row r="1581" spans="5:10" ht="15.75" customHeight="1">
      <c r="E1581" s="152"/>
      <c r="F1581" s="150"/>
      <c r="H1581" s="149"/>
      <c r="J1581" s="166"/>
    </row>
    <row r="1582" spans="5:10" ht="15.75" customHeight="1">
      <c r="E1582" s="152"/>
      <c r="F1582" s="150"/>
      <c r="H1582" s="149"/>
      <c r="J1582" s="166"/>
    </row>
    <row r="1583" spans="5:10" ht="15.75" customHeight="1">
      <c r="E1583" s="152"/>
      <c r="F1583" s="150"/>
      <c r="H1583" s="149"/>
      <c r="J1583" s="166"/>
    </row>
    <row r="1584" spans="5:10" ht="15.75" customHeight="1">
      <c r="E1584" s="152"/>
      <c r="F1584" s="150"/>
      <c r="H1584" s="149"/>
      <c r="J1584" s="166"/>
    </row>
    <row r="1585" spans="5:10" ht="15.75" customHeight="1">
      <c r="E1585" s="152"/>
      <c r="F1585" s="150"/>
      <c r="H1585" s="149"/>
      <c r="J1585" s="166"/>
    </row>
    <row r="1586" spans="5:10" ht="15.75" customHeight="1">
      <c r="E1586" s="152"/>
      <c r="F1586" s="150"/>
      <c r="H1586" s="149"/>
      <c r="J1586" s="166"/>
    </row>
    <row r="1587" spans="5:10" ht="15.75" customHeight="1">
      <c r="E1587" s="152"/>
      <c r="F1587" s="150"/>
      <c r="H1587" s="149"/>
      <c r="J1587" s="166"/>
    </row>
    <row r="1588" spans="5:10" ht="15.75" customHeight="1">
      <c r="E1588" s="152"/>
      <c r="F1588" s="150"/>
      <c r="H1588" s="149"/>
      <c r="J1588" s="166"/>
    </row>
    <row r="1589" spans="5:10" ht="15.75" customHeight="1">
      <c r="E1589" s="152"/>
      <c r="F1589" s="150"/>
      <c r="H1589" s="149"/>
      <c r="J1589" s="166"/>
    </row>
    <row r="1590" spans="5:10" ht="15.75" customHeight="1">
      <c r="E1590" s="152"/>
      <c r="F1590" s="150"/>
      <c r="H1590" s="149"/>
      <c r="J1590" s="166"/>
    </row>
    <row r="1591" spans="5:10" ht="15.75" customHeight="1">
      <c r="E1591" s="152"/>
      <c r="F1591" s="150"/>
      <c r="H1591" s="149"/>
      <c r="J1591" s="166"/>
    </row>
    <row r="1592" spans="5:10" ht="15.75" customHeight="1">
      <c r="E1592" s="152"/>
      <c r="F1592" s="150"/>
      <c r="H1592" s="149"/>
      <c r="J1592" s="166"/>
    </row>
    <row r="1593" spans="5:10" ht="15.75" customHeight="1">
      <c r="E1593" s="152"/>
      <c r="F1593" s="150"/>
      <c r="H1593" s="149"/>
      <c r="J1593" s="166"/>
    </row>
    <row r="1594" spans="5:10" ht="15.75" customHeight="1">
      <c r="E1594" s="152"/>
      <c r="F1594" s="150"/>
      <c r="H1594" s="149"/>
      <c r="J1594" s="166"/>
    </row>
    <row r="1595" spans="5:10" ht="15.75" customHeight="1">
      <c r="E1595" s="152"/>
      <c r="F1595" s="150"/>
      <c r="H1595" s="149"/>
      <c r="J1595" s="166"/>
    </row>
    <row r="1596" spans="5:10" ht="15.75" customHeight="1">
      <c r="E1596" s="152"/>
      <c r="F1596" s="150"/>
      <c r="H1596" s="149"/>
      <c r="J1596" s="166"/>
    </row>
  </sheetData>
  <autoFilter ref="A1:K776" xr:uid="{00000000-0009-0000-0000-000005000000}"/>
  <mergeCells count="1">
    <mergeCell ref="B776:E776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X1001"/>
  <sheetViews>
    <sheetView rightToLeft="1" workbookViewId="0">
      <pane ySplit="2" topLeftCell="A88" activePane="bottomLeft" state="frozen"/>
      <selection pane="bottomLeft" activeCell="C40" sqref="C40"/>
    </sheetView>
  </sheetViews>
  <sheetFormatPr baseColWidth="10" defaultColWidth="14.5" defaultRowHeight="15" customHeight="1"/>
  <cols>
    <col min="1" max="2" width="9.1640625" style="171" customWidth="1"/>
    <col min="3" max="3" width="22.83203125" style="221" customWidth="1"/>
    <col min="4" max="4" width="25.5" style="171" customWidth="1"/>
    <col min="5" max="5" width="7.1640625" style="171" customWidth="1"/>
    <col min="6" max="24" width="8.6640625" style="171" customWidth="1"/>
    <col min="25" max="16384" width="14.5" style="171"/>
  </cols>
  <sheetData>
    <row r="1" spans="1:24" ht="29.25" customHeight="1">
      <c r="A1" s="168"/>
      <c r="B1" s="168"/>
      <c r="C1" s="219" t="s">
        <v>315</v>
      </c>
      <c r="D1" s="170">
        <f>'لیست واریزی کل خیرین'!$H$142-'خلاصه هزینه کرد مددجوها'!$D$124</f>
        <v>10204190839</v>
      </c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4" ht="16">
      <c r="A2" s="168"/>
      <c r="B2" s="169" t="s">
        <v>16</v>
      </c>
      <c r="C2" s="219" t="s">
        <v>316</v>
      </c>
      <c r="D2" s="169" t="s">
        <v>218</v>
      </c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</row>
    <row r="3" spans="1:24" ht="16">
      <c r="A3" s="168"/>
      <c r="B3" s="169" t="s">
        <v>15</v>
      </c>
      <c r="C3" s="219" t="str">
        <f t="shared" ref="C3:C30" si="0">IF(B3="","",HLOOKUP(B3,etela,2,0))</f>
        <v>هزینه کلی به مددجویان</v>
      </c>
      <c r="D3" s="172">
        <f>SUMIF('ریزهزینه کرد مددجوها'!E:E,'خلاصه هزینه کرد مددجوها'!B3,'ریزهزینه کرد مددجوها'!J:J)</f>
        <v>768134600</v>
      </c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</row>
    <row r="4" spans="1:24" ht="16">
      <c r="A4" s="168"/>
      <c r="B4" s="169" t="s">
        <v>14</v>
      </c>
      <c r="C4" s="219" t="str">
        <f t="shared" si="0"/>
        <v>هزینه کلی موسسه</v>
      </c>
      <c r="D4" s="172">
        <f>SUMIF('ریزهزینه کرد مددجوها'!E:E,'خلاصه هزینه کرد مددجوها'!B4,'ریزهزینه کرد مددجوها'!J:J)</f>
        <v>4007434580</v>
      </c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</row>
    <row r="5" spans="1:24" ht="32">
      <c r="A5" s="168"/>
      <c r="B5" s="169" t="s">
        <v>1153</v>
      </c>
      <c r="C5" s="219" t="s">
        <v>1154</v>
      </c>
      <c r="D5" s="172">
        <f>SUMIF('ریزهزینه کرد مددجوها'!E:E,'خلاصه هزینه کرد مددجوها'!B5,'ریزهزینه کرد مددجوها'!J:J)</f>
        <v>45000000</v>
      </c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</row>
    <row r="6" spans="1:24" ht="16">
      <c r="A6" s="168"/>
      <c r="B6" s="169">
        <v>1</v>
      </c>
      <c r="C6" s="219" t="str">
        <f t="shared" si="0"/>
        <v>ریحانه نوری شفیق</v>
      </c>
      <c r="D6" s="172">
        <f>SUMIF('ریزهزینه کرد مددجوها'!E:E,'خلاصه هزینه کرد مددجوها'!B6,'ریزهزینه کرد مددجوها'!J:J)</f>
        <v>11985000</v>
      </c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</row>
    <row r="7" spans="1:24" ht="16">
      <c r="A7" s="168"/>
      <c r="B7" s="169">
        <v>2</v>
      </c>
      <c r="C7" s="219" t="str">
        <f t="shared" si="0"/>
        <v>ریحانه طراقی فرد</v>
      </c>
      <c r="D7" s="172">
        <f>SUMIF('ریزهزینه کرد مددجوها'!E:E,'خلاصه هزینه کرد مددجوها'!B7,'ریزهزینه کرد مددجوها'!J:J)</f>
        <v>0</v>
      </c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</row>
    <row r="8" spans="1:24" ht="16">
      <c r="A8" s="168"/>
      <c r="B8" s="169">
        <v>3</v>
      </c>
      <c r="C8" s="219" t="str">
        <f t="shared" si="0"/>
        <v>زهرا قهستانی</v>
      </c>
      <c r="D8" s="172">
        <f>SUMIF('ریزهزینه کرد مددجوها'!E:E,'خلاصه هزینه کرد مددجوها'!B8,'ریزهزینه کرد مددجوها'!J:J)</f>
        <v>4700000</v>
      </c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</row>
    <row r="9" spans="1:24" ht="16">
      <c r="A9" s="168"/>
      <c r="B9" s="169">
        <v>4</v>
      </c>
      <c r="C9" s="219" t="str">
        <f t="shared" si="0"/>
        <v>مهلا قهستانی</v>
      </c>
      <c r="D9" s="172">
        <f>SUMIF('ریزهزینه کرد مددجوها'!E:E,'خلاصه هزینه کرد مددجوها'!B9,'ریزهزینه کرد مددجوها'!J:J)</f>
        <v>4800000</v>
      </c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</row>
    <row r="10" spans="1:24" ht="16">
      <c r="A10" s="168"/>
      <c r="B10" s="169">
        <v>5</v>
      </c>
      <c r="C10" s="219" t="str">
        <f t="shared" si="0"/>
        <v>رقیه رضاپور</v>
      </c>
      <c r="D10" s="172">
        <f>SUMIF('ریزهزینه کرد مددجوها'!E:E,'خلاصه هزینه کرد مددجوها'!B10,'ریزهزینه کرد مددجوها'!J:J)</f>
        <v>4700000</v>
      </c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</row>
    <row r="11" spans="1:24" ht="16">
      <c r="A11" s="168"/>
      <c r="B11" s="169">
        <v>6</v>
      </c>
      <c r="C11" s="219" t="str">
        <f t="shared" si="0"/>
        <v>راضیه رضاپور</v>
      </c>
      <c r="D11" s="172">
        <f>SUMIF('ریزهزینه کرد مددجوها'!E:E,'خلاصه هزینه کرد مددجوها'!B11,'ریزهزینه کرد مددجوها'!J:J)</f>
        <v>31678800</v>
      </c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</row>
    <row r="12" spans="1:24" ht="16">
      <c r="A12" s="168"/>
      <c r="B12" s="169">
        <v>7</v>
      </c>
      <c r="C12" s="219" t="str">
        <f t="shared" si="0"/>
        <v>ربابه رضاپور</v>
      </c>
      <c r="D12" s="172">
        <f>SUMIF('ریزهزینه کرد مددجوها'!E:E,'خلاصه هزینه کرد مددجوها'!B12,'ریزهزینه کرد مددجوها'!J:J)</f>
        <v>4900000</v>
      </c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</row>
    <row r="13" spans="1:24" ht="16">
      <c r="A13" s="168"/>
      <c r="B13" s="169">
        <v>8</v>
      </c>
      <c r="C13" s="219" t="str">
        <f t="shared" si="0"/>
        <v>پریسا اعتمادمنش</v>
      </c>
      <c r="D13" s="172">
        <f>SUMIF('ریزهزینه کرد مددجوها'!E:E,'خلاصه هزینه کرد مددجوها'!B13,'ریزهزینه کرد مددجوها'!J:J)</f>
        <v>100008400</v>
      </c>
      <c r="E13" s="168"/>
      <c r="F13" s="168"/>
      <c r="G13" s="168"/>
      <c r="H13" s="168"/>
      <c r="I13" s="168" t="s">
        <v>317</v>
      </c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</row>
    <row r="14" spans="1:24" ht="16">
      <c r="A14" s="168"/>
      <c r="B14" s="169">
        <v>9</v>
      </c>
      <c r="C14" s="219" t="str">
        <f t="shared" si="0"/>
        <v>فاطمه موسوی</v>
      </c>
      <c r="D14" s="172">
        <f>SUMIF('ریزهزینه کرد مددجوها'!E:E,'خلاصه هزینه کرد مددجوها'!B14,'ریزهزینه کرد مددجوها'!J:J)</f>
        <v>5072000</v>
      </c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</row>
    <row r="15" spans="1:24" ht="16">
      <c r="A15" s="168"/>
      <c r="B15" s="169">
        <v>10</v>
      </c>
      <c r="C15" s="219" t="str">
        <f t="shared" si="0"/>
        <v>مریم رحمانی</v>
      </c>
      <c r="D15" s="172">
        <f>SUMIF('ریزهزینه کرد مددجوها'!E:E,'خلاصه هزینه کرد مددجوها'!B15,'ریزهزینه کرد مددجوها'!J:J)</f>
        <v>10256000</v>
      </c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</row>
    <row r="16" spans="1:24" ht="16">
      <c r="A16" s="168"/>
      <c r="B16" s="169">
        <v>11</v>
      </c>
      <c r="C16" s="219" t="str">
        <f t="shared" si="0"/>
        <v>ناهید کمالی گروی</v>
      </c>
      <c r="D16" s="172">
        <f>SUMIF('ریزهزینه کرد مددجوها'!E:E,'خلاصه هزینه کرد مددجوها'!B16,'ریزهزینه کرد مددجوها'!J:J)</f>
        <v>5156000</v>
      </c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</row>
    <row r="17" spans="1:24" ht="16">
      <c r="A17" s="168"/>
      <c r="B17" s="169">
        <v>12</v>
      </c>
      <c r="C17" s="219" t="str">
        <f t="shared" si="0"/>
        <v>الهام صمدی</v>
      </c>
      <c r="D17" s="172">
        <f>SUMIF('ریزهزینه کرد مددجوها'!E:E,'خلاصه هزینه کرد مددجوها'!B17,'ریزهزینه کرد مددجوها'!J:J)</f>
        <v>81775200</v>
      </c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</row>
    <row r="18" spans="1:24" ht="16">
      <c r="A18" s="168"/>
      <c r="B18" s="169">
        <v>13</v>
      </c>
      <c r="C18" s="219" t="str">
        <f t="shared" si="0"/>
        <v>کوثر مولایی</v>
      </c>
      <c r="D18" s="172">
        <f>SUMIF('ریزهزینه کرد مددجوها'!E:E,'خلاصه هزینه کرد مددجوها'!B18,'ریزهزینه کرد مددجوها'!J:J)</f>
        <v>15443500</v>
      </c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</row>
    <row r="19" spans="1:24" ht="16">
      <c r="A19" s="168"/>
      <c r="B19" s="169">
        <v>14</v>
      </c>
      <c r="C19" s="219" t="str">
        <f t="shared" si="0"/>
        <v>زهرا تاتاری</v>
      </c>
      <c r="D19" s="172">
        <f>SUMIF('ریزهزینه کرد مددجوها'!E:E,'خلاصه هزینه کرد مددجوها'!B19,'ریزهزینه کرد مددجوها'!J:J)</f>
        <v>4430000</v>
      </c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</row>
    <row r="20" spans="1:24" ht="16">
      <c r="A20" s="168"/>
      <c r="B20" s="169">
        <v>15</v>
      </c>
      <c r="C20" s="219" t="str">
        <f t="shared" si="0"/>
        <v>یگانه رجایی سمرا</v>
      </c>
      <c r="D20" s="172">
        <f>SUMIF('ریزهزینه کرد مددجوها'!E:E,'خلاصه هزینه کرد مددجوها'!B20,'ریزهزینه کرد مددجوها'!J:J)</f>
        <v>1206000</v>
      </c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</row>
    <row r="21" spans="1:24" ht="16">
      <c r="A21" s="168"/>
      <c r="B21" s="169">
        <v>16</v>
      </c>
      <c r="C21" s="219" t="str">
        <f t="shared" si="0"/>
        <v>یگانه خرمند سنجدبوری</v>
      </c>
      <c r="D21" s="172">
        <f>SUMIF('ریزهزینه کرد مددجوها'!E:E,'خلاصه هزینه کرد مددجوها'!B21,'ریزهزینه کرد مددجوها'!J:J)</f>
        <v>5183000</v>
      </c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</row>
    <row r="22" spans="1:24" ht="15.75" customHeight="1">
      <c r="A22" s="168"/>
      <c r="B22" s="169">
        <v>17</v>
      </c>
      <c r="C22" s="219" t="str">
        <f t="shared" si="0"/>
        <v>کوثر فارقی</v>
      </c>
      <c r="D22" s="172">
        <f>SUMIF('ریزهزینه کرد مددجوها'!E:E,'خلاصه هزینه کرد مددجوها'!B22,'ریزهزینه کرد مددجوها'!J:J)</f>
        <v>3674000</v>
      </c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</row>
    <row r="23" spans="1:24" ht="15.75" customHeight="1">
      <c r="A23" s="168"/>
      <c r="B23" s="169">
        <v>18</v>
      </c>
      <c r="C23" s="219" t="str">
        <f t="shared" si="0"/>
        <v>ریحانه نجفی</v>
      </c>
      <c r="D23" s="172">
        <f>SUMIF('ریزهزینه کرد مددجوها'!E:E,'خلاصه هزینه کرد مددجوها'!B23,'ریزهزینه کرد مددجوها'!J:J)</f>
        <v>0</v>
      </c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</row>
    <row r="24" spans="1:24" ht="15.75" customHeight="1">
      <c r="A24" s="168"/>
      <c r="B24" s="169">
        <v>19</v>
      </c>
      <c r="C24" s="219" t="str">
        <f t="shared" si="0"/>
        <v>نادیا احمدی</v>
      </c>
      <c r="D24" s="172">
        <f>SUMIF('ریزهزینه کرد مددجوها'!E:E,'خلاصه هزینه کرد مددجوها'!B24,'ریزهزینه کرد مددجوها'!J:J)</f>
        <v>2506000</v>
      </c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</row>
    <row r="25" spans="1:24" ht="15.75" customHeight="1">
      <c r="A25" s="168"/>
      <c r="B25" s="169">
        <v>20</v>
      </c>
      <c r="C25" s="219" t="str">
        <f t="shared" si="0"/>
        <v>پری زارع</v>
      </c>
      <c r="D25" s="172">
        <f>SUMIF('ریزهزینه کرد مددجوها'!E:E,'خلاصه هزینه کرد مددجوها'!B25,'ریزهزینه کرد مددجوها'!J:J)</f>
        <v>20838400</v>
      </c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</row>
    <row r="26" spans="1:24" ht="15.75" customHeight="1">
      <c r="A26" s="168"/>
      <c r="B26" s="169">
        <v>21</v>
      </c>
      <c r="C26" s="219" t="str">
        <f t="shared" si="0"/>
        <v>ملبکا نماز</v>
      </c>
      <c r="D26" s="172">
        <f>SUMIF('ریزهزینه کرد مددجوها'!E:E,'خلاصه هزینه کرد مددجوها'!B26,'ریزهزینه کرد مددجوها'!J:J)</f>
        <v>10316000</v>
      </c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</row>
    <row r="27" spans="1:24" ht="15.75" customHeight="1">
      <c r="A27" s="168"/>
      <c r="B27" s="169">
        <v>22</v>
      </c>
      <c r="C27" s="219" t="str">
        <f t="shared" si="0"/>
        <v>مهدبار نماز</v>
      </c>
      <c r="D27" s="172">
        <f>SUMIF('ریزهزینه کرد مددجوها'!E:E,'خلاصه هزینه کرد مددجوها'!B27,'ریزهزینه کرد مددجوها'!J:J)</f>
        <v>13218000</v>
      </c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</row>
    <row r="28" spans="1:24" ht="15.75" customHeight="1">
      <c r="A28" s="168"/>
      <c r="B28" s="169">
        <v>23</v>
      </c>
      <c r="C28" s="219" t="str">
        <f t="shared" si="0"/>
        <v>محمدرضا سروری</v>
      </c>
      <c r="D28" s="172">
        <f>SUMIF('ریزهزینه کرد مددجوها'!E:E,'خلاصه هزینه کرد مددجوها'!B28,'ریزهزینه کرد مددجوها'!J:J)</f>
        <v>6976000</v>
      </c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</row>
    <row r="29" spans="1:24" ht="15.75" customHeight="1">
      <c r="A29" s="168"/>
      <c r="B29" s="169">
        <v>24</v>
      </c>
      <c r="C29" s="219" t="str">
        <f t="shared" si="0"/>
        <v>کمیل سروری</v>
      </c>
      <c r="D29" s="172">
        <f>SUMIF('ریزهزینه کرد مددجوها'!E:E,'خلاصه هزینه کرد مددجوها'!B29,'ریزهزینه کرد مددجوها'!J:J)</f>
        <v>73737600</v>
      </c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</row>
    <row r="30" spans="1:24" ht="15.75" customHeight="1">
      <c r="A30" s="168"/>
      <c r="B30" s="169">
        <v>25</v>
      </c>
      <c r="C30" s="219" t="str">
        <f t="shared" si="0"/>
        <v>مبینا عباسی</v>
      </c>
      <c r="D30" s="172">
        <f>SUMIF('ریزهزینه کرد مددجوها'!E:E,'خلاصه هزینه کرد مددجوها'!B30,'ریزهزینه کرد مددجوها'!J:J)</f>
        <v>5070000</v>
      </c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</row>
    <row r="31" spans="1:24" ht="15.75" customHeight="1">
      <c r="A31" s="168"/>
      <c r="B31" s="169">
        <v>26</v>
      </c>
      <c r="C31" s="219" t="str">
        <f t="shared" ref="C31:C62" si="1">IF(B31="","",HLOOKUP(B31,kamel,2,0))</f>
        <v>الناز حبیب زاده</v>
      </c>
      <c r="D31" s="172">
        <f>SUMIF('ریزهزینه کرد مددجوها'!E:E,'خلاصه هزینه کرد مددجوها'!B31,'ریزهزینه کرد مددجوها'!J:J)</f>
        <v>0</v>
      </c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</row>
    <row r="32" spans="1:24" ht="15.75" customHeight="1">
      <c r="A32" s="168"/>
      <c r="B32" s="169">
        <v>27</v>
      </c>
      <c r="C32" s="219" t="str">
        <f t="shared" si="1"/>
        <v>نرگس علینژاد</v>
      </c>
      <c r="D32" s="172">
        <f>SUMIF('ریزهزینه کرد مددجوها'!E:E,'خلاصه هزینه کرد مددجوها'!B32,'ریزهزینه کرد مددجوها'!J:J)</f>
        <v>42117600</v>
      </c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</row>
    <row r="33" spans="1:24" ht="15.75" customHeight="1">
      <c r="A33" s="168"/>
      <c r="B33" s="169">
        <v>28</v>
      </c>
      <c r="C33" s="219" t="str">
        <f t="shared" si="1"/>
        <v>زینب ادبی یکه باغی</v>
      </c>
      <c r="D33" s="172">
        <f>SUMIF('ریزهزینه کرد مددجوها'!E:E,'خلاصه هزینه کرد مددجوها'!B33,'ریزهزینه کرد مددجوها'!J:J)</f>
        <v>8967200</v>
      </c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</row>
    <row r="34" spans="1:24" ht="15.75" customHeight="1">
      <c r="A34" s="168"/>
      <c r="B34" s="169">
        <v>29</v>
      </c>
      <c r="C34" s="219" t="str">
        <f t="shared" si="1"/>
        <v>آتنا جر</v>
      </c>
      <c r="D34" s="172">
        <f>SUMIF('ریزهزینه کرد مددجوها'!E:E,'خلاصه هزینه کرد مددجوها'!B34,'ریزهزینه کرد مددجوها'!J:J)</f>
        <v>55385240</v>
      </c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</row>
    <row r="35" spans="1:24" ht="15.75" customHeight="1">
      <c r="A35" s="168"/>
      <c r="B35" s="169">
        <v>30</v>
      </c>
      <c r="C35" s="219" t="str">
        <f t="shared" si="1"/>
        <v>مبینا علیزاده</v>
      </c>
      <c r="D35" s="172">
        <f>SUMIF('ریزهزینه کرد مددجوها'!E:E,'خلاصه هزینه کرد مددجوها'!B35,'ریزهزینه کرد مددجوها'!J:J)</f>
        <v>6362000</v>
      </c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</row>
    <row r="36" spans="1:24" ht="15.75" customHeight="1">
      <c r="A36" s="168"/>
      <c r="B36" s="169">
        <v>31</v>
      </c>
      <c r="C36" s="219" t="str">
        <f t="shared" si="1"/>
        <v>یگانه محمددوست</v>
      </c>
      <c r="D36" s="172">
        <f>SUMIF('ریزهزینه کرد مددجوها'!E:E,'خلاصه هزینه کرد مددجوها'!B36,'ریزهزینه کرد مددجوها'!J:J)</f>
        <v>8723500</v>
      </c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</row>
    <row r="37" spans="1:24" ht="15.75" customHeight="1">
      <c r="A37" s="168"/>
      <c r="B37" s="169">
        <v>32</v>
      </c>
      <c r="C37" s="219" t="str">
        <f t="shared" si="1"/>
        <v>رقیه الزوینی</v>
      </c>
      <c r="D37" s="172">
        <f>SUMIF('ریزهزینه کرد مددجوها'!E:E,'خلاصه هزینه کرد مددجوها'!B37,'ریزهزینه کرد مددجوها'!J:J)</f>
        <v>9648500</v>
      </c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</row>
    <row r="38" spans="1:24" ht="15.75" customHeight="1">
      <c r="A38" s="168"/>
      <c r="B38" s="169">
        <v>33</v>
      </c>
      <c r="C38" s="219" t="str">
        <f t="shared" si="1"/>
        <v>عارفه آذرنگ</v>
      </c>
      <c r="D38" s="172">
        <f>SUMIF('ریزهزینه کرد مددجوها'!E:E,'خلاصه هزینه کرد مددجوها'!B38,'ریزهزینه کرد مددجوها'!J:J)</f>
        <v>16550900</v>
      </c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</row>
    <row r="39" spans="1:24" ht="15.75" customHeight="1">
      <c r="A39" s="168"/>
      <c r="B39" s="169">
        <v>34</v>
      </c>
      <c r="C39" s="219" t="str">
        <f t="shared" si="1"/>
        <v>یگانه عبدالله زاده</v>
      </c>
      <c r="D39" s="172">
        <f>SUMIF('ریزهزینه کرد مددجوها'!E:E,'خلاصه هزینه کرد مددجوها'!B39,'ریزهزینه کرد مددجوها'!J:J)</f>
        <v>33129194</v>
      </c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</row>
    <row r="40" spans="1:24" ht="15.75" customHeight="1">
      <c r="A40" s="168"/>
      <c r="B40" s="169">
        <v>35</v>
      </c>
      <c r="C40" s="219" t="str">
        <f t="shared" si="1"/>
        <v>ثنا پور دوران</v>
      </c>
      <c r="D40" s="172">
        <f>SUMIF('ریزهزینه کرد مددجوها'!E:E,'خلاصه هزینه کرد مددجوها'!B40,'ریزهزینه کرد مددجوها'!J:J)</f>
        <v>0</v>
      </c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</row>
    <row r="41" spans="1:24" ht="15.75" customHeight="1">
      <c r="A41" s="168"/>
      <c r="B41" s="169">
        <v>36</v>
      </c>
      <c r="C41" s="219" t="str">
        <f t="shared" si="1"/>
        <v>هدیه محمد پور جاغرق</v>
      </c>
      <c r="D41" s="172">
        <f>SUMIF('ریزهزینه کرد مددجوها'!E:E,'خلاصه هزینه کرد مددجوها'!B41,'ریزهزینه کرد مددجوها'!J:J)</f>
        <v>0</v>
      </c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</row>
    <row r="42" spans="1:24" ht="15.75" customHeight="1">
      <c r="A42" s="168"/>
      <c r="B42" s="169">
        <v>37</v>
      </c>
      <c r="C42" s="219" t="str">
        <f t="shared" si="1"/>
        <v>کوثر صفری</v>
      </c>
      <c r="D42" s="172">
        <f>SUMIF('ریزهزینه کرد مددجوها'!E:E,'خلاصه هزینه کرد مددجوها'!B42,'ریزهزینه کرد مددجوها'!J:J)</f>
        <v>0</v>
      </c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</row>
    <row r="43" spans="1:24" ht="15.75" customHeight="1">
      <c r="A43" s="168"/>
      <c r="B43" s="169">
        <v>38</v>
      </c>
      <c r="C43" s="219" t="str">
        <f t="shared" si="1"/>
        <v>حانیه دشتبانی</v>
      </c>
      <c r="D43" s="172">
        <f>SUMIF('ریزهزینه کرد مددجوها'!E:E,'خلاصه هزینه کرد مددجوها'!B43,'ریزهزینه کرد مددجوها'!J:J)</f>
        <v>0</v>
      </c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</row>
    <row r="44" spans="1:24" ht="15.75" customHeight="1">
      <c r="A44" s="168"/>
      <c r="B44" s="169">
        <v>39</v>
      </c>
      <c r="C44" s="219" t="str">
        <f t="shared" si="1"/>
        <v>فاطمه حیدرزاده</v>
      </c>
      <c r="D44" s="172">
        <f>SUMIF('ریزهزینه کرد مددجوها'!E:E,'خلاصه هزینه کرد مددجوها'!B44,'ریزهزینه کرد مددجوها'!J:J)</f>
        <v>0</v>
      </c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</row>
    <row r="45" spans="1:24" ht="15.75" customHeight="1">
      <c r="A45" s="168"/>
      <c r="B45" s="169">
        <v>40</v>
      </c>
      <c r="C45" s="219" t="str">
        <f t="shared" si="1"/>
        <v>سیده شقایق محمودی زاده</v>
      </c>
      <c r="D45" s="172">
        <f>SUMIF('ریزهزینه کرد مددجوها'!E:E,'خلاصه هزینه کرد مددجوها'!B45,'ریزهزینه کرد مددجوها'!J:J)</f>
        <v>0</v>
      </c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</row>
    <row r="46" spans="1:24" ht="15.75" customHeight="1">
      <c r="A46" s="168"/>
      <c r="B46" s="169">
        <v>41</v>
      </c>
      <c r="C46" s="219" t="str">
        <f t="shared" si="1"/>
        <v>مائده وفای فرخانی</v>
      </c>
      <c r="D46" s="172">
        <f>SUMIF('ریزهزینه کرد مددجوها'!E:E,'خلاصه هزینه کرد مددجوها'!B46,'ریزهزینه کرد مددجوها'!J:J)</f>
        <v>0</v>
      </c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</row>
    <row r="47" spans="1:24" ht="15.75" customHeight="1">
      <c r="A47" s="168"/>
      <c r="B47" s="169">
        <v>42</v>
      </c>
      <c r="C47" s="219" t="str">
        <f t="shared" si="1"/>
        <v>فرزانه خوشگفتار</v>
      </c>
      <c r="D47" s="172">
        <f>SUMIF('ریزهزینه کرد مددجوها'!E:E,'خلاصه هزینه کرد مددجوها'!B47,'ریزهزینه کرد مددجوها'!J:J)</f>
        <v>0</v>
      </c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</row>
    <row r="48" spans="1:24" ht="15.75" customHeight="1">
      <c r="A48" s="168"/>
      <c r="B48" s="169">
        <v>43</v>
      </c>
      <c r="C48" s="219" t="str">
        <f t="shared" si="1"/>
        <v>فرخنده خوشگفتار</v>
      </c>
      <c r="D48" s="172">
        <f>SUMIF('ریزهزینه کرد مددجوها'!E:E,'خلاصه هزینه کرد مددجوها'!B48,'ریزهزینه کرد مددجوها'!J:J)</f>
        <v>0</v>
      </c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</row>
    <row r="49" spans="1:24" ht="15.75" customHeight="1">
      <c r="A49" s="168"/>
      <c r="B49" s="169">
        <v>44</v>
      </c>
      <c r="C49" s="219" t="str">
        <f t="shared" si="1"/>
        <v>ریحانه منفردی</v>
      </c>
      <c r="D49" s="172">
        <f>SUMIF('ریزهزینه کرد مددجوها'!E:E,'خلاصه هزینه کرد مددجوها'!B49,'ریزهزینه کرد مددجوها'!J:J)</f>
        <v>0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</row>
    <row r="50" spans="1:24" ht="15.75" customHeight="1">
      <c r="A50" s="168"/>
      <c r="B50" s="169">
        <v>45</v>
      </c>
      <c r="C50" s="219" t="str">
        <f t="shared" si="1"/>
        <v>احمد خاوری عدل</v>
      </c>
      <c r="D50" s="172">
        <f>SUMIF('ریزهزینه کرد مددجوها'!E:E,'خلاصه هزینه کرد مددجوها'!B50,'ریزهزینه کرد مددجوها'!J:J)</f>
        <v>0</v>
      </c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</row>
    <row r="51" spans="1:24" ht="15.75" customHeight="1">
      <c r="A51" s="168"/>
      <c r="B51" s="169">
        <v>46</v>
      </c>
      <c r="C51" s="219" t="str">
        <f t="shared" si="1"/>
        <v>صادق نجمی</v>
      </c>
      <c r="D51" s="172">
        <f>SUMIF('ریزهزینه کرد مددجوها'!E:E,'خلاصه هزینه کرد مددجوها'!B51,'ریزهزینه کرد مددجوها'!J:J)</f>
        <v>0</v>
      </c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</row>
    <row r="52" spans="1:24" ht="15.75" customHeight="1">
      <c r="A52" s="168"/>
      <c r="B52" s="169">
        <v>47</v>
      </c>
      <c r="C52" s="219" t="str">
        <f t="shared" si="1"/>
        <v>امیرحسین محمدزاده</v>
      </c>
      <c r="D52" s="172">
        <f>SUMIF('ریزهزینه کرد مددجوها'!E:E,'خلاصه هزینه کرد مددجوها'!B52,'ریزهزینه کرد مددجوها'!J:J)</f>
        <v>0</v>
      </c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</row>
    <row r="53" spans="1:24" ht="15.75" customHeight="1">
      <c r="A53" s="168"/>
      <c r="B53" s="169">
        <v>48</v>
      </c>
      <c r="C53" s="219" t="str">
        <f t="shared" si="1"/>
        <v>امیرحسین مودب</v>
      </c>
      <c r="D53" s="172">
        <f>SUMIF('ریزهزینه کرد مددجوها'!E:E,'خلاصه هزینه کرد مددجوها'!B53,'ریزهزینه کرد مددجوها'!J:J)</f>
        <v>0</v>
      </c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</row>
    <row r="54" spans="1:24" ht="15.75" customHeight="1">
      <c r="A54" s="168"/>
      <c r="B54" s="169">
        <v>49</v>
      </c>
      <c r="C54" s="219" t="str">
        <f t="shared" si="1"/>
        <v>متین شاملی</v>
      </c>
      <c r="D54" s="172">
        <f>SUMIF('ریزهزینه کرد مددجوها'!E:E,'خلاصه هزینه کرد مددجوها'!B54,'ریزهزینه کرد مددجوها'!J:J)</f>
        <v>0</v>
      </c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</row>
    <row r="55" spans="1:24" ht="15.75" customHeight="1">
      <c r="A55" s="168"/>
      <c r="B55" s="169">
        <v>50</v>
      </c>
      <c r="C55" s="219" t="str">
        <f t="shared" si="1"/>
        <v>امیر پارسا قویدل</v>
      </c>
      <c r="D55" s="172">
        <f>SUMIF('ریزهزینه کرد مددجوها'!E:E,'خلاصه هزینه کرد مددجوها'!B55,'ریزهزینه کرد مددجوها'!J:J)</f>
        <v>0</v>
      </c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</row>
    <row r="56" spans="1:24" ht="15.75" customHeight="1">
      <c r="A56" s="168"/>
      <c r="B56" s="169">
        <v>51</v>
      </c>
      <c r="C56" s="219" t="str">
        <f t="shared" si="1"/>
        <v>محمدسجاد طوسی گروهی</v>
      </c>
      <c r="D56" s="172">
        <f>SUMIF('ریزهزینه کرد مددجوها'!E:E,'خلاصه هزینه کرد مددجوها'!B56,'ریزهزینه کرد مددجوها'!J:J)</f>
        <v>0</v>
      </c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</row>
    <row r="57" spans="1:24" ht="15.75" customHeight="1">
      <c r="A57" s="168"/>
      <c r="B57" s="169">
        <v>52</v>
      </c>
      <c r="C57" s="219" t="str">
        <f t="shared" si="1"/>
        <v>امیرحسین بنا زاده</v>
      </c>
      <c r="D57" s="172">
        <f>SUMIF('ریزهزینه کرد مددجوها'!E:E,'خلاصه هزینه کرد مددجوها'!B57,'ریزهزینه کرد مددجوها'!J:J)</f>
        <v>0</v>
      </c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</row>
    <row r="58" spans="1:24" ht="15.75" customHeight="1">
      <c r="A58" s="168"/>
      <c r="B58" s="169">
        <v>53</v>
      </c>
      <c r="C58" s="219" t="str">
        <f t="shared" si="1"/>
        <v>محمد امین تاتاری</v>
      </c>
      <c r="D58" s="172">
        <f>SUMIF('ریزهزینه کرد مددجوها'!E:E,'خلاصه هزینه کرد مددجوها'!B58,'ریزهزینه کرد مددجوها'!J:J)</f>
        <v>0</v>
      </c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</row>
    <row r="59" spans="1:24" ht="15.75" customHeight="1">
      <c r="A59" s="168"/>
      <c r="B59" s="169">
        <v>54</v>
      </c>
      <c r="C59" s="219" t="str">
        <f t="shared" si="1"/>
        <v>فاطمه سادات سلطانی</v>
      </c>
      <c r="D59" s="172">
        <f>SUMIF('ریزهزینه کرد مددجوها'!E:E,'خلاصه هزینه کرد مددجوها'!B59,'ریزهزینه کرد مددجوها'!J:J)</f>
        <v>0</v>
      </c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</row>
    <row r="60" spans="1:24" ht="15.75" customHeight="1">
      <c r="A60" s="168"/>
      <c r="B60" s="169">
        <v>55</v>
      </c>
      <c r="C60" s="219" t="str">
        <f t="shared" si="1"/>
        <v>سحر خادم حقیقی</v>
      </c>
      <c r="D60" s="172">
        <f>SUMIF('ریزهزینه کرد مددجوها'!E:E,'خلاصه هزینه کرد مددجوها'!B60,'ریزهزینه کرد مددجوها'!J:J)</f>
        <v>0</v>
      </c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</row>
    <row r="61" spans="1:24" ht="15.75" customHeight="1">
      <c r="A61" s="168"/>
      <c r="B61" s="169">
        <v>56</v>
      </c>
      <c r="C61" s="219" t="str">
        <f t="shared" si="1"/>
        <v>سارینا داوری</v>
      </c>
      <c r="D61" s="172">
        <f>SUMIF('ریزهزینه کرد مددجوها'!E:E,'خلاصه هزینه کرد مددجوها'!B61,'ریزهزینه کرد مددجوها'!J:J)</f>
        <v>0</v>
      </c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</row>
    <row r="62" spans="1:24" ht="15.75" customHeight="1">
      <c r="A62" s="168"/>
      <c r="B62" s="169">
        <v>57</v>
      </c>
      <c r="C62" s="219" t="str">
        <f t="shared" si="1"/>
        <v>ثمین اکبری شاندیز</v>
      </c>
      <c r="D62" s="172">
        <f>SUMIF('ریزهزینه کرد مددجوها'!E:E,'خلاصه هزینه کرد مددجوها'!B62,'ریزهزینه کرد مددجوها'!J:J)</f>
        <v>0</v>
      </c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</row>
    <row r="63" spans="1:24" ht="15.75" customHeight="1">
      <c r="A63" s="168"/>
      <c r="B63" s="169">
        <v>58</v>
      </c>
      <c r="C63" s="219" t="e">
        <f t="shared" ref="C63:C84" si="2">IF(B63="","",HLOOKUP(B63,kamel,2,0))</f>
        <v>#N/A</v>
      </c>
      <c r="D63" s="172">
        <f>SUMIF('ریزهزینه کرد مددجوها'!E:E,'خلاصه هزینه کرد مددجوها'!B63,'ریزهزینه کرد مددجوها'!J:J)</f>
        <v>0</v>
      </c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</row>
    <row r="64" spans="1:24" ht="15.75" customHeight="1">
      <c r="A64" s="168"/>
      <c r="B64" s="169">
        <v>59</v>
      </c>
      <c r="C64" s="219" t="e">
        <f t="shared" si="2"/>
        <v>#N/A</v>
      </c>
      <c r="D64" s="172">
        <f>SUMIF('ریزهزینه کرد مددجوها'!E:E,'خلاصه هزینه کرد مددجوها'!B64,'ریزهزینه کرد مددجوها'!J:J)</f>
        <v>0</v>
      </c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</row>
    <row r="65" spans="1:24" ht="15.75" customHeight="1">
      <c r="A65" s="168"/>
      <c r="B65" s="169">
        <v>60</v>
      </c>
      <c r="C65" s="219" t="e">
        <f t="shared" si="2"/>
        <v>#N/A</v>
      </c>
      <c r="D65" s="172">
        <f>SUMIF('ریزهزینه کرد مددجوها'!E:E,'خلاصه هزینه کرد مددجوها'!B65,'ریزهزینه کرد مددجوها'!J:J)</f>
        <v>0</v>
      </c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</row>
    <row r="66" spans="1:24" ht="15.75" customHeight="1">
      <c r="A66" s="168"/>
      <c r="B66" s="169">
        <v>61</v>
      </c>
      <c r="C66" s="219" t="e">
        <f t="shared" si="2"/>
        <v>#N/A</v>
      </c>
      <c r="D66" s="172">
        <f>SUMIF('ریزهزینه کرد مددجوها'!E:E,'خلاصه هزینه کرد مددجوها'!B66,'ریزهزینه کرد مددجوها'!J:J)</f>
        <v>0</v>
      </c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</row>
    <row r="67" spans="1:24" ht="15.75" customHeight="1">
      <c r="A67" s="168"/>
      <c r="B67" s="169">
        <v>62</v>
      </c>
      <c r="C67" s="219" t="e">
        <f t="shared" si="2"/>
        <v>#N/A</v>
      </c>
      <c r="D67" s="172">
        <f>SUMIF('ریزهزینه کرد مددجوها'!E:E,'خلاصه هزینه کرد مددجوها'!B67,'ریزهزینه کرد مددجوها'!J:J)</f>
        <v>0</v>
      </c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</row>
    <row r="68" spans="1:24" ht="15.75" customHeight="1">
      <c r="A68" s="168"/>
      <c r="B68" s="169">
        <v>63</v>
      </c>
      <c r="C68" s="219" t="e">
        <f t="shared" si="2"/>
        <v>#N/A</v>
      </c>
      <c r="D68" s="172">
        <f>SUMIF('ریزهزینه کرد مددجوها'!E:E,'خلاصه هزینه کرد مددجوها'!B68,'ریزهزینه کرد مددجوها'!J:J)</f>
        <v>0</v>
      </c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</row>
    <row r="69" spans="1:24" ht="15.75" customHeight="1">
      <c r="A69" s="168"/>
      <c r="B69" s="169">
        <v>64</v>
      </c>
      <c r="C69" s="219" t="e">
        <f t="shared" si="2"/>
        <v>#N/A</v>
      </c>
      <c r="D69" s="172">
        <f>SUMIF('ریزهزینه کرد مددجوها'!E:E,'خلاصه هزینه کرد مددجوها'!B69,'ریزهزینه کرد مددجوها'!J:J)</f>
        <v>0</v>
      </c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</row>
    <row r="70" spans="1:24" ht="15.75" customHeight="1">
      <c r="A70" s="168"/>
      <c r="B70" s="169">
        <v>65</v>
      </c>
      <c r="C70" s="219" t="e">
        <f t="shared" si="2"/>
        <v>#N/A</v>
      </c>
      <c r="D70" s="172">
        <f>SUMIF('ریزهزینه کرد مددجوها'!E:E,'خلاصه هزینه کرد مددجوها'!B70,'ریزهزینه کرد مددجوها'!J:J)</f>
        <v>0</v>
      </c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</row>
    <row r="71" spans="1:24" ht="15.75" customHeight="1">
      <c r="A71" s="168"/>
      <c r="B71" s="169">
        <v>66</v>
      </c>
      <c r="C71" s="219" t="e">
        <f t="shared" si="2"/>
        <v>#N/A</v>
      </c>
      <c r="D71" s="172">
        <f>SUMIF('ریزهزینه کرد مددجوها'!E:E,'خلاصه هزینه کرد مددجوها'!B71,'ریزهزینه کرد مددجوها'!J:J)</f>
        <v>0</v>
      </c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</row>
    <row r="72" spans="1:24" ht="15.75" customHeight="1">
      <c r="A72" s="168"/>
      <c r="B72" s="169">
        <v>67</v>
      </c>
      <c r="C72" s="219" t="e">
        <f t="shared" si="2"/>
        <v>#N/A</v>
      </c>
      <c r="D72" s="172">
        <f>SUMIF('ریزهزینه کرد مددجوها'!E:E,'خلاصه هزینه کرد مددجوها'!B72,'ریزهزینه کرد مددجوها'!J:J)</f>
        <v>0</v>
      </c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</row>
    <row r="73" spans="1:24" ht="15.75" customHeight="1">
      <c r="A73" s="168"/>
      <c r="B73" s="169">
        <v>68</v>
      </c>
      <c r="C73" s="219" t="e">
        <f t="shared" si="2"/>
        <v>#N/A</v>
      </c>
      <c r="D73" s="172">
        <f>SUMIF('ریزهزینه کرد مددجوها'!E:E,'خلاصه هزینه کرد مددجوها'!B73,'ریزهزینه کرد مددجوها'!J:J)</f>
        <v>0</v>
      </c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</row>
    <row r="74" spans="1:24" ht="15.75" customHeight="1">
      <c r="A74" s="168"/>
      <c r="B74" s="169">
        <v>69</v>
      </c>
      <c r="C74" s="219" t="e">
        <f t="shared" si="2"/>
        <v>#N/A</v>
      </c>
      <c r="D74" s="172">
        <f>SUMIF('ریزهزینه کرد مددجوها'!E:E,'خلاصه هزینه کرد مددجوها'!B74,'ریزهزینه کرد مددجوها'!J:J)</f>
        <v>0</v>
      </c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</row>
    <row r="75" spans="1:24" ht="15.75" customHeight="1">
      <c r="A75" s="168"/>
      <c r="B75" s="169">
        <v>70</v>
      </c>
      <c r="C75" s="219" t="e">
        <f t="shared" si="2"/>
        <v>#N/A</v>
      </c>
      <c r="D75" s="172">
        <f>SUMIF('ریزهزینه کرد مددجوها'!E:E,'خلاصه هزینه کرد مددجوها'!B75,'ریزهزینه کرد مددجوها'!J:J)</f>
        <v>0</v>
      </c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</row>
    <row r="76" spans="1:24" ht="15.75" customHeight="1">
      <c r="A76" s="168"/>
      <c r="B76" s="169">
        <v>71</v>
      </c>
      <c r="C76" s="219" t="e">
        <f t="shared" si="2"/>
        <v>#N/A</v>
      </c>
      <c r="D76" s="172">
        <f>SUMIF('ریزهزینه کرد مددجوها'!E:E,'خلاصه هزینه کرد مددجوها'!B76,'ریزهزینه کرد مددجوها'!J:J)</f>
        <v>0</v>
      </c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</row>
    <row r="77" spans="1:24" ht="15.75" customHeight="1">
      <c r="A77" s="168"/>
      <c r="B77" s="169">
        <v>72</v>
      </c>
      <c r="C77" s="219" t="e">
        <f t="shared" si="2"/>
        <v>#N/A</v>
      </c>
      <c r="D77" s="172">
        <f>SUMIF('ریزهزینه کرد مددجوها'!E:E,'خلاصه هزینه کرد مددجوها'!B77,'ریزهزینه کرد مددجوها'!J:J)</f>
        <v>0</v>
      </c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</row>
    <row r="78" spans="1:24" ht="15.75" customHeight="1">
      <c r="A78" s="168"/>
      <c r="B78" s="169">
        <v>73</v>
      </c>
      <c r="C78" s="219" t="e">
        <f t="shared" si="2"/>
        <v>#N/A</v>
      </c>
      <c r="D78" s="172">
        <f>SUMIF('ریزهزینه کرد مددجوها'!E:E,'خلاصه هزینه کرد مددجوها'!B78,'ریزهزینه کرد مددجوها'!J:J)</f>
        <v>0</v>
      </c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</row>
    <row r="79" spans="1:24" ht="15.75" customHeight="1">
      <c r="A79" s="168"/>
      <c r="B79" s="169">
        <v>74</v>
      </c>
      <c r="C79" s="219" t="e">
        <f t="shared" si="2"/>
        <v>#N/A</v>
      </c>
      <c r="D79" s="172">
        <f>SUMIF('ریزهزینه کرد مددجوها'!E:E,'خلاصه هزینه کرد مددجوها'!B79,'ریزهزینه کرد مددجوها'!J:J)</f>
        <v>0</v>
      </c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</row>
    <row r="80" spans="1:24" ht="15.75" customHeight="1">
      <c r="A80" s="168"/>
      <c r="B80" s="169">
        <v>75</v>
      </c>
      <c r="C80" s="219" t="e">
        <f t="shared" si="2"/>
        <v>#N/A</v>
      </c>
      <c r="D80" s="172">
        <f>SUMIF('ریزهزینه کرد مددجوها'!E:E,'خلاصه هزینه کرد مددجوها'!B80,'ریزهزینه کرد مددجوها'!J:J)</f>
        <v>0</v>
      </c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</row>
    <row r="81" spans="1:24" ht="15.75" customHeight="1">
      <c r="A81" s="168"/>
      <c r="B81" s="169">
        <v>76</v>
      </c>
      <c r="C81" s="219" t="e">
        <f t="shared" si="2"/>
        <v>#N/A</v>
      </c>
      <c r="D81" s="172">
        <f>SUMIF('ریزهزینه کرد مددجوها'!E:E,'خلاصه هزینه کرد مددجوها'!B81,'ریزهزینه کرد مددجوها'!J:J)</f>
        <v>0</v>
      </c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</row>
    <row r="82" spans="1:24" ht="15.75" customHeight="1">
      <c r="A82" s="168"/>
      <c r="B82" s="169">
        <v>77</v>
      </c>
      <c r="C82" s="219" t="e">
        <f t="shared" si="2"/>
        <v>#N/A</v>
      </c>
      <c r="D82" s="172">
        <f>SUMIF('ریزهزینه کرد مددجوها'!E:E,'خلاصه هزینه کرد مددجوها'!B82,'ریزهزینه کرد مددجوها'!J:J)</f>
        <v>0</v>
      </c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</row>
    <row r="83" spans="1:24" ht="15.75" customHeight="1">
      <c r="A83" s="168"/>
      <c r="B83" s="169">
        <v>78</v>
      </c>
      <c r="C83" s="219" t="e">
        <f t="shared" si="2"/>
        <v>#N/A</v>
      </c>
      <c r="D83" s="172">
        <f>SUMIF('ریزهزینه کرد مددجوها'!E:E,'خلاصه هزینه کرد مددجوها'!B83,'ریزهزینه کرد مددجوها'!J:J)</f>
        <v>0</v>
      </c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</row>
    <row r="84" spans="1:24" ht="15.75" customHeight="1">
      <c r="A84" s="168"/>
      <c r="B84" s="169">
        <v>79</v>
      </c>
      <c r="C84" s="219" t="e">
        <f t="shared" si="2"/>
        <v>#N/A</v>
      </c>
      <c r="D84" s="172">
        <f>SUMIF('ریزهزینه کرد مددجوها'!E:E,'خلاصه هزینه کرد مددجوها'!B84,'ریزهزینه کرد مددجوها'!J:J)</f>
        <v>0</v>
      </c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</row>
    <row r="85" spans="1:24" ht="15.75" customHeight="1">
      <c r="A85" s="168"/>
      <c r="B85" s="169">
        <v>80</v>
      </c>
      <c r="C85" s="219" t="e">
        <f t="shared" ref="C85:C99" si="3">IF(B85="","",HLOOKUP(B85,etela,2,0))</f>
        <v>#N/A</v>
      </c>
      <c r="D85" s="172">
        <f>SUMIF('ریزهزینه کرد مددجوها'!E:E,'خلاصه هزینه کرد مددجوها'!B85,'ریزهزینه کرد مددجوها'!J:J)</f>
        <v>0</v>
      </c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</row>
    <row r="86" spans="1:24" ht="15.75" customHeight="1">
      <c r="A86" s="168"/>
      <c r="B86" s="169">
        <v>81</v>
      </c>
      <c r="C86" s="219" t="e">
        <f t="shared" si="3"/>
        <v>#N/A</v>
      </c>
      <c r="D86" s="172">
        <f>SUMIF('ریزهزینه کرد مددجوها'!E:E,'خلاصه هزینه کرد مددجوها'!B86,'ریزهزینه کرد مددجوها'!J:J)</f>
        <v>0</v>
      </c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</row>
    <row r="87" spans="1:24" ht="15.75" customHeight="1">
      <c r="A87" s="168"/>
      <c r="B87" s="169">
        <v>82</v>
      </c>
      <c r="C87" s="219" t="e">
        <f t="shared" si="3"/>
        <v>#N/A</v>
      </c>
      <c r="D87" s="172">
        <f>SUMIF('ریزهزینه کرد مددجوها'!E:E,'خلاصه هزینه کرد مددجوها'!B87,'ریزهزینه کرد مددجوها'!J:J)</f>
        <v>0</v>
      </c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</row>
    <row r="88" spans="1:24" ht="15.75" customHeight="1">
      <c r="A88" s="168"/>
      <c r="B88" s="169">
        <v>83</v>
      </c>
      <c r="C88" s="219" t="e">
        <f t="shared" si="3"/>
        <v>#N/A</v>
      </c>
      <c r="D88" s="172">
        <f>SUMIF('ریزهزینه کرد مددجوها'!E:E,'خلاصه هزینه کرد مددجوها'!B88,'ریزهزینه کرد مددجوها'!J:J)</f>
        <v>0</v>
      </c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</row>
    <row r="89" spans="1:24" ht="15.75" customHeight="1">
      <c r="A89" s="168"/>
      <c r="B89" s="169">
        <v>84</v>
      </c>
      <c r="C89" s="219" t="e">
        <f t="shared" si="3"/>
        <v>#N/A</v>
      </c>
      <c r="D89" s="172">
        <f>SUMIF('ریزهزینه کرد مددجوها'!E:E,'خلاصه هزینه کرد مددجوها'!B89,'ریزهزینه کرد مددجوها'!J:J)</f>
        <v>0</v>
      </c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</row>
    <row r="90" spans="1:24" ht="15.75" customHeight="1">
      <c r="A90" s="168"/>
      <c r="B90" s="169">
        <v>85</v>
      </c>
      <c r="C90" s="219" t="e">
        <f t="shared" si="3"/>
        <v>#N/A</v>
      </c>
      <c r="D90" s="172">
        <f>SUMIF('ریزهزینه کرد مددجوها'!E:E,'خلاصه هزینه کرد مددجوها'!B90,'ریزهزینه کرد مددجوها'!J:J)</f>
        <v>0</v>
      </c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</row>
    <row r="91" spans="1:24" ht="15.75" customHeight="1">
      <c r="A91" s="168"/>
      <c r="B91" s="169">
        <v>86</v>
      </c>
      <c r="C91" s="219" t="e">
        <f t="shared" si="3"/>
        <v>#N/A</v>
      </c>
      <c r="D91" s="172">
        <f>SUMIF('ریزهزینه کرد مددجوها'!E:E,'خلاصه هزینه کرد مددجوها'!B91,'ریزهزینه کرد مددجوها'!J:J)</f>
        <v>0</v>
      </c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</row>
    <row r="92" spans="1:24" ht="15.75" customHeight="1">
      <c r="A92" s="168"/>
      <c r="B92" s="169">
        <v>87</v>
      </c>
      <c r="C92" s="219" t="e">
        <f t="shared" si="3"/>
        <v>#N/A</v>
      </c>
      <c r="D92" s="172">
        <f>SUMIF('ریزهزینه کرد مددجوها'!E:E,'خلاصه هزینه کرد مددجوها'!B92,'ریزهزینه کرد مددجوها'!J:J)</f>
        <v>0</v>
      </c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</row>
    <row r="93" spans="1:24" ht="15.75" customHeight="1">
      <c r="A93" s="168"/>
      <c r="B93" s="169">
        <v>88</v>
      </c>
      <c r="C93" s="219" t="e">
        <f t="shared" si="3"/>
        <v>#N/A</v>
      </c>
      <c r="D93" s="172">
        <f>SUMIF('ریزهزینه کرد مددجوها'!E:E,'خلاصه هزینه کرد مددجوها'!B93,'ریزهزینه کرد مددجوها'!J:J)</f>
        <v>0</v>
      </c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</row>
    <row r="94" spans="1:24" ht="15.75" customHeight="1">
      <c r="A94" s="168"/>
      <c r="B94" s="169">
        <v>89</v>
      </c>
      <c r="C94" s="219" t="e">
        <f t="shared" si="3"/>
        <v>#N/A</v>
      </c>
      <c r="D94" s="172">
        <f>SUMIF('ریزهزینه کرد مددجوها'!E:E,'خلاصه هزینه کرد مددجوها'!B94,'ریزهزینه کرد مددجوها'!J:J)</f>
        <v>0</v>
      </c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</row>
    <row r="95" spans="1:24" ht="15.75" customHeight="1">
      <c r="A95" s="168"/>
      <c r="B95" s="169">
        <v>90</v>
      </c>
      <c r="C95" s="219" t="e">
        <f t="shared" si="3"/>
        <v>#N/A</v>
      </c>
      <c r="D95" s="172">
        <f>SUMIF('ریزهزینه کرد مددجوها'!E:E,'خلاصه هزینه کرد مددجوها'!B95,'ریزهزینه کرد مددجوها'!J:J)</f>
        <v>0</v>
      </c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</row>
    <row r="96" spans="1:24" ht="15.75" customHeight="1">
      <c r="A96" s="168"/>
      <c r="B96" s="169">
        <v>91</v>
      </c>
      <c r="C96" s="219" t="e">
        <f t="shared" si="3"/>
        <v>#N/A</v>
      </c>
      <c r="D96" s="172">
        <f>SUMIF('ریزهزینه کرد مددجوها'!E:E,'خلاصه هزینه کرد مددجوها'!B96,'ریزهزینه کرد مددجوها'!J:J)</f>
        <v>0</v>
      </c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</row>
    <row r="97" spans="1:24" ht="15.75" customHeight="1">
      <c r="A97" s="168"/>
      <c r="B97" s="169">
        <v>92</v>
      </c>
      <c r="C97" s="219" t="e">
        <f t="shared" si="3"/>
        <v>#N/A</v>
      </c>
      <c r="D97" s="172">
        <f>SUMIF('ریزهزینه کرد مددجوها'!E:E,'خلاصه هزینه کرد مددجوها'!B97,'ریزهزینه کرد مددجوها'!J:J)</f>
        <v>0</v>
      </c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</row>
    <row r="98" spans="1:24" ht="15.75" customHeight="1">
      <c r="A98" s="168"/>
      <c r="B98" s="169">
        <v>93</v>
      </c>
      <c r="C98" s="219" t="e">
        <f t="shared" si="3"/>
        <v>#N/A</v>
      </c>
      <c r="D98" s="172">
        <f>SUMIF('ریزهزینه کرد مددجوها'!E:E,'خلاصه هزینه کرد مددجوها'!B98,'ریزهزینه کرد مددجوها'!J:J)</f>
        <v>0</v>
      </c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</row>
    <row r="99" spans="1:24" ht="15.75" customHeight="1">
      <c r="A99" s="168"/>
      <c r="B99" s="169">
        <v>94</v>
      </c>
      <c r="C99" s="219" t="e">
        <f t="shared" si="3"/>
        <v>#N/A</v>
      </c>
      <c r="D99" s="172">
        <f>SUMIF('ریزهزینه کرد مددجوها'!E:E,'خلاصه هزینه کرد مددجوها'!B99,'ریزهزینه کرد مددجوها'!J:J)</f>
        <v>0</v>
      </c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</row>
    <row r="100" spans="1:24" ht="15.75" customHeight="1">
      <c r="A100" s="168"/>
      <c r="B100" s="169">
        <v>95</v>
      </c>
      <c r="C100" s="219" t="e">
        <f t="shared" ref="C100:C123" si="4">IF(B100="","",HLOOKUP(B100,etela,2,0))</f>
        <v>#N/A</v>
      </c>
      <c r="D100" s="172">
        <f>SUMIF('ریزهزینه کرد مددجوها'!E:E,'خلاصه هزینه کرد مددجوها'!B100,'ریزهزینه کرد مددجوها'!J:J)</f>
        <v>0</v>
      </c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</row>
    <row r="101" spans="1:24" ht="15.75" customHeight="1">
      <c r="A101" s="168"/>
      <c r="B101" s="169">
        <v>96</v>
      </c>
      <c r="C101" s="219" t="e">
        <f t="shared" si="4"/>
        <v>#N/A</v>
      </c>
      <c r="D101" s="172">
        <f>SUMIF('ریزهزینه کرد مددجوها'!E:E,'خلاصه هزینه کرد مددجوها'!B101,'ریزهزینه کرد مددجوها'!J:J)</f>
        <v>0</v>
      </c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</row>
    <row r="102" spans="1:24" ht="15.75" customHeight="1">
      <c r="A102" s="168"/>
      <c r="B102" s="169">
        <v>97</v>
      </c>
      <c r="C102" s="219" t="e">
        <f t="shared" si="4"/>
        <v>#N/A</v>
      </c>
      <c r="D102" s="172">
        <f>SUMIF('ریزهزینه کرد مددجوها'!E:E,'خلاصه هزینه کرد مددجوها'!B102,'ریزهزینه کرد مددجوها'!J:J)</f>
        <v>0</v>
      </c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</row>
    <row r="103" spans="1:24" ht="15.75" customHeight="1">
      <c r="A103" s="168"/>
      <c r="B103" s="169">
        <v>98</v>
      </c>
      <c r="C103" s="219" t="e">
        <f t="shared" si="4"/>
        <v>#N/A</v>
      </c>
      <c r="D103" s="172">
        <f>SUMIF('ریزهزینه کرد مددجوها'!E:E,'خلاصه هزینه کرد مددجوها'!B103,'ریزهزینه کرد مددجوها'!J:J)</f>
        <v>0</v>
      </c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</row>
    <row r="104" spans="1:24" ht="15.75" customHeight="1">
      <c r="A104" s="168"/>
      <c r="B104" s="169">
        <v>99</v>
      </c>
      <c r="C104" s="219" t="e">
        <f t="shared" si="4"/>
        <v>#N/A</v>
      </c>
      <c r="D104" s="172">
        <f>SUMIF('ریزهزینه کرد مددجوها'!E:E,'خلاصه هزینه کرد مددجوها'!B104,'ریزهزینه کرد مددجوها'!J:J)</f>
        <v>0</v>
      </c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</row>
    <row r="105" spans="1:24" ht="15.75" customHeight="1">
      <c r="A105" s="168"/>
      <c r="B105" s="169">
        <v>100</v>
      </c>
      <c r="C105" s="219" t="e">
        <f t="shared" si="4"/>
        <v>#N/A</v>
      </c>
      <c r="D105" s="172">
        <f>SUMIF('ریزهزینه کرد مددجوها'!E:E,'خلاصه هزینه کرد مددجوها'!B105,'ریزهزینه کرد مددجوها'!J:J)</f>
        <v>0</v>
      </c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</row>
    <row r="106" spans="1:24" ht="15.75" customHeight="1">
      <c r="A106" s="168"/>
      <c r="B106" s="169">
        <v>101</v>
      </c>
      <c r="C106" s="219" t="e">
        <f t="shared" si="4"/>
        <v>#N/A</v>
      </c>
      <c r="D106" s="172">
        <f>SUMIF('ریزهزینه کرد مددجوها'!E:E,'خلاصه هزینه کرد مددجوها'!B106,'ریزهزینه کرد مددجوها'!J:J)</f>
        <v>0</v>
      </c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</row>
    <row r="107" spans="1:24" ht="15.75" customHeight="1">
      <c r="A107" s="168"/>
      <c r="B107" s="169">
        <v>102</v>
      </c>
      <c r="C107" s="219" t="e">
        <f t="shared" si="4"/>
        <v>#N/A</v>
      </c>
      <c r="D107" s="172">
        <f>SUMIF('ریزهزینه کرد مددجوها'!E:E,'خلاصه هزینه کرد مددجوها'!B107,'ریزهزینه کرد مددجوها'!J:J)</f>
        <v>0</v>
      </c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</row>
    <row r="108" spans="1:24" ht="15.75" customHeight="1">
      <c r="A108" s="168"/>
      <c r="B108" s="169">
        <v>103</v>
      </c>
      <c r="C108" s="219" t="e">
        <f t="shared" si="4"/>
        <v>#N/A</v>
      </c>
      <c r="D108" s="172">
        <f>SUMIF('ریزهزینه کرد مددجوها'!E:E,'خلاصه هزینه کرد مددجوها'!B108,'ریزهزینه کرد مددجوها'!J:J)</f>
        <v>0</v>
      </c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</row>
    <row r="109" spans="1:24" ht="15.75" customHeight="1">
      <c r="A109" s="168"/>
      <c r="B109" s="169">
        <v>104</v>
      </c>
      <c r="C109" s="219" t="e">
        <f t="shared" si="4"/>
        <v>#N/A</v>
      </c>
      <c r="D109" s="172">
        <f>SUMIF('ریزهزینه کرد مددجوها'!E:E,'خلاصه هزینه کرد مددجوها'!B109,'ریزهزینه کرد مددجوها'!J:J)</f>
        <v>0</v>
      </c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</row>
    <row r="110" spans="1:24" ht="15.75" customHeight="1">
      <c r="A110" s="168"/>
      <c r="B110" s="169">
        <v>105</v>
      </c>
      <c r="C110" s="219" t="e">
        <f t="shared" si="4"/>
        <v>#N/A</v>
      </c>
      <c r="D110" s="172">
        <f>SUMIF('ریزهزینه کرد مددجوها'!E:E,'خلاصه هزینه کرد مددجوها'!B110,'ریزهزینه کرد مددجوها'!J:J)</f>
        <v>0</v>
      </c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</row>
    <row r="111" spans="1:24" ht="15.75" customHeight="1">
      <c r="A111" s="168"/>
      <c r="B111" s="169">
        <v>106</v>
      </c>
      <c r="C111" s="219" t="e">
        <f t="shared" si="4"/>
        <v>#N/A</v>
      </c>
      <c r="D111" s="172">
        <f>SUMIF('ریزهزینه کرد مددجوها'!E:E,'خلاصه هزینه کرد مددجوها'!B111,'ریزهزینه کرد مددجوها'!J:J)</f>
        <v>0</v>
      </c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</row>
    <row r="112" spans="1:24" ht="15.75" customHeight="1">
      <c r="A112" s="168"/>
      <c r="B112" s="169">
        <v>107</v>
      </c>
      <c r="C112" s="219" t="e">
        <f t="shared" si="4"/>
        <v>#N/A</v>
      </c>
      <c r="D112" s="172">
        <f>SUMIF('ریزهزینه کرد مددجوها'!E:E,'خلاصه هزینه کرد مددجوها'!B112,'ریزهزینه کرد مددجوها'!J:J)</f>
        <v>0</v>
      </c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</row>
    <row r="113" spans="1:24" ht="15.75" customHeight="1">
      <c r="A113" s="168"/>
      <c r="B113" s="169">
        <v>108</v>
      </c>
      <c r="C113" s="219" t="e">
        <f t="shared" si="4"/>
        <v>#N/A</v>
      </c>
      <c r="D113" s="172">
        <f>SUMIF('ریزهزینه کرد مددجوها'!E:E,'خلاصه هزینه کرد مددجوها'!B113,'ریزهزینه کرد مددجوها'!J:J)</f>
        <v>0</v>
      </c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</row>
    <row r="114" spans="1:24" ht="15.75" customHeight="1">
      <c r="A114" s="168"/>
      <c r="B114" s="169">
        <v>109</v>
      </c>
      <c r="C114" s="219" t="e">
        <f t="shared" si="4"/>
        <v>#N/A</v>
      </c>
      <c r="D114" s="172">
        <f>SUMIF('ریزهزینه کرد مددجوها'!E:E,'خلاصه هزینه کرد مددجوها'!B114,'ریزهزینه کرد مددجوها'!J:J)</f>
        <v>0</v>
      </c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</row>
    <row r="115" spans="1:24" ht="15.75" customHeight="1">
      <c r="A115" s="168"/>
      <c r="B115" s="169">
        <v>110</v>
      </c>
      <c r="C115" s="219" t="e">
        <f t="shared" si="4"/>
        <v>#N/A</v>
      </c>
      <c r="D115" s="172">
        <f>SUMIF('ریزهزینه کرد مددجوها'!E:E,'خلاصه هزینه کرد مددجوها'!B115,'ریزهزینه کرد مددجوها'!J:J)</f>
        <v>0</v>
      </c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</row>
    <row r="116" spans="1:24" ht="15.75" customHeight="1">
      <c r="A116" s="168"/>
      <c r="B116" s="169">
        <v>111</v>
      </c>
      <c r="C116" s="219" t="e">
        <f t="shared" si="4"/>
        <v>#N/A</v>
      </c>
      <c r="D116" s="172">
        <f>SUMIF('ریزهزینه کرد مددجوها'!E:E,'خلاصه هزینه کرد مددجوها'!B116,'ریزهزینه کرد مددجوها'!J:J)</f>
        <v>0</v>
      </c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</row>
    <row r="117" spans="1:24" ht="15.75" customHeight="1">
      <c r="A117" s="168"/>
      <c r="B117" s="169">
        <v>112</v>
      </c>
      <c r="C117" s="219" t="e">
        <f t="shared" si="4"/>
        <v>#N/A</v>
      </c>
      <c r="D117" s="172">
        <f>SUMIF('ریزهزینه کرد مددجوها'!E:E,'خلاصه هزینه کرد مددجوها'!B117,'ریزهزینه کرد مددجوها'!J:J)</f>
        <v>0</v>
      </c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</row>
    <row r="118" spans="1:24" ht="15.75" customHeight="1">
      <c r="A118" s="168"/>
      <c r="B118" s="169">
        <v>113</v>
      </c>
      <c r="C118" s="219" t="e">
        <f t="shared" si="4"/>
        <v>#N/A</v>
      </c>
      <c r="D118" s="172">
        <f>SUMIF('ریزهزینه کرد مددجوها'!E:E,'خلاصه هزینه کرد مددجوها'!B118,'ریزهزینه کرد مددجوها'!J:J)</f>
        <v>0</v>
      </c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</row>
    <row r="119" spans="1:24" ht="15.75" customHeight="1">
      <c r="A119" s="168"/>
      <c r="B119" s="169">
        <v>114</v>
      </c>
      <c r="C119" s="219" t="e">
        <f t="shared" si="4"/>
        <v>#N/A</v>
      </c>
      <c r="D119" s="172">
        <f>SUMIF('ریزهزینه کرد مددجوها'!E:E,'خلاصه هزینه کرد مددجوها'!B119,'ریزهزینه کرد مددجوها'!J:J)</f>
        <v>0</v>
      </c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</row>
    <row r="120" spans="1:24" ht="15.75" customHeight="1">
      <c r="A120" s="168"/>
      <c r="B120" s="169">
        <v>115</v>
      </c>
      <c r="C120" s="219" t="e">
        <f t="shared" si="4"/>
        <v>#N/A</v>
      </c>
      <c r="D120" s="172">
        <f>SUMIF('ریزهزینه کرد مددجوها'!E:E,'خلاصه هزینه کرد مددجوها'!B120,'ریزهزینه کرد مددجوها'!J:J)</f>
        <v>0</v>
      </c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</row>
    <row r="121" spans="1:24" ht="15.75" customHeight="1">
      <c r="A121" s="168"/>
      <c r="B121" s="169">
        <v>116</v>
      </c>
      <c r="C121" s="219" t="e">
        <f t="shared" si="4"/>
        <v>#N/A</v>
      </c>
      <c r="D121" s="172">
        <f>SUMIF('ریزهزینه کرد مددجوها'!E:E,'خلاصه هزینه کرد مددجوها'!B121,'ریزهزینه کرد مددجوها'!J:J)</f>
        <v>0</v>
      </c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</row>
    <row r="122" spans="1:24" ht="15.75" customHeight="1">
      <c r="A122" s="168"/>
      <c r="B122" s="169">
        <v>117</v>
      </c>
      <c r="C122" s="219" t="e">
        <f t="shared" si="4"/>
        <v>#N/A</v>
      </c>
      <c r="D122" s="172">
        <f>SUMIF('ریزهزینه کرد مددجوها'!E:E,'خلاصه هزینه کرد مددجوها'!B122,'ریزهزینه کرد مددجوها'!J:J)</f>
        <v>0</v>
      </c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</row>
    <row r="123" spans="1:24" ht="15.75" customHeight="1">
      <c r="A123" s="168"/>
      <c r="B123" s="169">
        <v>118</v>
      </c>
      <c r="C123" s="219" t="e">
        <f t="shared" si="4"/>
        <v>#N/A</v>
      </c>
      <c r="D123" s="172">
        <f>SUMIF('ریزهزینه کرد مددجوها'!E:E,'خلاصه هزینه کرد مددجوها'!B123,'ریزهزینه کرد مددجوها'!J:J)</f>
        <v>0</v>
      </c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</row>
    <row r="124" spans="1:24" ht="15.75" customHeight="1">
      <c r="A124" s="168"/>
      <c r="B124" s="168"/>
      <c r="C124" s="220"/>
      <c r="D124" s="173">
        <f>SUBTOTAL(109,'خلاصه هزینه کرد مددجوها'!$D$3:$D$123)</f>
        <v>5429083214</v>
      </c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</row>
    <row r="125" spans="1:24" ht="15.75" customHeight="1">
      <c r="A125" s="168"/>
      <c r="B125" s="168"/>
      <c r="C125" s="220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</row>
    <row r="126" spans="1:24" ht="15.75" customHeight="1">
      <c r="A126" s="168"/>
      <c r="B126" s="168"/>
      <c r="C126" s="220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</row>
    <row r="127" spans="1:24" ht="15.75" customHeight="1">
      <c r="A127" s="168"/>
      <c r="B127" s="168"/>
      <c r="C127" s="220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</row>
    <row r="128" spans="1:24" ht="15.75" customHeight="1">
      <c r="A128" s="168"/>
      <c r="B128" s="168"/>
      <c r="C128" s="220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</row>
    <row r="129" spans="1:24" ht="15.75" customHeight="1">
      <c r="A129" s="168"/>
      <c r="B129" s="168"/>
      <c r="C129" s="220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</row>
    <row r="130" spans="1:24" ht="15.75" customHeight="1">
      <c r="A130" s="168"/>
      <c r="B130" s="168"/>
      <c r="C130" s="220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</row>
    <row r="131" spans="1:24" ht="15.75" customHeight="1">
      <c r="A131" s="168"/>
      <c r="B131" s="168"/>
      <c r="C131" s="220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</row>
    <row r="132" spans="1:24" ht="15.75" customHeight="1">
      <c r="A132" s="168"/>
      <c r="B132" s="168"/>
      <c r="C132" s="220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</row>
    <row r="133" spans="1:24" ht="15.75" customHeight="1">
      <c r="A133" s="168"/>
      <c r="B133" s="168"/>
      <c r="C133" s="220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</row>
    <row r="134" spans="1:24" ht="15.75" customHeight="1">
      <c r="A134" s="168"/>
      <c r="B134" s="168"/>
      <c r="C134" s="220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</row>
    <row r="135" spans="1:24" ht="15.75" customHeight="1">
      <c r="A135" s="168"/>
      <c r="B135" s="168"/>
      <c r="C135" s="220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</row>
    <row r="136" spans="1:24" ht="15.75" customHeight="1">
      <c r="A136" s="168"/>
      <c r="B136" s="168"/>
      <c r="C136" s="220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</row>
    <row r="137" spans="1:24" ht="15.75" customHeight="1">
      <c r="A137" s="168"/>
      <c r="B137" s="168"/>
      <c r="C137" s="220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</row>
    <row r="138" spans="1:24" ht="15.75" customHeight="1">
      <c r="A138" s="168"/>
      <c r="B138" s="168"/>
      <c r="C138" s="220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</row>
    <row r="139" spans="1:24" ht="15.75" customHeight="1">
      <c r="A139" s="168"/>
      <c r="B139" s="168"/>
      <c r="C139" s="220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</row>
    <row r="140" spans="1:24" ht="15.75" customHeight="1">
      <c r="A140" s="168"/>
      <c r="B140" s="168"/>
      <c r="C140" s="220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</row>
    <row r="141" spans="1:24" ht="15.75" customHeight="1">
      <c r="A141" s="168"/>
      <c r="B141" s="168"/>
      <c r="C141" s="220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</row>
    <row r="142" spans="1:24" ht="15.75" customHeight="1">
      <c r="A142" s="168"/>
      <c r="B142" s="168"/>
      <c r="C142" s="220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</row>
    <row r="143" spans="1:24" ht="15.75" customHeight="1">
      <c r="A143" s="168"/>
      <c r="B143" s="168"/>
      <c r="C143" s="220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</row>
    <row r="144" spans="1:24" ht="15.75" customHeight="1">
      <c r="A144" s="168"/>
      <c r="B144" s="168"/>
      <c r="C144" s="220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</row>
    <row r="145" spans="1:24" ht="15.75" customHeight="1">
      <c r="A145" s="168"/>
      <c r="B145" s="168"/>
      <c r="C145" s="220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</row>
    <row r="146" spans="1:24" ht="15.75" customHeight="1">
      <c r="A146" s="168"/>
      <c r="B146" s="168"/>
      <c r="C146" s="220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</row>
    <row r="147" spans="1:24" ht="15.75" customHeight="1">
      <c r="A147" s="168"/>
      <c r="B147" s="168"/>
      <c r="C147" s="220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</row>
    <row r="148" spans="1:24" ht="15.75" customHeight="1">
      <c r="A148" s="168"/>
      <c r="B148" s="168"/>
      <c r="C148" s="220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</row>
    <row r="149" spans="1:24" ht="15.75" customHeight="1">
      <c r="A149" s="168"/>
      <c r="B149" s="168"/>
      <c r="C149" s="220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</row>
    <row r="150" spans="1:24" ht="15.75" customHeight="1">
      <c r="A150" s="168"/>
      <c r="B150" s="168"/>
      <c r="C150" s="220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</row>
    <row r="151" spans="1:24" ht="15.75" customHeight="1">
      <c r="A151" s="168"/>
      <c r="B151" s="168"/>
      <c r="C151" s="220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</row>
    <row r="152" spans="1:24" ht="15.75" customHeight="1">
      <c r="A152" s="168"/>
      <c r="B152" s="168"/>
      <c r="C152" s="220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</row>
    <row r="153" spans="1:24" ht="15.75" customHeight="1">
      <c r="A153" s="168"/>
      <c r="B153" s="168"/>
      <c r="C153" s="220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</row>
    <row r="154" spans="1:24" ht="15.75" customHeight="1">
      <c r="A154" s="168"/>
      <c r="B154" s="168"/>
      <c r="C154" s="220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</row>
    <row r="155" spans="1:24" ht="15.75" customHeight="1">
      <c r="A155" s="168"/>
      <c r="B155" s="168"/>
      <c r="C155" s="220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</row>
    <row r="156" spans="1:24" ht="15.75" customHeight="1">
      <c r="A156" s="168"/>
      <c r="B156" s="168"/>
      <c r="C156" s="220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</row>
    <row r="157" spans="1:24" ht="15.75" customHeight="1">
      <c r="A157" s="168"/>
      <c r="B157" s="168"/>
      <c r="C157" s="220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</row>
    <row r="158" spans="1:24" ht="15.75" customHeight="1">
      <c r="A158" s="168"/>
      <c r="B158" s="168"/>
      <c r="C158" s="220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</row>
    <row r="159" spans="1:24" ht="15.75" customHeight="1">
      <c r="A159" s="168"/>
      <c r="B159" s="168"/>
      <c r="C159" s="220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</row>
    <row r="160" spans="1:24" ht="15.75" customHeight="1">
      <c r="A160" s="168"/>
      <c r="B160" s="168"/>
      <c r="C160" s="220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</row>
    <row r="161" spans="1:24" ht="15.75" customHeight="1">
      <c r="A161" s="168"/>
      <c r="B161" s="168"/>
      <c r="C161" s="220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</row>
    <row r="162" spans="1:24" ht="15.75" customHeight="1">
      <c r="A162" s="168"/>
      <c r="B162" s="168"/>
      <c r="C162" s="220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</row>
    <row r="163" spans="1:24" ht="15.75" customHeight="1">
      <c r="A163" s="168"/>
      <c r="B163" s="168"/>
      <c r="C163" s="220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</row>
    <row r="164" spans="1:24" ht="15.75" customHeight="1">
      <c r="A164" s="168"/>
      <c r="B164" s="168"/>
      <c r="C164" s="220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</row>
    <row r="165" spans="1:24" ht="15.75" customHeight="1">
      <c r="A165" s="168"/>
      <c r="B165" s="168"/>
      <c r="C165" s="220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</row>
    <row r="166" spans="1:24" ht="15.75" customHeight="1">
      <c r="A166" s="168"/>
      <c r="B166" s="168"/>
      <c r="C166" s="220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</row>
    <row r="167" spans="1:24" ht="15.75" customHeight="1">
      <c r="A167" s="168"/>
      <c r="B167" s="168"/>
      <c r="C167" s="220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</row>
    <row r="168" spans="1:24" ht="15.75" customHeight="1">
      <c r="A168" s="168"/>
      <c r="B168" s="168"/>
      <c r="C168" s="220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</row>
    <row r="169" spans="1:24" ht="15.75" customHeight="1">
      <c r="A169" s="168"/>
      <c r="B169" s="168"/>
      <c r="C169" s="220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</row>
    <row r="170" spans="1:24" ht="15.75" customHeight="1">
      <c r="A170" s="168"/>
      <c r="B170" s="168"/>
      <c r="C170" s="220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</row>
    <row r="171" spans="1:24" ht="15.75" customHeight="1">
      <c r="A171" s="168"/>
      <c r="B171" s="168"/>
      <c r="C171" s="220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</row>
    <row r="172" spans="1:24" ht="15.75" customHeight="1">
      <c r="A172" s="168"/>
      <c r="B172" s="168"/>
      <c r="C172" s="220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</row>
    <row r="173" spans="1:24" ht="15.75" customHeight="1">
      <c r="A173" s="168"/>
      <c r="B173" s="168"/>
      <c r="C173" s="220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</row>
    <row r="174" spans="1:24" ht="15.75" customHeight="1">
      <c r="A174" s="168"/>
      <c r="B174" s="168"/>
      <c r="C174" s="220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</row>
    <row r="175" spans="1:24" ht="15.75" customHeight="1">
      <c r="A175" s="168"/>
      <c r="B175" s="168"/>
      <c r="C175" s="220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</row>
    <row r="176" spans="1:24" ht="15.75" customHeight="1">
      <c r="A176" s="168"/>
      <c r="B176" s="168"/>
      <c r="C176" s="220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</row>
    <row r="177" spans="1:24" ht="15.75" customHeight="1">
      <c r="A177" s="168"/>
      <c r="B177" s="168"/>
      <c r="C177" s="220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</row>
    <row r="178" spans="1:24" ht="15.75" customHeight="1">
      <c r="A178" s="168"/>
      <c r="B178" s="168"/>
      <c r="C178" s="220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</row>
    <row r="179" spans="1:24" ht="15.75" customHeight="1">
      <c r="A179" s="168"/>
      <c r="B179" s="168"/>
      <c r="C179" s="220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</row>
    <row r="180" spans="1:24" ht="15.75" customHeight="1">
      <c r="A180" s="168"/>
      <c r="B180" s="168"/>
      <c r="C180" s="220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</row>
    <row r="181" spans="1:24" ht="15.75" customHeight="1">
      <c r="A181" s="168"/>
      <c r="B181" s="168"/>
      <c r="C181" s="220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</row>
    <row r="182" spans="1:24" ht="15.75" customHeight="1">
      <c r="A182" s="168"/>
      <c r="B182" s="168"/>
      <c r="C182" s="220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</row>
    <row r="183" spans="1:24" ht="15.75" customHeight="1">
      <c r="A183" s="168"/>
      <c r="B183" s="168"/>
      <c r="C183" s="220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</row>
    <row r="184" spans="1:24" ht="15.75" customHeight="1">
      <c r="A184" s="168"/>
      <c r="B184" s="168"/>
      <c r="C184" s="220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</row>
    <row r="185" spans="1:24" ht="15.75" customHeight="1">
      <c r="A185" s="168"/>
      <c r="B185" s="168"/>
      <c r="C185" s="220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</row>
    <row r="186" spans="1:24" ht="15.75" customHeight="1">
      <c r="A186" s="168"/>
      <c r="B186" s="168"/>
      <c r="C186" s="220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</row>
    <row r="187" spans="1:24" ht="15.75" customHeight="1">
      <c r="A187" s="168"/>
      <c r="B187" s="168"/>
      <c r="C187" s="220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</row>
    <row r="188" spans="1:24" ht="15.75" customHeight="1">
      <c r="A188" s="168"/>
      <c r="B188" s="168"/>
      <c r="C188" s="220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</row>
    <row r="189" spans="1:24" ht="15.75" customHeight="1">
      <c r="A189" s="168"/>
      <c r="B189" s="168"/>
      <c r="C189" s="220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</row>
    <row r="190" spans="1:24" ht="15.75" customHeight="1">
      <c r="A190" s="168"/>
      <c r="B190" s="168"/>
      <c r="C190" s="220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</row>
    <row r="191" spans="1:24" ht="15.75" customHeight="1">
      <c r="A191" s="168"/>
      <c r="B191" s="168"/>
      <c r="C191" s="220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</row>
    <row r="192" spans="1:24" ht="15.75" customHeight="1">
      <c r="A192" s="168"/>
      <c r="B192" s="168"/>
      <c r="C192" s="220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</row>
    <row r="193" spans="1:24" ht="15.75" customHeight="1">
      <c r="A193" s="168"/>
      <c r="B193" s="168"/>
      <c r="C193" s="220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</row>
    <row r="194" spans="1:24" ht="15.75" customHeight="1">
      <c r="A194" s="168"/>
      <c r="B194" s="168"/>
      <c r="C194" s="220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</row>
    <row r="195" spans="1:24" ht="15.75" customHeight="1">
      <c r="A195" s="168"/>
      <c r="B195" s="168"/>
      <c r="C195" s="220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</row>
    <row r="196" spans="1:24" ht="15.75" customHeight="1">
      <c r="A196" s="168"/>
      <c r="B196" s="168"/>
      <c r="C196" s="220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</row>
    <row r="197" spans="1:24" ht="15.75" customHeight="1">
      <c r="A197" s="168"/>
      <c r="B197" s="168"/>
      <c r="C197" s="220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</row>
    <row r="198" spans="1:24" ht="15.75" customHeight="1">
      <c r="A198" s="168"/>
      <c r="B198" s="168"/>
      <c r="C198" s="220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</row>
    <row r="199" spans="1:24" ht="15.75" customHeight="1">
      <c r="A199" s="168"/>
      <c r="B199" s="168"/>
      <c r="C199" s="220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</row>
    <row r="200" spans="1:24" ht="15.75" customHeight="1">
      <c r="A200" s="168"/>
      <c r="B200" s="168"/>
      <c r="C200" s="220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</row>
    <row r="201" spans="1:24" ht="15.75" customHeight="1">
      <c r="A201" s="168"/>
      <c r="B201" s="168"/>
      <c r="C201" s="220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</row>
    <row r="202" spans="1:24" ht="15.75" customHeight="1">
      <c r="A202" s="168"/>
      <c r="B202" s="168"/>
      <c r="C202" s="220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</row>
    <row r="203" spans="1:24" ht="15.75" customHeight="1">
      <c r="A203" s="168"/>
      <c r="B203" s="168"/>
      <c r="C203" s="220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</row>
    <row r="204" spans="1:24" ht="15.75" customHeight="1">
      <c r="A204" s="168"/>
      <c r="B204" s="168"/>
      <c r="C204" s="220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</row>
    <row r="205" spans="1:24" ht="15.75" customHeight="1">
      <c r="A205" s="168"/>
      <c r="B205" s="168"/>
      <c r="C205" s="220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</row>
    <row r="206" spans="1:24" ht="15.75" customHeight="1">
      <c r="A206" s="168"/>
      <c r="B206" s="168"/>
      <c r="C206" s="220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</row>
    <row r="207" spans="1:24" ht="15.75" customHeight="1">
      <c r="A207" s="168"/>
      <c r="B207" s="168"/>
      <c r="C207" s="220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</row>
    <row r="208" spans="1:24" ht="15.75" customHeight="1">
      <c r="A208" s="168"/>
      <c r="B208" s="168"/>
      <c r="C208" s="220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</row>
    <row r="209" spans="1:24" ht="15.75" customHeight="1">
      <c r="A209" s="168"/>
      <c r="B209" s="168"/>
      <c r="C209" s="220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</row>
    <row r="210" spans="1:24" ht="15.75" customHeight="1">
      <c r="A210" s="168"/>
      <c r="B210" s="168"/>
      <c r="C210" s="220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</row>
    <row r="211" spans="1:24" ht="15.75" customHeight="1">
      <c r="A211" s="168"/>
      <c r="B211" s="168"/>
      <c r="C211" s="220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</row>
    <row r="212" spans="1:24" ht="15.75" customHeight="1">
      <c r="A212" s="168"/>
      <c r="B212" s="168"/>
      <c r="C212" s="220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</row>
    <row r="213" spans="1:24" ht="15.75" customHeight="1">
      <c r="A213" s="168"/>
      <c r="B213" s="168"/>
      <c r="C213" s="220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</row>
    <row r="214" spans="1:24" ht="15.75" customHeight="1">
      <c r="A214" s="168"/>
      <c r="B214" s="168"/>
      <c r="C214" s="220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</row>
    <row r="215" spans="1:24" ht="15.75" customHeight="1">
      <c r="A215" s="168"/>
      <c r="B215" s="168"/>
      <c r="C215" s="220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</row>
    <row r="216" spans="1:24" ht="15.75" customHeight="1">
      <c r="A216" s="168"/>
      <c r="B216" s="168"/>
      <c r="C216" s="220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</row>
    <row r="217" spans="1:24" ht="15.75" customHeight="1">
      <c r="A217" s="168"/>
      <c r="B217" s="168"/>
      <c r="C217" s="220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</row>
    <row r="218" spans="1:24" ht="15.75" customHeight="1">
      <c r="A218" s="168"/>
      <c r="B218" s="168"/>
      <c r="C218" s="220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</row>
    <row r="219" spans="1:24" ht="15.75" customHeight="1">
      <c r="A219" s="168"/>
      <c r="B219" s="168"/>
      <c r="C219" s="220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</row>
    <row r="220" spans="1:24" ht="15.75" customHeight="1">
      <c r="A220" s="168"/>
      <c r="B220" s="168"/>
      <c r="C220" s="220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</row>
    <row r="221" spans="1:24" ht="15.75" customHeight="1">
      <c r="A221" s="168"/>
      <c r="B221" s="168"/>
      <c r="C221" s="220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</row>
    <row r="222" spans="1:24" ht="15.75" customHeight="1">
      <c r="A222" s="168"/>
      <c r="B222" s="168"/>
      <c r="C222" s="220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</row>
    <row r="223" spans="1:24" ht="15.75" customHeight="1">
      <c r="A223" s="168"/>
      <c r="B223" s="168"/>
      <c r="C223" s="220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</row>
    <row r="224" spans="1:24" ht="15.75" customHeight="1">
      <c r="A224" s="168"/>
      <c r="B224" s="168"/>
      <c r="C224" s="220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</row>
    <row r="225" spans="1:24" ht="15.75" customHeight="1">
      <c r="A225" s="168"/>
      <c r="B225" s="168"/>
      <c r="C225" s="220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</row>
    <row r="226" spans="1:24" ht="15.75" customHeight="1">
      <c r="A226" s="168"/>
      <c r="B226" s="168"/>
      <c r="C226" s="220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</row>
    <row r="227" spans="1:24" ht="15.75" customHeight="1">
      <c r="A227" s="168"/>
      <c r="B227" s="168"/>
      <c r="C227" s="220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</row>
    <row r="228" spans="1:24" ht="15.75" customHeight="1">
      <c r="A228" s="168"/>
      <c r="B228" s="168"/>
      <c r="C228" s="220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</row>
    <row r="229" spans="1:24" ht="15.75" customHeight="1">
      <c r="A229" s="168"/>
      <c r="B229" s="168"/>
      <c r="C229" s="220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</row>
    <row r="230" spans="1:24" ht="15.75" customHeight="1">
      <c r="A230" s="168"/>
      <c r="B230" s="168"/>
      <c r="C230" s="220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</row>
    <row r="231" spans="1:24" ht="15.75" customHeight="1">
      <c r="A231" s="168"/>
      <c r="B231" s="168"/>
      <c r="C231" s="220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</row>
    <row r="232" spans="1:24" ht="15.75" customHeight="1">
      <c r="A232" s="168"/>
      <c r="B232" s="168"/>
      <c r="C232" s="220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</row>
    <row r="233" spans="1:24" ht="15.75" customHeight="1">
      <c r="A233" s="168"/>
      <c r="B233" s="168"/>
      <c r="C233" s="220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</row>
    <row r="234" spans="1:24" ht="15.75" customHeight="1">
      <c r="A234" s="168"/>
      <c r="B234" s="168"/>
      <c r="C234" s="220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</row>
    <row r="235" spans="1:24" ht="15.75" customHeight="1">
      <c r="A235" s="168"/>
      <c r="B235" s="168"/>
      <c r="C235" s="220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</row>
    <row r="236" spans="1:24" ht="15.75" customHeight="1">
      <c r="A236" s="168"/>
      <c r="B236" s="168"/>
      <c r="C236" s="220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</row>
    <row r="237" spans="1:24" ht="15.75" customHeight="1">
      <c r="A237" s="168"/>
      <c r="B237" s="168"/>
      <c r="C237" s="220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</row>
    <row r="238" spans="1:24" ht="15.75" customHeight="1">
      <c r="A238" s="168"/>
      <c r="B238" s="168"/>
      <c r="C238" s="220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</row>
    <row r="239" spans="1:24" ht="15.75" customHeight="1">
      <c r="A239" s="168"/>
      <c r="B239" s="168"/>
      <c r="C239" s="220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</row>
    <row r="240" spans="1:24" ht="15.75" customHeight="1">
      <c r="A240" s="168"/>
      <c r="B240" s="168"/>
      <c r="C240" s="220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</row>
    <row r="241" spans="1:24" ht="15.75" customHeight="1">
      <c r="A241" s="168"/>
      <c r="B241" s="168"/>
      <c r="C241" s="220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</row>
    <row r="242" spans="1:24" ht="15.75" customHeight="1">
      <c r="A242" s="168"/>
      <c r="B242" s="168"/>
      <c r="C242" s="220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</row>
    <row r="243" spans="1:24" ht="15.75" customHeight="1">
      <c r="A243" s="168"/>
      <c r="B243" s="168"/>
      <c r="C243" s="220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</row>
    <row r="244" spans="1:24" ht="15.75" customHeight="1">
      <c r="A244" s="168"/>
      <c r="B244" s="168"/>
      <c r="C244" s="220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</row>
    <row r="245" spans="1:24" ht="15.75" customHeight="1">
      <c r="A245" s="168"/>
      <c r="B245" s="168"/>
      <c r="C245" s="220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</row>
    <row r="246" spans="1:24" ht="15.75" customHeight="1">
      <c r="A246" s="168"/>
      <c r="B246" s="168"/>
      <c r="C246" s="220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</row>
    <row r="247" spans="1:24" ht="15.75" customHeight="1">
      <c r="A247" s="168"/>
      <c r="B247" s="168"/>
      <c r="C247" s="220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</row>
    <row r="248" spans="1:24" ht="15.75" customHeight="1">
      <c r="A248" s="168"/>
      <c r="B248" s="168"/>
      <c r="C248" s="220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</row>
    <row r="249" spans="1:24" ht="15.75" customHeight="1">
      <c r="A249" s="168"/>
      <c r="B249" s="168"/>
      <c r="C249" s="220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</row>
    <row r="250" spans="1:24" ht="15.75" customHeight="1">
      <c r="A250" s="168"/>
      <c r="B250" s="168"/>
      <c r="C250" s="220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</row>
    <row r="251" spans="1:24" ht="15.75" customHeight="1">
      <c r="A251" s="168"/>
      <c r="B251" s="168"/>
      <c r="C251" s="220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</row>
    <row r="252" spans="1:24" ht="15.75" customHeight="1">
      <c r="A252" s="168"/>
      <c r="B252" s="168"/>
      <c r="C252" s="220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</row>
    <row r="253" spans="1:24" ht="15.75" customHeight="1">
      <c r="A253" s="168"/>
      <c r="B253" s="168"/>
      <c r="C253" s="220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</row>
    <row r="254" spans="1:24" ht="15.75" customHeight="1">
      <c r="A254" s="168"/>
      <c r="B254" s="168"/>
      <c r="C254" s="220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</row>
    <row r="255" spans="1:24" ht="15.75" customHeight="1">
      <c r="A255" s="168"/>
      <c r="B255" s="168"/>
      <c r="C255" s="220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</row>
    <row r="256" spans="1:24" ht="15.75" customHeight="1">
      <c r="A256" s="168"/>
      <c r="B256" s="168"/>
      <c r="C256" s="220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</row>
    <row r="257" spans="1:24" ht="15.75" customHeight="1">
      <c r="A257" s="168"/>
      <c r="B257" s="168"/>
      <c r="C257" s="220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</row>
    <row r="258" spans="1:24" ht="15.75" customHeight="1">
      <c r="A258" s="168"/>
      <c r="B258" s="168"/>
      <c r="C258" s="220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</row>
    <row r="259" spans="1:24" ht="15.75" customHeight="1">
      <c r="A259" s="168"/>
      <c r="B259" s="168"/>
      <c r="C259" s="220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</row>
    <row r="260" spans="1:24" ht="15.75" customHeight="1">
      <c r="A260" s="168"/>
      <c r="B260" s="168"/>
      <c r="C260" s="220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</row>
    <row r="261" spans="1:24" ht="15.75" customHeight="1">
      <c r="A261" s="168"/>
      <c r="B261" s="168"/>
      <c r="C261" s="220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</row>
    <row r="262" spans="1:24" ht="15.75" customHeight="1">
      <c r="A262" s="168"/>
      <c r="B262" s="168"/>
      <c r="C262" s="220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</row>
    <row r="263" spans="1:24" ht="15.75" customHeight="1">
      <c r="A263" s="168"/>
      <c r="B263" s="168"/>
      <c r="C263" s="220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</row>
    <row r="264" spans="1:24" ht="15.75" customHeight="1">
      <c r="A264" s="168"/>
      <c r="B264" s="168"/>
      <c r="C264" s="220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</row>
    <row r="265" spans="1:24" ht="15.75" customHeight="1">
      <c r="A265" s="168"/>
      <c r="B265" s="168"/>
      <c r="C265" s="220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</row>
    <row r="266" spans="1:24" ht="15.75" customHeight="1">
      <c r="A266" s="168"/>
      <c r="B266" s="168"/>
      <c r="C266" s="220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</row>
    <row r="267" spans="1:24" ht="15.75" customHeight="1">
      <c r="A267" s="168"/>
      <c r="B267" s="168"/>
      <c r="C267" s="220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</row>
    <row r="268" spans="1:24" ht="15.75" customHeight="1">
      <c r="A268" s="168"/>
      <c r="B268" s="168"/>
      <c r="C268" s="220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</row>
    <row r="269" spans="1:24" ht="15.75" customHeight="1">
      <c r="A269" s="168"/>
      <c r="B269" s="168"/>
      <c r="C269" s="220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</row>
    <row r="270" spans="1:24" ht="15.75" customHeight="1">
      <c r="A270" s="168"/>
      <c r="B270" s="168"/>
      <c r="C270" s="220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</row>
    <row r="271" spans="1:24" ht="15.75" customHeight="1">
      <c r="A271" s="168"/>
      <c r="B271" s="168"/>
      <c r="C271" s="220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</row>
    <row r="272" spans="1:24" ht="15.75" customHeight="1">
      <c r="A272" s="168"/>
      <c r="B272" s="168"/>
      <c r="C272" s="220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</row>
    <row r="273" spans="1:24" ht="15.75" customHeight="1">
      <c r="A273" s="168"/>
      <c r="B273" s="168"/>
      <c r="C273" s="220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</row>
    <row r="274" spans="1:24" ht="15.75" customHeight="1">
      <c r="A274" s="168"/>
      <c r="B274" s="168"/>
      <c r="C274" s="220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</row>
    <row r="275" spans="1:24" ht="15.75" customHeight="1">
      <c r="A275" s="168"/>
      <c r="B275" s="168"/>
      <c r="C275" s="220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</row>
    <row r="276" spans="1:24" ht="15.75" customHeight="1">
      <c r="A276" s="168"/>
      <c r="B276" s="168"/>
      <c r="C276" s="220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</row>
    <row r="277" spans="1:24" ht="15.75" customHeight="1">
      <c r="A277" s="168"/>
      <c r="B277" s="168"/>
      <c r="C277" s="220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</row>
    <row r="278" spans="1:24" ht="15.75" customHeight="1">
      <c r="A278" s="168"/>
      <c r="B278" s="168"/>
      <c r="C278" s="220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</row>
    <row r="279" spans="1:24" ht="15.75" customHeight="1">
      <c r="A279" s="168"/>
      <c r="B279" s="168"/>
      <c r="C279" s="220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</row>
    <row r="280" spans="1:24" ht="15.75" customHeight="1">
      <c r="A280" s="168"/>
      <c r="B280" s="168"/>
      <c r="C280" s="220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</row>
    <row r="281" spans="1:24" ht="15.75" customHeight="1">
      <c r="A281" s="168"/>
      <c r="B281" s="168"/>
      <c r="C281" s="220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</row>
    <row r="282" spans="1:24" ht="15.75" customHeight="1">
      <c r="A282" s="168"/>
      <c r="B282" s="168"/>
      <c r="C282" s="220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</row>
    <row r="283" spans="1:24" ht="15.75" customHeight="1">
      <c r="A283" s="168"/>
      <c r="B283" s="168"/>
      <c r="C283" s="220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</row>
    <row r="284" spans="1:24" ht="15.75" customHeight="1">
      <c r="A284" s="168"/>
      <c r="B284" s="168"/>
      <c r="C284" s="220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</row>
    <row r="285" spans="1:24" ht="15.75" customHeight="1">
      <c r="A285" s="168"/>
      <c r="B285" s="168"/>
      <c r="C285" s="220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</row>
    <row r="286" spans="1:24" ht="15.75" customHeight="1">
      <c r="A286" s="168"/>
      <c r="B286" s="168"/>
      <c r="C286" s="220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</row>
    <row r="287" spans="1:24" ht="15.75" customHeight="1">
      <c r="A287" s="168"/>
      <c r="B287" s="168"/>
      <c r="C287" s="220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</row>
    <row r="288" spans="1:24" ht="15.75" customHeight="1">
      <c r="A288" s="168"/>
      <c r="B288" s="168"/>
      <c r="C288" s="220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</row>
    <row r="289" spans="1:24" ht="15.75" customHeight="1">
      <c r="A289" s="168"/>
      <c r="B289" s="168"/>
      <c r="C289" s="220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</row>
    <row r="290" spans="1:24" ht="15.75" customHeight="1">
      <c r="A290" s="168"/>
      <c r="B290" s="168"/>
      <c r="C290" s="220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</row>
    <row r="291" spans="1:24" ht="15.75" customHeight="1">
      <c r="A291" s="168"/>
      <c r="B291" s="168"/>
      <c r="C291" s="220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</row>
    <row r="292" spans="1:24" ht="15.75" customHeight="1">
      <c r="A292" s="168"/>
      <c r="B292" s="168"/>
      <c r="C292" s="220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</row>
    <row r="293" spans="1:24" ht="15.75" customHeight="1">
      <c r="A293" s="168"/>
      <c r="B293" s="168"/>
      <c r="C293" s="220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</row>
    <row r="294" spans="1:24" ht="15.75" customHeight="1">
      <c r="A294" s="168"/>
      <c r="B294" s="168"/>
      <c r="C294" s="220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</row>
    <row r="295" spans="1:24" ht="15.75" customHeight="1">
      <c r="A295" s="168"/>
      <c r="B295" s="168"/>
      <c r="C295" s="220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</row>
    <row r="296" spans="1:24" ht="15.75" customHeight="1">
      <c r="A296" s="168"/>
      <c r="B296" s="168"/>
      <c r="C296" s="220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</row>
    <row r="297" spans="1:24" ht="15.75" customHeight="1">
      <c r="A297" s="168"/>
      <c r="B297" s="168"/>
      <c r="C297" s="220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</row>
    <row r="298" spans="1:24" ht="15.75" customHeight="1">
      <c r="A298" s="168"/>
      <c r="B298" s="168"/>
      <c r="C298" s="220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</row>
    <row r="299" spans="1:24" ht="15.75" customHeight="1">
      <c r="A299" s="168"/>
      <c r="B299" s="168"/>
      <c r="C299" s="220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</row>
    <row r="300" spans="1:24" ht="15.75" customHeight="1">
      <c r="A300" s="168"/>
      <c r="B300" s="168"/>
      <c r="C300" s="220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</row>
    <row r="301" spans="1:24" ht="15.75" customHeight="1">
      <c r="A301" s="168"/>
      <c r="B301" s="168"/>
      <c r="C301" s="220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</row>
    <row r="302" spans="1:24" ht="15.75" customHeight="1">
      <c r="A302" s="168"/>
      <c r="B302" s="168"/>
      <c r="C302" s="220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</row>
    <row r="303" spans="1:24" ht="15.75" customHeight="1">
      <c r="A303" s="168"/>
      <c r="B303" s="168"/>
      <c r="C303" s="220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</row>
    <row r="304" spans="1:24" ht="15.75" customHeight="1">
      <c r="A304" s="168"/>
      <c r="B304" s="168"/>
      <c r="C304" s="220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</row>
    <row r="305" spans="1:24" ht="15.75" customHeight="1">
      <c r="A305" s="168"/>
      <c r="B305" s="168"/>
      <c r="C305" s="220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</row>
    <row r="306" spans="1:24" ht="15.75" customHeight="1">
      <c r="A306" s="168"/>
      <c r="B306" s="168"/>
      <c r="C306" s="220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</row>
    <row r="307" spans="1:24" ht="15.75" customHeight="1">
      <c r="A307" s="168"/>
      <c r="B307" s="168"/>
      <c r="C307" s="220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</row>
    <row r="308" spans="1:24" ht="15.75" customHeight="1">
      <c r="A308" s="168"/>
      <c r="B308" s="168"/>
      <c r="C308" s="220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</row>
    <row r="309" spans="1:24" ht="15.75" customHeight="1">
      <c r="A309" s="168"/>
      <c r="B309" s="168"/>
      <c r="C309" s="220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</row>
    <row r="310" spans="1:24" ht="15.75" customHeight="1">
      <c r="A310" s="168"/>
      <c r="B310" s="168"/>
      <c r="C310" s="220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</row>
    <row r="311" spans="1:24" ht="15.75" customHeight="1">
      <c r="A311" s="168"/>
      <c r="B311" s="168"/>
      <c r="C311" s="220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</row>
    <row r="312" spans="1:24" ht="15.75" customHeight="1">
      <c r="A312" s="168"/>
      <c r="B312" s="168"/>
      <c r="C312" s="220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</row>
    <row r="313" spans="1:24" ht="15.75" customHeight="1">
      <c r="A313" s="168"/>
      <c r="B313" s="168"/>
      <c r="C313" s="220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</row>
    <row r="314" spans="1:24" ht="15.75" customHeight="1">
      <c r="A314" s="168"/>
      <c r="B314" s="168"/>
      <c r="C314" s="220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</row>
    <row r="315" spans="1:24" ht="15.75" customHeight="1">
      <c r="A315" s="168"/>
      <c r="B315" s="168"/>
      <c r="C315" s="220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</row>
    <row r="316" spans="1:24" ht="15.75" customHeight="1">
      <c r="A316" s="168"/>
      <c r="B316" s="168"/>
      <c r="C316" s="220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</row>
    <row r="317" spans="1:24" ht="15.75" customHeight="1">
      <c r="A317" s="168"/>
      <c r="B317" s="168"/>
      <c r="C317" s="220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</row>
    <row r="318" spans="1:24" ht="15.75" customHeight="1">
      <c r="A318" s="168"/>
      <c r="B318" s="168"/>
      <c r="C318" s="220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</row>
    <row r="319" spans="1:24" ht="15.75" customHeight="1">
      <c r="A319" s="168"/>
      <c r="B319" s="168"/>
      <c r="C319" s="220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</row>
    <row r="320" spans="1:24" ht="15.75" customHeight="1">
      <c r="A320" s="168"/>
      <c r="B320" s="168"/>
      <c r="C320" s="220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</row>
    <row r="321" spans="1:24" ht="15.75" customHeight="1">
      <c r="A321" s="168"/>
      <c r="B321" s="168"/>
      <c r="C321" s="220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</row>
    <row r="322" spans="1:24" ht="15.75" customHeight="1">
      <c r="A322" s="168"/>
      <c r="B322" s="168"/>
      <c r="C322" s="220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</row>
    <row r="323" spans="1:24" ht="15.75" customHeight="1">
      <c r="A323" s="168"/>
      <c r="B323" s="168"/>
      <c r="C323" s="220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</row>
    <row r="324" spans="1:24" ht="15.75" customHeight="1">
      <c r="A324" s="168"/>
      <c r="B324" s="168"/>
      <c r="C324" s="220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</row>
    <row r="325" spans="1:24" ht="15.75" customHeight="1"/>
    <row r="326" spans="1:24" ht="15.75" customHeight="1"/>
    <row r="327" spans="1:24" ht="15.75" customHeight="1"/>
    <row r="328" spans="1:24" ht="15.75" customHeight="1"/>
    <row r="329" spans="1:24" ht="15.75" customHeight="1"/>
    <row r="330" spans="1:24" ht="15.75" customHeight="1"/>
    <row r="331" spans="1:24" ht="15.75" customHeight="1"/>
    <row r="332" spans="1:24" ht="15.75" customHeight="1"/>
    <row r="333" spans="1:24" ht="15.75" customHeight="1"/>
    <row r="334" spans="1:24" ht="15.75" customHeight="1"/>
    <row r="335" spans="1:24" ht="15.75" customHeight="1"/>
    <row r="336" spans="1:24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A1556"/>
  <sheetViews>
    <sheetView rightToLeft="1" zoomScale="80" zoomScaleNormal="80" workbookViewId="0">
      <pane ySplit="1" topLeftCell="A2" activePane="bottomLeft" state="frozen"/>
      <selection pane="bottomLeft" activeCell="K780" sqref="K780"/>
    </sheetView>
  </sheetViews>
  <sheetFormatPr baseColWidth="10" defaultColWidth="14.5" defaultRowHeight="15" customHeight="1"/>
  <cols>
    <col min="1" max="1" width="11" customWidth="1"/>
    <col min="2" max="2" width="8.6640625" customWidth="1"/>
    <col min="3" max="3" width="12.5" customWidth="1"/>
    <col min="4" max="5" width="15.5" customWidth="1"/>
    <col min="6" max="6" width="28.83203125" style="90" customWidth="1"/>
    <col min="7" max="7" width="8" customWidth="1"/>
    <col min="8" max="9" width="7.5" customWidth="1"/>
    <col min="10" max="10" width="10.33203125" customWidth="1"/>
    <col min="11" max="11" width="17.5" customWidth="1"/>
    <col min="12" max="12" width="67.5" customWidth="1"/>
    <col min="13" max="16" width="8.6640625" customWidth="1"/>
    <col min="17" max="18" width="8.6640625" hidden="1" customWidth="1"/>
    <col min="19" max="27" width="8.6640625" customWidth="1"/>
  </cols>
  <sheetData>
    <row r="1" spans="1:27" ht="33.75" customHeight="1">
      <c r="A1" s="14" t="s">
        <v>212</v>
      </c>
      <c r="B1" s="15" t="s">
        <v>210</v>
      </c>
      <c r="C1" s="15" t="s">
        <v>318</v>
      </c>
      <c r="D1" s="15" t="s">
        <v>319</v>
      </c>
      <c r="E1" s="15" t="s">
        <v>320</v>
      </c>
      <c r="F1" s="80" t="s">
        <v>321</v>
      </c>
      <c r="G1" s="15" t="s">
        <v>322</v>
      </c>
      <c r="H1" s="15" t="s">
        <v>323</v>
      </c>
      <c r="I1" s="15" t="s">
        <v>324</v>
      </c>
      <c r="J1" s="15" t="s">
        <v>217</v>
      </c>
      <c r="K1" s="15" t="s">
        <v>325</v>
      </c>
      <c r="L1" s="16" t="s">
        <v>326</v>
      </c>
      <c r="M1" s="266" t="s">
        <v>1270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>
      <c r="A2" s="2" t="s">
        <v>327</v>
      </c>
      <c r="B2" s="17">
        <f>SUMIFS('لیست واریزی کل خیرین'!B:B,'لیست واریزی کل خیرین'!D:D,Table1[[#This Row],[نام]],'لیست واریزی کل خیرین'!E:E,Table1[[#This Row],[نام خانوادگی]])</f>
        <v>22</v>
      </c>
      <c r="C2" s="18" t="s">
        <v>387</v>
      </c>
      <c r="D2" s="18" t="s">
        <v>388</v>
      </c>
      <c r="E2" s="19" t="s">
        <v>222</v>
      </c>
      <c r="F2" s="81">
        <v>5029081026862940</v>
      </c>
      <c r="G2" s="21" t="s">
        <v>331</v>
      </c>
      <c r="H2" s="22">
        <f t="shared" ref="H2:H65" si="0">IF(G2="","",VLOOKUP(G2,mah,2,0))</f>
        <v>3</v>
      </c>
      <c r="I2" s="21">
        <v>1401</v>
      </c>
      <c r="J2" s="21"/>
      <c r="K2" s="23">
        <v>2000000</v>
      </c>
      <c r="L2" s="24"/>
      <c r="Q2" s="1" t="s">
        <v>332</v>
      </c>
      <c r="R2" s="1">
        <v>1</v>
      </c>
    </row>
    <row r="3" spans="1:27">
      <c r="A3" s="2" t="s">
        <v>327</v>
      </c>
      <c r="B3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3" s="18" t="s">
        <v>352</v>
      </c>
      <c r="D3" s="18" t="s">
        <v>353</v>
      </c>
      <c r="E3" s="19" t="s">
        <v>219</v>
      </c>
      <c r="F3" s="81">
        <v>6104337871897400</v>
      </c>
      <c r="G3" s="21" t="s">
        <v>331</v>
      </c>
      <c r="H3" s="22">
        <f t="shared" si="0"/>
        <v>3</v>
      </c>
      <c r="I3" s="21">
        <v>1401</v>
      </c>
      <c r="J3" s="21"/>
      <c r="K3" s="23">
        <v>5000000</v>
      </c>
      <c r="L3" s="24"/>
      <c r="Q3" s="1" t="s">
        <v>337</v>
      </c>
      <c r="R3" s="1">
        <v>2</v>
      </c>
    </row>
    <row r="4" spans="1:27">
      <c r="A4" s="2" t="s">
        <v>327</v>
      </c>
      <c r="B4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4" s="18" t="s">
        <v>391</v>
      </c>
      <c r="D4" s="18" t="s">
        <v>392</v>
      </c>
      <c r="E4" s="19" t="s">
        <v>386</v>
      </c>
      <c r="F4" s="81" t="s">
        <v>393</v>
      </c>
      <c r="G4" s="21" t="s">
        <v>331</v>
      </c>
      <c r="H4" s="22">
        <f t="shared" si="0"/>
        <v>3</v>
      </c>
      <c r="I4" s="21">
        <v>1401</v>
      </c>
      <c r="J4" s="21"/>
      <c r="K4" s="23">
        <v>4570</v>
      </c>
      <c r="L4" s="24"/>
      <c r="Q4" s="1" t="s">
        <v>331</v>
      </c>
      <c r="R4" s="1">
        <v>3</v>
      </c>
    </row>
    <row r="5" spans="1:27">
      <c r="A5" s="2" t="s">
        <v>327</v>
      </c>
      <c r="B5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5" s="18" t="s">
        <v>366</v>
      </c>
      <c r="D5" s="18" t="s">
        <v>382</v>
      </c>
      <c r="E5" s="19" t="s">
        <v>383</v>
      </c>
      <c r="F5" s="81">
        <v>6037697598049570</v>
      </c>
      <c r="G5" s="21" t="s">
        <v>331</v>
      </c>
      <c r="H5" s="22">
        <f t="shared" si="0"/>
        <v>3</v>
      </c>
      <c r="I5" s="21">
        <v>1401</v>
      </c>
      <c r="J5" s="21"/>
      <c r="K5" s="23">
        <v>10000000</v>
      </c>
      <c r="L5" s="24"/>
      <c r="Q5" s="1" t="s">
        <v>343</v>
      </c>
      <c r="R5" s="1">
        <v>4</v>
      </c>
    </row>
    <row r="6" spans="1:27">
      <c r="A6" s="2" t="s">
        <v>327</v>
      </c>
      <c r="B6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6" s="18" t="s">
        <v>338</v>
      </c>
      <c r="D6" s="18" t="s">
        <v>339</v>
      </c>
      <c r="E6" s="19" t="s">
        <v>219</v>
      </c>
      <c r="F6" s="81">
        <v>6104337649628050</v>
      </c>
      <c r="G6" s="21" t="s">
        <v>331</v>
      </c>
      <c r="H6" s="22">
        <f t="shared" si="0"/>
        <v>3</v>
      </c>
      <c r="I6" s="21">
        <v>1401</v>
      </c>
      <c r="J6" s="21"/>
      <c r="K6" s="23">
        <v>10000000</v>
      </c>
      <c r="L6" s="24"/>
      <c r="Q6" s="1" t="s">
        <v>346</v>
      </c>
      <c r="R6" s="1">
        <v>5</v>
      </c>
    </row>
    <row r="7" spans="1:27">
      <c r="A7" s="2" t="s">
        <v>327</v>
      </c>
      <c r="B7" s="17">
        <f>SUMIFS('لیست واریزی کل خیرین'!B:B,'لیست واریزی کل خیرین'!D:D,Table1[[#This Row],[نام]],'لیست واریزی کل خیرین'!E:E,Table1[[#This Row],[نام خانوادگی]])</f>
        <v>2</v>
      </c>
      <c r="C7" s="18" t="s">
        <v>333</v>
      </c>
      <c r="D7" s="18" t="s">
        <v>334</v>
      </c>
      <c r="E7" s="19" t="s">
        <v>335</v>
      </c>
      <c r="F7" s="81" t="s">
        <v>336</v>
      </c>
      <c r="G7" s="21" t="s">
        <v>331</v>
      </c>
      <c r="H7" s="22">
        <f t="shared" si="0"/>
        <v>3</v>
      </c>
      <c r="I7" s="21">
        <v>1401</v>
      </c>
      <c r="J7" s="21"/>
      <c r="K7" s="23">
        <v>20000000</v>
      </c>
      <c r="L7" s="24"/>
      <c r="Q7" s="1" t="s">
        <v>348</v>
      </c>
      <c r="R7" s="1">
        <v>6</v>
      </c>
    </row>
    <row r="8" spans="1:27">
      <c r="A8" s="2" t="s">
        <v>327</v>
      </c>
      <c r="B8" s="17">
        <f>SUMIFS('لیست واریزی کل خیرین'!B:B,'لیست واریزی کل خیرین'!D:D,Table1[[#This Row],[نام]],'لیست واریزی کل خیرین'!E:E,Table1[[#This Row],[نام خانوادگی]])</f>
        <v>4</v>
      </c>
      <c r="C8" s="18" t="s">
        <v>340</v>
      </c>
      <c r="D8" s="18" t="s">
        <v>341</v>
      </c>
      <c r="E8" s="19" t="s">
        <v>342</v>
      </c>
      <c r="F8" s="81">
        <v>6219861021865570</v>
      </c>
      <c r="G8" s="21" t="s">
        <v>331</v>
      </c>
      <c r="H8" s="22">
        <f t="shared" si="0"/>
        <v>3</v>
      </c>
      <c r="I8" s="21">
        <v>1401</v>
      </c>
      <c r="J8" s="21"/>
      <c r="K8" s="23">
        <v>2000000</v>
      </c>
      <c r="L8" s="24"/>
      <c r="Q8" s="1" t="s">
        <v>351</v>
      </c>
      <c r="R8" s="1">
        <v>7</v>
      </c>
    </row>
    <row r="9" spans="1:27">
      <c r="A9" s="2" t="s">
        <v>327</v>
      </c>
      <c r="B9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9" s="18" t="s">
        <v>355</v>
      </c>
      <c r="D9" s="18" t="s">
        <v>356</v>
      </c>
      <c r="E9" s="19" t="s">
        <v>219</v>
      </c>
      <c r="F9" s="81">
        <v>6037691526531220</v>
      </c>
      <c r="G9" s="21" t="s">
        <v>331</v>
      </c>
      <c r="H9" s="22">
        <f t="shared" si="0"/>
        <v>3</v>
      </c>
      <c r="I9" s="21">
        <v>1401</v>
      </c>
      <c r="J9" s="21"/>
      <c r="K9" s="23">
        <v>5000000</v>
      </c>
      <c r="L9" s="24"/>
      <c r="Q9" s="1" t="s">
        <v>354</v>
      </c>
      <c r="R9" s="1">
        <v>8</v>
      </c>
    </row>
    <row r="10" spans="1:27">
      <c r="A10" s="2" t="s">
        <v>327</v>
      </c>
      <c r="B10" s="17">
        <f>SUMIFS('لیست واریزی کل خیرین'!B:B,'لیست واریزی کل خیرین'!D:D,Table1[[#This Row],[نام]],'لیست واریزی کل خیرین'!E:E,Table1[[#This Row],[نام خانوادگی]])</f>
        <v>11</v>
      </c>
      <c r="C10" s="25" t="s">
        <v>363</v>
      </c>
      <c r="D10" s="25" t="s">
        <v>364</v>
      </c>
      <c r="E10" s="19" t="s">
        <v>360</v>
      </c>
      <c r="F10" s="81">
        <v>6063731028949880</v>
      </c>
      <c r="G10" s="21" t="s">
        <v>331</v>
      </c>
      <c r="H10" s="22">
        <f t="shared" si="0"/>
        <v>3</v>
      </c>
      <c r="I10" s="21">
        <v>1401</v>
      </c>
      <c r="J10" s="26"/>
      <c r="K10" s="23">
        <v>20000000</v>
      </c>
      <c r="L10" s="27"/>
      <c r="Q10" s="1" t="s">
        <v>357</v>
      </c>
      <c r="R10" s="1">
        <v>9</v>
      </c>
    </row>
    <row r="11" spans="1:27">
      <c r="A11" s="2" t="s">
        <v>327</v>
      </c>
      <c r="B11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11" s="18" t="s">
        <v>349</v>
      </c>
      <c r="D11" s="18" t="s">
        <v>350</v>
      </c>
      <c r="E11" s="19" t="s">
        <v>219</v>
      </c>
      <c r="F11" s="81">
        <v>6037991947370220</v>
      </c>
      <c r="G11" s="21" t="s">
        <v>331</v>
      </c>
      <c r="H11" s="22">
        <f t="shared" si="0"/>
        <v>3</v>
      </c>
      <c r="I11" s="21">
        <v>1401</v>
      </c>
      <c r="J11" s="21"/>
      <c r="K11" s="23">
        <v>5000000</v>
      </c>
      <c r="L11" s="24"/>
      <c r="Q11" s="1" t="s">
        <v>362</v>
      </c>
      <c r="R11" s="1">
        <v>10</v>
      </c>
    </row>
    <row r="12" spans="1:27">
      <c r="A12" s="2" t="s">
        <v>327</v>
      </c>
      <c r="B12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12" s="18" t="s">
        <v>349</v>
      </c>
      <c r="D12" s="18" t="s">
        <v>350</v>
      </c>
      <c r="E12" s="19" t="s">
        <v>383</v>
      </c>
      <c r="F12" s="81">
        <v>6037991947370220</v>
      </c>
      <c r="G12" s="21" t="s">
        <v>331</v>
      </c>
      <c r="H12" s="22">
        <f t="shared" si="0"/>
        <v>3</v>
      </c>
      <c r="I12" s="21">
        <v>1401</v>
      </c>
      <c r="J12" s="21"/>
      <c r="K12" s="23">
        <v>5000000</v>
      </c>
      <c r="L12" s="24" t="s">
        <v>384</v>
      </c>
      <c r="Q12" s="1" t="s">
        <v>365</v>
      </c>
      <c r="R12" s="1">
        <v>11</v>
      </c>
    </row>
    <row r="13" spans="1:27">
      <c r="A13" s="2" t="s">
        <v>327</v>
      </c>
      <c r="B13" s="17">
        <f>SUMIFS('لیست واریزی کل خیرین'!B:B,'لیست واریزی کل خیرین'!D:D,Table1[[#This Row],[نام]],'لیست واریزی کل خیرین'!E:E,Table1[[#This Row],[نام خانوادگی]])</f>
        <v>18</v>
      </c>
      <c r="C13" s="18" t="s">
        <v>378</v>
      </c>
      <c r="D13" s="18" t="s">
        <v>379</v>
      </c>
      <c r="E13" s="19" t="s">
        <v>375</v>
      </c>
      <c r="F13" s="81">
        <v>5.0541616101177901E+17</v>
      </c>
      <c r="G13" s="21" t="s">
        <v>331</v>
      </c>
      <c r="H13" s="22">
        <f t="shared" si="0"/>
        <v>3</v>
      </c>
      <c r="I13" s="21">
        <v>1401</v>
      </c>
      <c r="J13" s="21"/>
      <c r="K13" s="23">
        <v>50000000</v>
      </c>
      <c r="L13" s="24"/>
      <c r="Q13" s="1" t="s">
        <v>368</v>
      </c>
      <c r="R13" s="1">
        <v>12</v>
      </c>
    </row>
    <row r="14" spans="1:27">
      <c r="A14" s="2" t="s">
        <v>327</v>
      </c>
      <c r="B14" s="17">
        <f>SUMIFS('لیست واریزی کل خیرین'!B:B,'لیست واریزی کل خیرین'!D:D,Table1[[#This Row],[نام]],'لیست واریزی کل خیرین'!E:E,Table1[[#This Row],[نام خانوادگی]])</f>
        <v>12</v>
      </c>
      <c r="C14" s="25" t="s">
        <v>366</v>
      </c>
      <c r="D14" s="25" t="s">
        <v>367</v>
      </c>
      <c r="E14" s="19" t="s">
        <v>360</v>
      </c>
      <c r="F14" s="81">
        <v>5022291500410800</v>
      </c>
      <c r="G14" s="21" t="s">
        <v>331</v>
      </c>
      <c r="H14" s="22">
        <f t="shared" si="0"/>
        <v>3</v>
      </c>
      <c r="I14" s="21">
        <v>1401</v>
      </c>
      <c r="J14" s="26"/>
      <c r="K14" s="23">
        <v>5000000</v>
      </c>
      <c r="L14" s="27"/>
    </row>
    <row r="15" spans="1:27">
      <c r="A15" s="2" t="s">
        <v>327</v>
      </c>
      <c r="B15" s="17">
        <f>SUMIFS('لیست واریزی کل خیرین'!B:B,'لیست واریزی کل خیرین'!D:D,Table1[[#This Row],[نام]],'لیست واریزی کل خیرین'!E:E,Table1[[#This Row],[نام خانوادگی]])</f>
        <v>14</v>
      </c>
      <c r="C15" s="25" t="s">
        <v>71</v>
      </c>
      <c r="D15" s="25" t="s">
        <v>371</v>
      </c>
      <c r="E15" s="19" t="s">
        <v>360</v>
      </c>
      <c r="F15" s="81">
        <v>5057851003297340</v>
      </c>
      <c r="G15" s="21" t="s">
        <v>331</v>
      </c>
      <c r="H15" s="22">
        <f t="shared" si="0"/>
        <v>3</v>
      </c>
      <c r="I15" s="21">
        <v>1401</v>
      </c>
      <c r="J15" s="26"/>
      <c r="K15" s="23">
        <v>10000000</v>
      </c>
      <c r="L15" s="27"/>
    </row>
    <row r="16" spans="1:27">
      <c r="A16" s="2" t="s">
        <v>327</v>
      </c>
      <c r="B16" s="17">
        <f>SUMIFS('لیست واریزی کل خیرین'!B:B,'لیست واریزی کل خیرین'!D:D,Table1[[#This Row],[نام]],'لیست واریزی کل خیرین'!E:E,Table1[[#This Row],[نام خانوادگی]])</f>
        <v>17</v>
      </c>
      <c r="C16" s="25" t="s">
        <v>376</v>
      </c>
      <c r="D16" s="25" t="s">
        <v>377</v>
      </c>
      <c r="E16" s="19" t="s">
        <v>375</v>
      </c>
      <c r="F16" s="81">
        <v>6104337850364350</v>
      </c>
      <c r="G16" s="21" t="s">
        <v>331</v>
      </c>
      <c r="H16" s="22">
        <f t="shared" si="0"/>
        <v>3</v>
      </c>
      <c r="I16" s="21">
        <v>1401</v>
      </c>
      <c r="J16" s="26"/>
      <c r="K16" s="23">
        <v>15000000</v>
      </c>
      <c r="L16" s="27"/>
    </row>
    <row r="17" spans="1:12">
      <c r="A17" s="2" t="s">
        <v>327</v>
      </c>
      <c r="B17" s="17">
        <f>SUMIFS('لیست واریزی کل خیرین'!B:B,'لیست واریزی کل خیرین'!D:D,Table1[[#This Row],[نام]],'لیست واریزی کل خیرین'!E:E,Table1[[#This Row],[نام خانوادگی]])</f>
        <v>16</v>
      </c>
      <c r="C17" s="25" t="s">
        <v>366</v>
      </c>
      <c r="D17" s="25" t="s">
        <v>374</v>
      </c>
      <c r="E17" s="19" t="s">
        <v>375</v>
      </c>
      <c r="F17" s="81">
        <v>6037998112152490</v>
      </c>
      <c r="G17" s="21" t="s">
        <v>331</v>
      </c>
      <c r="H17" s="22">
        <f t="shared" si="0"/>
        <v>3</v>
      </c>
      <c r="I17" s="21">
        <v>1401</v>
      </c>
      <c r="J17" s="26"/>
      <c r="K17" s="23">
        <v>3000000</v>
      </c>
      <c r="L17" s="27" t="s">
        <v>1271</v>
      </c>
    </row>
    <row r="18" spans="1:12">
      <c r="A18" s="2" t="s">
        <v>327</v>
      </c>
      <c r="B18" s="17">
        <f>SUMIFS('لیست واریزی کل خیرین'!B:B,'لیست واریزی کل خیرین'!D:D,Table1[[#This Row],[نام]],'لیست واریزی کل خیرین'!E:E,Table1[[#This Row],[نام خانوادگی]])</f>
        <v>6</v>
      </c>
      <c r="C18" s="18" t="s">
        <v>76</v>
      </c>
      <c r="D18" s="18" t="s">
        <v>347</v>
      </c>
      <c r="E18" s="19" t="s">
        <v>330</v>
      </c>
      <c r="F18" s="81">
        <v>6037697540254170</v>
      </c>
      <c r="G18" s="21" t="s">
        <v>331</v>
      </c>
      <c r="H18" s="22">
        <f t="shared" si="0"/>
        <v>3</v>
      </c>
      <c r="I18" s="21">
        <v>1401</v>
      </c>
      <c r="J18" s="21"/>
      <c r="K18" s="23">
        <v>5000000</v>
      </c>
      <c r="L18" s="24"/>
    </row>
    <row r="19" spans="1:12" ht="15.75" customHeight="1">
      <c r="A19" s="2" t="s">
        <v>327</v>
      </c>
      <c r="B19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19" s="18" t="s">
        <v>358</v>
      </c>
      <c r="D19" s="18" t="s">
        <v>359</v>
      </c>
      <c r="E19" s="19" t="s">
        <v>360</v>
      </c>
      <c r="F19" s="81" t="s">
        <v>361</v>
      </c>
      <c r="G19" s="21" t="s">
        <v>331</v>
      </c>
      <c r="H19" s="22">
        <f t="shared" si="0"/>
        <v>3</v>
      </c>
      <c r="I19" s="21">
        <v>1401</v>
      </c>
      <c r="J19" s="21"/>
      <c r="K19" s="23">
        <v>100000000</v>
      </c>
      <c r="L19" s="24"/>
    </row>
    <row r="20" spans="1:12" ht="15.75" customHeight="1">
      <c r="A20" s="2" t="s">
        <v>327</v>
      </c>
      <c r="B20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20" s="18" t="s">
        <v>328</v>
      </c>
      <c r="D20" s="18" t="s">
        <v>329</v>
      </c>
      <c r="E20" s="19" t="s">
        <v>330</v>
      </c>
      <c r="F20" s="81">
        <v>6037697647873780</v>
      </c>
      <c r="G20" s="21" t="s">
        <v>331</v>
      </c>
      <c r="H20" s="22">
        <f t="shared" si="0"/>
        <v>3</v>
      </c>
      <c r="I20" s="21">
        <v>1401</v>
      </c>
      <c r="J20" s="21"/>
      <c r="K20" s="23">
        <v>30000000</v>
      </c>
      <c r="L20" s="24"/>
    </row>
    <row r="21" spans="1:12" ht="15.75" customHeight="1">
      <c r="A21" s="2" t="s">
        <v>327</v>
      </c>
      <c r="B21" s="17">
        <f>SUMIFS('لیست واریزی کل خیرین'!B:B,'لیست واریزی کل خیرین'!D:D,Table1[[#This Row],[نام]],'لیست واریزی کل خیرین'!E:E,Table1[[#This Row],[نام خانوادگی]])</f>
        <v>15</v>
      </c>
      <c r="C21" s="25" t="s">
        <v>372</v>
      </c>
      <c r="D21" s="25" t="s">
        <v>373</v>
      </c>
      <c r="E21" s="19" t="s">
        <v>220</v>
      </c>
      <c r="F21" s="81">
        <v>5894631848058950</v>
      </c>
      <c r="G21" s="21" t="s">
        <v>331</v>
      </c>
      <c r="H21" s="22">
        <f t="shared" si="0"/>
        <v>3</v>
      </c>
      <c r="I21" s="21">
        <v>1401</v>
      </c>
      <c r="J21" s="26"/>
      <c r="K21" s="23">
        <v>10000000</v>
      </c>
      <c r="L21" s="27"/>
    </row>
    <row r="22" spans="1:12" ht="15.75" customHeight="1">
      <c r="A22" s="2" t="s">
        <v>327</v>
      </c>
      <c r="B22" s="17">
        <f>SUMIFS('لیست واریزی کل خیرین'!B:B,'لیست واریزی کل خیرین'!D:D,Table1[[#This Row],[نام]],'لیست واریزی کل خیرین'!E:E,Table1[[#This Row],[نام خانوادگی]])</f>
        <v>19</v>
      </c>
      <c r="C22" s="18" t="s">
        <v>363</v>
      </c>
      <c r="D22" s="18" t="s">
        <v>380</v>
      </c>
      <c r="E22" s="19" t="s">
        <v>375</v>
      </c>
      <c r="F22" s="81" t="s">
        <v>381</v>
      </c>
      <c r="G22" s="21" t="s">
        <v>331</v>
      </c>
      <c r="H22" s="22">
        <f t="shared" si="0"/>
        <v>3</v>
      </c>
      <c r="I22" s="21">
        <v>1401</v>
      </c>
      <c r="J22" s="21"/>
      <c r="K22" s="23">
        <v>20000000</v>
      </c>
      <c r="L22" s="24"/>
    </row>
    <row r="23" spans="1:12" ht="15.75" customHeight="1">
      <c r="A23" s="2" t="s">
        <v>327</v>
      </c>
      <c r="B23" s="17">
        <f>SUMIFS('لیست واریزی کل خیرین'!B:B,'لیست واریزی کل خیرین'!D:D,Table1[[#This Row],[نام]],'لیست واریزی کل خیرین'!E:E,Table1[[#This Row],[نام خانوادگی]])</f>
        <v>13</v>
      </c>
      <c r="C23" s="25" t="s">
        <v>355</v>
      </c>
      <c r="D23" s="25" t="s">
        <v>369</v>
      </c>
      <c r="E23" s="19" t="s">
        <v>220</v>
      </c>
      <c r="F23" s="81">
        <v>6219861052116010</v>
      </c>
      <c r="G23" s="21" t="s">
        <v>331</v>
      </c>
      <c r="H23" s="22">
        <f t="shared" si="0"/>
        <v>3</v>
      </c>
      <c r="I23" s="21">
        <v>1401</v>
      </c>
      <c r="J23" s="26"/>
      <c r="K23" s="23">
        <v>2500000</v>
      </c>
      <c r="L23" s="27" t="s">
        <v>370</v>
      </c>
    </row>
    <row r="24" spans="1:12" ht="15.75" customHeight="1">
      <c r="A24" s="2" t="s">
        <v>327</v>
      </c>
      <c r="B24" s="17">
        <f>SUMIFS('لیست واریزی کل خیرین'!B:B,'لیست واریزی کل خیرین'!D:D,Table1[[#This Row],[نام]],'لیست واریزی کل خیرین'!E:E,Table1[[#This Row],[نام خانوادگی]])</f>
        <v>5</v>
      </c>
      <c r="C24" s="18" t="s">
        <v>344</v>
      </c>
      <c r="D24" s="18" t="s">
        <v>345</v>
      </c>
      <c r="E24" s="19" t="s">
        <v>342</v>
      </c>
      <c r="F24" s="81">
        <v>5859831202663190</v>
      </c>
      <c r="G24" s="21" t="s">
        <v>331</v>
      </c>
      <c r="H24" s="22">
        <f t="shared" si="0"/>
        <v>3</v>
      </c>
      <c r="I24" s="21">
        <v>1401</v>
      </c>
      <c r="J24" s="21"/>
      <c r="K24" s="23">
        <v>5000000</v>
      </c>
      <c r="L24" s="24"/>
    </row>
    <row r="25" spans="1:12" ht="15.75" customHeight="1">
      <c r="A25" s="2" t="s">
        <v>327</v>
      </c>
      <c r="B25" s="17">
        <f>SUMIFS('لیست واریزی کل خیرین'!B:B,'لیست واریزی کل خیرین'!D:D,Table1[[#This Row],[نام]],'لیست واریزی کل خیرین'!E:E,Table1[[#This Row],[نام خانوادگی]])</f>
        <v>21</v>
      </c>
      <c r="C25" s="18" t="s">
        <v>366</v>
      </c>
      <c r="D25" s="18" t="s">
        <v>385</v>
      </c>
      <c r="E25" s="19" t="s">
        <v>386</v>
      </c>
      <c r="F25" s="81">
        <v>5022291029404080</v>
      </c>
      <c r="G25" s="21" t="s">
        <v>331</v>
      </c>
      <c r="H25" s="22">
        <f t="shared" si="0"/>
        <v>3</v>
      </c>
      <c r="I25" s="21">
        <v>1401</v>
      </c>
      <c r="J25" s="21"/>
      <c r="K25" s="23">
        <v>5000000</v>
      </c>
      <c r="L25" s="24"/>
    </row>
    <row r="26" spans="1:12" ht="15.75" customHeight="1">
      <c r="A26" s="2" t="s">
        <v>327</v>
      </c>
      <c r="B26" s="17">
        <f>SUMIFS('لیست واریزی کل خیرین'!B:B,'لیست واریزی کل خیرین'!D:D,Table1[[#This Row],[نام]],'لیست واریزی کل خیرین'!E:E,Table1[[#This Row],[نام خانوادگی]])</f>
        <v>23</v>
      </c>
      <c r="C26" s="21" t="s">
        <v>457</v>
      </c>
      <c r="D26" s="21" t="s">
        <v>390</v>
      </c>
      <c r="E26" s="19" t="s">
        <v>222</v>
      </c>
      <c r="F26" s="81">
        <v>5022291049723550</v>
      </c>
      <c r="G26" s="21" t="s">
        <v>331</v>
      </c>
      <c r="H26" s="22">
        <f t="shared" si="0"/>
        <v>3</v>
      </c>
      <c r="I26" s="21">
        <v>1401</v>
      </c>
      <c r="J26" s="21"/>
      <c r="K26" s="23">
        <v>10000000</v>
      </c>
      <c r="L26" s="24"/>
    </row>
    <row r="27" spans="1:12" ht="15.75" customHeight="1">
      <c r="A27" s="2" t="s">
        <v>327</v>
      </c>
      <c r="B27" s="17">
        <f>SUMIFS('لیست واریزی کل خیرین'!B:B,'لیست واریزی کل خیرین'!D:D,Table1[[#This Row],[نام]],'لیست واریزی کل خیرین'!E:E,Table1[[#This Row],[نام خانوادگی]])</f>
        <v>28</v>
      </c>
      <c r="C27" s="18" t="s">
        <v>414</v>
      </c>
      <c r="D27" s="18" t="s">
        <v>415</v>
      </c>
      <c r="E27" s="19" t="s">
        <v>416</v>
      </c>
      <c r="F27" s="81">
        <v>6037997170998600</v>
      </c>
      <c r="G27" s="21" t="s">
        <v>343</v>
      </c>
      <c r="H27" s="22">
        <f t="shared" si="0"/>
        <v>4</v>
      </c>
      <c r="I27" s="21">
        <v>1401</v>
      </c>
      <c r="J27" s="21"/>
      <c r="K27" s="23">
        <v>10000000</v>
      </c>
      <c r="L27" s="24" t="s">
        <v>417</v>
      </c>
    </row>
    <row r="28" spans="1:12" ht="15.75" customHeight="1">
      <c r="A28" s="2" t="s">
        <v>327</v>
      </c>
      <c r="B28" s="17">
        <f>SUMIFS('لیست واریزی کل خیرین'!B:B,'لیست واریزی کل خیرین'!D:D,Table1[[#This Row],[نام]],'لیست واریزی کل خیرین'!E:E,Table1[[#This Row],[نام خانوادگی]])</f>
        <v>22</v>
      </c>
      <c r="C28" s="18" t="s">
        <v>387</v>
      </c>
      <c r="D28" s="18" t="s">
        <v>388</v>
      </c>
      <c r="E28" s="19" t="s">
        <v>428</v>
      </c>
      <c r="F28" s="81">
        <v>5029081026862940</v>
      </c>
      <c r="G28" s="21" t="s">
        <v>343</v>
      </c>
      <c r="H28" s="22">
        <f t="shared" si="0"/>
        <v>4</v>
      </c>
      <c r="I28" s="21">
        <v>1401</v>
      </c>
      <c r="J28" s="21"/>
      <c r="K28" s="23">
        <v>2000000</v>
      </c>
      <c r="L28" s="24"/>
    </row>
    <row r="29" spans="1:12" ht="15.75" customHeight="1">
      <c r="A29" s="2" t="s">
        <v>327</v>
      </c>
      <c r="B29" s="17">
        <f>SUMIFS('لیست واریزی کل خیرین'!B:B,'لیست واریزی کل خیرین'!D:D,Table1[[#This Row],[نام]],'لیست واریزی کل خیرین'!E:E,Table1[[#This Row],[نام خانوادگی]])</f>
        <v>30</v>
      </c>
      <c r="C29" s="18" t="s">
        <v>421</v>
      </c>
      <c r="D29" s="18" t="s">
        <v>422</v>
      </c>
      <c r="E29" s="19" t="s">
        <v>420</v>
      </c>
      <c r="F29" s="81">
        <v>5022291042872230</v>
      </c>
      <c r="G29" s="21" t="s">
        <v>343</v>
      </c>
      <c r="H29" s="22">
        <f t="shared" si="0"/>
        <v>4</v>
      </c>
      <c r="I29" s="21">
        <v>1401</v>
      </c>
      <c r="J29" s="21"/>
      <c r="K29" s="23">
        <v>10000000</v>
      </c>
      <c r="L29" s="24"/>
    </row>
    <row r="30" spans="1:12" ht="15.75" customHeight="1">
      <c r="A30" s="2" t="s">
        <v>327</v>
      </c>
      <c r="B30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30" s="18" t="s">
        <v>352</v>
      </c>
      <c r="D30" s="18" t="s">
        <v>353</v>
      </c>
      <c r="E30" s="57" t="s">
        <v>409</v>
      </c>
      <c r="F30" s="81">
        <v>6104337604787130</v>
      </c>
      <c r="G30" s="21" t="s">
        <v>343</v>
      </c>
      <c r="H30" s="22">
        <f t="shared" si="0"/>
        <v>4</v>
      </c>
      <c r="I30" s="21">
        <v>1401</v>
      </c>
      <c r="J30" s="21"/>
      <c r="K30" s="23">
        <v>5000000</v>
      </c>
      <c r="L30" s="24"/>
    </row>
    <row r="31" spans="1:12" ht="15.75" customHeight="1">
      <c r="A31" s="2" t="s">
        <v>327</v>
      </c>
      <c r="B31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31" s="18" t="s">
        <v>391</v>
      </c>
      <c r="D31" s="18" t="s">
        <v>392</v>
      </c>
      <c r="E31" s="19" t="s">
        <v>437</v>
      </c>
      <c r="F31" s="81" t="s">
        <v>393</v>
      </c>
      <c r="G31" s="21" t="s">
        <v>343</v>
      </c>
      <c r="H31" s="22">
        <f t="shared" si="0"/>
        <v>4</v>
      </c>
      <c r="I31" s="21">
        <v>1401</v>
      </c>
      <c r="J31" s="21"/>
      <c r="K31" s="23">
        <v>61172</v>
      </c>
      <c r="L31" s="24"/>
    </row>
    <row r="32" spans="1:12" ht="15.75" customHeight="1">
      <c r="A32" s="2" t="s">
        <v>327</v>
      </c>
      <c r="B32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32" s="18" t="s">
        <v>366</v>
      </c>
      <c r="D32" s="18" t="s">
        <v>382</v>
      </c>
      <c r="E32" s="19" t="s">
        <v>428</v>
      </c>
      <c r="F32" s="81">
        <v>6037697598049570</v>
      </c>
      <c r="G32" s="21" t="s">
        <v>343</v>
      </c>
      <c r="H32" s="22">
        <f t="shared" si="0"/>
        <v>4</v>
      </c>
      <c r="I32" s="21">
        <v>1401</v>
      </c>
      <c r="J32" s="21"/>
      <c r="K32" s="23">
        <v>10000000</v>
      </c>
      <c r="L32" s="24"/>
    </row>
    <row r="33" spans="1:12" ht="15.75" customHeight="1">
      <c r="A33" s="2" t="s">
        <v>327</v>
      </c>
      <c r="B33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33" s="18" t="s">
        <v>338</v>
      </c>
      <c r="D33" s="18" t="s">
        <v>339</v>
      </c>
      <c r="E33" s="19" t="s">
        <v>411</v>
      </c>
      <c r="F33" s="81">
        <v>6104337649628050</v>
      </c>
      <c r="G33" s="21" t="s">
        <v>343</v>
      </c>
      <c r="H33" s="22">
        <f t="shared" si="0"/>
        <v>4</v>
      </c>
      <c r="I33" s="21">
        <v>1401</v>
      </c>
      <c r="J33" s="21"/>
      <c r="K33" s="23">
        <v>10000000</v>
      </c>
      <c r="L33" s="24"/>
    </row>
    <row r="34" spans="1:12" ht="15.75" customHeight="1">
      <c r="B34" s="17">
        <f>SUMIFS('لیست واریزی کل خیرین'!B:B,'لیست واریزی کل خیرین'!D:D,Table1[[#This Row],[نام]],'لیست واریزی کل خیرین'!E:E,Table1[[#This Row],[نام خانوادگی]])</f>
        <v>2</v>
      </c>
      <c r="C34" s="18" t="s">
        <v>333</v>
      </c>
      <c r="D34" s="18" t="s">
        <v>334</v>
      </c>
      <c r="E34" s="19" t="s">
        <v>406</v>
      </c>
      <c r="F34" s="81" t="s">
        <v>407</v>
      </c>
      <c r="G34" s="21" t="s">
        <v>343</v>
      </c>
      <c r="H34" s="22">
        <f t="shared" si="0"/>
        <v>4</v>
      </c>
      <c r="I34" s="21">
        <v>1401</v>
      </c>
      <c r="J34" s="21"/>
      <c r="K34" s="23">
        <v>5000000</v>
      </c>
      <c r="L34" s="24"/>
    </row>
    <row r="35" spans="1:12" ht="15.75" customHeight="1">
      <c r="A35" s="2" t="s">
        <v>327</v>
      </c>
      <c r="B35" s="17">
        <f>SUMIFS('لیست واریزی کل خیرین'!B:B,'لیست واریزی کل خیرین'!D:D,Table1[[#This Row],[نام]],'لیست واریزی کل خیرین'!E:E,Table1[[#This Row],[نام خانوادگی]])</f>
        <v>2</v>
      </c>
      <c r="C35" s="18" t="s">
        <v>333</v>
      </c>
      <c r="D35" s="18" t="s">
        <v>334</v>
      </c>
      <c r="E35" s="19" t="s">
        <v>423</v>
      </c>
      <c r="F35" s="81" t="s">
        <v>424</v>
      </c>
      <c r="G35" s="21" t="s">
        <v>343</v>
      </c>
      <c r="H35" s="22">
        <f t="shared" si="0"/>
        <v>4</v>
      </c>
      <c r="I35" s="21">
        <v>1401</v>
      </c>
      <c r="J35" s="21"/>
      <c r="K35" s="23">
        <v>15000000</v>
      </c>
      <c r="L35" s="24" t="s">
        <v>384</v>
      </c>
    </row>
    <row r="36" spans="1:12" ht="15.75" customHeight="1">
      <c r="A36" s="2" t="s">
        <v>327</v>
      </c>
      <c r="B36" s="17">
        <f>SUMIFS('لیست واریزی کل خیرین'!B:B,'لیست واریزی کل خیرین'!D:D,Table1[[#This Row],[نام]],'لیست واریزی کل خیرین'!E:E,Table1[[#This Row],[نام خانوادگی]])</f>
        <v>4</v>
      </c>
      <c r="C36" s="18" t="s">
        <v>340</v>
      </c>
      <c r="D36" s="18" t="s">
        <v>341</v>
      </c>
      <c r="E36" s="19" t="s">
        <v>408</v>
      </c>
      <c r="F36" s="81">
        <v>6219861021865570</v>
      </c>
      <c r="G36" s="21" t="s">
        <v>343</v>
      </c>
      <c r="H36" s="22">
        <f t="shared" si="0"/>
        <v>4</v>
      </c>
      <c r="I36" s="21">
        <v>1401</v>
      </c>
      <c r="J36" s="21"/>
      <c r="K36" s="23">
        <v>2000000</v>
      </c>
      <c r="L36" s="24"/>
    </row>
    <row r="37" spans="1:12" ht="15.75" customHeight="1">
      <c r="A37" s="2" t="s">
        <v>327</v>
      </c>
      <c r="B37" s="17">
        <f>SUMIFS('لیست واریزی کل خیرین'!B:B,'لیست واریزی کل خیرین'!D:D,Table1[[#This Row],[نام]],'لیست واریزی کل خیرین'!E:E,Table1[[#This Row],[نام خانوادگی]])</f>
        <v>26</v>
      </c>
      <c r="C37" s="18" t="s">
        <v>76</v>
      </c>
      <c r="D37" s="18" t="s">
        <v>403</v>
      </c>
      <c r="E37" s="19" t="s">
        <v>404</v>
      </c>
      <c r="F37" s="81">
        <v>6037991767359810</v>
      </c>
      <c r="G37" s="21" t="s">
        <v>343</v>
      </c>
      <c r="H37" s="22">
        <f t="shared" si="0"/>
        <v>4</v>
      </c>
      <c r="I37" s="21">
        <v>1401</v>
      </c>
      <c r="J37" s="21"/>
      <c r="K37" s="23">
        <v>10000000</v>
      </c>
      <c r="L37" s="24"/>
    </row>
    <row r="38" spans="1:12" ht="15.75" customHeight="1">
      <c r="A38" s="2" t="s">
        <v>327</v>
      </c>
      <c r="B38" s="17">
        <f>SUMIFS('لیست واریزی کل خیرین'!B:B,'لیست واریزی کل خیرین'!D:D,Table1[[#This Row],[نام]],'لیست واریزی کل خیرین'!E:E,Table1[[#This Row],[نام خانوادگی]])</f>
        <v>25</v>
      </c>
      <c r="C38" s="18" t="s">
        <v>401</v>
      </c>
      <c r="D38" s="18" t="s">
        <v>402</v>
      </c>
      <c r="E38" s="19" t="s">
        <v>226</v>
      </c>
      <c r="F38" s="81">
        <v>6037997248149000</v>
      </c>
      <c r="G38" s="21" t="s">
        <v>343</v>
      </c>
      <c r="H38" s="22">
        <f t="shared" si="0"/>
        <v>4</v>
      </c>
      <c r="I38" s="21">
        <v>1401</v>
      </c>
      <c r="J38" s="21"/>
      <c r="K38" s="23">
        <v>30000000</v>
      </c>
      <c r="L38" s="24"/>
    </row>
    <row r="39" spans="1:12" ht="15.75" customHeight="1">
      <c r="A39" s="2" t="s">
        <v>327</v>
      </c>
      <c r="B39" s="17">
        <f>SUMIFS('لیست واریزی کل خیرین'!B:B,'لیست واریزی کل خیرین'!D:D,Table1[[#This Row],[نام]],'لیست واریزی کل خیرین'!E:E,Table1[[#This Row],[نام خانوادگی]])</f>
        <v>39</v>
      </c>
      <c r="C39" s="18" t="s">
        <v>76</v>
      </c>
      <c r="D39" s="18" t="s">
        <v>394</v>
      </c>
      <c r="E39" s="19" t="s">
        <v>395</v>
      </c>
      <c r="F39" s="81">
        <v>6037697608050220</v>
      </c>
      <c r="G39" s="21" t="s">
        <v>343</v>
      </c>
      <c r="H39" s="22">
        <f t="shared" si="0"/>
        <v>4</v>
      </c>
      <c r="I39" s="21">
        <v>1401</v>
      </c>
      <c r="J39" s="21"/>
      <c r="K39" s="23">
        <v>16000000</v>
      </c>
      <c r="L39" s="24" t="s">
        <v>396</v>
      </c>
    </row>
    <row r="40" spans="1:12" ht="15.75" customHeight="1">
      <c r="A40" s="2" t="s">
        <v>327</v>
      </c>
      <c r="B40" s="17">
        <f>SUMIFS('لیست واریزی کل خیرین'!B:B,'لیست واریزی کل خیرین'!D:D,Table1[[#This Row],[نام]],'لیست واریزی کل خیرین'!E:E,Table1[[#This Row],[نام خانوادگی]])</f>
        <v>24</v>
      </c>
      <c r="C40" s="18" t="s">
        <v>398</v>
      </c>
      <c r="D40" s="18" t="s">
        <v>399</v>
      </c>
      <c r="E40" s="19" t="s">
        <v>397</v>
      </c>
      <c r="F40" s="81">
        <v>5022291304273110</v>
      </c>
      <c r="G40" s="21" t="s">
        <v>343</v>
      </c>
      <c r="H40" s="22">
        <f t="shared" si="0"/>
        <v>4</v>
      </c>
      <c r="I40" s="21">
        <v>1401</v>
      </c>
      <c r="J40" s="21" t="s">
        <v>400</v>
      </c>
      <c r="K40" s="23">
        <v>5000000</v>
      </c>
      <c r="L40" s="24"/>
    </row>
    <row r="41" spans="1:12" ht="15.75" customHeight="1">
      <c r="A41" s="2" t="s">
        <v>327</v>
      </c>
      <c r="B41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41" s="18" t="s">
        <v>355</v>
      </c>
      <c r="D41" s="18" t="s">
        <v>356</v>
      </c>
      <c r="E41" s="19" t="s">
        <v>406</v>
      </c>
      <c r="F41" s="81">
        <v>6037691526531220</v>
      </c>
      <c r="G41" s="21" t="s">
        <v>343</v>
      </c>
      <c r="H41" s="22">
        <f t="shared" si="0"/>
        <v>4</v>
      </c>
      <c r="I41" s="21">
        <v>1401</v>
      </c>
      <c r="J41" s="21"/>
      <c r="K41" s="23">
        <v>5000000</v>
      </c>
      <c r="L41" s="24"/>
    </row>
    <row r="42" spans="1:12" ht="15.75" customHeight="1">
      <c r="A42" s="2" t="s">
        <v>327</v>
      </c>
      <c r="B42" s="17">
        <f>SUMIFS('لیست واریزی کل خیرین'!B:B,'لیست واریزی کل خیرین'!D:D,Table1[[#This Row],[نام]],'لیست واریزی کل خیرین'!E:E,Table1[[#This Row],[نام خانوادگی]])</f>
        <v>11</v>
      </c>
      <c r="C42" s="18" t="s">
        <v>363</v>
      </c>
      <c r="D42" s="18" t="s">
        <v>364</v>
      </c>
      <c r="E42" s="19" t="s">
        <v>405</v>
      </c>
      <c r="F42" s="81">
        <v>6063731028949880</v>
      </c>
      <c r="G42" s="21" t="s">
        <v>343</v>
      </c>
      <c r="H42" s="22">
        <f t="shared" si="0"/>
        <v>4</v>
      </c>
      <c r="I42" s="21">
        <v>1401</v>
      </c>
      <c r="J42" s="21"/>
      <c r="K42" s="23">
        <v>20000000</v>
      </c>
      <c r="L42" s="24"/>
    </row>
    <row r="43" spans="1:12" ht="15.75" customHeight="1">
      <c r="A43" s="2" t="s">
        <v>327</v>
      </c>
      <c r="B43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43" s="18" t="s">
        <v>349</v>
      </c>
      <c r="D43" s="18" t="s">
        <v>350</v>
      </c>
      <c r="E43" s="57" t="s">
        <v>592</v>
      </c>
      <c r="F43" s="81">
        <v>6037991947370220</v>
      </c>
      <c r="G43" s="21" t="s">
        <v>343</v>
      </c>
      <c r="H43" s="22">
        <f t="shared" si="0"/>
        <v>4</v>
      </c>
      <c r="I43" s="21">
        <v>1401</v>
      </c>
      <c r="J43" s="21"/>
      <c r="K43" s="23">
        <v>5000000</v>
      </c>
      <c r="L43" s="24"/>
    </row>
    <row r="44" spans="1:12" ht="15.75" customHeight="1">
      <c r="A44" s="2" t="s">
        <v>327</v>
      </c>
      <c r="B44" s="17">
        <f>SUMIFS('لیست واریزی کل خیرین'!B:B,'لیست واریزی کل خیرین'!D:D,Table1[[#This Row],[نام]],'لیست واریزی کل خیرین'!E:E,Table1[[#This Row],[نام خانوادگی]])</f>
        <v>12</v>
      </c>
      <c r="C44" s="18" t="s">
        <v>366</v>
      </c>
      <c r="D44" s="18" t="s">
        <v>367</v>
      </c>
      <c r="E44" s="19" t="s">
        <v>397</v>
      </c>
      <c r="F44" s="81">
        <v>5022291500410800</v>
      </c>
      <c r="G44" s="21" t="s">
        <v>343</v>
      </c>
      <c r="H44" s="22">
        <f t="shared" si="0"/>
        <v>4</v>
      </c>
      <c r="I44" s="21">
        <v>1401</v>
      </c>
      <c r="J44" s="21"/>
      <c r="K44" s="23">
        <v>3000000</v>
      </c>
      <c r="L44" s="24"/>
    </row>
    <row r="45" spans="1:12" ht="15.75" customHeight="1">
      <c r="A45" s="2" t="s">
        <v>327</v>
      </c>
      <c r="B45" s="17">
        <f>SUMIFS('لیست واریزی کل خیرین'!B:B,'لیست واریزی کل خیرین'!D:D,Table1[[#This Row],[نام]],'لیست واریزی کل خیرین'!E:E,Table1[[#This Row],[نام خانوادگی]])</f>
        <v>14</v>
      </c>
      <c r="C45" s="18" t="s">
        <v>71</v>
      </c>
      <c r="D45" s="18" t="s">
        <v>371</v>
      </c>
      <c r="E45" s="19" t="s">
        <v>427</v>
      </c>
      <c r="F45" s="81">
        <v>5859831113825420</v>
      </c>
      <c r="G45" s="21" t="s">
        <v>343</v>
      </c>
      <c r="H45" s="22">
        <f t="shared" si="0"/>
        <v>4</v>
      </c>
      <c r="I45" s="21">
        <v>1401</v>
      </c>
      <c r="J45" s="21"/>
      <c r="K45" s="23">
        <v>10000000</v>
      </c>
      <c r="L45" s="24"/>
    </row>
    <row r="46" spans="1:12" ht="15.75" customHeight="1">
      <c r="A46" s="2" t="s">
        <v>327</v>
      </c>
      <c r="B46" s="46">
        <f>SUMIFS('لیست واریزی کل خیرین'!B:B,'لیست واریزی کل خیرین'!D:D,Table1[[#This Row],[نام]],'لیست واریزی کل خیرین'!E:E,Table1[[#This Row],[نام خانوادگی]])</f>
        <v>17</v>
      </c>
      <c r="C46" s="56" t="s">
        <v>376</v>
      </c>
      <c r="D46" s="56" t="s">
        <v>377</v>
      </c>
      <c r="E46" s="47" t="s">
        <v>435</v>
      </c>
      <c r="F46" s="85">
        <v>6104337850364350</v>
      </c>
      <c r="G46" s="21" t="s">
        <v>343</v>
      </c>
      <c r="H46" s="51">
        <f t="shared" si="0"/>
        <v>4</v>
      </c>
      <c r="I46" s="49">
        <v>1401</v>
      </c>
      <c r="J46" s="49"/>
      <c r="K46" s="53">
        <v>15000000</v>
      </c>
      <c r="L46" s="55" t="s">
        <v>436</v>
      </c>
    </row>
    <row r="47" spans="1:12" ht="36.75" customHeight="1">
      <c r="A47" s="2" t="s">
        <v>327</v>
      </c>
      <c r="B47" s="17">
        <f>SUMIFS('لیست واریزی کل خیرین'!B:B,'لیست واریزی کل خیرین'!D:D,Table1[[#This Row],[نام]],'لیست واریزی کل خیرین'!E:E,Table1[[#This Row],[نام خانوادگی]])</f>
        <v>16</v>
      </c>
      <c r="C47" s="25" t="s">
        <v>366</v>
      </c>
      <c r="D47" s="25" t="s">
        <v>374</v>
      </c>
      <c r="E47" s="19" t="s">
        <v>434</v>
      </c>
      <c r="F47" s="81">
        <v>6037998112152490</v>
      </c>
      <c r="G47" s="21" t="s">
        <v>343</v>
      </c>
      <c r="H47" s="22">
        <f t="shared" si="0"/>
        <v>4</v>
      </c>
      <c r="I47" s="21">
        <v>1401</v>
      </c>
      <c r="J47" s="21"/>
      <c r="K47" s="23">
        <v>3000000</v>
      </c>
      <c r="L47" s="267" t="s">
        <v>1272</v>
      </c>
    </row>
    <row r="48" spans="1:12" ht="15.75" customHeight="1">
      <c r="A48" s="2" t="s">
        <v>327</v>
      </c>
      <c r="B48" s="17">
        <f>SUMIFS('لیست واریزی کل خیرین'!B:B,'لیست واریزی کل خیرین'!D:D,Table1[[#This Row],[نام]],'لیست واریزی کل خیرین'!E:E,Table1[[#This Row],[نام خانوادگی]])</f>
        <v>31</v>
      </c>
      <c r="C48" s="18" t="s">
        <v>425</v>
      </c>
      <c r="D48" s="18" t="s">
        <v>426</v>
      </c>
      <c r="E48" s="19" t="s">
        <v>423</v>
      </c>
      <c r="F48" s="81">
        <v>6037997344245130</v>
      </c>
      <c r="G48" s="21" t="s">
        <v>343</v>
      </c>
      <c r="H48" s="22">
        <f t="shared" si="0"/>
        <v>4</v>
      </c>
      <c r="I48" s="21">
        <v>1401</v>
      </c>
      <c r="J48" s="21"/>
      <c r="K48" s="23">
        <v>5000000</v>
      </c>
      <c r="L48" s="24"/>
    </row>
    <row r="49" spans="1:12" ht="15.75" customHeight="1">
      <c r="A49" s="2" t="s">
        <v>327</v>
      </c>
      <c r="B49" s="17">
        <f>SUMIFS('لیست واریزی کل خیرین'!B:B,'لیست واریزی کل خیرین'!D:D,Table1[[#This Row],[نام]],'لیست واریزی کل خیرین'!E:E,Table1[[#This Row],[نام خانوادگی]])</f>
        <v>6</v>
      </c>
      <c r="C49" s="18" t="s">
        <v>76</v>
      </c>
      <c r="D49" s="18" t="s">
        <v>347</v>
      </c>
      <c r="E49" s="19" t="s">
        <v>397</v>
      </c>
      <c r="F49" s="81">
        <v>6037697540254170</v>
      </c>
      <c r="G49" s="21" t="s">
        <v>343</v>
      </c>
      <c r="H49" s="22">
        <f t="shared" si="0"/>
        <v>4</v>
      </c>
      <c r="I49" s="21">
        <v>1401</v>
      </c>
      <c r="J49" s="21"/>
      <c r="K49" s="23">
        <v>5000000</v>
      </c>
      <c r="L49" s="24"/>
    </row>
    <row r="50" spans="1:12" ht="15.75" customHeight="1">
      <c r="A50" s="2" t="s">
        <v>327</v>
      </c>
      <c r="B50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50" s="18" t="s">
        <v>358</v>
      </c>
      <c r="D50" s="18" t="s">
        <v>359</v>
      </c>
      <c r="E50" s="19" t="s">
        <v>411</v>
      </c>
      <c r="F50" s="81">
        <v>6221061229152840</v>
      </c>
      <c r="G50" s="21" t="s">
        <v>343</v>
      </c>
      <c r="H50" s="22">
        <f t="shared" si="0"/>
        <v>4</v>
      </c>
      <c r="I50" s="21">
        <v>1401</v>
      </c>
      <c r="J50" s="21"/>
      <c r="K50" s="23">
        <v>100000000</v>
      </c>
      <c r="L50" s="24"/>
    </row>
    <row r="51" spans="1:12" ht="15.75" customHeight="1">
      <c r="A51" s="2" t="s">
        <v>327</v>
      </c>
      <c r="B51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51" s="18" t="s">
        <v>328</v>
      </c>
      <c r="D51" s="18" t="s">
        <v>329</v>
      </c>
      <c r="E51" s="19" t="s">
        <v>410</v>
      </c>
      <c r="F51" s="81">
        <v>6037697647873780</v>
      </c>
      <c r="G51" s="21" t="s">
        <v>343</v>
      </c>
      <c r="H51" s="22">
        <f t="shared" si="0"/>
        <v>4</v>
      </c>
      <c r="I51" s="21">
        <v>1401</v>
      </c>
      <c r="J51" s="21"/>
      <c r="K51" s="23">
        <v>30000000</v>
      </c>
      <c r="L51" s="24"/>
    </row>
    <row r="52" spans="1:12" ht="15.75" customHeight="1">
      <c r="A52" s="2" t="s">
        <v>327</v>
      </c>
      <c r="B52" s="17">
        <f>SUMIFS('لیست واریزی کل خیرین'!B:B,'لیست واریزی کل خیرین'!D:D,Table1[[#This Row],[نام]],'لیست واریزی کل خیرین'!E:E,Table1[[#This Row],[نام خانوادگی]])</f>
        <v>15</v>
      </c>
      <c r="C52" s="18" t="s">
        <v>372</v>
      </c>
      <c r="D52" s="18" t="s">
        <v>373</v>
      </c>
      <c r="E52" s="19" t="s">
        <v>420</v>
      </c>
      <c r="F52" s="81">
        <v>6104338934864440</v>
      </c>
      <c r="G52" s="21" t="s">
        <v>343</v>
      </c>
      <c r="H52" s="22">
        <f t="shared" si="0"/>
        <v>4</v>
      </c>
      <c r="I52" s="21">
        <v>1401</v>
      </c>
      <c r="J52" s="21"/>
      <c r="K52" s="23">
        <v>10000000</v>
      </c>
      <c r="L52" s="24"/>
    </row>
    <row r="53" spans="1:12" ht="15.75" customHeight="1">
      <c r="A53" s="2" t="s">
        <v>327</v>
      </c>
      <c r="B53" s="17">
        <f>SUMIFS('لیست واریزی کل خیرین'!B:B,'لیست واریزی کل خیرین'!D:D,Table1[[#This Row],[نام]],'لیست واریزی کل خیرین'!E:E,Table1[[#This Row],[نام خانوادگی]])</f>
        <v>38</v>
      </c>
      <c r="C53" s="18" t="s">
        <v>429</v>
      </c>
      <c r="D53" s="18" t="s">
        <v>430</v>
      </c>
      <c r="E53" s="57" t="s">
        <v>593</v>
      </c>
      <c r="F53" s="83" t="s">
        <v>400</v>
      </c>
      <c r="G53" s="21" t="s">
        <v>343</v>
      </c>
      <c r="H53" s="22">
        <f t="shared" si="0"/>
        <v>4</v>
      </c>
      <c r="I53" s="21">
        <v>1401</v>
      </c>
      <c r="J53" s="21"/>
      <c r="K53" s="23">
        <v>3000000</v>
      </c>
      <c r="L53" s="24"/>
    </row>
    <row r="54" spans="1:12" ht="15.75" customHeight="1">
      <c r="A54" s="2" t="s">
        <v>327</v>
      </c>
      <c r="B54" s="17">
        <f>SUMIFS('لیست واریزی کل خیرین'!B:B,'لیست واریزی کل خیرین'!D:D,Table1[[#This Row],[نام]],'لیست واریزی کل خیرین'!E:E,Table1[[#This Row],[نام خانوادگی]])</f>
        <v>19</v>
      </c>
      <c r="C54" s="18" t="s">
        <v>363</v>
      </c>
      <c r="D54" s="28" t="s">
        <v>380</v>
      </c>
      <c r="E54" s="19" t="s">
        <v>431</v>
      </c>
      <c r="F54" s="81">
        <v>6221061229152840</v>
      </c>
      <c r="G54" s="21" t="s">
        <v>343</v>
      </c>
      <c r="H54" s="22">
        <f t="shared" si="0"/>
        <v>4</v>
      </c>
      <c r="I54" s="21">
        <v>1401</v>
      </c>
      <c r="J54" s="21"/>
      <c r="K54" s="23">
        <v>20000000</v>
      </c>
      <c r="L54" s="24" t="s">
        <v>432</v>
      </c>
    </row>
    <row r="55" spans="1:12" ht="15.75" customHeight="1">
      <c r="A55" s="2" t="s">
        <v>327</v>
      </c>
      <c r="B55" s="17">
        <f>SUMIFS('لیست واریزی کل خیرین'!B:B,'لیست واریزی کل خیرین'!D:D,Table1[[#This Row],[نام]],'لیست واریزی کل خیرین'!E:E,Table1[[#This Row],[نام خانوادگی]])</f>
        <v>13</v>
      </c>
      <c r="C55" s="25" t="s">
        <v>355</v>
      </c>
      <c r="D55" s="25" t="s">
        <v>369</v>
      </c>
      <c r="E55" s="19" t="s">
        <v>220</v>
      </c>
      <c r="F55" s="81">
        <v>6219861052116010</v>
      </c>
      <c r="G55" s="21" t="s">
        <v>343</v>
      </c>
      <c r="H55" s="22">
        <f t="shared" si="0"/>
        <v>4</v>
      </c>
      <c r="I55" s="21">
        <v>1401</v>
      </c>
      <c r="J55" s="26"/>
      <c r="K55" s="23">
        <v>2500000</v>
      </c>
      <c r="L55" s="27" t="s">
        <v>370</v>
      </c>
    </row>
    <row r="56" spans="1:12" ht="15.75" customHeight="1">
      <c r="A56" s="2" t="s">
        <v>327</v>
      </c>
      <c r="B56" s="17">
        <f>SUMIFS('لیست واریزی کل خیرین'!B:B,'لیست واریزی کل خیرین'!D:D,Table1[[#This Row],[نام]],'لیست واریزی کل خیرین'!E:E,Table1[[#This Row],[نام خانوادگی]])</f>
        <v>29</v>
      </c>
      <c r="C56" s="18" t="s">
        <v>418</v>
      </c>
      <c r="D56" s="18" t="s">
        <v>419</v>
      </c>
      <c r="E56" s="19" t="s">
        <v>416</v>
      </c>
      <c r="F56" s="81">
        <v>6037697540254170</v>
      </c>
      <c r="G56" s="21" t="s">
        <v>343</v>
      </c>
      <c r="H56" s="22">
        <f t="shared" si="0"/>
        <v>4</v>
      </c>
      <c r="I56" s="21">
        <v>1401</v>
      </c>
      <c r="J56" s="21"/>
      <c r="K56" s="23">
        <v>10000000</v>
      </c>
      <c r="L56" s="24"/>
    </row>
    <row r="57" spans="1:12" ht="15.75" customHeight="1">
      <c r="A57" s="2" t="s">
        <v>327</v>
      </c>
      <c r="B57" s="17">
        <f>SUMIFS('لیست واریزی کل خیرین'!B:B,'لیست واریزی کل خیرین'!D:D,Table1[[#This Row],[نام]],'لیست واریزی کل خیرین'!E:E,Table1[[#This Row],[نام خانوادگی]])</f>
        <v>5</v>
      </c>
      <c r="C57" s="18" t="s">
        <v>344</v>
      </c>
      <c r="D57" s="18" t="s">
        <v>345</v>
      </c>
      <c r="E57" s="19" t="s">
        <v>408</v>
      </c>
      <c r="F57" s="81">
        <v>5859831202663190</v>
      </c>
      <c r="G57" s="21" t="s">
        <v>343</v>
      </c>
      <c r="H57" s="22">
        <f t="shared" si="0"/>
        <v>4</v>
      </c>
      <c r="I57" s="21">
        <v>1401</v>
      </c>
      <c r="J57" s="21"/>
      <c r="K57" s="23">
        <v>5000000</v>
      </c>
      <c r="L57" s="24"/>
    </row>
    <row r="58" spans="1:12" ht="15.75" customHeight="1">
      <c r="A58" s="2" t="s">
        <v>327</v>
      </c>
      <c r="B58" s="17">
        <f>SUMIFS('لیست واریزی کل خیرین'!B:B,'لیست واریزی کل خیرین'!D:D,Table1[[#This Row],[نام]],'لیست واریزی کل خیرین'!E:E,Table1[[#This Row],[نام خانوادگی]])</f>
        <v>21</v>
      </c>
      <c r="C58" s="18" t="s">
        <v>366</v>
      </c>
      <c r="D58" s="18" t="s">
        <v>385</v>
      </c>
      <c r="E58" s="19" t="s">
        <v>427</v>
      </c>
      <c r="F58" s="81">
        <v>5022291029404080</v>
      </c>
      <c r="G58" s="21" t="s">
        <v>343</v>
      </c>
      <c r="H58" s="22">
        <f t="shared" si="0"/>
        <v>4</v>
      </c>
      <c r="I58" s="21">
        <v>1401</v>
      </c>
      <c r="J58" s="21"/>
      <c r="K58" s="23">
        <v>5000000</v>
      </c>
      <c r="L58" s="24"/>
    </row>
    <row r="59" spans="1:12" ht="15.75" customHeight="1">
      <c r="A59" s="45" t="s">
        <v>327</v>
      </c>
      <c r="B59" s="40">
        <f>SUMIFS('لیست واریزی کل خیرین'!B:B,'لیست واریزی کل خیرین'!D:D,Table1[[#This Row],[نام]],'لیست واریزی کل خیرین'!E:E,Table1[[#This Row],[نام خانوادگی]])</f>
        <v>23</v>
      </c>
      <c r="C59" s="21" t="s">
        <v>457</v>
      </c>
      <c r="D59" s="21" t="s">
        <v>390</v>
      </c>
      <c r="E59" s="48" t="s">
        <v>431</v>
      </c>
      <c r="F59" s="82" t="s">
        <v>433</v>
      </c>
      <c r="G59" s="21" t="s">
        <v>343</v>
      </c>
      <c r="H59" s="52">
        <f t="shared" si="0"/>
        <v>4</v>
      </c>
      <c r="I59" s="50">
        <v>1401</v>
      </c>
      <c r="J59" s="50"/>
      <c r="K59" s="54">
        <v>10000000</v>
      </c>
      <c r="L59" s="30"/>
    </row>
    <row r="60" spans="1:12" ht="15.75" customHeight="1">
      <c r="A60" s="2" t="s">
        <v>327</v>
      </c>
      <c r="B60" s="17">
        <f>SUMIFS('لیست واریزی کل خیرین'!B:B,'لیست واریزی کل خیرین'!D:D,Table1[[#This Row],[نام]],'لیست واریزی کل خیرین'!E:E,Table1[[#This Row],[نام خانوادگی]])</f>
        <v>27</v>
      </c>
      <c r="C60" s="18" t="s">
        <v>412</v>
      </c>
      <c r="D60" s="18" t="s">
        <v>413</v>
      </c>
      <c r="E60" s="19" t="s">
        <v>411</v>
      </c>
      <c r="F60" s="81">
        <v>6104337758811140</v>
      </c>
      <c r="G60" s="21" t="s">
        <v>343</v>
      </c>
      <c r="H60" s="22">
        <f t="shared" si="0"/>
        <v>4</v>
      </c>
      <c r="I60" s="21">
        <v>1401</v>
      </c>
      <c r="J60" s="21"/>
      <c r="K60" s="23">
        <v>5000000</v>
      </c>
      <c r="L60" s="30"/>
    </row>
    <row r="61" spans="1:12" ht="15.75" customHeight="1">
      <c r="A61" s="2" t="s">
        <v>327</v>
      </c>
      <c r="B61" s="17">
        <f>SUMIFS('لیست واریزی کل خیرین'!B:B,'لیست واریزی کل خیرین'!D:D,Table1[[#This Row],[نام]],'لیست واریزی کل خیرین'!E:E,Table1[[#This Row],[نام خانوادگی]])</f>
        <v>28</v>
      </c>
      <c r="C61" s="18" t="s">
        <v>414</v>
      </c>
      <c r="D61" s="18" t="s">
        <v>415</v>
      </c>
      <c r="E61" s="19" t="s">
        <v>230</v>
      </c>
      <c r="F61" s="81" t="s">
        <v>449</v>
      </c>
      <c r="G61" s="21" t="s">
        <v>346</v>
      </c>
      <c r="H61" s="22">
        <f t="shared" si="0"/>
        <v>5</v>
      </c>
      <c r="I61" s="21">
        <v>1401</v>
      </c>
      <c r="J61" s="21"/>
      <c r="K61" s="23">
        <v>500000</v>
      </c>
      <c r="L61" s="24"/>
    </row>
    <row r="62" spans="1:12" ht="15.75" customHeight="1">
      <c r="A62" s="2" t="s">
        <v>327</v>
      </c>
      <c r="B62" s="17">
        <f>SUMIFS('لیست واریزی کل خیرین'!B:B,'لیست واریزی کل خیرین'!D:D,Table1[[#This Row],[نام]],'لیست واریزی کل خیرین'!E:E,Table1[[#This Row],[نام خانوادگی]])</f>
        <v>28</v>
      </c>
      <c r="C62" s="18" t="s">
        <v>414</v>
      </c>
      <c r="D62" s="18" t="s">
        <v>415</v>
      </c>
      <c r="E62" s="19" t="s">
        <v>454</v>
      </c>
      <c r="F62" s="81" t="s">
        <v>449</v>
      </c>
      <c r="G62" s="21" t="s">
        <v>346</v>
      </c>
      <c r="H62" s="22">
        <f t="shared" si="0"/>
        <v>5</v>
      </c>
      <c r="I62" s="21">
        <v>1401</v>
      </c>
      <c r="J62" s="21"/>
      <c r="K62" s="23">
        <v>10500000</v>
      </c>
      <c r="L62" s="24"/>
    </row>
    <row r="63" spans="1:12" ht="15.75" customHeight="1">
      <c r="A63" s="2" t="s">
        <v>327</v>
      </c>
      <c r="B63" s="17">
        <f>SUMIFS('لیست واریزی کل خیرین'!B:B,'لیست واریزی کل خیرین'!D:D,Table1[[#This Row],[نام]],'لیست واریزی کل خیرین'!E:E,Table1[[#This Row],[نام خانوادگی]])</f>
        <v>28</v>
      </c>
      <c r="C63" s="18" t="s">
        <v>414</v>
      </c>
      <c r="D63" s="18" t="s">
        <v>415</v>
      </c>
      <c r="E63" s="19" t="s">
        <v>462</v>
      </c>
      <c r="F63" s="81" t="s">
        <v>449</v>
      </c>
      <c r="G63" s="21" t="s">
        <v>346</v>
      </c>
      <c r="H63" s="22">
        <f t="shared" si="0"/>
        <v>5</v>
      </c>
      <c r="I63" s="21">
        <v>1401</v>
      </c>
      <c r="J63" s="21"/>
      <c r="K63" s="23">
        <v>1000000</v>
      </c>
      <c r="L63" s="24"/>
    </row>
    <row r="64" spans="1:12" ht="15.75" customHeight="1">
      <c r="A64" s="2" t="s">
        <v>327</v>
      </c>
      <c r="B64" s="17">
        <f>SUMIFS('لیست واریزی کل خیرین'!B:B,'لیست واریزی کل خیرین'!D:D,Table1[[#This Row],[نام]],'لیست واریزی کل خیرین'!E:E,Table1[[#This Row],[نام خانوادگی]])</f>
        <v>28</v>
      </c>
      <c r="C64" s="18" t="s">
        <v>414</v>
      </c>
      <c r="D64" s="18" t="s">
        <v>415</v>
      </c>
      <c r="E64" s="19" t="s">
        <v>477</v>
      </c>
      <c r="F64" s="81" t="s">
        <v>449</v>
      </c>
      <c r="G64" s="21" t="s">
        <v>346</v>
      </c>
      <c r="H64" s="22">
        <f t="shared" si="0"/>
        <v>5</v>
      </c>
      <c r="I64" s="21">
        <v>1401</v>
      </c>
      <c r="J64" s="21"/>
      <c r="K64" s="23">
        <v>1000000</v>
      </c>
      <c r="L64" s="24"/>
    </row>
    <row r="65" spans="1:12" ht="15.75" customHeight="1">
      <c r="A65" s="2" t="s">
        <v>327</v>
      </c>
      <c r="B65" s="17">
        <f>SUMIFS('لیست واریزی کل خیرین'!B:B,'لیست واریزی کل خیرین'!D:D,Table1[[#This Row],[نام]],'لیست واریزی کل خیرین'!E:E,Table1[[#This Row],[نام خانوادگی]])</f>
        <v>34</v>
      </c>
      <c r="C65" s="18" t="s">
        <v>457</v>
      </c>
      <c r="D65" s="18" t="s">
        <v>458</v>
      </c>
      <c r="E65" s="19" t="s">
        <v>459</v>
      </c>
      <c r="F65" s="81">
        <v>5859831018931560</v>
      </c>
      <c r="G65" s="21" t="s">
        <v>346</v>
      </c>
      <c r="H65" s="22">
        <f t="shared" si="0"/>
        <v>5</v>
      </c>
      <c r="I65" s="21">
        <v>1401</v>
      </c>
      <c r="J65" s="21"/>
      <c r="K65" s="23">
        <v>5000000</v>
      </c>
      <c r="L65" s="24" t="s">
        <v>460</v>
      </c>
    </row>
    <row r="66" spans="1:12" ht="15.75" customHeight="1">
      <c r="A66" s="2" t="s">
        <v>327</v>
      </c>
      <c r="B66" s="17">
        <f>SUMIFS('لیست واریزی کل خیرین'!B:B,'لیست واریزی کل خیرین'!D:D,Table1[[#This Row],[نام]],'لیست واریزی کل خیرین'!E:E,Table1[[#This Row],[نام خانوادگی]])</f>
        <v>22</v>
      </c>
      <c r="C66" s="18" t="s">
        <v>387</v>
      </c>
      <c r="D66" s="18" t="s">
        <v>388</v>
      </c>
      <c r="E66" s="19" t="s">
        <v>479</v>
      </c>
      <c r="F66" s="81" t="s">
        <v>480</v>
      </c>
      <c r="G66" s="21" t="s">
        <v>346</v>
      </c>
      <c r="H66" s="22">
        <f t="shared" ref="H66:H129" si="1">IF(G66="","",VLOOKUP(G66,mah,2,0))</f>
        <v>5</v>
      </c>
      <c r="I66" s="21">
        <v>1401</v>
      </c>
      <c r="J66" s="21"/>
      <c r="K66" s="23">
        <v>2000000</v>
      </c>
      <c r="L66" s="24"/>
    </row>
    <row r="67" spans="1:12" ht="15.75" customHeight="1">
      <c r="A67" s="2" t="s">
        <v>327</v>
      </c>
      <c r="B67" s="17">
        <f>SUMIFS('لیست واریزی کل خیرین'!B:B,'لیست واریزی کل خیرین'!D:D,Table1[[#This Row],[نام]],'لیست واریزی کل خیرین'!E:E,Table1[[#This Row],[نام خانوادگی]])</f>
        <v>32</v>
      </c>
      <c r="C67" s="18" t="s">
        <v>443</v>
      </c>
      <c r="D67" s="18" t="s">
        <v>444</v>
      </c>
      <c r="E67" s="19" t="s">
        <v>445</v>
      </c>
      <c r="F67" s="81" t="s">
        <v>446</v>
      </c>
      <c r="G67" s="21" t="s">
        <v>346</v>
      </c>
      <c r="H67" s="22">
        <f t="shared" si="1"/>
        <v>5</v>
      </c>
      <c r="I67" s="21">
        <v>1401</v>
      </c>
      <c r="J67" s="21"/>
      <c r="K67" s="23">
        <v>5000000</v>
      </c>
      <c r="L67" s="24"/>
    </row>
    <row r="68" spans="1:12" ht="15.75" customHeight="1">
      <c r="A68" s="2" t="s">
        <v>327</v>
      </c>
      <c r="B68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68" s="18" t="s">
        <v>352</v>
      </c>
      <c r="D68" s="18" t="s">
        <v>353</v>
      </c>
      <c r="E68" s="19" t="s">
        <v>463</v>
      </c>
      <c r="F68" s="81" t="s">
        <v>468</v>
      </c>
      <c r="G68" s="21" t="s">
        <v>346</v>
      </c>
      <c r="H68" s="22">
        <f t="shared" si="1"/>
        <v>5</v>
      </c>
      <c r="I68" s="21">
        <v>1401</v>
      </c>
      <c r="J68" s="21"/>
      <c r="K68" s="23">
        <v>5000000</v>
      </c>
      <c r="L68" s="24"/>
    </row>
    <row r="69" spans="1:12" ht="15.75" customHeight="1">
      <c r="A69" s="2" t="s">
        <v>327</v>
      </c>
      <c r="B69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69" s="18" t="s">
        <v>391</v>
      </c>
      <c r="D69" s="18" t="s">
        <v>392</v>
      </c>
      <c r="E69" s="19" t="s">
        <v>462</v>
      </c>
      <c r="F69" s="81" t="s">
        <v>393</v>
      </c>
      <c r="G69" s="21" t="s">
        <v>346</v>
      </c>
      <c r="H69" s="22">
        <f t="shared" si="1"/>
        <v>5</v>
      </c>
      <c r="I69" s="21">
        <v>1401</v>
      </c>
      <c r="J69" s="21"/>
      <c r="K69" s="23">
        <v>5033530</v>
      </c>
      <c r="L69" s="24"/>
    </row>
    <row r="70" spans="1:12" ht="15.75" customHeight="1">
      <c r="A70" s="2" t="s">
        <v>327</v>
      </c>
      <c r="B70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70" s="18" t="s">
        <v>366</v>
      </c>
      <c r="D70" s="18" t="s">
        <v>382</v>
      </c>
      <c r="E70" s="19" t="s">
        <v>435</v>
      </c>
      <c r="F70" s="81">
        <v>6037697598049570</v>
      </c>
      <c r="G70" s="21" t="s">
        <v>346</v>
      </c>
      <c r="H70" s="22">
        <f t="shared" si="1"/>
        <v>5</v>
      </c>
      <c r="I70" s="21">
        <v>1401</v>
      </c>
      <c r="J70" s="21"/>
      <c r="K70" s="23">
        <v>10000000</v>
      </c>
      <c r="L70" s="24"/>
    </row>
    <row r="71" spans="1:12" ht="15.75" customHeight="1">
      <c r="A71" s="2" t="s">
        <v>327</v>
      </c>
      <c r="B71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71" s="18" t="s">
        <v>338</v>
      </c>
      <c r="D71" s="18" t="s">
        <v>339</v>
      </c>
      <c r="E71" s="21"/>
      <c r="F71" s="81"/>
      <c r="G71" s="21" t="s">
        <v>346</v>
      </c>
      <c r="H71" s="22">
        <f t="shared" si="1"/>
        <v>5</v>
      </c>
      <c r="I71" s="21">
        <v>1401</v>
      </c>
      <c r="J71" s="23">
        <v>10000000</v>
      </c>
      <c r="K71" s="23">
        <v>10000000</v>
      </c>
      <c r="L71" s="24" t="s">
        <v>485</v>
      </c>
    </row>
    <row r="72" spans="1:12" ht="15.75" customHeight="1">
      <c r="A72" s="2" t="s">
        <v>327</v>
      </c>
      <c r="B72" s="17">
        <f>SUMIFS('لیست واریزی کل خیرین'!B:B,'لیست واریزی کل خیرین'!D:D,Table1[[#This Row],[نام]],'لیست واریزی کل خیرین'!E:E,Table1[[#This Row],[نام خانوادگی]])</f>
        <v>2</v>
      </c>
      <c r="C72" s="18" t="s">
        <v>333</v>
      </c>
      <c r="D72" s="18" t="s">
        <v>334</v>
      </c>
      <c r="E72" s="19" t="s">
        <v>243</v>
      </c>
      <c r="F72" s="81" t="s">
        <v>361</v>
      </c>
      <c r="G72" s="21" t="s">
        <v>346</v>
      </c>
      <c r="H72" s="22">
        <f t="shared" si="1"/>
        <v>5</v>
      </c>
      <c r="I72" s="21">
        <v>1401</v>
      </c>
      <c r="J72" s="23">
        <v>4000000</v>
      </c>
      <c r="K72" s="23">
        <v>4000000</v>
      </c>
      <c r="L72" s="24" t="s">
        <v>461</v>
      </c>
    </row>
    <row r="73" spans="1:12" ht="15.75" customHeight="1">
      <c r="A73" s="2"/>
      <c r="B73" s="17">
        <f>SUMIFS('لیست واریزی کل خیرین'!B:B,'لیست واریزی کل خیرین'!D:D,Table1[[#This Row],[نام]],'لیست واریزی کل خیرین'!E:E,Table1[[#This Row],[نام خانوادگی]])</f>
        <v>2</v>
      </c>
      <c r="C73" s="21" t="s">
        <v>333</v>
      </c>
      <c r="D73" s="36" t="s">
        <v>334</v>
      </c>
      <c r="E73" s="19" t="s">
        <v>714</v>
      </c>
      <c r="F73" s="87" t="s">
        <v>637</v>
      </c>
      <c r="G73" s="21" t="s">
        <v>346</v>
      </c>
      <c r="H73" s="22">
        <f t="shared" si="1"/>
        <v>5</v>
      </c>
      <c r="I73" s="21">
        <v>1401</v>
      </c>
      <c r="J73" s="21"/>
      <c r="K73" s="23">
        <v>6000000</v>
      </c>
      <c r="L73" s="24" t="s">
        <v>715</v>
      </c>
    </row>
    <row r="74" spans="1:12" ht="15.75" customHeight="1">
      <c r="A74" s="2" t="s">
        <v>327</v>
      </c>
      <c r="B74" s="17">
        <f>SUMIFS('لیست واریزی کل خیرین'!B:B,'لیست واریزی کل خیرین'!D:D,Table1[[#This Row],[نام]],'لیست واریزی کل خیرین'!E:E,Table1[[#This Row],[نام خانوادگی]])</f>
        <v>4</v>
      </c>
      <c r="C74" s="18" t="s">
        <v>340</v>
      </c>
      <c r="D74" s="18" t="s">
        <v>341</v>
      </c>
      <c r="E74" s="19" t="s">
        <v>447</v>
      </c>
      <c r="F74" s="81">
        <v>6219861021865570</v>
      </c>
      <c r="G74" s="21" t="s">
        <v>346</v>
      </c>
      <c r="H74" s="22">
        <f t="shared" si="1"/>
        <v>5</v>
      </c>
      <c r="I74" s="21">
        <v>1401</v>
      </c>
      <c r="J74" s="21"/>
      <c r="K74" s="23">
        <v>2000000</v>
      </c>
      <c r="L74" s="24"/>
    </row>
    <row r="75" spans="1:12" ht="15.75" customHeight="1">
      <c r="A75" s="2" t="s">
        <v>327</v>
      </c>
      <c r="B75" s="17">
        <f>SUMIFS('لیست واریزی کل خیرین'!B:B,'لیست واریزی کل خیرین'!D:D,Table1[[#This Row],[نام]],'لیست واریزی کل خیرین'!E:E,Table1[[#This Row],[نام خانوادگی]])</f>
        <v>25</v>
      </c>
      <c r="C75" s="18" t="s">
        <v>401</v>
      </c>
      <c r="D75" s="18" t="s">
        <v>402</v>
      </c>
      <c r="E75" s="19" t="s">
        <v>431</v>
      </c>
      <c r="F75" s="81" t="s">
        <v>438</v>
      </c>
      <c r="G75" s="21" t="s">
        <v>346</v>
      </c>
      <c r="H75" s="22">
        <f t="shared" si="1"/>
        <v>5</v>
      </c>
      <c r="I75" s="21">
        <v>1401</v>
      </c>
      <c r="J75" s="21"/>
      <c r="K75" s="23">
        <v>30000000</v>
      </c>
      <c r="L75" s="24"/>
    </row>
    <row r="76" spans="1:12" ht="15.75" customHeight="1">
      <c r="A76" s="2" t="s">
        <v>327</v>
      </c>
      <c r="B76" s="17">
        <f>SUMIFS('لیست واریزی کل خیرین'!B:B,'لیست واریزی کل خیرین'!D:D,Table1[[#This Row],[نام]],'لیست واریزی کل خیرین'!E:E,Table1[[#This Row],[نام خانوادگی]])</f>
        <v>39</v>
      </c>
      <c r="C76" s="18" t="s">
        <v>76</v>
      </c>
      <c r="D76" s="18" t="s">
        <v>394</v>
      </c>
      <c r="E76" s="19" t="s">
        <v>395</v>
      </c>
      <c r="F76" s="81">
        <v>6037697608050220</v>
      </c>
      <c r="G76" s="21" t="s">
        <v>346</v>
      </c>
      <c r="H76" s="22">
        <f t="shared" si="1"/>
        <v>5</v>
      </c>
      <c r="I76" s="21">
        <v>1401</v>
      </c>
      <c r="J76" s="21"/>
      <c r="K76" s="23">
        <v>16000000</v>
      </c>
      <c r="L76" s="24" t="s">
        <v>396</v>
      </c>
    </row>
    <row r="77" spans="1:12" ht="15.75" customHeight="1">
      <c r="A77" s="2" t="s">
        <v>327</v>
      </c>
      <c r="B77" s="17">
        <f>SUMIFS('لیست واریزی کل خیرین'!B:B,'لیست واریزی کل خیرین'!D:D,Table1[[#This Row],[نام]],'لیست واریزی کل خیرین'!E:E,Table1[[#This Row],[نام خانوادگی]])</f>
        <v>24</v>
      </c>
      <c r="C77" s="18" t="s">
        <v>398</v>
      </c>
      <c r="D77" s="18" t="s">
        <v>399</v>
      </c>
      <c r="E77" s="19" t="s">
        <v>196</v>
      </c>
      <c r="F77" s="81" t="s">
        <v>440</v>
      </c>
      <c r="G77" s="21" t="s">
        <v>346</v>
      </c>
      <c r="H77" s="22">
        <f t="shared" si="1"/>
        <v>5</v>
      </c>
      <c r="I77" s="21">
        <v>1401</v>
      </c>
      <c r="J77" s="21"/>
      <c r="K77" s="23">
        <v>5000000</v>
      </c>
      <c r="L77" s="24" t="s">
        <v>432</v>
      </c>
    </row>
    <row r="78" spans="1:12" ht="15.75" customHeight="1">
      <c r="A78" s="2" t="s">
        <v>327</v>
      </c>
      <c r="B78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78" s="18" t="s">
        <v>355</v>
      </c>
      <c r="D78" s="18" t="s">
        <v>356</v>
      </c>
      <c r="E78" s="19" t="s">
        <v>463</v>
      </c>
      <c r="F78" s="81" t="s">
        <v>464</v>
      </c>
      <c r="G78" s="21" t="s">
        <v>346</v>
      </c>
      <c r="H78" s="22">
        <f t="shared" si="1"/>
        <v>5</v>
      </c>
      <c r="I78" s="21">
        <v>1401</v>
      </c>
      <c r="J78" s="21"/>
      <c r="K78" s="23">
        <v>5000000</v>
      </c>
      <c r="L78" s="24"/>
    </row>
    <row r="79" spans="1:12" ht="15.75" customHeight="1">
      <c r="A79" s="2" t="s">
        <v>327</v>
      </c>
      <c r="B79" s="17">
        <f>SUMIFS('لیست واریزی کل خیرین'!B:B,'لیست واریزی کل خیرین'!D:D,Table1[[#This Row],[نام]],'لیست واریزی کل خیرین'!E:E,Table1[[#This Row],[نام خانوادگی]])</f>
        <v>11</v>
      </c>
      <c r="C79" s="25" t="s">
        <v>363</v>
      </c>
      <c r="D79" s="25" t="s">
        <v>364</v>
      </c>
      <c r="E79" s="19" t="s">
        <v>441</v>
      </c>
      <c r="F79" s="81" t="s">
        <v>442</v>
      </c>
      <c r="G79" s="21" t="s">
        <v>346</v>
      </c>
      <c r="H79" s="22">
        <f t="shared" si="1"/>
        <v>5</v>
      </c>
      <c r="I79" s="21">
        <v>1401</v>
      </c>
      <c r="J79" s="21"/>
      <c r="K79" s="23">
        <v>30000000</v>
      </c>
      <c r="L79" s="24"/>
    </row>
    <row r="80" spans="1:12" ht="15.75" customHeight="1">
      <c r="A80" s="2" t="s">
        <v>327</v>
      </c>
      <c r="B80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80" s="18" t="s">
        <v>349</v>
      </c>
      <c r="D80" s="18" t="s">
        <v>350</v>
      </c>
      <c r="E80" s="19" t="s">
        <v>230</v>
      </c>
      <c r="F80" s="81" t="s">
        <v>448</v>
      </c>
      <c r="G80" s="21" t="s">
        <v>346</v>
      </c>
      <c r="H80" s="22">
        <f t="shared" si="1"/>
        <v>5</v>
      </c>
      <c r="I80" s="21">
        <v>1401</v>
      </c>
      <c r="J80" s="21"/>
      <c r="K80" s="23">
        <v>5000000</v>
      </c>
      <c r="L80" s="24"/>
    </row>
    <row r="81" spans="1:12" ht="15.75" customHeight="1">
      <c r="A81" s="2" t="s">
        <v>327</v>
      </c>
      <c r="B81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81" s="18" t="s">
        <v>349</v>
      </c>
      <c r="D81" s="18" t="s">
        <v>350</v>
      </c>
      <c r="E81" s="19" t="s">
        <v>474</v>
      </c>
      <c r="F81" s="81" t="s">
        <v>448</v>
      </c>
      <c r="G81" s="21" t="s">
        <v>346</v>
      </c>
      <c r="H81" s="22">
        <f t="shared" si="1"/>
        <v>5</v>
      </c>
      <c r="I81" s="21">
        <v>1401</v>
      </c>
      <c r="J81" s="21"/>
      <c r="K81" s="23">
        <v>10000000</v>
      </c>
      <c r="L81" s="24"/>
    </row>
    <row r="82" spans="1:12" ht="15.75" customHeight="1">
      <c r="A82" s="2" t="s">
        <v>327</v>
      </c>
      <c r="B82" s="17">
        <f>SUMIFS('لیست واریزی کل خیرین'!B:B,'لیست واریزی کل خیرین'!D:D,Table1[[#This Row],[نام]],'لیست واریزی کل خیرین'!E:E,Table1[[#This Row],[نام خانوادگی]])</f>
        <v>18</v>
      </c>
      <c r="C82" s="18" t="s">
        <v>378</v>
      </c>
      <c r="D82" s="18" t="s">
        <v>379</v>
      </c>
      <c r="E82" s="19" t="s">
        <v>475</v>
      </c>
      <c r="F82" s="81" t="s">
        <v>476</v>
      </c>
      <c r="G82" s="21" t="s">
        <v>346</v>
      </c>
      <c r="H82" s="22">
        <f t="shared" si="1"/>
        <v>5</v>
      </c>
      <c r="I82" s="21">
        <v>1401</v>
      </c>
      <c r="J82" s="21"/>
      <c r="K82" s="23">
        <v>40000000</v>
      </c>
      <c r="L82" s="24"/>
    </row>
    <row r="83" spans="1:12" ht="15.75" customHeight="1">
      <c r="A83" s="2" t="s">
        <v>327</v>
      </c>
      <c r="B83" s="17">
        <f>SUMIFS('لیست واریزی کل خیرین'!B:B,'لیست واریزی کل خیرین'!D:D,Table1[[#This Row],[نام]],'لیست واریزی کل خیرین'!E:E,Table1[[#This Row],[نام خانوادگی]])</f>
        <v>12</v>
      </c>
      <c r="C83" s="29" t="s">
        <v>366</v>
      </c>
      <c r="D83" s="29" t="s">
        <v>367</v>
      </c>
      <c r="E83" s="19" t="s">
        <v>395</v>
      </c>
      <c r="F83" s="81">
        <v>5022291500410800</v>
      </c>
      <c r="G83" s="21" t="s">
        <v>346</v>
      </c>
      <c r="H83" s="22">
        <f t="shared" si="1"/>
        <v>5</v>
      </c>
      <c r="I83" s="21">
        <v>1401</v>
      </c>
      <c r="J83" s="21"/>
      <c r="K83" s="23">
        <v>3000000</v>
      </c>
      <c r="L83" s="24"/>
    </row>
    <row r="84" spans="1:12" ht="15.75" customHeight="1">
      <c r="A84" s="2" t="s">
        <v>327</v>
      </c>
      <c r="B84" s="17">
        <f>SUMIFS('لیست واریزی کل خیرین'!B:B,'لیست واریزی کل خیرین'!D:D,Table1[[#This Row],[نام]],'لیست واریزی کل خیرین'!E:E,Table1[[#This Row],[نام خانوادگی]])</f>
        <v>14</v>
      </c>
      <c r="C84" s="18" t="s">
        <v>71</v>
      </c>
      <c r="D84" s="18" t="s">
        <v>371</v>
      </c>
      <c r="E84" s="19" t="s">
        <v>469</v>
      </c>
      <c r="F84" s="81" t="s">
        <v>470</v>
      </c>
      <c r="G84" s="21" t="s">
        <v>346</v>
      </c>
      <c r="H84" s="22">
        <f t="shared" si="1"/>
        <v>5</v>
      </c>
      <c r="I84" s="21">
        <v>1401</v>
      </c>
      <c r="J84" s="21"/>
      <c r="K84" s="23">
        <v>10000000</v>
      </c>
      <c r="L84" s="24"/>
    </row>
    <row r="85" spans="1:12" ht="15.75" customHeight="1">
      <c r="A85" s="2" t="s">
        <v>327</v>
      </c>
      <c r="B85" s="17">
        <f>SUMIFS('لیست واریزی کل خیرین'!B:B,'لیست واریزی کل خیرین'!D:D,Table1[[#This Row],[نام]],'لیست واریزی کل خیرین'!E:E,Table1[[#This Row],[نام خانوادگی]])</f>
        <v>36</v>
      </c>
      <c r="C85" s="18" t="s">
        <v>471</v>
      </c>
      <c r="D85" s="18" t="s">
        <v>472</v>
      </c>
      <c r="E85" s="19" t="s">
        <v>473</v>
      </c>
      <c r="F85" s="81" t="s">
        <v>361</v>
      </c>
      <c r="G85" s="21" t="s">
        <v>346</v>
      </c>
      <c r="H85" s="22">
        <f t="shared" si="1"/>
        <v>5</v>
      </c>
      <c r="I85" s="21">
        <v>1401</v>
      </c>
      <c r="J85" s="21"/>
      <c r="K85" s="23">
        <v>300000000</v>
      </c>
      <c r="L85" s="24"/>
    </row>
    <row r="86" spans="1:12" ht="15.75" customHeight="1">
      <c r="A86" s="2" t="s">
        <v>327</v>
      </c>
      <c r="B86" s="17">
        <f>SUMIFS('لیست واریزی کل خیرین'!B:B,'لیست واریزی کل خیرین'!D:D,Table1[[#This Row],[نام]],'لیست واریزی کل خیرین'!E:E,Table1[[#This Row],[نام خانوادگی]])</f>
        <v>17</v>
      </c>
      <c r="C86" s="25" t="s">
        <v>376</v>
      </c>
      <c r="D86" s="25" t="s">
        <v>377</v>
      </c>
      <c r="E86" s="19" t="s">
        <v>435</v>
      </c>
      <c r="F86" s="81">
        <v>6104337850364350</v>
      </c>
      <c r="G86" s="21" t="s">
        <v>346</v>
      </c>
      <c r="H86" s="22">
        <f t="shared" si="1"/>
        <v>5</v>
      </c>
      <c r="I86" s="21">
        <v>1401</v>
      </c>
      <c r="J86" s="21"/>
      <c r="K86" s="23">
        <v>15000000</v>
      </c>
      <c r="L86" s="24" t="s">
        <v>436</v>
      </c>
    </row>
    <row r="87" spans="1:12" ht="37.5" customHeight="1">
      <c r="A87" s="2" t="s">
        <v>327</v>
      </c>
      <c r="B87" s="17">
        <f>SUMIFS('لیست واریزی کل خیرین'!B:B,'لیست واریزی کل خیرین'!D:D,Table1[[#This Row],[نام]],'لیست واریزی کل خیرین'!E:E,Table1[[#This Row],[نام خانوادگی]])</f>
        <v>16</v>
      </c>
      <c r="C87" s="25" t="s">
        <v>366</v>
      </c>
      <c r="D87" s="25" t="s">
        <v>374</v>
      </c>
      <c r="E87" s="19" t="s">
        <v>434</v>
      </c>
      <c r="F87" s="81">
        <v>6037998112152490</v>
      </c>
      <c r="G87" s="21" t="s">
        <v>346</v>
      </c>
      <c r="H87" s="22">
        <f t="shared" si="1"/>
        <v>5</v>
      </c>
      <c r="I87" s="21">
        <v>1401</v>
      </c>
      <c r="J87" s="21"/>
      <c r="K87" s="23">
        <v>3000000</v>
      </c>
      <c r="L87" s="267" t="s">
        <v>1272</v>
      </c>
    </row>
    <row r="88" spans="1:12" ht="15.75" customHeight="1">
      <c r="A88" s="2" t="s">
        <v>327</v>
      </c>
      <c r="B88" s="17">
        <f>SUMIFS('لیست واریزی کل خیرین'!B:B,'لیست واریزی کل خیرین'!D:D,Table1[[#This Row],[نام]],'لیست واریزی کل خیرین'!E:E,Table1[[#This Row],[نام خانوادگی]])</f>
        <v>6</v>
      </c>
      <c r="C88" s="18" t="s">
        <v>76</v>
      </c>
      <c r="D88" s="18" t="s">
        <v>347</v>
      </c>
      <c r="E88" s="57" t="s">
        <v>594</v>
      </c>
      <c r="F88" s="81" t="s">
        <v>439</v>
      </c>
      <c r="G88" s="21" t="s">
        <v>346</v>
      </c>
      <c r="H88" s="22">
        <f t="shared" si="1"/>
        <v>5</v>
      </c>
      <c r="I88" s="21">
        <v>1401</v>
      </c>
      <c r="J88" s="21"/>
      <c r="K88" s="23">
        <v>5000000</v>
      </c>
      <c r="L88" s="24"/>
    </row>
    <row r="89" spans="1:12" ht="15.75" customHeight="1">
      <c r="A89" s="2" t="s">
        <v>327</v>
      </c>
      <c r="B89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89" s="18" t="s">
        <v>358</v>
      </c>
      <c r="D89" s="18" t="s">
        <v>359</v>
      </c>
      <c r="E89" s="19" t="s">
        <v>239</v>
      </c>
      <c r="F89" s="81" t="s">
        <v>489</v>
      </c>
      <c r="G89" s="21" t="s">
        <v>346</v>
      </c>
      <c r="H89" s="22">
        <f t="shared" si="1"/>
        <v>5</v>
      </c>
      <c r="I89" s="21">
        <v>1401</v>
      </c>
      <c r="J89" s="21"/>
      <c r="K89" s="23">
        <v>100000000</v>
      </c>
      <c r="L89" s="24"/>
    </row>
    <row r="90" spans="1:12" ht="15.75" customHeight="1">
      <c r="A90" s="2" t="s">
        <v>327</v>
      </c>
      <c r="B90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90" s="18" t="s">
        <v>328</v>
      </c>
      <c r="D90" s="18" t="s">
        <v>329</v>
      </c>
      <c r="E90" s="19" t="s">
        <v>469</v>
      </c>
      <c r="F90" s="81" t="s">
        <v>486</v>
      </c>
      <c r="G90" s="21" t="s">
        <v>346</v>
      </c>
      <c r="H90" s="22">
        <f t="shared" si="1"/>
        <v>5</v>
      </c>
      <c r="I90" s="21">
        <v>1401</v>
      </c>
      <c r="J90" s="21"/>
      <c r="K90" s="23">
        <v>30000000</v>
      </c>
      <c r="L90" s="24"/>
    </row>
    <row r="91" spans="1:12" ht="15.75" customHeight="1">
      <c r="A91" s="2" t="s">
        <v>327</v>
      </c>
      <c r="B91" s="17">
        <f>SUMIFS('لیست واریزی کل خیرین'!B:B,'لیست واریزی کل خیرین'!D:D,Table1[[#This Row],[نام]],'لیست واریزی کل خیرین'!E:E,Table1[[#This Row],[نام خانوادگی]])</f>
        <v>15</v>
      </c>
      <c r="C91" s="18" t="s">
        <v>372</v>
      </c>
      <c r="D91" s="18" t="s">
        <v>373</v>
      </c>
      <c r="E91" s="19" t="s">
        <v>450</v>
      </c>
      <c r="F91" s="81" t="s">
        <v>451</v>
      </c>
      <c r="G91" s="21" t="s">
        <v>346</v>
      </c>
      <c r="H91" s="22">
        <f t="shared" si="1"/>
        <v>5</v>
      </c>
      <c r="I91" s="21">
        <v>1401</v>
      </c>
      <c r="J91" s="21"/>
      <c r="K91" s="23">
        <v>10000000</v>
      </c>
      <c r="L91" s="24"/>
    </row>
    <row r="92" spans="1:12" ht="15.75" customHeight="1">
      <c r="A92" s="2" t="s">
        <v>327</v>
      </c>
      <c r="B92" s="17">
        <f>SUMIFS('لیست واریزی کل خیرین'!B:B,'لیست واریزی کل خیرین'!D:D,Table1[[#This Row],[نام]],'لیست واریزی کل خیرین'!E:E,Table1[[#This Row],[نام خانوادگی]])</f>
        <v>38</v>
      </c>
      <c r="C92" s="18" t="s">
        <v>429</v>
      </c>
      <c r="D92" s="18" t="s">
        <v>430</v>
      </c>
      <c r="E92" s="19" t="s">
        <v>483</v>
      </c>
      <c r="F92" s="81" t="s">
        <v>484</v>
      </c>
      <c r="G92" s="21" t="s">
        <v>346</v>
      </c>
      <c r="H92" s="22">
        <f t="shared" si="1"/>
        <v>5</v>
      </c>
      <c r="I92" s="21">
        <v>1401</v>
      </c>
      <c r="J92" s="21"/>
      <c r="K92" s="23">
        <v>3000000</v>
      </c>
      <c r="L92" s="24"/>
    </row>
    <row r="93" spans="1:12" ht="15.75" customHeight="1">
      <c r="A93" s="2" t="s">
        <v>327</v>
      </c>
      <c r="B93" s="17">
        <f>SUMIFS('لیست واریزی کل خیرین'!B:B,'لیست واریزی کل خیرین'!D:D,Table1[[#This Row],[نام]],'لیست واریزی کل خیرین'!E:E,Table1[[#This Row],[نام خانوادگی]])</f>
        <v>19</v>
      </c>
      <c r="C93" s="18" t="s">
        <v>363</v>
      </c>
      <c r="D93" s="18" t="s">
        <v>380</v>
      </c>
      <c r="E93" s="19" t="s">
        <v>478</v>
      </c>
      <c r="F93" s="81">
        <v>6221061229152840</v>
      </c>
      <c r="G93" s="21" t="s">
        <v>346</v>
      </c>
      <c r="H93" s="22">
        <f t="shared" si="1"/>
        <v>5</v>
      </c>
      <c r="I93" s="21">
        <v>1401</v>
      </c>
      <c r="J93" s="21"/>
      <c r="K93" s="23">
        <v>20000000</v>
      </c>
      <c r="L93" s="24" t="s">
        <v>432</v>
      </c>
    </row>
    <row r="94" spans="1:12" ht="15.75" customHeight="1">
      <c r="A94" s="2" t="s">
        <v>327</v>
      </c>
      <c r="B94" s="17">
        <f>SUMIFS('لیست واریزی کل خیرین'!B:B,'لیست واریزی کل خیرین'!D:D,Table1[[#This Row],[نام]],'لیست واریزی کل خیرین'!E:E,Table1[[#This Row],[نام خانوادگی]])</f>
        <v>13</v>
      </c>
      <c r="C94" s="25" t="s">
        <v>355</v>
      </c>
      <c r="D94" s="25" t="s">
        <v>369</v>
      </c>
      <c r="E94" s="19" t="s">
        <v>220</v>
      </c>
      <c r="F94" s="81">
        <v>6219861052116010</v>
      </c>
      <c r="G94" s="21" t="s">
        <v>346</v>
      </c>
      <c r="H94" s="22">
        <f t="shared" si="1"/>
        <v>5</v>
      </c>
      <c r="I94" s="21">
        <v>1401</v>
      </c>
      <c r="J94" s="26"/>
      <c r="K94" s="23">
        <v>2500000</v>
      </c>
      <c r="L94" s="27" t="s">
        <v>370</v>
      </c>
    </row>
    <row r="95" spans="1:12" ht="15.75" customHeight="1">
      <c r="A95" s="2" t="s">
        <v>327</v>
      </c>
      <c r="B95" s="17">
        <f>SUMIFS('لیست واریزی کل خیرین'!B:B,'لیست واریزی کل خیرین'!D:D,Table1[[#This Row],[نام]],'لیست واریزی کل خیرین'!E:E,Table1[[#This Row],[نام خانوادگی]])</f>
        <v>35</v>
      </c>
      <c r="C95" s="18" t="s">
        <v>465</v>
      </c>
      <c r="D95" s="18" t="s">
        <v>466</v>
      </c>
      <c r="E95" s="19" t="s">
        <v>463</v>
      </c>
      <c r="F95" s="81" t="s">
        <v>467</v>
      </c>
      <c r="G95" s="21" t="s">
        <v>346</v>
      </c>
      <c r="H95" s="22">
        <f t="shared" si="1"/>
        <v>5</v>
      </c>
      <c r="I95" s="21">
        <v>1401</v>
      </c>
      <c r="J95" s="21"/>
      <c r="K95" s="23">
        <v>2000000</v>
      </c>
      <c r="L95" s="24"/>
    </row>
    <row r="96" spans="1:12" ht="15.75" customHeight="1">
      <c r="A96" s="2" t="s">
        <v>327</v>
      </c>
      <c r="B96" s="17">
        <f>SUMIFS('لیست واریزی کل خیرین'!B:B,'لیست واریزی کل خیرین'!D:D,Table1[[#This Row],[نام]],'لیست واریزی کل خیرین'!E:E,Table1[[#This Row],[نام خانوادگی]])</f>
        <v>5</v>
      </c>
      <c r="C96" s="18" t="s">
        <v>344</v>
      </c>
      <c r="D96" s="18" t="s">
        <v>345</v>
      </c>
      <c r="E96" s="19" t="s">
        <v>490</v>
      </c>
      <c r="F96" s="84">
        <v>5859831202663190</v>
      </c>
      <c r="G96" s="21" t="s">
        <v>346</v>
      </c>
      <c r="H96" s="22">
        <f t="shared" si="1"/>
        <v>5</v>
      </c>
      <c r="I96" s="21">
        <v>1401</v>
      </c>
      <c r="J96" s="21"/>
      <c r="K96" s="23">
        <v>5000000</v>
      </c>
      <c r="L96" s="24"/>
    </row>
    <row r="97" spans="1:27" ht="15.75" customHeight="1">
      <c r="A97" s="2" t="s">
        <v>327</v>
      </c>
      <c r="B97" s="17">
        <f>SUMIFS('لیست واریزی کل خیرین'!B:B,'لیست واریزی کل خیرین'!D:D,Table1[[#This Row],[نام]],'لیست واریزی کل خیرین'!E:E,Table1[[#This Row],[نام خانوادگی]])</f>
        <v>21</v>
      </c>
      <c r="C97" s="18" t="s">
        <v>366</v>
      </c>
      <c r="D97" s="18" t="s">
        <v>385</v>
      </c>
      <c r="E97" s="19" t="s">
        <v>487</v>
      </c>
      <c r="F97" s="84" t="s">
        <v>488</v>
      </c>
      <c r="G97" s="21" t="s">
        <v>346</v>
      </c>
      <c r="H97" s="22">
        <f t="shared" si="1"/>
        <v>5</v>
      </c>
      <c r="I97" s="21">
        <v>1401</v>
      </c>
      <c r="J97" s="21"/>
      <c r="K97" s="23">
        <v>5000000</v>
      </c>
      <c r="L97" s="24"/>
    </row>
    <row r="98" spans="1:27" ht="15.75" customHeight="1">
      <c r="A98" s="2" t="s">
        <v>327</v>
      </c>
      <c r="B98" s="17">
        <f>SUMIFS('لیست واریزی کل خیرین'!B:B,'لیست واریزی کل خیرین'!D:D,Table1[[#This Row],[نام]],'لیست واریزی کل خیرین'!E:E,Table1[[#This Row],[نام خانوادگی]])</f>
        <v>23</v>
      </c>
      <c r="C98" s="21" t="s">
        <v>457</v>
      </c>
      <c r="D98" s="21" t="s">
        <v>390</v>
      </c>
      <c r="E98" s="19" t="s">
        <v>491</v>
      </c>
      <c r="F98" s="81">
        <v>6219861917039190</v>
      </c>
      <c r="G98" s="21" t="s">
        <v>346</v>
      </c>
      <c r="H98" s="22">
        <f t="shared" si="1"/>
        <v>5</v>
      </c>
      <c r="I98" s="21">
        <v>1401</v>
      </c>
      <c r="J98" s="21"/>
      <c r="K98" s="23">
        <v>10000000</v>
      </c>
      <c r="L98" s="24"/>
    </row>
    <row r="99" spans="1:27" ht="15.75" customHeight="1">
      <c r="A99" s="2" t="s">
        <v>327</v>
      </c>
      <c r="B99" s="17">
        <f>SUMIFS('لیست واریزی کل خیرین'!B:B,'لیست واریزی کل خیرین'!D:D,Table1[[#This Row],[نام]],'لیست واریزی کل خیرین'!E:E,Table1[[#This Row],[نام خانوادگی]])</f>
        <v>33</v>
      </c>
      <c r="C99" s="18" t="s">
        <v>452</v>
      </c>
      <c r="D99" s="18" t="s">
        <v>453</v>
      </c>
      <c r="E99" s="19" t="s">
        <v>454</v>
      </c>
      <c r="F99" s="81" t="s">
        <v>455</v>
      </c>
      <c r="G99" s="21" t="s">
        <v>346</v>
      </c>
      <c r="H99" s="22">
        <f t="shared" si="1"/>
        <v>5</v>
      </c>
      <c r="I99" s="21">
        <v>1401</v>
      </c>
      <c r="J99" s="21"/>
      <c r="K99" s="23">
        <v>20000000</v>
      </c>
      <c r="L99" s="24" t="s">
        <v>456</v>
      </c>
    </row>
    <row r="100" spans="1:27" ht="15.75" customHeight="1">
      <c r="A100" s="2" t="s">
        <v>327</v>
      </c>
      <c r="B100" s="17">
        <f>SUMIFS('لیست واریزی کل خیرین'!B:B,'لیست واریزی کل خیرین'!D:D,Table1[[#This Row],[نام]],'لیست واریزی کل خیرین'!E:E,Table1[[#This Row],[نام خانوادگی]])</f>
        <v>28</v>
      </c>
      <c r="C100" s="18" t="s">
        <v>414</v>
      </c>
      <c r="D100" s="18" t="s">
        <v>415</v>
      </c>
      <c r="E100" s="19" t="s">
        <v>249</v>
      </c>
      <c r="F100" s="81">
        <v>6037997170998600</v>
      </c>
      <c r="G100" s="21" t="s">
        <v>348</v>
      </c>
      <c r="H100" s="22">
        <f t="shared" si="1"/>
        <v>6</v>
      </c>
      <c r="I100" s="21">
        <v>1401</v>
      </c>
      <c r="J100" s="21"/>
      <c r="K100" s="23">
        <v>4000000</v>
      </c>
      <c r="L100" s="24"/>
    </row>
    <row r="101" spans="1:27" ht="15.75" customHeight="1">
      <c r="A101" s="2" t="s">
        <v>327</v>
      </c>
      <c r="B101" s="17">
        <f>SUMIFS('لیست واریزی کل خیرین'!B:B,'لیست واریزی کل خیرین'!D:D,Table1[[#This Row],[نام]],'لیست واریزی کل خیرین'!E:E,Table1[[#This Row],[نام خانوادگی]])</f>
        <v>34</v>
      </c>
      <c r="C101" s="18" t="s">
        <v>457</v>
      </c>
      <c r="D101" s="18" t="s">
        <v>458</v>
      </c>
      <c r="E101" s="19" t="s">
        <v>459</v>
      </c>
      <c r="F101" s="81">
        <v>5859831018931560</v>
      </c>
      <c r="G101" s="21" t="s">
        <v>348</v>
      </c>
      <c r="H101" s="22">
        <f t="shared" si="1"/>
        <v>6</v>
      </c>
      <c r="I101" s="21">
        <v>1401</v>
      </c>
      <c r="J101" s="21"/>
      <c r="K101" s="23">
        <v>5000000</v>
      </c>
      <c r="L101" s="24" t="s">
        <v>460</v>
      </c>
    </row>
    <row r="102" spans="1:27" ht="15.75" customHeight="1">
      <c r="A102" s="2" t="s">
        <v>327</v>
      </c>
      <c r="B102" s="17">
        <f>SUMIFS('لیست واریزی کل خیرین'!B:B,'لیست واریزی کل خیرین'!D:D,Table1[[#This Row],[نام]],'لیست واریزی کل خیرین'!E:E,Table1[[#This Row],[نام خانوادگی]])</f>
        <v>22</v>
      </c>
      <c r="C102" s="18" t="s">
        <v>387</v>
      </c>
      <c r="D102" s="18" t="s">
        <v>388</v>
      </c>
      <c r="E102" s="19" t="s">
        <v>253</v>
      </c>
      <c r="F102" s="81">
        <v>5029081026862940</v>
      </c>
      <c r="G102" s="21" t="s">
        <v>348</v>
      </c>
      <c r="H102" s="22">
        <f t="shared" si="1"/>
        <v>6</v>
      </c>
      <c r="I102" s="21">
        <v>1401</v>
      </c>
      <c r="J102" s="21"/>
      <c r="K102" s="23">
        <v>2000000</v>
      </c>
      <c r="L102" s="24"/>
    </row>
    <row r="103" spans="1:27" ht="15.75" customHeight="1">
      <c r="A103" s="2" t="s">
        <v>327</v>
      </c>
      <c r="B103" s="17">
        <f>SUMIFS('لیست واریزی کل خیرین'!B:B,'لیست واریزی کل خیرین'!D:D,Table1[[#This Row],[نام]],'لیست واریزی کل خیرین'!E:E,Table1[[#This Row],[نام خانوادگی]])</f>
        <v>42</v>
      </c>
      <c r="C103" s="18" t="s">
        <v>499</v>
      </c>
      <c r="D103" s="18" t="s">
        <v>500</v>
      </c>
      <c r="E103" s="21"/>
      <c r="F103" s="81" t="s">
        <v>604</v>
      </c>
      <c r="G103" s="21" t="s">
        <v>348</v>
      </c>
      <c r="H103" s="22">
        <f t="shared" si="1"/>
        <v>6</v>
      </c>
      <c r="I103" s="21">
        <v>1401</v>
      </c>
      <c r="J103" s="21"/>
      <c r="K103" s="23">
        <v>11500000</v>
      </c>
      <c r="L103" s="24" t="s">
        <v>501</v>
      </c>
    </row>
    <row r="104" spans="1:27" ht="15.75" customHeight="1">
      <c r="A104" s="2" t="s">
        <v>327</v>
      </c>
      <c r="B104" s="17">
        <f>SUMIFS('لیست واریزی کل خیرین'!B:B,'لیست واریزی کل خیرین'!D:D,Table1[[#This Row],[نام]],'لیست واریزی کل خیرین'!E:E,Table1[[#This Row],[نام خانوادگی]])</f>
        <v>41</v>
      </c>
      <c r="C104" s="18" t="s">
        <v>73</v>
      </c>
      <c r="D104" s="18" t="s">
        <v>497</v>
      </c>
      <c r="E104" s="19" t="s">
        <v>498</v>
      </c>
      <c r="F104" s="81">
        <v>6037998200067800</v>
      </c>
      <c r="G104" s="21" t="s">
        <v>348</v>
      </c>
      <c r="H104" s="22">
        <f t="shared" si="1"/>
        <v>6</v>
      </c>
      <c r="I104" s="21">
        <v>1401</v>
      </c>
      <c r="J104" s="21"/>
      <c r="K104" s="23">
        <v>5000000</v>
      </c>
      <c r="L104" s="24"/>
    </row>
    <row r="105" spans="1:27" ht="15.75" customHeight="1">
      <c r="A105" s="2" t="s">
        <v>327</v>
      </c>
      <c r="B105" s="17">
        <f>SUMIFS('لیست واریزی کل خیرین'!B:B,'لیست واریزی کل خیرین'!D:D,Table1[[#This Row],[نام]],'لیست واریزی کل خیرین'!E:E,Table1[[#This Row],[نام خانوادگی]])</f>
        <v>37</v>
      </c>
      <c r="C105" s="18" t="s">
        <v>481</v>
      </c>
      <c r="D105" s="18" t="s">
        <v>482</v>
      </c>
      <c r="E105" s="19" t="s">
        <v>435</v>
      </c>
      <c r="F105" s="81">
        <v>5029081015337950</v>
      </c>
      <c r="G105" s="21" t="s">
        <v>348</v>
      </c>
      <c r="H105" s="22">
        <f t="shared" si="1"/>
        <v>6</v>
      </c>
      <c r="I105" s="21">
        <v>1401</v>
      </c>
      <c r="J105" s="21"/>
      <c r="K105" s="23">
        <v>3000000</v>
      </c>
      <c r="L105" s="24"/>
    </row>
    <row r="106" spans="1:27" ht="15.75" customHeight="1">
      <c r="A106" s="2" t="s">
        <v>327</v>
      </c>
      <c r="B106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106" s="18" t="s">
        <v>352</v>
      </c>
      <c r="D106" s="18" t="s">
        <v>353</v>
      </c>
      <c r="E106" s="19" t="s">
        <v>239</v>
      </c>
      <c r="F106" s="81">
        <v>6104337871897400</v>
      </c>
      <c r="G106" s="21" t="s">
        <v>348</v>
      </c>
      <c r="H106" s="22">
        <f t="shared" si="1"/>
        <v>6</v>
      </c>
      <c r="I106" s="21">
        <v>1401</v>
      </c>
      <c r="J106" s="21"/>
      <c r="K106" s="23">
        <v>5000000</v>
      </c>
      <c r="L106" s="24"/>
    </row>
    <row r="107" spans="1:27" ht="15.75" customHeight="1">
      <c r="A107" s="2" t="s">
        <v>327</v>
      </c>
      <c r="B107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107" s="18" t="s">
        <v>391</v>
      </c>
      <c r="D107" s="18" t="s">
        <v>392</v>
      </c>
      <c r="E107" s="19" t="s">
        <v>522</v>
      </c>
      <c r="F107" s="81" t="s">
        <v>393</v>
      </c>
      <c r="G107" s="49" t="s">
        <v>348</v>
      </c>
      <c r="H107" s="22">
        <f t="shared" si="1"/>
        <v>6</v>
      </c>
      <c r="I107" s="21">
        <v>1401</v>
      </c>
      <c r="J107" s="21"/>
      <c r="K107" s="23">
        <v>7696559</v>
      </c>
      <c r="L107" s="24"/>
    </row>
    <row r="108" spans="1:27" ht="15.75" customHeight="1">
      <c r="A108" s="2" t="s">
        <v>327</v>
      </c>
      <c r="B108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108" s="18" t="s">
        <v>366</v>
      </c>
      <c r="D108" s="18" t="s">
        <v>382</v>
      </c>
      <c r="E108" s="19" t="s">
        <v>253</v>
      </c>
      <c r="F108" s="81">
        <v>6037697598049570</v>
      </c>
      <c r="G108" s="21" t="s">
        <v>348</v>
      </c>
      <c r="H108" s="22">
        <f t="shared" si="1"/>
        <v>6</v>
      </c>
      <c r="I108" s="21">
        <v>1401</v>
      </c>
      <c r="J108" s="21"/>
      <c r="K108" s="23">
        <v>10000000</v>
      </c>
      <c r="L108" s="24" t="s">
        <v>518</v>
      </c>
    </row>
    <row r="109" spans="1:27" ht="15.75" customHeight="1">
      <c r="A109" s="45" t="s">
        <v>327</v>
      </c>
      <c r="B109" s="250">
        <f>SUMIFS('لیست واریزی کل خیرین'!B:B,'لیست واریزی کل خیرین'!D:D,Table1[[#This Row],[نام]],'لیست واریزی کل خیرین'!E:E,Table1[[#This Row],[نام خانوادگی]])</f>
        <v>2</v>
      </c>
      <c r="C109" s="251" t="s">
        <v>333</v>
      </c>
      <c r="D109" s="251" t="s">
        <v>334</v>
      </c>
      <c r="E109" s="254" t="s">
        <v>234</v>
      </c>
      <c r="F109" s="255" t="s">
        <v>424</v>
      </c>
      <c r="G109" s="21" t="s">
        <v>348</v>
      </c>
      <c r="H109" s="257">
        <f t="shared" si="1"/>
        <v>6</v>
      </c>
      <c r="I109" s="258">
        <v>1401</v>
      </c>
      <c r="J109" s="258"/>
      <c r="K109" s="259">
        <v>20000000</v>
      </c>
      <c r="L109" s="260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 t="s">
        <v>327</v>
      </c>
      <c r="B110" s="17">
        <f>SUMIFS('لیست واریزی کل خیرین'!B:B,'لیست واریزی کل خیرین'!D:D,Table1[[#This Row],[نام]],'لیست واریزی کل خیرین'!E:E,Table1[[#This Row],[نام خانوادگی]])</f>
        <v>4</v>
      </c>
      <c r="C110" s="18" t="s">
        <v>340</v>
      </c>
      <c r="D110" s="18" t="s">
        <v>341</v>
      </c>
      <c r="E110" s="48" t="s">
        <v>493</v>
      </c>
      <c r="F110" s="81">
        <v>6221061079430400</v>
      </c>
      <c r="G110" s="21" t="s">
        <v>348</v>
      </c>
      <c r="H110" s="22">
        <f t="shared" si="1"/>
        <v>6</v>
      </c>
      <c r="I110" s="21">
        <v>1401</v>
      </c>
      <c r="J110" s="21"/>
      <c r="K110" s="23">
        <v>2000000</v>
      </c>
      <c r="L110" s="24"/>
    </row>
    <row r="111" spans="1:27" ht="15.75" customHeight="1">
      <c r="A111" s="2" t="s">
        <v>327</v>
      </c>
      <c r="B111" s="17">
        <f>SUMIFS('لیست واریزی کل خیرین'!B:B,'لیست واریزی کل خیرین'!D:D,Table1[[#This Row],[نام]],'لیست واریزی کل خیرین'!E:E,Table1[[#This Row],[نام خانوادگی]])</f>
        <v>25</v>
      </c>
      <c r="C111" s="18" t="s">
        <v>401</v>
      </c>
      <c r="D111" s="18" t="s">
        <v>402</v>
      </c>
      <c r="E111" s="19" t="s">
        <v>494</v>
      </c>
      <c r="F111" s="81">
        <v>6104337811368020</v>
      </c>
      <c r="G111" s="21" t="s">
        <v>348</v>
      </c>
      <c r="H111" s="22">
        <f t="shared" si="1"/>
        <v>6</v>
      </c>
      <c r="I111" s="21">
        <v>1401</v>
      </c>
      <c r="J111" s="21"/>
      <c r="K111" s="23">
        <v>30000000</v>
      </c>
      <c r="L111" s="24"/>
    </row>
    <row r="112" spans="1:27" ht="15.75" customHeight="1">
      <c r="A112" s="2" t="s">
        <v>327</v>
      </c>
      <c r="B112" s="17">
        <f>SUMIFS('لیست واریزی کل خیرین'!B:B,'لیست واریزی کل خیرین'!D:D,Table1[[#This Row],[نام]],'لیست واریزی کل خیرین'!E:E,Table1[[#This Row],[نام خانوادگی]])</f>
        <v>40</v>
      </c>
      <c r="C112" s="18" t="s">
        <v>363</v>
      </c>
      <c r="D112" s="18" t="s">
        <v>402</v>
      </c>
      <c r="E112" s="19" t="s">
        <v>496</v>
      </c>
      <c r="F112" s="81">
        <v>6037697532958630</v>
      </c>
      <c r="G112" s="21" t="s">
        <v>348</v>
      </c>
      <c r="H112" s="22">
        <f t="shared" si="1"/>
        <v>6</v>
      </c>
      <c r="I112" s="21">
        <v>1401</v>
      </c>
      <c r="J112" s="21"/>
      <c r="K112" s="23">
        <v>50000000</v>
      </c>
      <c r="L112" s="24"/>
    </row>
    <row r="113" spans="1:12" ht="15.75" customHeight="1">
      <c r="A113" s="2" t="s">
        <v>327</v>
      </c>
      <c r="B113" s="17">
        <f>SUMIFS('لیست واریزی کل خیرین'!B:B,'لیست واریزی کل خیرین'!D:D,Table1[[#This Row],[نام]],'لیست واریزی کل خیرین'!E:E,Table1[[#This Row],[نام خانوادگی]])</f>
        <v>43</v>
      </c>
      <c r="C113" s="18" t="s">
        <v>372</v>
      </c>
      <c r="D113" s="18" t="s">
        <v>502</v>
      </c>
      <c r="E113" s="19" t="s">
        <v>503</v>
      </c>
      <c r="F113" s="81">
        <v>6104338902497420</v>
      </c>
      <c r="G113" s="21" t="s">
        <v>348</v>
      </c>
      <c r="H113" s="22">
        <f t="shared" si="1"/>
        <v>6</v>
      </c>
      <c r="I113" s="21">
        <v>1401</v>
      </c>
      <c r="J113" s="21"/>
      <c r="K113" s="23">
        <v>3500000</v>
      </c>
      <c r="L113" s="24"/>
    </row>
    <row r="114" spans="1:12" ht="15.75" customHeight="1">
      <c r="A114" s="2" t="s">
        <v>327</v>
      </c>
      <c r="B114" s="46">
        <f>SUMIFS('لیست واریزی کل خیرین'!B:B,'لیست واریزی کل خیرین'!D:D,Table1[[#This Row],[نام]],'لیست واریزی کل خیرین'!E:E,Table1[[#This Row],[نام خانوادگی]])</f>
        <v>24</v>
      </c>
      <c r="C114" s="12" t="s">
        <v>398</v>
      </c>
      <c r="D114" s="29" t="s">
        <v>399</v>
      </c>
      <c r="E114" s="47" t="s">
        <v>256</v>
      </c>
      <c r="F114" s="85">
        <v>5022291044919300</v>
      </c>
      <c r="G114" s="49" t="s">
        <v>348</v>
      </c>
      <c r="H114" s="51">
        <f t="shared" si="1"/>
        <v>6</v>
      </c>
      <c r="I114" s="49">
        <v>1401</v>
      </c>
      <c r="J114" s="49"/>
      <c r="K114" s="53">
        <v>5000000</v>
      </c>
      <c r="L114" s="55"/>
    </row>
    <row r="115" spans="1:12" ht="15.75" customHeight="1">
      <c r="A115" s="2" t="s">
        <v>327</v>
      </c>
      <c r="B115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115" s="18" t="s">
        <v>355</v>
      </c>
      <c r="D115" s="18" t="s">
        <v>356</v>
      </c>
      <c r="E115" s="19" t="s">
        <v>251</v>
      </c>
      <c r="F115" s="81">
        <v>6037691526531220</v>
      </c>
      <c r="G115" s="21" t="s">
        <v>348</v>
      </c>
      <c r="H115" s="22">
        <f t="shared" si="1"/>
        <v>6</v>
      </c>
      <c r="I115" s="21">
        <v>1401</v>
      </c>
      <c r="J115" s="21"/>
      <c r="K115" s="23">
        <v>5000000</v>
      </c>
      <c r="L115" s="24" t="s">
        <v>517</v>
      </c>
    </row>
    <row r="116" spans="1:12" ht="15.75" customHeight="1">
      <c r="A116" s="2" t="s">
        <v>327</v>
      </c>
      <c r="B116" s="17">
        <f>SUMIFS('لیست واریزی کل خیرین'!B:B,'لیست واریزی کل خیرین'!D:D,Table1[[#This Row],[نام]],'لیست واریزی کل خیرین'!E:E,Table1[[#This Row],[نام خانوادگی]])</f>
        <v>11</v>
      </c>
      <c r="C116" s="25" t="s">
        <v>363</v>
      </c>
      <c r="D116" s="25" t="s">
        <v>364</v>
      </c>
      <c r="E116" s="19" t="s">
        <v>495</v>
      </c>
      <c r="F116" s="81">
        <v>6063731028949880</v>
      </c>
      <c r="G116" s="21" t="s">
        <v>348</v>
      </c>
      <c r="H116" s="22">
        <f t="shared" si="1"/>
        <v>6</v>
      </c>
      <c r="I116" s="21">
        <v>1401</v>
      </c>
      <c r="J116" s="21"/>
      <c r="K116" s="23">
        <v>30000000</v>
      </c>
      <c r="L116" s="24"/>
    </row>
    <row r="117" spans="1:12" ht="15.75" customHeight="1">
      <c r="A117" s="2" t="s">
        <v>327</v>
      </c>
      <c r="B117" s="17">
        <f>SUMIFS('لیست واریزی کل خیرین'!B:B,'لیست واریزی کل خیرین'!D:D,Table1[[#This Row],[نام]],'لیست واریزی کل خیرین'!E:E,Table1[[#This Row],[نام خانوادگی]])</f>
        <v>46</v>
      </c>
      <c r="C117" s="18" t="s">
        <v>510</v>
      </c>
      <c r="D117" s="18" t="s">
        <v>511</v>
      </c>
      <c r="E117" s="19" t="s">
        <v>241</v>
      </c>
      <c r="F117" s="81">
        <v>5054161003619120</v>
      </c>
      <c r="G117" s="21" t="s">
        <v>348</v>
      </c>
      <c r="H117" s="22">
        <f t="shared" si="1"/>
        <v>6</v>
      </c>
      <c r="I117" s="21">
        <v>1401</v>
      </c>
      <c r="J117" s="21"/>
      <c r="K117" s="23">
        <v>3000000</v>
      </c>
      <c r="L117" s="24"/>
    </row>
    <row r="118" spans="1:12" ht="15.75" customHeight="1">
      <c r="A118" s="2" t="s">
        <v>327</v>
      </c>
      <c r="B118" s="17">
        <f>SUMIFS('لیست واریزی کل خیرین'!B:B,'لیست واریزی کل خیرین'!D:D,Table1[[#This Row],[نام]],'لیست واریزی کل خیرین'!E:E,Table1[[#This Row],[نام خانوادگی]])</f>
        <v>46</v>
      </c>
      <c r="C118" s="18" t="s">
        <v>510</v>
      </c>
      <c r="D118" s="18" t="s">
        <v>511</v>
      </c>
      <c r="E118" s="19" t="s">
        <v>516</v>
      </c>
      <c r="F118" s="81">
        <v>6037697598049570</v>
      </c>
      <c r="G118" s="21" t="s">
        <v>348</v>
      </c>
      <c r="H118" s="22">
        <f t="shared" si="1"/>
        <v>6</v>
      </c>
      <c r="I118" s="21">
        <v>1401</v>
      </c>
      <c r="J118" s="21"/>
      <c r="K118" s="23">
        <v>2000000</v>
      </c>
      <c r="L118" s="24"/>
    </row>
    <row r="119" spans="1:12" ht="15.75" customHeight="1">
      <c r="A119" s="2" t="s">
        <v>327</v>
      </c>
      <c r="B119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119" s="18" t="s">
        <v>349</v>
      </c>
      <c r="D119" s="18" t="s">
        <v>350</v>
      </c>
      <c r="E119" s="19" t="s">
        <v>512</v>
      </c>
      <c r="F119" s="81">
        <v>6037991947370220</v>
      </c>
      <c r="G119" s="21" t="s">
        <v>348</v>
      </c>
      <c r="H119" s="22">
        <f t="shared" si="1"/>
        <v>6</v>
      </c>
      <c r="I119" s="21">
        <v>1401</v>
      </c>
      <c r="J119" s="21"/>
      <c r="K119" s="23">
        <v>10000000</v>
      </c>
      <c r="L119" s="24"/>
    </row>
    <row r="120" spans="1:12" ht="15.75" customHeight="1">
      <c r="A120" s="2" t="s">
        <v>327</v>
      </c>
      <c r="B120" s="17">
        <f>SUMIFS('لیست واریزی کل خیرین'!B:B,'لیست واریزی کل خیرین'!D:D,Table1[[#This Row],[نام]],'لیست واریزی کل خیرین'!E:E,Table1[[#This Row],[نام خانوادگی]])</f>
        <v>47</v>
      </c>
      <c r="C120" s="18" t="s">
        <v>363</v>
      </c>
      <c r="D120" s="18" t="s">
        <v>514</v>
      </c>
      <c r="E120" s="19" t="s">
        <v>515</v>
      </c>
      <c r="F120" s="81">
        <v>6221061208001210</v>
      </c>
      <c r="G120" s="21" t="s">
        <v>348</v>
      </c>
      <c r="H120" s="22">
        <f t="shared" si="1"/>
        <v>6</v>
      </c>
      <c r="I120" s="21">
        <v>1401</v>
      </c>
      <c r="J120" s="21"/>
      <c r="K120" s="23">
        <v>5000000</v>
      </c>
      <c r="L120" s="24"/>
    </row>
    <row r="121" spans="1:12" ht="15.75" customHeight="1">
      <c r="A121" s="2" t="s">
        <v>327</v>
      </c>
      <c r="B121" s="17">
        <f>SUMIFS('لیست واریزی کل خیرین'!B:B,'لیست واریزی کل خیرین'!D:D,Table1[[#This Row],[نام]],'لیست واریزی کل خیرین'!E:E,Table1[[#This Row],[نام خانوادگی]])</f>
        <v>12</v>
      </c>
      <c r="C121" s="25" t="s">
        <v>366</v>
      </c>
      <c r="D121" s="25" t="s">
        <v>367</v>
      </c>
      <c r="E121" s="19" t="s">
        <v>475</v>
      </c>
      <c r="F121" s="81" t="s">
        <v>492</v>
      </c>
      <c r="G121" s="21" t="s">
        <v>348</v>
      </c>
      <c r="H121" s="22">
        <f t="shared" si="1"/>
        <v>6</v>
      </c>
      <c r="I121" s="21">
        <v>1401</v>
      </c>
      <c r="J121" s="21"/>
      <c r="K121" s="23">
        <v>3000000</v>
      </c>
      <c r="L121" s="24"/>
    </row>
    <row r="122" spans="1:12" ht="15.75" customHeight="1">
      <c r="A122" s="2" t="s">
        <v>327</v>
      </c>
      <c r="B122" s="17">
        <f>SUMIFS('لیست واریزی کل خیرین'!B:B,'لیست واریزی کل خیرین'!D:D,Table1[[#This Row],[نام]],'لیست واریزی کل خیرین'!E:E,Table1[[#This Row],[نام خانوادگی]])</f>
        <v>14</v>
      </c>
      <c r="C122" s="18" t="s">
        <v>71</v>
      </c>
      <c r="D122" s="18" t="s">
        <v>371</v>
      </c>
      <c r="E122" s="19" t="s">
        <v>249</v>
      </c>
      <c r="F122" s="81">
        <v>5022291026904170</v>
      </c>
      <c r="G122" s="21" t="s">
        <v>348</v>
      </c>
      <c r="H122" s="22">
        <f t="shared" si="1"/>
        <v>6</v>
      </c>
      <c r="I122" s="21">
        <v>1401</v>
      </c>
      <c r="J122" s="21"/>
      <c r="K122" s="23">
        <v>10000000</v>
      </c>
      <c r="L122" s="24"/>
    </row>
    <row r="123" spans="1:12" ht="15.75" customHeight="1">
      <c r="A123" s="2" t="s">
        <v>327</v>
      </c>
      <c r="B123" s="17">
        <f>SUMIFS('لیست واریزی کل خیرین'!B:B,'لیست واریزی کل خیرین'!D:D,Table1[[#This Row],[نام]],'لیست واریزی کل خیرین'!E:E,Table1[[#This Row],[نام خانوادگی]])</f>
        <v>36</v>
      </c>
      <c r="C123" s="18" t="s">
        <v>471</v>
      </c>
      <c r="D123" s="18" t="s">
        <v>472</v>
      </c>
      <c r="E123" s="19" t="s">
        <v>509</v>
      </c>
      <c r="F123" s="81">
        <v>8922306683</v>
      </c>
      <c r="G123" s="21" t="s">
        <v>348</v>
      </c>
      <c r="H123" s="22">
        <f t="shared" si="1"/>
        <v>6</v>
      </c>
      <c r="I123" s="21">
        <v>1401</v>
      </c>
      <c r="J123" s="21"/>
      <c r="K123" s="23">
        <v>70000000</v>
      </c>
      <c r="L123" s="24"/>
    </row>
    <row r="124" spans="1:12" ht="15.75" customHeight="1">
      <c r="A124" s="2" t="s">
        <v>327</v>
      </c>
      <c r="B124" s="17">
        <f>SUMIFS('لیست واریزی کل خیرین'!B:B,'لیست واریزی کل خیرین'!D:D,Table1[[#This Row],[نام]],'لیست واریزی کل خیرین'!E:E,Table1[[#This Row],[نام خانوادگی]])</f>
        <v>44</v>
      </c>
      <c r="C124" s="18" t="s">
        <v>504</v>
      </c>
      <c r="D124" s="18" t="s">
        <v>505</v>
      </c>
      <c r="E124" s="19" t="s">
        <v>493</v>
      </c>
      <c r="F124" s="81">
        <v>5894631543100330</v>
      </c>
      <c r="G124" s="21" t="s">
        <v>348</v>
      </c>
      <c r="H124" s="22">
        <f t="shared" si="1"/>
        <v>6</v>
      </c>
      <c r="I124" s="21">
        <v>1401</v>
      </c>
      <c r="J124" s="21"/>
      <c r="K124" s="23">
        <v>10000000</v>
      </c>
      <c r="L124" s="24"/>
    </row>
    <row r="125" spans="1:12" ht="36.75" customHeight="1">
      <c r="A125" s="2" t="s">
        <v>327</v>
      </c>
      <c r="B125" s="17">
        <f>SUMIFS('لیست واریزی کل خیرین'!B:B,'لیست واریزی کل خیرین'!D:D,Table1[[#This Row],[نام]],'لیست واریزی کل خیرین'!E:E,Table1[[#This Row],[نام خانوادگی]])</f>
        <v>16</v>
      </c>
      <c r="C125" s="25" t="s">
        <v>366</v>
      </c>
      <c r="D125" s="25" t="s">
        <v>374</v>
      </c>
      <c r="E125" s="19" t="s">
        <v>434</v>
      </c>
      <c r="F125" s="81">
        <v>6037998112152490</v>
      </c>
      <c r="G125" s="21" t="s">
        <v>348</v>
      </c>
      <c r="H125" s="22">
        <f t="shared" si="1"/>
        <v>6</v>
      </c>
      <c r="I125" s="21">
        <v>1401</v>
      </c>
      <c r="J125" s="21"/>
      <c r="K125" s="23">
        <v>3000000</v>
      </c>
      <c r="L125" s="267" t="s">
        <v>1272</v>
      </c>
    </row>
    <row r="126" spans="1:12" ht="15.75" customHeight="1">
      <c r="A126" s="2" t="s">
        <v>327</v>
      </c>
      <c r="B126" s="17">
        <f>SUMIFS('لیست واریزی کل خیرین'!B:B,'لیست واریزی کل خیرین'!D:D,Table1[[#This Row],[نام]],'لیست واریزی کل خیرین'!E:E,Table1[[#This Row],[نام خانوادگی]])</f>
        <v>6</v>
      </c>
      <c r="C126" s="18" t="s">
        <v>76</v>
      </c>
      <c r="D126" s="18" t="s">
        <v>347</v>
      </c>
      <c r="E126" s="19" t="s">
        <v>487</v>
      </c>
      <c r="F126" s="81">
        <v>6.0377697540254096E+16</v>
      </c>
      <c r="G126" s="21" t="s">
        <v>348</v>
      </c>
      <c r="H126" s="22">
        <f t="shared" si="1"/>
        <v>6</v>
      </c>
      <c r="I126" s="21">
        <v>1401</v>
      </c>
      <c r="J126" s="21"/>
      <c r="K126" s="23">
        <v>5000000</v>
      </c>
      <c r="L126" s="24"/>
    </row>
    <row r="127" spans="1:12" ht="15.75" customHeight="1">
      <c r="A127" s="2" t="s">
        <v>327</v>
      </c>
      <c r="B127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127" s="18" t="s">
        <v>358</v>
      </c>
      <c r="D127" s="18" t="s">
        <v>359</v>
      </c>
      <c r="E127" s="19" t="s">
        <v>239</v>
      </c>
      <c r="F127" s="81" t="s">
        <v>489</v>
      </c>
      <c r="G127" s="21" t="s">
        <v>348</v>
      </c>
      <c r="H127" s="22">
        <f t="shared" si="1"/>
        <v>6</v>
      </c>
      <c r="I127" s="21">
        <v>1401</v>
      </c>
      <c r="J127" s="21"/>
      <c r="K127" s="23">
        <v>100000000</v>
      </c>
      <c r="L127" s="24"/>
    </row>
    <row r="128" spans="1:12" ht="15.75" customHeight="1">
      <c r="A128" s="2" t="s">
        <v>327</v>
      </c>
      <c r="B128" s="17">
        <f>SUMIFS('لیست واریزی کل خیرین'!B:B,'لیست واریزی کل خیرین'!D:D,Table1[[#This Row],[نام]],'لیست واریزی کل خیرین'!E:E,Table1[[#This Row],[نام خانوادگی]])</f>
        <v>15</v>
      </c>
      <c r="C128" s="18" t="s">
        <v>372</v>
      </c>
      <c r="D128" s="18" t="s">
        <v>373</v>
      </c>
      <c r="E128" s="57" t="s">
        <v>287</v>
      </c>
      <c r="F128" s="81" t="s">
        <v>507</v>
      </c>
      <c r="G128" s="21" t="s">
        <v>348</v>
      </c>
      <c r="H128" s="22">
        <f t="shared" si="1"/>
        <v>6</v>
      </c>
      <c r="I128" s="21">
        <v>1401</v>
      </c>
      <c r="J128" s="21"/>
      <c r="K128" s="23">
        <v>10000000</v>
      </c>
      <c r="L128" s="24" t="s">
        <v>508</v>
      </c>
    </row>
    <row r="129" spans="1:13" ht="15.75" customHeight="1">
      <c r="A129" s="2" t="s">
        <v>327</v>
      </c>
      <c r="B129" s="17">
        <f>SUMIFS('لیست واریزی کل خیرین'!B:B,'لیست واریزی کل خیرین'!D:D,Table1[[#This Row],[نام]],'لیست واریزی کل خیرین'!E:E,Table1[[#This Row],[نام خانوادگی]])</f>
        <v>56</v>
      </c>
      <c r="C129" s="18" t="s">
        <v>519</v>
      </c>
      <c r="D129" s="18" t="s">
        <v>520</v>
      </c>
      <c r="E129" s="19" t="s">
        <v>503</v>
      </c>
      <c r="F129" s="81">
        <v>6104337800043160</v>
      </c>
      <c r="G129" s="21" t="s">
        <v>348</v>
      </c>
      <c r="H129" s="22">
        <f t="shared" si="1"/>
        <v>6</v>
      </c>
      <c r="I129" s="21">
        <v>1401</v>
      </c>
      <c r="J129" s="21"/>
      <c r="K129" s="23">
        <v>10000000</v>
      </c>
      <c r="L129" s="24" t="s">
        <v>521</v>
      </c>
    </row>
    <row r="130" spans="1:13" ht="15.75" customHeight="1">
      <c r="A130" s="2" t="s">
        <v>327</v>
      </c>
      <c r="B130" s="17">
        <f>SUMIFS('لیست واریزی کل خیرین'!B:B,'لیست واریزی کل خیرین'!D:D,Table1[[#This Row],[نام]],'لیست واریزی کل خیرین'!E:E,Table1[[#This Row],[نام خانوادگی]])</f>
        <v>19</v>
      </c>
      <c r="C130" s="18" t="s">
        <v>363</v>
      </c>
      <c r="D130" s="18" t="s">
        <v>380</v>
      </c>
      <c r="E130" s="19" t="s">
        <v>512</v>
      </c>
      <c r="F130" s="81" t="s">
        <v>513</v>
      </c>
      <c r="G130" s="21" t="s">
        <v>348</v>
      </c>
      <c r="H130" s="22">
        <f t="shared" ref="H130:H195" si="2">IF(G130="","",VLOOKUP(G130,mah,2,0))</f>
        <v>6</v>
      </c>
      <c r="I130" s="21">
        <v>1401</v>
      </c>
      <c r="J130" s="21"/>
      <c r="K130" s="23">
        <v>20000000</v>
      </c>
      <c r="L130" s="24"/>
    </row>
    <row r="131" spans="1:13" ht="15.75" customHeight="1">
      <c r="A131" s="2" t="s">
        <v>327</v>
      </c>
      <c r="B131" s="17">
        <f>SUMIFS('لیست واریزی کل خیرین'!B:B,'لیست واریزی کل خیرین'!D:D,Table1[[#This Row],[نام]],'لیست واریزی کل خیرین'!E:E,Table1[[#This Row],[نام خانوادگی]])</f>
        <v>45</v>
      </c>
      <c r="C131" s="18" t="s">
        <v>372</v>
      </c>
      <c r="D131" s="18" t="s">
        <v>506</v>
      </c>
      <c r="E131" s="19" t="s">
        <v>196</v>
      </c>
      <c r="F131" s="81">
        <v>6104337334727420</v>
      </c>
      <c r="G131" s="21" t="s">
        <v>348</v>
      </c>
      <c r="H131" s="22">
        <f t="shared" si="2"/>
        <v>6</v>
      </c>
      <c r="I131" s="21">
        <v>1401</v>
      </c>
      <c r="J131" s="21"/>
      <c r="K131" s="23">
        <v>20000000</v>
      </c>
      <c r="L131" s="24"/>
    </row>
    <row r="132" spans="1:13" ht="15.75" customHeight="1">
      <c r="A132" s="2" t="s">
        <v>327</v>
      </c>
      <c r="B132" s="17">
        <f>SUMIFS('لیست واریزی کل خیرین'!B:B,'لیست واریزی کل خیرین'!D:D,Table1[[#This Row],[نام]],'لیست واریزی کل خیرین'!E:E,Table1[[#This Row],[نام خانوادگی]])</f>
        <v>13</v>
      </c>
      <c r="C132" s="25" t="s">
        <v>355</v>
      </c>
      <c r="D132" s="25" t="s">
        <v>369</v>
      </c>
      <c r="E132" s="19" t="s">
        <v>220</v>
      </c>
      <c r="F132" s="81">
        <v>6219861052116010</v>
      </c>
      <c r="G132" s="21" t="s">
        <v>348</v>
      </c>
      <c r="H132" s="22">
        <f t="shared" si="2"/>
        <v>6</v>
      </c>
      <c r="I132" s="21">
        <v>1401</v>
      </c>
      <c r="J132" s="26"/>
      <c r="K132" s="23">
        <v>2500000</v>
      </c>
      <c r="L132" s="27" t="s">
        <v>370</v>
      </c>
    </row>
    <row r="133" spans="1:13" ht="15.75" customHeight="1">
      <c r="A133" s="2" t="s">
        <v>327</v>
      </c>
      <c r="B133" s="17">
        <f>SUMIFS('لیست واریزی کل خیرین'!B:B,'لیست واریزی کل خیرین'!D:D,Table1[[#This Row],[نام]],'لیست واریزی کل خیرین'!E:E,Table1[[#This Row],[نام خانوادگی]])</f>
        <v>35</v>
      </c>
      <c r="C133" s="18" t="s">
        <v>465</v>
      </c>
      <c r="D133" s="18" t="s">
        <v>466</v>
      </c>
      <c r="E133" s="19" t="s">
        <v>241</v>
      </c>
      <c r="F133" s="81">
        <v>6037697561226110</v>
      </c>
      <c r="G133" s="21" t="s">
        <v>348</v>
      </c>
      <c r="H133" s="22">
        <f t="shared" si="2"/>
        <v>6</v>
      </c>
      <c r="I133" s="21">
        <v>1401</v>
      </c>
      <c r="J133" s="21"/>
      <c r="K133" s="23">
        <v>2000000</v>
      </c>
      <c r="L133" s="24"/>
    </row>
    <row r="134" spans="1:13" ht="15.75" customHeight="1">
      <c r="A134" s="2" t="s">
        <v>327</v>
      </c>
      <c r="B134" s="17">
        <f>SUMIFS('لیست واریزی کل خیرین'!B:B,'لیست واریزی کل خیرین'!D:D,Table1[[#This Row],[نام]],'لیست واریزی کل خیرین'!E:E,Table1[[#This Row],[نام خانوادگی]])</f>
        <v>5</v>
      </c>
      <c r="C134" s="18" t="s">
        <v>344</v>
      </c>
      <c r="D134" s="18" t="s">
        <v>345</v>
      </c>
      <c r="E134" s="47" t="s">
        <v>196</v>
      </c>
      <c r="F134" s="81">
        <v>5859831202663190</v>
      </c>
      <c r="G134" s="21" t="s">
        <v>348</v>
      </c>
      <c r="H134" s="22">
        <f t="shared" si="2"/>
        <v>6</v>
      </c>
      <c r="I134" s="21">
        <v>1401</v>
      </c>
      <c r="J134" s="21"/>
      <c r="K134" s="23">
        <v>5000000</v>
      </c>
      <c r="L134" s="24"/>
    </row>
    <row r="135" spans="1:13" ht="15.75" customHeight="1">
      <c r="A135" s="45"/>
      <c r="B135" s="40">
        <f>SUMIFS('لیست واریزی کل خیرین'!B:B,'لیست واریزی کل خیرین'!D:D,Table1[[#This Row],[نام]],'لیست واریزی کل خیرین'!E:E,Table1[[#This Row],[نام خانوادگی]])</f>
        <v>21</v>
      </c>
      <c r="C135" s="50" t="s">
        <v>366</v>
      </c>
      <c r="D135" s="50" t="s">
        <v>385</v>
      </c>
      <c r="E135" s="48" t="s">
        <v>690</v>
      </c>
      <c r="F135" s="82" t="s">
        <v>691</v>
      </c>
      <c r="G135" s="256" t="s">
        <v>348</v>
      </c>
      <c r="H135" s="52">
        <f t="shared" si="2"/>
        <v>6</v>
      </c>
      <c r="I135" s="50">
        <v>1401</v>
      </c>
      <c r="J135" s="50"/>
      <c r="K135" s="54">
        <v>5000000</v>
      </c>
      <c r="L135" s="30" t="s">
        <v>1062</v>
      </c>
    </row>
    <row r="136" spans="1:13" ht="15.75" customHeight="1">
      <c r="A136" s="2" t="s">
        <v>327</v>
      </c>
      <c r="B136" s="17">
        <f>SUMIFS('لیست واریزی کل خیرین'!B:B,'لیست واریزی کل خیرین'!D:D,Table1[[#This Row],[نام]],'لیست واریزی کل خیرین'!E:E,Table1[[#This Row],[نام خانوادگی]])</f>
        <v>23</v>
      </c>
      <c r="C136" s="21" t="s">
        <v>457</v>
      </c>
      <c r="D136" s="21" t="s">
        <v>390</v>
      </c>
      <c r="E136" s="19" t="s">
        <v>491</v>
      </c>
      <c r="F136" s="81">
        <v>6219861917039190</v>
      </c>
      <c r="G136" s="50" t="s">
        <v>348</v>
      </c>
      <c r="H136" s="22">
        <f t="shared" si="2"/>
        <v>6</v>
      </c>
      <c r="I136" s="21">
        <v>1401</v>
      </c>
      <c r="J136" s="21"/>
      <c r="K136" s="23">
        <v>10000000</v>
      </c>
      <c r="L136" s="30"/>
    </row>
    <row r="137" spans="1:13" ht="15.75" customHeight="1">
      <c r="A137" s="2" t="s">
        <v>327</v>
      </c>
      <c r="B137" s="17">
        <f>SUMIFS('لیست واریزی کل خیرین'!B:B,'لیست واریزی کل خیرین'!D:D,Table1[[#This Row],[نام]],'لیست واریزی کل خیرین'!E:E,Table1[[#This Row],[نام خانوادگی]])</f>
        <v>27</v>
      </c>
      <c r="C137" s="18" t="s">
        <v>412</v>
      </c>
      <c r="D137" s="18" t="s">
        <v>413</v>
      </c>
      <c r="E137" s="19" t="s">
        <v>236</v>
      </c>
      <c r="F137" s="81">
        <v>6104337758811140</v>
      </c>
      <c r="G137" s="21" t="s">
        <v>348</v>
      </c>
      <c r="H137" s="22">
        <f t="shared" si="2"/>
        <v>6</v>
      </c>
      <c r="I137" s="21">
        <v>1401</v>
      </c>
      <c r="J137" s="21"/>
      <c r="K137" s="23">
        <v>5000000</v>
      </c>
      <c r="L137" s="24"/>
    </row>
    <row r="138" spans="1:13" ht="15.75" customHeight="1">
      <c r="A138" s="2" t="s">
        <v>327</v>
      </c>
      <c r="B138" s="17">
        <f>SUMIFS('لیست واریزی کل خیرین'!B:B,'لیست واریزی کل خیرین'!D:D,Table1[[#This Row],[نام]],'لیست واریزی کل خیرین'!E:E,Table1[[#This Row],[نام خانوادگی]])</f>
        <v>33</v>
      </c>
      <c r="C138" s="18" t="s">
        <v>452</v>
      </c>
      <c r="D138" s="18" t="s">
        <v>453</v>
      </c>
      <c r="E138" s="19" t="s">
        <v>454</v>
      </c>
      <c r="F138" s="81" t="s">
        <v>455</v>
      </c>
      <c r="G138" s="21" t="s">
        <v>348</v>
      </c>
      <c r="H138" s="22">
        <f t="shared" si="2"/>
        <v>6</v>
      </c>
      <c r="I138" s="21">
        <v>1401</v>
      </c>
      <c r="J138" s="21"/>
      <c r="K138" s="23">
        <v>20000000</v>
      </c>
      <c r="L138" s="24" t="s">
        <v>456</v>
      </c>
    </row>
    <row r="139" spans="1:13" ht="15.75" customHeight="1">
      <c r="A139" s="2"/>
      <c r="B139" s="73">
        <f>SUMIFS('لیست واریزی کل خیرین'!B:B,'لیست واریزی کل خیرین'!D:D,Table1[[#This Row],[نام]],'لیست واریزی کل خیرین'!E:E,Table1[[#This Row],[نام خانوادگی]])</f>
        <v>38</v>
      </c>
      <c r="C139" s="21" t="s">
        <v>429</v>
      </c>
      <c r="D139" s="21" t="s">
        <v>430</v>
      </c>
      <c r="E139" s="19" t="s">
        <v>1145</v>
      </c>
      <c r="F139" s="87" t="s">
        <v>1146</v>
      </c>
      <c r="G139" s="74" t="s">
        <v>348</v>
      </c>
      <c r="H139" s="75">
        <f t="shared" si="2"/>
        <v>6</v>
      </c>
      <c r="I139" s="74">
        <v>1401</v>
      </c>
      <c r="J139" s="74"/>
      <c r="K139" s="76">
        <v>3000000</v>
      </c>
      <c r="L139" s="24" t="s">
        <v>1147</v>
      </c>
    </row>
    <row r="140" spans="1:13" ht="33.75" customHeight="1">
      <c r="A140" s="67"/>
      <c r="B140" s="17">
        <f>SUMIFS('لیست واریزی کل خیرین'!B:B,'لیست واریزی کل خیرین'!D:D,Table1[[#This Row],[نام]],'لیست واریزی کل خیرین'!E:E,Table1[[#This Row],[نام خانوادگی]])</f>
        <v>16</v>
      </c>
      <c r="C140" s="25" t="s">
        <v>366</v>
      </c>
      <c r="D140" s="25" t="s">
        <v>374</v>
      </c>
      <c r="E140" s="19" t="s">
        <v>434</v>
      </c>
      <c r="F140" s="81">
        <v>6037998112152490</v>
      </c>
      <c r="G140" s="21" t="s">
        <v>351</v>
      </c>
      <c r="H140" s="22">
        <f t="shared" si="2"/>
        <v>7</v>
      </c>
      <c r="I140" s="21">
        <v>1401</v>
      </c>
      <c r="J140" s="21"/>
      <c r="K140" s="23">
        <v>3000000</v>
      </c>
      <c r="L140" s="267" t="s">
        <v>1272</v>
      </c>
      <c r="M140" s="268"/>
    </row>
    <row r="141" spans="1:13" ht="15.75" customHeight="1">
      <c r="A141" s="2" t="s">
        <v>327</v>
      </c>
      <c r="B141" s="17">
        <f>SUMIFS('لیست واریزی کل خیرین'!B:B,'لیست واریزی کل خیرین'!D:D,Table1[[#This Row],[نام]],'لیست واریزی کل خیرین'!E:E,Table1[[#This Row],[نام خانوادگی]])</f>
        <v>48</v>
      </c>
      <c r="C141" s="21" t="s">
        <v>363</v>
      </c>
      <c r="D141" s="21" t="s">
        <v>415</v>
      </c>
      <c r="E141" s="19" t="s">
        <v>524</v>
      </c>
      <c r="F141" s="81">
        <v>5022291038702390</v>
      </c>
      <c r="G141" s="21" t="s">
        <v>351</v>
      </c>
      <c r="H141" s="22">
        <f t="shared" si="2"/>
        <v>7</v>
      </c>
      <c r="I141" s="21">
        <v>1401</v>
      </c>
      <c r="J141" s="21"/>
      <c r="K141" s="23">
        <v>40000000</v>
      </c>
      <c r="L141" s="24"/>
    </row>
    <row r="142" spans="1:13" ht="15.75" customHeight="1">
      <c r="A142" s="2" t="s">
        <v>327</v>
      </c>
      <c r="B142" s="17">
        <f>SUMIFS('لیست واریزی کل خیرین'!B:B,'لیست واریزی کل خیرین'!D:D,Table1[[#This Row],[نام]],'لیست واریزی کل خیرین'!E:E,Table1[[#This Row],[نام خانوادگی]])</f>
        <v>28</v>
      </c>
      <c r="C142" s="18" t="s">
        <v>414</v>
      </c>
      <c r="D142" s="18" t="s">
        <v>415</v>
      </c>
      <c r="E142" s="19" t="s">
        <v>279</v>
      </c>
      <c r="F142" s="81">
        <v>5859831018931560</v>
      </c>
      <c r="G142" s="21" t="s">
        <v>351</v>
      </c>
      <c r="H142" s="22">
        <f t="shared" si="2"/>
        <v>7</v>
      </c>
      <c r="I142" s="21">
        <v>1401</v>
      </c>
      <c r="J142" s="21"/>
      <c r="K142" s="23">
        <v>3000000</v>
      </c>
      <c r="L142" s="24"/>
    </row>
    <row r="143" spans="1:13" ht="15.75" customHeight="1">
      <c r="A143" s="2" t="s">
        <v>327</v>
      </c>
      <c r="B143" s="17">
        <f>SUMIFS('لیست واریزی کل خیرین'!B:B,'لیست واریزی کل خیرین'!D:D,Table1[[#This Row],[نام]],'لیست واریزی کل خیرین'!E:E,Table1[[#This Row],[نام خانوادگی]])</f>
        <v>34</v>
      </c>
      <c r="C143" s="18" t="s">
        <v>457</v>
      </c>
      <c r="D143" s="18" t="s">
        <v>458</v>
      </c>
      <c r="E143" s="47" t="s">
        <v>196</v>
      </c>
      <c r="F143" s="81">
        <v>5859831018931560</v>
      </c>
      <c r="G143" s="21" t="s">
        <v>351</v>
      </c>
      <c r="H143" s="22">
        <f t="shared" si="2"/>
        <v>7</v>
      </c>
      <c r="I143" s="21">
        <v>1401</v>
      </c>
      <c r="J143" s="21"/>
      <c r="K143" s="23">
        <v>5000000</v>
      </c>
      <c r="L143" s="24" t="s">
        <v>551</v>
      </c>
    </row>
    <row r="144" spans="1:13" ht="15.75" customHeight="1">
      <c r="A144" s="2" t="s">
        <v>327</v>
      </c>
      <c r="B144" s="17">
        <f>SUMIFS('لیست واریزی کل خیرین'!B:B,'لیست واریزی کل خیرین'!D:D,Table1[[#This Row],[نام]],'لیست واریزی کل خیرین'!E:E,Table1[[#This Row],[نام خانوادگی]])</f>
        <v>22</v>
      </c>
      <c r="C144" s="18" t="s">
        <v>387</v>
      </c>
      <c r="D144" s="18" t="s">
        <v>388</v>
      </c>
      <c r="E144" s="19" t="s">
        <v>534</v>
      </c>
      <c r="F144" s="81">
        <v>5029081026862940</v>
      </c>
      <c r="G144" s="21" t="s">
        <v>351</v>
      </c>
      <c r="H144" s="22">
        <f t="shared" si="2"/>
        <v>7</v>
      </c>
      <c r="I144" s="21">
        <v>1401</v>
      </c>
      <c r="J144" s="21"/>
      <c r="K144" s="23">
        <v>2000000</v>
      </c>
      <c r="L144" s="24"/>
    </row>
    <row r="145" spans="1:12" ht="15.75" customHeight="1">
      <c r="A145" s="2" t="s">
        <v>327</v>
      </c>
      <c r="B145" s="17">
        <f>SUMIFS('لیست واریزی کل خیرین'!B:B,'لیست واریزی کل خیرین'!D:D,Table1[[#This Row],[نام]],'لیست واریزی کل خیرین'!E:E,Table1[[#This Row],[نام خانوادگی]])</f>
        <v>42</v>
      </c>
      <c r="C145" s="18" t="s">
        <v>499</v>
      </c>
      <c r="D145" s="18" t="s">
        <v>500</v>
      </c>
      <c r="E145" s="21"/>
      <c r="F145" s="81" t="s">
        <v>604</v>
      </c>
      <c r="G145" s="21" t="s">
        <v>351</v>
      </c>
      <c r="H145" s="22">
        <f t="shared" si="2"/>
        <v>7</v>
      </c>
      <c r="I145" s="21">
        <v>1401</v>
      </c>
      <c r="J145" s="21"/>
      <c r="K145" s="23">
        <v>12250000</v>
      </c>
      <c r="L145" s="24" t="s">
        <v>531</v>
      </c>
    </row>
    <row r="146" spans="1:12" ht="15.75" customHeight="1">
      <c r="A146" s="2" t="s">
        <v>327</v>
      </c>
      <c r="B146" s="17">
        <f>SUMIFS('لیست واریزی کل خیرین'!B:B,'لیست واریزی کل خیرین'!D:D,Table1[[#This Row],[نام]],'لیست واریزی کل خیرین'!E:E,Table1[[#This Row],[نام خانوادگی]])</f>
        <v>41</v>
      </c>
      <c r="C146" s="18" t="s">
        <v>73</v>
      </c>
      <c r="D146" s="18" t="s">
        <v>497</v>
      </c>
      <c r="E146" s="19" t="s">
        <v>526</v>
      </c>
      <c r="F146" s="81">
        <v>6037998200067800</v>
      </c>
      <c r="G146" s="21" t="s">
        <v>351</v>
      </c>
      <c r="H146" s="22">
        <f t="shared" si="2"/>
        <v>7</v>
      </c>
      <c r="I146" s="21">
        <v>1401</v>
      </c>
      <c r="J146" s="21"/>
      <c r="K146" s="23">
        <v>5000000</v>
      </c>
      <c r="L146" s="24"/>
    </row>
    <row r="147" spans="1:12" ht="15.75" customHeight="1">
      <c r="A147" s="2" t="s">
        <v>327</v>
      </c>
      <c r="B147" s="17">
        <f>SUMIFS('لیست واریزی کل خیرین'!B:B,'لیست واریزی کل خیرین'!D:D,Table1[[#This Row],[نام]],'لیست واریزی کل خیرین'!E:E,Table1[[#This Row],[نام خانوادگی]])</f>
        <v>37</v>
      </c>
      <c r="C147" s="18" t="s">
        <v>481</v>
      </c>
      <c r="D147" s="18" t="s">
        <v>482</v>
      </c>
      <c r="E147" s="19" t="s">
        <v>525</v>
      </c>
      <c r="F147" s="81">
        <v>5029081015337950</v>
      </c>
      <c r="G147" s="21" t="s">
        <v>351</v>
      </c>
      <c r="H147" s="22">
        <f t="shared" si="2"/>
        <v>7</v>
      </c>
      <c r="I147" s="21">
        <v>1401</v>
      </c>
      <c r="J147" s="21"/>
      <c r="K147" s="23">
        <v>3000000</v>
      </c>
      <c r="L147" s="24"/>
    </row>
    <row r="148" spans="1:12" ht="15.75" customHeight="1">
      <c r="A148" s="2" t="s">
        <v>327</v>
      </c>
      <c r="B148" s="17">
        <f>SUMIFS('لیست واریزی کل خیرین'!B:B,'لیست واریزی کل خیرین'!D:D,Table1[[#This Row],[نام]],'لیست واریزی کل خیرین'!E:E,Table1[[#This Row],[نام خانوادگی]])</f>
        <v>32</v>
      </c>
      <c r="C148" s="18" t="s">
        <v>443</v>
      </c>
      <c r="D148" s="18" t="s">
        <v>444</v>
      </c>
      <c r="E148" s="19" t="s">
        <v>434</v>
      </c>
      <c r="F148" s="81">
        <v>6274121183960810</v>
      </c>
      <c r="G148" s="21" t="s">
        <v>351</v>
      </c>
      <c r="H148" s="22">
        <f t="shared" si="2"/>
        <v>7</v>
      </c>
      <c r="I148" s="21">
        <v>1401</v>
      </c>
      <c r="J148" s="21"/>
      <c r="K148" s="23">
        <v>5000000</v>
      </c>
      <c r="L148" s="24"/>
    </row>
    <row r="149" spans="1:12" ht="15.75" customHeight="1">
      <c r="A149" s="2" t="s">
        <v>327</v>
      </c>
      <c r="B149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149" s="18" t="s">
        <v>352</v>
      </c>
      <c r="D149" s="18" t="s">
        <v>353</v>
      </c>
      <c r="E149" s="19" t="s">
        <v>535</v>
      </c>
      <c r="F149" s="81">
        <v>6104337871897400</v>
      </c>
      <c r="G149" s="21" t="s">
        <v>351</v>
      </c>
      <c r="H149" s="22">
        <f t="shared" si="2"/>
        <v>7</v>
      </c>
      <c r="I149" s="21">
        <v>1401</v>
      </c>
      <c r="J149" s="21"/>
      <c r="K149" s="23">
        <v>5000000</v>
      </c>
      <c r="L149" s="24" t="s">
        <v>537</v>
      </c>
    </row>
    <row r="150" spans="1:12" ht="15.75" customHeight="1">
      <c r="A150" s="2" t="s">
        <v>327</v>
      </c>
      <c r="B150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150" s="18" t="s">
        <v>391</v>
      </c>
      <c r="D150" s="18" t="s">
        <v>392</v>
      </c>
      <c r="E150" s="19" t="s">
        <v>281</v>
      </c>
      <c r="F150" s="81" t="s">
        <v>393</v>
      </c>
      <c r="G150" s="21" t="s">
        <v>351</v>
      </c>
      <c r="H150" s="22">
        <f t="shared" si="2"/>
        <v>7</v>
      </c>
      <c r="I150" s="21">
        <v>1401</v>
      </c>
      <c r="J150" s="21"/>
      <c r="K150" s="23">
        <v>14555641</v>
      </c>
      <c r="L150" s="24"/>
    </row>
    <row r="151" spans="1:12" ht="15.75" customHeight="1">
      <c r="A151" s="2" t="s">
        <v>327</v>
      </c>
      <c r="B151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151" s="18" t="s">
        <v>366</v>
      </c>
      <c r="D151" s="18" t="s">
        <v>382</v>
      </c>
      <c r="E151" s="19" t="s">
        <v>253</v>
      </c>
      <c r="F151" s="81">
        <v>6037697598049570</v>
      </c>
      <c r="G151" s="21" t="s">
        <v>351</v>
      </c>
      <c r="H151" s="22">
        <f t="shared" si="2"/>
        <v>7</v>
      </c>
      <c r="I151" s="21">
        <v>1401</v>
      </c>
      <c r="J151" s="21"/>
      <c r="K151" s="23">
        <v>10000000</v>
      </c>
      <c r="L151" s="24" t="s">
        <v>542</v>
      </c>
    </row>
    <row r="152" spans="1:12" ht="15.75" customHeight="1">
      <c r="A152" s="2" t="s">
        <v>327</v>
      </c>
      <c r="B152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152" s="18" t="s">
        <v>366</v>
      </c>
      <c r="D152" s="18" t="s">
        <v>382</v>
      </c>
      <c r="E152" s="19" t="s">
        <v>535</v>
      </c>
      <c r="F152" s="81" t="s">
        <v>536</v>
      </c>
      <c r="G152" s="21" t="s">
        <v>351</v>
      </c>
      <c r="H152" s="22">
        <f t="shared" si="2"/>
        <v>7</v>
      </c>
      <c r="I152" s="21">
        <v>1401</v>
      </c>
      <c r="J152" s="21"/>
      <c r="K152" s="23">
        <v>20000000</v>
      </c>
      <c r="L152" s="24"/>
    </row>
    <row r="153" spans="1:12" ht="15.75" customHeight="1">
      <c r="A153" s="2" t="s">
        <v>327</v>
      </c>
      <c r="B153" s="17">
        <f>SUMIFS('لیست واریزی کل خیرین'!B:B,'لیست واریزی کل خیرین'!D:D,Table1[[#This Row],[نام]],'لیست واریزی کل خیرین'!E:E,Table1[[#This Row],[نام خانوادگی]])</f>
        <v>2</v>
      </c>
      <c r="C153" s="18" t="s">
        <v>333</v>
      </c>
      <c r="D153" s="18" t="s">
        <v>334</v>
      </c>
      <c r="E153" s="19" t="s">
        <v>523</v>
      </c>
      <c r="F153" s="81" t="s">
        <v>424</v>
      </c>
      <c r="G153" s="21" t="s">
        <v>351</v>
      </c>
      <c r="H153" s="22">
        <f t="shared" si="2"/>
        <v>7</v>
      </c>
      <c r="I153" s="21">
        <v>1401</v>
      </c>
      <c r="J153" s="21"/>
      <c r="K153" s="23">
        <v>20000000</v>
      </c>
      <c r="L153" s="24"/>
    </row>
    <row r="154" spans="1:12" ht="15.75" customHeight="1">
      <c r="A154" s="2" t="s">
        <v>327</v>
      </c>
      <c r="B154" s="17">
        <f>SUMIFS('لیست واریزی کل خیرین'!B:B,'لیست واریزی کل خیرین'!D:D,Table1[[#This Row],[نام]],'لیست واریزی کل خیرین'!E:E,Table1[[#This Row],[نام خانوادگی]])</f>
        <v>4</v>
      </c>
      <c r="C154" s="18" t="s">
        <v>340</v>
      </c>
      <c r="D154" s="18" t="s">
        <v>341</v>
      </c>
      <c r="E154" s="19" t="s">
        <v>523</v>
      </c>
      <c r="F154" s="81">
        <v>6221061079430400</v>
      </c>
      <c r="G154" s="21" t="s">
        <v>351</v>
      </c>
      <c r="H154" s="22">
        <f t="shared" si="2"/>
        <v>7</v>
      </c>
      <c r="I154" s="21">
        <v>1401</v>
      </c>
      <c r="J154" s="21"/>
      <c r="K154" s="23">
        <v>2000000</v>
      </c>
      <c r="L154" s="24"/>
    </row>
    <row r="155" spans="1:12" ht="15.75" customHeight="1">
      <c r="A155" s="2" t="s">
        <v>327</v>
      </c>
      <c r="B155" s="17">
        <f>SUMIFS('لیست واریزی کل خیرین'!B:B,'لیست واریزی کل خیرین'!D:D,Table1[[#This Row],[نام]],'لیست واریزی کل خیرین'!E:E,Table1[[#This Row],[نام خانوادگی]])</f>
        <v>53</v>
      </c>
      <c r="C155" s="18" t="s">
        <v>543</v>
      </c>
      <c r="D155" s="18" t="s">
        <v>544</v>
      </c>
      <c r="E155" s="19" t="s">
        <v>251</v>
      </c>
      <c r="F155" s="81">
        <v>6219861023910110</v>
      </c>
      <c r="G155" s="21" t="s">
        <v>351</v>
      </c>
      <c r="H155" s="22">
        <f t="shared" si="2"/>
        <v>7</v>
      </c>
      <c r="I155" s="21">
        <v>1401</v>
      </c>
      <c r="J155" s="21"/>
      <c r="K155" s="23">
        <v>3000000</v>
      </c>
      <c r="L155" s="24" t="s">
        <v>542</v>
      </c>
    </row>
    <row r="156" spans="1:12" ht="15.75" customHeight="1">
      <c r="A156" s="2" t="s">
        <v>327</v>
      </c>
      <c r="B156" s="17">
        <f>SUMIFS('لیست واریزی کل خیرین'!B:B,'لیست واریزی کل خیرین'!D:D,Table1[[#This Row],[نام]],'لیست واریزی کل خیرین'!E:E,Table1[[#This Row],[نام خانوادگی]])</f>
        <v>25</v>
      </c>
      <c r="C156" s="18" t="s">
        <v>401</v>
      </c>
      <c r="D156" s="18" t="s">
        <v>402</v>
      </c>
      <c r="E156" s="19" t="s">
        <v>524</v>
      </c>
      <c r="F156" s="81">
        <v>6037997248149000</v>
      </c>
      <c r="G156" s="21" t="s">
        <v>351</v>
      </c>
      <c r="H156" s="22">
        <f t="shared" si="2"/>
        <v>7</v>
      </c>
      <c r="I156" s="21">
        <v>1401</v>
      </c>
      <c r="J156" s="21"/>
      <c r="K156" s="23">
        <v>30000000</v>
      </c>
      <c r="L156" s="24"/>
    </row>
    <row r="157" spans="1:12" ht="15.75" customHeight="1">
      <c r="A157" s="2" t="s">
        <v>327</v>
      </c>
      <c r="B157" s="17">
        <f>SUMIFS('لیست واریزی کل خیرین'!B:B,'لیست واریزی کل خیرین'!D:D,Table1[[#This Row],[نام]],'لیست واریزی کل خیرین'!E:E,Table1[[#This Row],[نام خانوادگی]])</f>
        <v>40</v>
      </c>
      <c r="C157" s="18" t="s">
        <v>363</v>
      </c>
      <c r="D157" s="18" t="s">
        <v>402</v>
      </c>
      <c r="E157" s="19" t="s">
        <v>546</v>
      </c>
      <c r="F157" s="81">
        <v>5892108833426450</v>
      </c>
      <c r="G157" s="21" t="s">
        <v>351</v>
      </c>
      <c r="H157" s="22">
        <f t="shared" si="2"/>
        <v>7</v>
      </c>
      <c r="I157" s="21">
        <v>1401</v>
      </c>
      <c r="J157" s="21"/>
      <c r="K157" s="23">
        <v>50000000</v>
      </c>
      <c r="L157" s="24"/>
    </row>
    <row r="158" spans="1:12" ht="15.75" customHeight="1">
      <c r="A158" s="2" t="s">
        <v>327</v>
      </c>
      <c r="B158" s="17">
        <f>SUMIFS('لیست واریزی کل خیرین'!B:B,'لیست واریزی کل خیرین'!D:D,Table1[[#This Row],[نام]],'لیست واریزی کل خیرین'!E:E,Table1[[#This Row],[نام خانوادگی]])</f>
        <v>52</v>
      </c>
      <c r="C158" s="18" t="s">
        <v>540</v>
      </c>
      <c r="D158" s="18" t="s">
        <v>541</v>
      </c>
      <c r="E158" s="19" t="s">
        <v>251</v>
      </c>
      <c r="F158" s="81">
        <v>6104337799527970</v>
      </c>
      <c r="G158" s="21" t="s">
        <v>351</v>
      </c>
      <c r="H158" s="22">
        <f t="shared" si="2"/>
        <v>7</v>
      </c>
      <c r="I158" s="21">
        <v>1401</v>
      </c>
      <c r="J158" s="21"/>
      <c r="K158" s="23">
        <v>4000000</v>
      </c>
      <c r="L158" s="24" t="s">
        <v>542</v>
      </c>
    </row>
    <row r="159" spans="1:12" ht="15.75" customHeight="1">
      <c r="A159" s="2" t="s">
        <v>327</v>
      </c>
      <c r="B159" s="46">
        <f>SUMIFS('لیست واریزی کل خیرین'!B:B,'لیست واریزی کل خیرین'!D:D,Table1[[#This Row],[نام]],'لیست واریزی کل خیرین'!E:E,Table1[[#This Row],[نام خانوادگی]])</f>
        <v>24</v>
      </c>
      <c r="C159" s="12" t="s">
        <v>398</v>
      </c>
      <c r="D159" s="29" t="s">
        <v>399</v>
      </c>
      <c r="E159" s="47" t="s">
        <v>557</v>
      </c>
      <c r="F159" s="85" t="s">
        <v>558</v>
      </c>
      <c r="G159" s="21" t="s">
        <v>351</v>
      </c>
      <c r="H159" s="51">
        <f t="shared" si="2"/>
        <v>7</v>
      </c>
      <c r="I159" s="49">
        <v>1401</v>
      </c>
      <c r="J159" s="49"/>
      <c r="K159" s="53">
        <v>5000000</v>
      </c>
      <c r="L159" s="24"/>
    </row>
    <row r="160" spans="1:12" ht="15.75" customHeight="1">
      <c r="A160" s="2" t="s">
        <v>327</v>
      </c>
      <c r="B160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160" s="18" t="s">
        <v>355</v>
      </c>
      <c r="D160" s="18" t="s">
        <v>356</v>
      </c>
      <c r="E160" s="19" t="s">
        <v>251</v>
      </c>
      <c r="F160" s="81">
        <v>6037691526531220</v>
      </c>
      <c r="G160" s="21" t="s">
        <v>351</v>
      </c>
      <c r="H160" s="22">
        <f t="shared" si="2"/>
        <v>7</v>
      </c>
      <c r="I160" s="21">
        <v>1401</v>
      </c>
      <c r="J160" s="21"/>
      <c r="K160" s="23">
        <v>5000000</v>
      </c>
      <c r="L160" s="24" t="s">
        <v>542</v>
      </c>
    </row>
    <row r="161" spans="1:12" ht="15.75" customHeight="1">
      <c r="A161" s="2" t="s">
        <v>327</v>
      </c>
      <c r="B161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161" s="18" t="s">
        <v>355</v>
      </c>
      <c r="D161" s="18" t="s">
        <v>356</v>
      </c>
      <c r="E161" s="19" t="s">
        <v>434</v>
      </c>
      <c r="F161" s="81">
        <v>6037691526531220</v>
      </c>
      <c r="G161" s="21" t="s">
        <v>351</v>
      </c>
      <c r="H161" s="22">
        <f t="shared" si="2"/>
        <v>7</v>
      </c>
      <c r="I161" s="21">
        <v>1401</v>
      </c>
      <c r="J161" s="21"/>
      <c r="K161" s="23">
        <v>15000000</v>
      </c>
      <c r="L161" s="24"/>
    </row>
    <row r="162" spans="1:12" ht="15.75" customHeight="1">
      <c r="A162" s="2" t="s">
        <v>327</v>
      </c>
      <c r="B162" s="17">
        <f>SUMIFS('لیست واریزی کل خیرین'!B:B,'لیست واریزی کل خیرین'!D:D,Table1[[#This Row],[نام]],'لیست واریزی کل خیرین'!E:E,Table1[[#This Row],[نام خانوادگی]])</f>
        <v>11</v>
      </c>
      <c r="C162" s="25" t="s">
        <v>363</v>
      </c>
      <c r="D162" s="25" t="s">
        <v>364</v>
      </c>
      <c r="E162" s="19" t="s">
        <v>263</v>
      </c>
      <c r="F162" s="81">
        <v>6063731028949880</v>
      </c>
      <c r="G162" s="21" t="s">
        <v>351</v>
      </c>
      <c r="H162" s="22">
        <f t="shared" si="2"/>
        <v>7</v>
      </c>
      <c r="I162" s="21">
        <v>1401</v>
      </c>
      <c r="J162" s="21"/>
      <c r="K162" s="23">
        <v>30000000</v>
      </c>
      <c r="L162" s="24"/>
    </row>
    <row r="163" spans="1:12" ht="15.75" customHeight="1">
      <c r="A163" s="2" t="s">
        <v>327</v>
      </c>
      <c r="B163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163" s="18" t="s">
        <v>349</v>
      </c>
      <c r="D163" s="18" t="s">
        <v>350</v>
      </c>
      <c r="E163" s="19" t="s">
        <v>524</v>
      </c>
      <c r="F163" s="81" t="s">
        <v>381</v>
      </c>
      <c r="G163" s="21" t="s">
        <v>351</v>
      </c>
      <c r="H163" s="22">
        <f t="shared" si="2"/>
        <v>7</v>
      </c>
      <c r="I163" s="21">
        <v>1401</v>
      </c>
      <c r="J163" s="21"/>
      <c r="K163" s="23">
        <v>7000000</v>
      </c>
      <c r="L163" s="24" t="s">
        <v>542</v>
      </c>
    </row>
    <row r="164" spans="1:12" ht="15.75" customHeight="1">
      <c r="A164" s="2" t="s">
        <v>327</v>
      </c>
      <c r="B164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164" s="18" t="s">
        <v>349</v>
      </c>
      <c r="D164" s="18" t="s">
        <v>350</v>
      </c>
      <c r="E164" s="19" t="s">
        <v>529</v>
      </c>
      <c r="F164" s="81">
        <v>6.03799199473702E+16</v>
      </c>
      <c r="G164" s="21" t="s">
        <v>351</v>
      </c>
      <c r="H164" s="22">
        <f t="shared" si="2"/>
        <v>7</v>
      </c>
      <c r="I164" s="21">
        <v>1401</v>
      </c>
      <c r="J164" s="21"/>
      <c r="K164" s="23">
        <v>10000000</v>
      </c>
      <c r="L164" s="24"/>
    </row>
    <row r="165" spans="1:12" ht="15.75" customHeight="1">
      <c r="A165" s="2" t="s">
        <v>327</v>
      </c>
      <c r="B165" s="17">
        <f>SUMIFS('لیست واریزی کل خیرین'!B:B,'لیست واریزی کل خیرین'!D:D,Table1[[#This Row],[نام]],'لیست واریزی کل خیرین'!E:E,Table1[[#This Row],[نام خانوادگی]])</f>
        <v>54</v>
      </c>
      <c r="C165" s="18" t="s">
        <v>421</v>
      </c>
      <c r="D165" s="18" t="s">
        <v>545</v>
      </c>
      <c r="E165" s="19" t="s">
        <v>251</v>
      </c>
      <c r="F165" s="81">
        <v>6221061218594960</v>
      </c>
      <c r="G165" s="21" t="s">
        <v>351</v>
      </c>
      <c r="H165" s="22">
        <f t="shared" si="2"/>
        <v>7</v>
      </c>
      <c r="I165" s="21">
        <v>1401</v>
      </c>
      <c r="J165" s="21"/>
      <c r="K165" s="23">
        <v>1000000</v>
      </c>
      <c r="L165" s="24" t="s">
        <v>542</v>
      </c>
    </row>
    <row r="166" spans="1:12" ht="15.75" customHeight="1">
      <c r="A166" s="2" t="s">
        <v>327</v>
      </c>
      <c r="B166" s="17">
        <f>SUMIFS('لیست واریزی کل خیرین'!B:B,'لیست واریزی کل خیرین'!D:D,Table1[[#This Row],[نام]],'لیست واریزی کل خیرین'!E:E,Table1[[#This Row],[نام خانوادگی]])</f>
        <v>47</v>
      </c>
      <c r="C166" s="18" t="s">
        <v>363</v>
      </c>
      <c r="D166" s="18" t="s">
        <v>514</v>
      </c>
      <c r="E166" s="19" t="s">
        <v>548</v>
      </c>
      <c r="F166" s="81">
        <v>6221061208001210</v>
      </c>
      <c r="G166" s="21" t="s">
        <v>351</v>
      </c>
      <c r="H166" s="22">
        <f t="shared" si="2"/>
        <v>7</v>
      </c>
      <c r="I166" s="21">
        <v>1401</v>
      </c>
      <c r="J166" s="21"/>
      <c r="K166" s="23">
        <v>5000000</v>
      </c>
      <c r="L166" s="24"/>
    </row>
    <row r="167" spans="1:12" ht="15.75" customHeight="1">
      <c r="A167" s="2" t="s">
        <v>327</v>
      </c>
      <c r="B167" s="17">
        <f>SUMIFS('لیست واریزی کل خیرین'!B:B,'لیست واریزی کل خیرین'!D:D,Table1[[#This Row],[نام]],'لیست واریزی کل خیرین'!E:E,Table1[[#This Row],[نام خانوادگی]])</f>
        <v>18</v>
      </c>
      <c r="C167" s="18" t="s">
        <v>378</v>
      </c>
      <c r="D167" s="18" t="s">
        <v>379</v>
      </c>
      <c r="E167" s="19" t="s">
        <v>538</v>
      </c>
      <c r="F167" s="81">
        <v>6037697638448540</v>
      </c>
      <c r="G167" s="21" t="s">
        <v>351</v>
      </c>
      <c r="H167" s="22">
        <f t="shared" si="2"/>
        <v>7</v>
      </c>
      <c r="I167" s="21">
        <v>1401</v>
      </c>
      <c r="J167" s="21"/>
      <c r="K167" s="23">
        <v>30000000</v>
      </c>
      <c r="L167" s="24"/>
    </row>
    <row r="168" spans="1:12" ht="15.75" customHeight="1">
      <c r="A168" s="2" t="s">
        <v>327</v>
      </c>
      <c r="B168" s="17">
        <f>SUMIFS('لیست واریزی کل خیرین'!B:B,'لیست واریزی کل خیرین'!D:D,Table1[[#This Row],[نام]],'لیست واریزی کل خیرین'!E:E,Table1[[#This Row],[نام خانوادگی]])</f>
        <v>12</v>
      </c>
      <c r="C168" s="25" t="s">
        <v>366</v>
      </c>
      <c r="D168" s="25" t="s">
        <v>367</v>
      </c>
      <c r="E168" s="19" t="s">
        <v>515</v>
      </c>
      <c r="F168" s="81">
        <v>5022291500410800</v>
      </c>
      <c r="G168" s="21" t="s">
        <v>351</v>
      </c>
      <c r="H168" s="22">
        <f t="shared" si="2"/>
        <v>7</v>
      </c>
      <c r="I168" s="21">
        <v>1401</v>
      </c>
      <c r="J168" s="21"/>
      <c r="K168" s="23">
        <v>3000000</v>
      </c>
      <c r="L168" s="24"/>
    </row>
    <row r="169" spans="1:12" ht="15.75" customHeight="1">
      <c r="A169" s="2" t="s">
        <v>327</v>
      </c>
      <c r="B169" s="17">
        <f>SUMIFS('لیست واریزی کل خیرین'!B:B,'لیست واریزی کل خیرین'!D:D,Table1[[#This Row],[نام]],'لیست واریزی کل خیرین'!E:E,Table1[[#This Row],[نام خانوادگی]])</f>
        <v>14</v>
      </c>
      <c r="C169" s="18" t="s">
        <v>71</v>
      </c>
      <c r="D169" s="18" t="s">
        <v>371</v>
      </c>
      <c r="E169" s="19" t="s">
        <v>534</v>
      </c>
      <c r="F169" s="81">
        <v>5057851003297340</v>
      </c>
      <c r="G169" s="21" t="s">
        <v>351</v>
      </c>
      <c r="H169" s="22">
        <f t="shared" si="2"/>
        <v>7</v>
      </c>
      <c r="I169" s="21">
        <v>1401</v>
      </c>
      <c r="J169" s="21"/>
      <c r="K169" s="23">
        <v>10000000</v>
      </c>
      <c r="L169" s="24"/>
    </row>
    <row r="170" spans="1:12" ht="15.75" customHeight="1">
      <c r="A170" s="2" t="s">
        <v>327</v>
      </c>
      <c r="B170" s="17">
        <f>SUMIFS('لیست واریزی کل خیرین'!B:B,'لیست واریزی کل خیرین'!D:D,Table1[[#This Row],[نام]],'لیست واریزی کل خیرین'!E:E,Table1[[#This Row],[نام خانوادگی]])</f>
        <v>57</v>
      </c>
      <c r="C170" s="18" t="s">
        <v>76</v>
      </c>
      <c r="D170" s="18" t="s">
        <v>547</v>
      </c>
      <c r="E170" s="19" t="s">
        <v>266</v>
      </c>
      <c r="F170" s="81">
        <v>6219861030819080</v>
      </c>
      <c r="G170" s="21" t="s">
        <v>351</v>
      </c>
      <c r="H170" s="22">
        <f t="shared" si="2"/>
        <v>7</v>
      </c>
      <c r="I170" s="21">
        <v>1401</v>
      </c>
      <c r="J170" s="21"/>
      <c r="K170" s="23">
        <v>3000000</v>
      </c>
      <c r="L170" s="24" t="s">
        <v>521</v>
      </c>
    </row>
    <row r="171" spans="1:12" ht="15.75" customHeight="1">
      <c r="A171" s="2" t="s">
        <v>327</v>
      </c>
      <c r="B171" s="17">
        <f>SUMIFS('لیست واریزی کل خیرین'!B:B,'لیست واریزی کل خیرین'!D:D,Table1[[#This Row],[نام]],'لیست واریزی کل خیرین'!E:E,Table1[[#This Row],[نام خانوادگی]])</f>
        <v>50</v>
      </c>
      <c r="C171" s="18" t="s">
        <v>372</v>
      </c>
      <c r="D171" s="18" t="s">
        <v>533</v>
      </c>
      <c r="E171" s="19" t="s">
        <v>534</v>
      </c>
      <c r="F171" s="81">
        <v>6037997283637630</v>
      </c>
      <c r="G171" s="21" t="s">
        <v>351</v>
      </c>
      <c r="H171" s="22">
        <f t="shared" si="2"/>
        <v>7</v>
      </c>
      <c r="I171" s="21">
        <v>1401</v>
      </c>
      <c r="J171" s="21"/>
      <c r="K171" s="23">
        <v>10000000</v>
      </c>
      <c r="L171" s="24"/>
    </row>
    <row r="172" spans="1:12" ht="15.75" customHeight="1">
      <c r="A172" s="2" t="s">
        <v>327</v>
      </c>
      <c r="B172" s="17">
        <f>SUMIFS('لیست واریزی کل خیرین'!B:B,'لیست واریزی کل خیرین'!D:D,Table1[[#This Row],[نام]],'لیست واریزی کل خیرین'!E:E,Table1[[#This Row],[نام خانوادگی]])</f>
        <v>44</v>
      </c>
      <c r="C172" s="18" t="s">
        <v>504</v>
      </c>
      <c r="D172" s="18" t="s">
        <v>505</v>
      </c>
      <c r="E172" s="19" t="s">
        <v>259</v>
      </c>
      <c r="F172" s="81">
        <v>5894631543100330</v>
      </c>
      <c r="G172" s="21" t="s">
        <v>351</v>
      </c>
      <c r="H172" s="22">
        <f t="shared" si="2"/>
        <v>7</v>
      </c>
      <c r="I172" s="21">
        <v>1401</v>
      </c>
      <c r="J172" s="21"/>
      <c r="K172" s="23">
        <v>5000000</v>
      </c>
      <c r="L172" s="24"/>
    </row>
    <row r="173" spans="1:12" ht="15.75" customHeight="1">
      <c r="A173" s="59" t="s">
        <v>327</v>
      </c>
      <c r="B173" s="17">
        <f>SUMIFS('لیست واریزی کل خیرین'!B:B,'لیست واریزی کل خیرین'!D:D,Table1[[#This Row],[نام]],'لیست واریزی کل خیرین'!E:E,Table1[[#This Row],[نام خانوادگی]])</f>
        <v>6</v>
      </c>
      <c r="C173" s="18" t="s">
        <v>76</v>
      </c>
      <c r="D173" s="18" t="s">
        <v>347</v>
      </c>
      <c r="E173" s="19" t="s">
        <v>251</v>
      </c>
      <c r="F173" s="81">
        <v>6037697540254170</v>
      </c>
      <c r="G173" s="21" t="s">
        <v>351</v>
      </c>
      <c r="H173" s="22">
        <f t="shared" si="2"/>
        <v>7</v>
      </c>
      <c r="I173" s="21">
        <v>1401</v>
      </c>
      <c r="J173" s="21"/>
      <c r="K173" s="23">
        <v>2000000</v>
      </c>
      <c r="L173" s="24" t="s">
        <v>542</v>
      </c>
    </row>
    <row r="174" spans="1:12" ht="15.75" customHeight="1">
      <c r="A174" s="2" t="s">
        <v>327</v>
      </c>
      <c r="B174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174" s="18" t="s">
        <v>358</v>
      </c>
      <c r="D174" s="18" t="s">
        <v>359</v>
      </c>
      <c r="E174" s="19" t="s">
        <v>251</v>
      </c>
      <c r="F174" s="81">
        <v>6221061229152840</v>
      </c>
      <c r="G174" s="21" t="s">
        <v>351</v>
      </c>
      <c r="H174" s="22">
        <f t="shared" si="2"/>
        <v>7</v>
      </c>
      <c r="I174" s="21">
        <v>1401</v>
      </c>
      <c r="J174" s="21"/>
      <c r="K174" s="23">
        <v>20000000</v>
      </c>
      <c r="L174" s="24" t="s">
        <v>542</v>
      </c>
    </row>
    <row r="175" spans="1:12" ht="15.75" customHeight="1">
      <c r="A175" s="2" t="s">
        <v>327</v>
      </c>
      <c r="B175" s="17">
        <f>SUMIFS('لیست واریزی کل خیرین'!B:B,'لیست واریزی کل خیرین'!D:D,Table1[[#This Row],[نام]],'لیست واریزی کل خیرین'!E:E,Table1[[#This Row],[نام خانوادگی]])</f>
        <v>55</v>
      </c>
      <c r="C175" s="21" t="s">
        <v>418</v>
      </c>
      <c r="D175" s="21" t="s">
        <v>1095</v>
      </c>
      <c r="E175" s="19" t="s">
        <v>251</v>
      </c>
      <c r="F175" s="81">
        <v>6104337301600240</v>
      </c>
      <c r="G175" s="21" t="s">
        <v>351</v>
      </c>
      <c r="H175" s="22">
        <f t="shared" si="2"/>
        <v>7</v>
      </c>
      <c r="I175" s="21">
        <v>1401</v>
      </c>
      <c r="J175" s="21"/>
      <c r="K175" s="23">
        <v>5000000</v>
      </c>
      <c r="L175" s="24" t="s">
        <v>542</v>
      </c>
    </row>
    <row r="176" spans="1:12" ht="15.75" customHeight="1">
      <c r="A176" s="2" t="s">
        <v>327</v>
      </c>
      <c r="B176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176" s="25" t="s">
        <v>358</v>
      </c>
      <c r="D176" s="18" t="s">
        <v>359</v>
      </c>
      <c r="E176" s="19" t="s">
        <v>549</v>
      </c>
      <c r="F176" s="81" t="s">
        <v>530</v>
      </c>
      <c r="G176" s="21" t="s">
        <v>351</v>
      </c>
      <c r="H176" s="22">
        <f t="shared" si="2"/>
        <v>7</v>
      </c>
      <c r="I176" s="21">
        <v>1401</v>
      </c>
      <c r="J176" s="21"/>
      <c r="K176" s="23">
        <v>100000000</v>
      </c>
      <c r="L176" s="24"/>
    </row>
    <row r="177" spans="1:24" ht="15.75" customHeight="1">
      <c r="A177" s="2" t="s">
        <v>327</v>
      </c>
      <c r="B177" s="17">
        <f>SUMIFS('لیست واریزی کل خیرین'!B:B,'لیست واریزی کل خیرین'!D:D,Table1[[#This Row],[نام]],'لیست واریزی کل خیرین'!E:E,Table1[[#This Row],[نام خانوادگی]])</f>
        <v>51</v>
      </c>
      <c r="C177" s="18" t="s">
        <v>539</v>
      </c>
      <c r="D177" s="18" t="s">
        <v>359</v>
      </c>
      <c r="E177" s="19" t="s">
        <v>538</v>
      </c>
      <c r="F177" s="81">
        <v>6037697574168520</v>
      </c>
      <c r="G177" s="21" t="s">
        <v>351</v>
      </c>
      <c r="H177" s="22">
        <f t="shared" si="2"/>
        <v>7</v>
      </c>
      <c r="I177" s="21">
        <v>1401</v>
      </c>
      <c r="J177" s="21"/>
      <c r="K177" s="23">
        <v>5000000</v>
      </c>
      <c r="L177" s="24"/>
    </row>
    <row r="178" spans="1:24" ht="15.75" customHeight="1">
      <c r="A178" s="2" t="s">
        <v>327</v>
      </c>
      <c r="B178" s="17">
        <f>SUMIFS('لیست واریزی کل خیرین'!B:B,'لیست واریزی کل خیرین'!D:D,Table1[[#This Row],[نام]],'لیست واریزی کل خیرین'!E:E,Table1[[#This Row],[نام خانوادگی]])</f>
        <v>15</v>
      </c>
      <c r="C178" s="18" t="s">
        <v>372</v>
      </c>
      <c r="D178" s="18" t="s">
        <v>373</v>
      </c>
      <c r="E178" s="57" t="s">
        <v>287</v>
      </c>
      <c r="F178" s="81" t="s">
        <v>507</v>
      </c>
      <c r="G178" s="21" t="s">
        <v>351</v>
      </c>
      <c r="H178" s="22">
        <f t="shared" si="2"/>
        <v>7</v>
      </c>
      <c r="I178" s="21">
        <v>1401</v>
      </c>
      <c r="J178" s="21"/>
      <c r="K178" s="23">
        <v>10000000</v>
      </c>
      <c r="L178" s="24" t="s">
        <v>508</v>
      </c>
    </row>
    <row r="179" spans="1:24" ht="15.75" customHeight="1">
      <c r="A179" s="2" t="s">
        <v>327</v>
      </c>
      <c r="B179" s="17">
        <f>SUMIFS('لیست واریزی کل خیرین'!B:B,'لیست واریزی کل خیرین'!D:D,Table1[[#This Row],[نام]],'لیست واریزی کل خیرین'!E:E,Table1[[#This Row],[نام خانوادگی]])</f>
        <v>56</v>
      </c>
      <c r="C179" s="18" t="s">
        <v>519</v>
      </c>
      <c r="D179" s="18" t="s">
        <v>520</v>
      </c>
      <c r="E179" s="48" t="s">
        <v>277</v>
      </c>
      <c r="F179" s="81">
        <v>6104337800043160</v>
      </c>
      <c r="G179" s="21" t="s">
        <v>351</v>
      </c>
      <c r="H179" s="22">
        <f t="shared" si="2"/>
        <v>7</v>
      </c>
      <c r="I179" s="21">
        <v>1401</v>
      </c>
      <c r="J179" s="21"/>
      <c r="K179" s="23">
        <v>5000000</v>
      </c>
      <c r="L179" s="24"/>
    </row>
    <row r="180" spans="1:24" ht="15.75" customHeight="1">
      <c r="A180" s="2" t="s">
        <v>327</v>
      </c>
      <c r="B180" s="17">
        <f>SUMIFS('لیست واریزی کل خیرین'!B:B,'لیست واریزی کل خیرین'!D:D,Table1[[#This Row],[نام]],'لیست واریزی کل خیرین'!E:E,Table1[[#This Row],[نام خانوادگی]])</f>
        <v>19</v>
      </c>
      <c r="C180" s="18" t="s">
        <v>363</v>
      </c>
      <c r="D180" s="18" t="s">
        <v>380</v>
      </c>
      <c r="E180" s="19" t="s">
        <v>281</v>
      </c>
      <c r="F180" s="81" t="s">
        <v>381</v>
      </c>
      <c r="G180" s="21" t="s">
        <v>351</v>
      </c>
      <c r="H180" s="22">
        <f t="shared" si="2"/>
        <v>7</v>
      </c>
      <c r="I180" s="21">
        <v>1401</v>
      </c>
      <c r="J180" s="21"/>
      <c r="K180" s="23">
        <v>70000000</v>
      </c>
      <c r="L180" s="30" t="s">
        <v>542</v>
      </c>
    </row>
    <row r="181" spans="1:24" ht="15.75" customHeight="1">
      <c r="A181" s="2" t="s">
        <v>327</v>
      </c>
      <c r="B181" s="17">
        <f>SUMIFS('لیست واریزی کل خیرین'!B:B,'لیست واریزی کل خیرین'!D:D,Table1[[#This Row],[نام]],'لیست واریزی کل خیرین'!E:E,Table1[[#This Row],[نام خانوادگی]])</f>
        <v>66</v>
      </c>
      <c r="C181" s="21" t="s">
        <v>595</v>
      </c>
      <c r="D181" s="21" t="s">
        <v>596</v>
      </c>
      <c r="E181" s="19" t="s">
        <v>271</v>
      </c>
      <c r="F181" s="81" t="s">
        <v>393</v>
      </c>
      <c r="G181" s="21" t="s">
        <v>351</v>
      </c>
      <c r="H181" s="22">
        <f t="shared" si="2"/>
        <v>7</v>
      </c>
      <c r="I181" s="21">
        <v>1401</v>
      </c>
      <c r="J181" s="21"/>
      <c r="K181" s="23">
        <v>532000</v>
      </c>
      <c r="L181" s="24" t="s">
        <v>275</v>
      </c>
    </row>
    <row r="182" spans="1:24" ht="15.75" customHeight="1">
      <c r="A182" s="2" t="s">
        <v>327</v>
      </c>
      <c r="B182" s="17">
        <f>SUMIFS('لیست واریزی کل خیرین'!B:B,'لیست واریزی کل خیرین'!D:D,Table1[[#This Row],[نام]],'لیست واریزی کل خیرین'!E:E,Table1[[#This Row],[نام خانوادگی]])</f>
        <v>49</v>
      </c>
      <c r="C182" s="18" t="s">
        <v>527</v>
      </c>
      <c r="D182" s="18" t="s">
        <v>528</v>
      </c>
      <c r="E182" s="19" t="s">
        <v>526</v>
      </c>
      <c r="F182" s="81">
        <v>6037691656516870</v>
      </c>
      <c r="G182" s="21" t="s">
        <v>351</v>
      </c>
      <c r="H182" s="22">
        <f t="shared" si="2"/>
        <v>7</v>
      </c>
      <c r="I182" s="21">
        <v>1401</v>
      </c>
      <c r="J182" s="21"/>
      <c r="K182" s="23">
        <v>5000000</v>
      </c>
      <c r="L182" s="24"/>
    </row>
    <row r="183" spans="1:24" ht="15.75" customHeight="1">
      <c r="A183" s="2" t="s">
        <v>327</v>
      </c>
      <c r="B183" s="17">
        <f>SUMIFS('لیست واریزی کل خیرین'!B:B,'لیست واریزی کل خیرین'!D:D,Table1[[#This Row],[نام]],'لیست واریزی کل خیرین'!E:E,Table1[[#This Row],[نام خانوادگی]])</f>
        <v>13</v>
      </c>
      <c r="C183" s="25" t="s">
        <v>355</v>
      </c>
      <c r="D183" s="25" t="s">
        <v>369</v>
      </c>
      <c r="E183" s="19" t="s">
        <v>553</v>
      </c>
      <c r="F183" s="81" t="s">
        <v>554</v>
      </c>
      <c r="G183" s="21" t="s">
        <v>351</v>
      </c>
      <c r="H183" s="22">
        <f t="shared" si="2"/>
        <v>7</v>
      </c>
      <c r="I183" s="21">
        <v>1401</v>
      </c>
      <c r="J183" s="26"/>
      <c r="K183" s="23">
        <v>2500000</v>
      </c>
      <c r="L183" s="27" t="s">
        <v>555</v>
      </c>
      <c r="M183" s="2"/>
      <c r="N183" s="17">
        <f>SUMIFS('لیست واریزی کل خیرین'!Q:Q,'لیست واریزی کل خیرین'!R:R,'لیست واریزی ماهیانه'!$C183,'لیست واریزی کل خیرین'!S:S,'لیست واریزی ماهیانه'!$D183)</f>
        <v>0</v>
      </c>
      <c r="O183" s="25"/>
      <c r="P183" s="25" t="s">
        <v>369</v>
      </c>
      <c r="Q183" s="19" t="s">
        <v>220</v>
      </c>
      <c r="R183" s="20">
        <v>6219861052116010</v>
      </c>
      <c r="S183" s="21" t="s">
        <v>331</v>
      </c>
      <c r="T183" s="22">
        <f>IF(S183="","",VLOOKUP(S183,mah,2,0))</f>
        <v>3</v>
      </c>
      <c r="U183" s="21">
        <v>1401</v>
      </c>
      <c r="V183" s="26"/>
      <c r="W183" s="23">
        <v>2500000</v>
      </c>
      <c r="X183" s="27" t="s">
        <v>370</v>
      </c>
    </row>
    <row r="184" spans="1:24" ht="15.75" customHeight="1">
      <c r="A184" s="2" t="s">
        <v>327</v>
      </c>
      <c r="B184" s="17">
        <f>SUMIFS('لیست واریزی کل خیرین'!B:B,'لیست واریزی کل خیرین'!D:D,Table1[[#This Row],[نام]],'لیست واریزی کل خیرین'!E:E,Table1[[#This Row],[نام خانوادگی]])</f>
        <v>35</v>
      </c>
      <c r="C184" s="18" t="s">
        <v>465</v>
      </c>
      <c r="D184" s="18" t="s">
        <v>466</v>
      </c>
      <c r="E184" s="19" t="s">
        <v>550</v>
      </c>
      <c r="F184" s="81" t="s">
        <v>467</v>
      </c>
      <c r="G184" s="21" t="s">
        <v>351</v>
      </c>
      <c r="H184" s="22">
        <f t="shared" si="2"/>
        <v>7</v>
      </c>
      <c r="I184" s="21">
        <v>1401</v>
      </c>
      <c r="J184" s="21"/>
      <c r="K184" s="23">
        <v>3000000</v>
      </c>
      <c r="L184" s="24"/>
    </row>
    <row r="185" spans="1:24" ht="15.75" customHeight="1">
      <c r="A185" s="45" t="s">
        <v>327</v>
      </c>
      <c r="B185" s="40">
        <f>SUMIFS('لیست واریزی کل خیرین'!B:B,'لیست واریزی کل خیرین'!D:D,Table1[[#This Row],[نام]],'لیست واریزی کل خیرین'!E:E,Table1[[#This Row],[نام خانوادگی]])</f>
        <v>5</v>
      </c>
      <c r="C185" s="38" t="s">
        <v>344</v>
      </c>
      <c r="D185" s="38" t="s">
        <v>345</v>
      </c>
      <c r="E185" s="48" t="s">
        <v>532</v>
      </c>
      <c r="F185" s="82">
        <v>5859831202663190</v>
      </c>
      <c r="G185" s="21" t="s">
        <v>351</v>
      </c>
      <c r="H185" s="52">
        <f t="shared" si="2"/>
        <v>7</v>
      </c>
      <c r="I185" s="50">
        <v>1401</v>
      </c>
      <c r="J185" s="50"/>
      <c r="K185" s="54">
        <v>5000000</v>
      </c>
      <c r="L185" s="24"/>
    </row>
    <row r="186" spans="1:24" ht="15.75" customHeight="1">
      <c r="A186" s="2"/>
      <c r="B186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186" s="21" t="s">
        <v>366</v>
      </c>
      <c r="D186" s="21" t="s">
        <v>385</v>
      </c>
      <c r="E186" s="19" t="s">
        <v>690</v>
      </c>
      <c r="F186" s="81" t="s">
        <v>691</v>
      </c>
      <c r="G186" s="74" t="s">
        <v>351</v>
      </c>
      <c r="H186" s="22">
        <f t="shared" si="2"/>
        <v>7</v>
      </c>
      <c r="I186" s="21">
        <v>1401</v>
      </c>
      <c r="J186" s="21"/>
      <c r="K186" s="23">
        <v>5000000</v>
      </c>
      <c r="L186" s="24" t="s">
        <v>1062</v>
      </c>
    </row>
    <row r="187" spans="1:24" ht="15.75" customHeight="1">
      <c r="A187" s="2" t="s">
        <v>327</v>
      </c>
      <c r="B187" s="17">
        <f>SUMIFS('لیست واریزی کل خیرین'!B:B,'لیست واریزی کل خیرین'!D:D,Table1[[#This Row],[نام]],'لیست واریزی کل خیرین'!E:E,Table1[[#This Row],[نام خانوادگی]])</f>
        <v>23</v>
      </c>
      <c r="C187" s="21" t="s">
        <v>457</v>
      </c>
      <c r="D187" s="21" t="s">
        <v>390</v>
      </c>
      <c r="E187" s="19" t="s">
        <v>552</v>
      </c>
      <c r="F187" s="81" t="s">
        <v>556</v>
      </c>
      <c r="G187" s="21" t="s">
        <v>351</v>
      </c>
      <c r="H187" s="22">
        <f t="shared" si="2"/>
        <v>7</v>
      </c>
      <c r="I187" s="21">
        <v>1401</v>
      </c>
      <c r="J187" s="21"/>
      <c r="K187" s="23">
        <v>10000000</v>
      </c>
      <c r="L187" s="24"/>
    </row>
    <row r="188" spans="1:24" ht="15.75" customHeight="1">
      <c r="A188" s="2" t="s">
        <v>327</v>
      </c>
      <c r="B188" s="17">
        <f>SUMIFS('لیست واریزی کل خیرین'!B:B,'لیست واریزی کل خیرین'!D:D,Table1[[#This Row],[نام]],'لیست واریزی کل خیرین'!E:E,Table1[[#This Row],[نام خانوادگی]])</f>
        <v>27</v>
      </c>
      <c r="C188" s="18" t="s">
        <v>412</v>
      </c>
      <c r="D188" s="18" t="s">
        <v>413</v>
      </c>
      <c r="E188" s="19" t="s">
        <v>552</v>
      </c>
      <c r="F188" s="81">
        <v>6104337758811140</v>
      </c>
      <c r="G188" s="21" t="s">
        <v>351</v>
      </c>
      <c r="H188" s="22">
        <f t="shared" si="2"/>
        <v>7</v>
      </c>
      <c r="I188" s="21">
        <v>1401</v>
      </c>
      <c r="J188" s="21"/>
      <c r="K188" s="23">
        <v>5000000</v>
      </c>
      <c r="L188" s="24"/>
    </row>
    <row r="189" spans="1:24" ht="15.75" customHeight="1">
      <c r="A189" s="2" t="s">
        <v>327</v>
      </c>
      <c r="B189" s="17">
        <f>SUMIFS('لیست واریزی کل خیرین'!B:B,'لیست واریزی کل خیرین'!D:D,Table1[[#This Row],[نام]],'لیست واریزی کل خیرین'!E:E,Table1[[#This Row],[نام خانوادگی]])</f>
        <v>33</v>
      </c>
      <c r="C189" s="18" t="s">
        <v>452</v>
      </c>
      <c r="D189" s="18" t="s">
        <v>453</v>
      </c>
      <c r="E189" s="19" t="s">
        <v>454</v>
      </c>
      <c r="F189" s="81" t="s">
        <v>455</v>
      </c>
      <c r="G189" s="21" t="s">
        <v>351</v>
      </c>
      <c r="H189" s="22">
        <f t="shared" si="2"/>
        <v>7</v>
      </c>
      <c r="I189" s="21">
        <v>1401</v>
      </c>
      <c r="J189" s="21"/>
      <c r="K189" s="23">
        <v>20000000</v>
      </c>
      <c r="L189" s="24" t="s">
        <v>456</v>
      </c>
    </row>
    <row r="190" spans="1:24" ht="15.75" customHeight="1">
      <c r="A190" s="2"/>
      <c r="B190" s="73">
        <f>SUMIFS('لیست واریزی کل خیرین'!B:B,'لیست واریزی کل خیرین'!D:D,Table1[[#This Row],[نام]],'لیست واریزی کل خیرین'!E:E,Table1[[#This Row],[نام خانوادگی]])</f>
        <v>38</v>
      </c>
      <c r="C190" s="21" t="s">
        <v>429</v>
      </c>
      <c r="D190" s="21" t="s">
        <v>430</v>
      </c>
      <c r="E190" s="19" t="s">
        <v>1145</v>
      </c>
      <c r="F190" s="87" t="s">
        <v>1146</v>
      </c>
      <c r="G190" s="74" t="s">
        <v>351</v>
      </c>
      <c r="H190" s="75">
        <f t="shared" si="2"/>
        <v>7</v>
      </c>
      <c r="I190" s="74">
        <v>1401</v>
      </c>
      <c r="J190" s="74"/>
      <c r="K190" s="76">
        <v>3000000</v>
      </c>
      <c r="L190" s="24" t="s">
        <v>1147</v>
      </c>
    </row>
    <row r="191" spans="1:24" ht="35.25" customHeight="1">
      <c r="A191" s="67"/>
      <c r="B191" s="17">
        <f>SUMIFS('لیست واریزی کل خیرین'!B:B,'لیست واریزی کل خیرین'!D:D,Table1[[#This Row],[نام]],'لیست واریزی کل خیرین'!E:E,Table1[[#This Row],[نام خانوادگی]])</f>
        <v>16</v>
      </c>
      <c r="C191" s="25" t="s">
        <v>366</v>
      </c>
      <c r="D191" s="25" t="s">
        <v>374</v>
      </c>
      <c r="E191" s="19" t="s">
        <v>434</v>
      </c>
      <c r="F191" s="81">
        <v>6037998112152490</v>
      </c>
      <c r="G191" s="21" t="s">
        <v>354</v>
      </c>
      <c r="H191" s="22">
        <f t="shared" ref="H191" si="3">IF(G191="","",VLOOKUP(G191,mah,2,0))</f>
        <v>8</v>
      </c>
      <c r="I191" s="21">
        <v>1401</v>
      </c>
      <c r="J191" s="21"/>
      <c r="K191" s="23">
        <v>3000000</v>
      </c>
      <c r="L191" s="267" t="s">
        <v>1272</v>
      </c>
      <c r="M191" s="268"/>
    </row>
    <row r="192" spans="1:24" ht="15.75" customHeight="1">
      <c r="A192" s="2" t="s">
        <v>327</v>
      </c>
      <c r="B192" s="17">
        <f>SUMIFS('لیست واریزی کل خیرین'!B:B,'لیست واریزی کل خیرین'!D:D,Table1[[#This Row],[نام]],'لیست واریزی کل خیرین'!E:E,Table1[[#This Row],[نام خانوادگی]])</f>
        <v>48</v>
      </c>
      <c r="C192" s="21" t="s">
        <v>363</v>
      </c>
      <c r="D192" s="21" t="s">
        <v>415</v>
      </c>
      <c r="E192" s="19" t="s">
        <v>534</v>
      </c>
      <c r="F192" s="81">
        <v>5022291038702390</v>
      </c>
      <c r="G192" s="21" t="s">
        <v>354</v>
      </c>
      <c r="H192" s="22">
        <f t="shared" si="2"/>
        <v>8</v>
      </c>
      <c r="I192" s="21">
        <v>1401</v>
      </c>
      <c r="J192" s="21"/>
      <c r="K192" s="23">
        <v>40000000</v>
      </c>
      <c r="L192" s="24"/>
    </row>
    <row r="193" spans="1:12" ht="15.75" customHeight="1">
      <c r="A193" s="2" t="s">
        <v>327</v>
      </c>
      <c r="B193" s="46">
        <f>SUMIFS('لیست واریزی کل خیرین'!B:B,'لیست واریزی کل خیرین'!D:D,Table1[[#This Row],[نام]],'لیست واریزی کل خیرین'!E:E,Table1[[#This Row],[نام خانوادگی]])</f>
        <v>34</v>
      </c>
      <c r="C193" s="29" t="s">
        <v>457</v>
      </c>
      <c r="D193" s="29" t="s">
        <v>458</v>
      </c>
      <c r="E193" s="47" t="s">
        <v>196</v>
      </c>
      <c r="F193" s="85">
        <v>5859831018931560</v>
      </c>
      <c r="G193" s="21" t="s">
        <v>354</v>
      </c>
      <c r="H193" s="51">
        <f t="shared" si="2"/>
        <v>8</v>
      </c>
      <c r="I193" s="49">
        <v>1401</v>
      </c>
      <c r="J193" s="49"/>
      <c r="K193" s="53">
        <v>5000000</v>
      </c>
      <c r="L193" s="55" t="s">
        <v>551</v>
      </c>
    </row>
    <row r="194" spans="1:12" ht="15.75" customHeight="1">
      <c r="A194" s="1" t="s">
        <v>327</v>
      </c>
      <c r="B194" s="17">
        <v>62</v>
      </c>
      <c r="C194" s="21" t="s">
        <v>616</v>
      </c>
      <c r="D194" s="21" t="s">
        <v>574</v>
      </c>
      <c r="E194" s="19" t="s">
        <v>310</v>
      </c>
      <c r="F194" s="81" t="s">
        <v>575</v>
      </c>
      <c r="G194" s="21" t="s">
        <v>354</v>
      </c>
      <c r="H194" s="22">
        <f t="shared" si="2"/>
        <v>8</v>
      </c>
      <c r="I194" s="21">
        <v>1401</v>
      </c>
      <c r="J194" s="21"/>
      <c r="K194" s="23">
        <v>10000000</v>
      </c>
      <c r="L194" s="24"/>
    </row>
    <row r="195" spans="1:12" ht="15.75" customHeight="1">
      <c r="A195" s="2" t="s">
        <v>327</v>
      </c>
      <c r="B195" s="17">
        <f>SUMIFS('لیست واریزی کل خیرین'!B:B,'لیست واریزی کل خیرین'!D:D,Table1[[#This Row],[نام]],'لیست واریزی کل خیرین'!E:E,Table1[[#This Row],[نام خانوادگی]])</f>
        <v>22</v>
      </c>
      <c r="C195" s="18" t="s">
        <v>387</v>
      </c>
      <c r="D195" s="18" t="s">
        <v>388</v>
      </c>
      <c r="E195" s="19" t="s">
        <v>579</v>
      </c>
      <c r="F195" s="81" t="s">
        <v>580</v>
      </c>
      <c r="G195" s="21" t="s">
        <v>354</v>
      </c>
      <c r="H195" s="22">
        <f t="shared" si="2"/>
        <v>8</v>
      </c>
      <c r="I195" s="21">
        <v>1401</v>
      </c>
      <c r="J195" s="21"/>
      <c r="K195" s="23">
        <v>2000000</v>
      </c>
      <c r="L195" s="24"/>
    </row>
    <row r="196" spans="1:12" ht="15.75" customHeight="1">
      <c r="A196" s="2" t="s">
        <v>327</v>
      </c>
      <c r="B196" s="17">
        <f>SUMIFS('لیست واریزی کل خیرین'!B:B,'لیست واریزی کل خیرین'!D:D,Table1[[#This Row],[نام]],'لیست واریزی کل خیرین'!E:E,Table1[[#This Row],[نام خانوادگی]])</f>
        <v>42</v>
      </c>
      <c r="C196" s="18" t="s">
        <v>499</v>
      </c>
      <c r="D196" s="18" t="s">
        <v>500</v>
      </c>
      <c r="E196" s="19"/>
      <c r="F196" s="81" t="s">
        <v>604</v>
      </c>
      <c r="G196" s="21" t="s">
        <v>354</v>
      </c>
      <c r="H196" s="22">
        <f t="shared" ref="H196:H260" si="4">IF(G196="","",VLOOKUP(G196,mah,2,0))</f>
        <v>8</v>
      </c>
      <c r="I196" s="21">
        <v>1401</v>
      </c>
      <c r="J196" s="21"/>
      <c r="K196" s="23">
        <v>13625000</v>
      </c>
      <c r="L196" s="61" t="s">
        <v>600</v>
      </c>
    </row>
    <row r="197" spans="1:12" ht="15.75" customHeight="1">
      <c r="A197" s="2" t="s">
        <v>327</v>
      </c>
      <c r="B197" s="17">
        <f>SUMIFS('لیست واریزی کل خیرین'!B:B,'لیست واریزی کل خیرین'!D:D,Table1[[#This Row],[نام]],'لیست واریزی کل خیرین'!E:E,Table1[[#This Row],[نام خانوادگی]])</f>
        <v>41</v>
      </c>
      <c r="C197" s="18" t="s">
        <v>73</v>
      </c>
      <c r="D197" s="18" t="s">
        <v>497</v>
      </c>
      <c r="E197" s="19" t="s">
        <v>561</v>
      </c>
      <c r="F197" s="81">
        <v>6037998200067800</v>
      </c>
      <c r="G197" s="21" t="s">
        <v>354</v>
      </c>
      <c r="H197" s="22">
        <f t="shared" si="4"/>
        <v>8</v>
      </c>
      <c r="I197" s="21">
        <v>1401</v>
      </c>
      <c r="J197" s="21"/>
      <c r="K197" s="23">
        <v>5000000</v>
      </c>
      <c r="L197" s="24"/>
    </row>
    <row r="198" spans="1:12" ht="15.75" customHeight="1">
      <c r="A198" s="2" t="s">
        <v>327</v>
      </c>
      <c r="B198" s="17">
        <f>SUMIFS('لیست واریزی کل خیرین'!B:B,'لیست واریزی کل خیرین'!D:D,Table1[[#This Row],[نام]],'لیست واریزی کل خیرین'!E:E,Table1[[#This Row],[نام خانوادگی]])</f>
        <v>37</v>
      </c>
      <c r="C198" s="18" t="s">
        <v>481</v>
      </c>
      <c r="D198" s="18" t="s">
        <v>482</v>
      </c>
      <c r="E198" s="19" t="s">
        <v>560</v>
      </c>
      <c r="F198" s="81">
        <v>5029081015337950</v>
      </c>
      <c r="G198" s="21" t="s">
        <v>354</v>
      </c>
      <c r="H198" s="22">
        <f t="shared" si="4"/>
        <v>8</v>
      </c>
      <c r="I198" s="21">
        <v>1401</v>
      </c>
      <c r="J198" s="21"/>
      <c r="K198" s="23">
        <v>3000000</v>
      </c>
      <c r="L198" s="24"/>
    </row>
    <row r="199" spans="1:12" ht="15.75" customHeight="1">
      <c r="A199" s="2" t="s">
        <v>327</v>
      </c>
      <c r="B199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199" s="18" t="s">
        <v>352</v>
      </c>
      <c r="D199" s="18" t="s">
        <v>353</v>
      </c>
      <c r="E199" s="19" t="s">
        <v>535</v>
      </c>
      <c r="F199" s="81">
        <v>6104337871897400</v>
      </c>
      <c r="G199" s="21" t="s">
        <v>354</v>
      </c>
      <c r="H199" s="22">
        <f t="shared" si="4"/>
        <v>8</v>
      </c>
      <c r="I199" s="21">
        <v>1401</v>
      </c>
      <c r="J199" s="21"/>
      <c r="K199" s="23">
        <v>5000000</v>
      </c>
      <c r="L199" s="24" t="s">
        <v>537</v>
      </c>
    </row>
    <row r="200" spans="1:12" ht="15.75" customHeight="1">
      <c r="A200" s="2" t="s">
        <v>327</v>
      </c>
      <c r="B200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200" s="18" t="s">
        <v>391</v>
      </c>
      <c r="D200" s="18" t="s">
        <v>392</v>
      </c>
      <c r="E200" s="19" t="s">
        <v>569</v>
      </c>
      <c r="F200" s="81" t="s">
        <v>393</v>
      </c>
      <c r="G200" s="21" t="s">
        <v>354</v>
      </c>
      <c r="H200" s="22">
        <f t="shared" si="4"/>
        <v>8</v>
      </c>
      <c r="I200" s="21">
        <v>1401</v>
      </c>
      <c r="J200" s="21"/>
      <c r="K200" s="23">
        <v>15594672</v>
      </c>
      <c r="L200" s="24"/>
    </row>
    <row r="201" spans="1:12" ht="15.75" customHeight="1">
      <c r="A201" s="2" t="s">
        <v>327</v>
      </c>
      <c r="B201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201" s="18" t="s">
        <v>366</v>
      </c>
      <c r="D201" s="18" t="s">
        <v>382</v>
      </c>
      <c r="E201" s="19" t="s">
        <v>312</v>
      </c>
      <c r="F201" s="81" t="s">
        <v>536</v>
      </c>
      <c r="G201" s="21" t="s">
        <v>354</v>
      </c>
      <c r="H201" s="22">
        <f t="shared" si="4"/>
        <v>8</v>
      </c>
      <c r="I201" s="21">
        <v>1401</v>
      </c>
      <c r="J201" s="21"/>
      <c r="K201" s="23">
        <v>20000000</v>
      </c>
      <c r="L201" s="24"/>
    </row>
    <row r="202" spans="1:12" ht="15.75" customHeight="1">
      <c r="A202" s="2" t="s">
        <v>327</v>
      </c>
      <c r="B202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202" s="18" t="s">
        <v>338</v>
      </c>
      <c r="D202" s="18" t="s">
        <v>339</v>
      </c>
      <c r="E202" s="19" t="s">
        <v>297</v>
      </c>
      <c r="F202" s="81">
        <v>6104337649628050</v>
      </c>
      <c r="G202" s="21" t="s">
        <v>354</v>
      </c>
      <c r="H202" s="22">
        <f t="shared" si="4"/>
        <v>8</v>
      </c>
      <c r="I202" s="21">
        <v>1401</v>
      </c>
      <c r="J202" s="23">
        <v>6012000</v>
      </c>
      <c r="K202" s="23">
        <v>6012000</v>
      </c>
      <c r="L202" s="24" t="s">
        <v>576</v>
      </c>
    </row>
    <row r="203" spans="1:12" ht="15.75" customHeight="1">
      <c r="A203" s="2" t="s">
        <v>327</v>
      </c>
      <c r="B203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203" s="18" t="s">
        <v>338</v>
      </c>
      <c r="D203" s="18" t="s">
        <v>339</v>
      </c>
      <c r="E203" s="19" t="s">
        <v>292</v>
      </c>
      <c r="F203" s="81">
        <v>6104337649628050</v>
      </c>
      <c r="G203" s="21" t="s">
        <v>354</v>
      </c>
      <c r="H203" s="22">
        <f t="shared" si="4"/>
        <v>8</v>
      </c>
      <c r="I203" s="21">
        <v>1401</v>
      </c>
      <c r="J203" s="23">
        <v>5000000</v>
      </c>
      <c r="K203" s="23">
        <v>5000000</v>
      </c>
      <c r="L203" s="24" t="s">
        <v>577</v>
      </c>
    </row>
    <row r="204" spans="1:12" ht="15.75" customHeight="1">
      <c r="A204" s="2" t="s">
        <v>327</v>
      </c>
      <c r="B204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204" s="18" t="s">
        <v>338</v>
      </c>
      <c r="D204" s="18" t="s">
        <v>339</v>
      </c>
      <c r="E204" s="19" t="s">
        <v>299</v>
      </c>
      <c r="F204" s="81">
        <v>6104337649628050</v>
      </c>
      <c r="G204" s="21" t="s">
        <v>354</v>
      </c>
      <c r="H204" s="22">
        <f t="shared" si="4"/>
        <v>8</v>
      </c>
      <c r="I204" s="21">
        <v>1401</v>
      </c>
      <c r="J204" s="23">
        <v>157500</v>
      </c>
      <c r="K204" s="23">
        <v>157500</v>
      </c>
      <c r="L204" s="24" t="s">
        <v>578</v>
      </c>
    </row>
    <row r="205" spans="1:12" ht="15.75" customHeight="1">
      <c r="A205" s="2" t="s">
        <v>327</v>
      </c>
      <c r="B205" s="17">
        <f>SUMIFS('لیست واریزی کل خیرین'!B:B,'لیست واریزی کل خیرین'!D:D,Table1[[#This Row],[نام]],'لیست واریزی کل خیرین'!E:E,Table1[[#This Row],[نام خانوادگی]])</f>
        <v>2</v>
      </c>
      <c r="C205" s="18" t="s">
        <v>333</v>
      </c>
      <c r="D205" s="18" t="s">
        <v>334</v>
      </c>
      <c r="E205" s="19" t="s">
        <v>610</v>
      </c>
      <c r="F205" s="81" t="s">
        <v>424</v>
      </c>
      <c r="G205" s="21" t="s">
        <v>354</v>
      </c>
      <c r="H205" s="22">
        <f t="shared" si="4"/>
        <v>8</v>
      </c>
      <c r="I205" s="21">
        <v>1401</v>
      </c>
      <c r="J205" s="21"/>
      <c r="K205" s="23">
        <v>20000000</v>
      </c>
      <c r="L205" s="24"/>
    </row>
    <row r="206" spans="1:12" ht="15.75" customHeight="1">
      <c r="A206" s="198" t="s">
        <v>327</v>
      </c>
      <c r="B206" s="40">
        <f>SUMIFS('لیست واریزی کل خیرین'!B:B,'لیست واریزی کل خیرین'!D:D,Table1[[#This Row],[نام]],'لیست واریزی کل خیرین'!E:E,Table1[[#This Row],[نام خانوادگی]])</f>
        <v>4</v>
      </c>
      <c r="C206" s="38" t="s">
        <v>340</v>
      </c>
      <c r="D206" s="38" t="s">
        <v>341</v>
      </c>
      <c r="E206" s="48" t="s">
        <v>290</v>
      </c>
      <c r="F206" s="82">
        <v>6219861021865570</v>
      </c>
      <c r="G206" s="21" t="s">
        <v>354</v>
      </c>
      <c r="H206" s="52">
        <f t="shared" si="4"/>
        <v>8</v>
      </c>
      <c r="I206" s="50">
        <v>1401</v>
      </c>
      <c r="J206" s="50"/>
      <c r="K206" s="54">
        <v>2000000</v>
      </c>
      <c r="L206" s="30"/>
    </row>
    <row r="207" spans="1:12" ht="15.75" customHeight="1">
      <c r="A207" s="45" t="s">
        <v>327</v>
      </c>
      <c r="B207" s="17">
        <f>SUMIFS('لیست واریزی کل خیرین'!B:B,'لیست واریزی کل خیرین'!D:D,Table1[[#This Row],[نام]],'لیست واریزی کل خیرین'!E:E,Table1[[#This Row],[نام خانوادگی]])</f>
        <v>25</v>
      </c>
      <c r="C207" s="18" t="s">
        <v>401</v>
      </c>
      <c r="D207" s="18" t="s">
        <v>402</v>
      </c>
      <c r="E207" s="19" t="s">
        <v>559</v>
      </c>
      <c r="F207" s="81">
        <v>6037997248149000</v>
      </c>
      <c r="G207" s="21" t="s">
        <v>354</v>
      </c>
      <c r="H207" s="22">
        <f t="shared" si="4"/>
        <v>8</v>
      </c>
      <c r="I207" s="21">
        <v>1401</v>
      </c>
      <c r="J207" s="21"/>
      <c r="K207" s="23">
        <v>30000000</v>
      </c>
      <c r="L207" s="24"/>
    </row>
    <row r="208" spans="1:12" ht="15.75" customHeight="1">
      <c r="A208" s="45" t="s">
        <v>327</v>
      </c>
      <c r="B208" s="62">
        <f>SUMIFS('لیست واریزی کل خیرین'!B:B,'لیست واریزی کل خیرین'!D:D,Table1[[#This Row],[نام]],'لیست واریزی کل خیرین'!E:E,Table1[[#This Row],[نام خانوادگی]])</f>
        <v>40</v>
      </c>
      <c r="C208" s="63" t="s">
        <v>363</v>
      </c>
      <c r="D208" s="63" t="s">
        <v>402</v>
      </c>
      <c r="E208" s="57" t="s">
        <v>603</v>
      </c>
      <c r="F208" s="81" t="s">
        <v>393</v>
      </c>
      <c r="G208" s="21" t="s">
        <v>354</v>
      </c>
      <c r="H208" s="65">
        <f t="shared" si="4"/>
        <v>8</v>
      </c>
      <c r="I208" s="64">
        <v>1401</v>
      </c>
      <c r="J208" s="64"/>
      <c r="K208" s="66">
        <v>50000000</v>
      </c>
      <c r="L208" s="61"/>
    </row>
    <row r="209" spans="1:12" ht="15.75" customHeight="1">
      <c r="A209" s="45" t="s">
        <v>327</v>
      </c>
      <c r="B209" s="17">
        <f>SUMIFS('لیست واریزی کل خیرین'!B:B,'لیست واریزی کل خیرین'!D:D,Table1[[#This Row],[نام]],'لیست واریزی کل خیرین'!E:E,Table1[[#This Row],[نام خانوادگی]])</f>
        <v>24</v>
      </c>
      <c r="C209" s="21" t="s">
        <v>398</v>
      </c>
      <c r="D209" s="21" t="s">
        <v>399</v>
      </c>
      <c r="E209" s="19" t="s">
        <v>538</v>
      </c>
      <c r="F209" s="81">
        <v>5022291044919300</v>
      </c>
      <c r="G209" s="21" t="s">
        <v>354</v>
      </c>
      <c r="H209" s="22">
        <f t="shared" si="4"/>
        <v>8</v>
      </c>
      <c r="I209" s="21">
        <v>1401</v>
      </c>
      <c r="J209" s="21"/>
      <c r="K209" s="23">
        <v>5000000</v>
      </c>
      <c r="L209" s="24" t="s">
        <v>521</v>
      </c>
    </row>
    <row r="210" spans="1:12" ht="15.75" customHeight="1">
      <c r="A210" s="2" t="s">
        <v>327</v>
      </c>
      <c r="B210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210" s="18" t="s">
        <v>355</v>
      </c>
      <c r="D210" s="18" t="s">
        <v>356</v>
      </c>
      <c r="E210" s="19" t="s">
        <v>553</v>
      </c>
      <c r="F210" s="81" t="s">
        <v>464</v>
      </c>
      <c r="G210" s="21" t="s">
        <v>354</v>
      </c>
      <c r="H210" s="22">
        <f t="shared" si="4"/>
        <v>8</v>
      </c>
      <c r="I210" s="21">
        <v>1401</v>
      </c>
      <c r="J210" s="21"/>
      <c r="K210" s="23">
        <v>10000000</v>
      </c>
      <c r="L210" s="24"/>
    </row>
    <row r="211" spans="1:12" ht="15.75" customHeight="1">
      <c r="A211" s="2" t="s">
        <v>327</v>
      </c>
      <c r="B211" s="17">
        <f>SUMIFS('لیست واریزی کل خیرین'!B:B,'لیست واریزی کل خیرین'!D:D,Table1[[#This Row],[نام]],'لیست واریزی کل خیرین'!E:E,Table1[[#This Row],[نام خانوادگی]])</f>
        <v>11</v>
      </c>
      <c r="C211" s="25" t="s">
        <v>363</v>
      </c>
      <c r="D211" s="25" t="s">
        <v>364</v>
      </c>
      <c r="E211" s="19" t="s">
        <v>285</v>
      </c>
      <c r="F211" s="81">
        <v>6063731028949880</v>
      </c>
      <c r="G211" s="21" t="s">
        <v>354</v>
      </c>
      <c r="H211" s="22">
        <f t="shared" si="4"/>
        <v>8</v>
      </c>
      <c r="I211" s="21">
        <v>1401</v>
      </c>
      <c r="J211" s="21"/>
      <c r="K211" s="23">
        <v>30000000</v>
      </c>
      <c r="L211" s="24"/>
    </row>
    <row r="212" spans="1:12" ht="15.75" customHeight="1">
      <c r="A212" s="2"/>
      <c r="B212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212" s="21" t="s">
        <v>349</v>
      </c>
      <c r="D212" s="21" t="s">
        <v>350</v>
      </c>
      <c r="E212" s="19" t="s">
        <v>681</v>
      </c>
      <c r="F212" s="81" t="s">
        <v>683</v>
      </c>
      <c r="G212" s="21" t="s">
        <v>354</v>
      </c>
      <c r="H212" s="22">
        <f t="shared" si="4"/>
        <v>8</v>
      </c>
      <c r="I212" s="21">
        <v>1401</v>
      </c>
      <c r="J212" s="21"/>
      <c r="K212" s="23">
        <v>10000000</v>
      </c>
      <c r="L212" s="24" t="s">
        <v>682</v>
      </c>
    </row>
    <row r="213" spans="1:12" ht="15.75" customHeight="1">
      <c r="A213" s="2" t="s">
        <v>327</v>
      </c>
      <c r="B213" s="17">
        <f>SUMIFS('لیست واریزی کل خیرین'!B:B,'لیست واریزی کل خیرین'!D:D,Table1[[#This Row],[نام]],'لیست واریزی کل خیرین'!E:E,Table1[[#This Row],[نام خانوادگی]])</f>
        <v>47</v>
      </c>
      <c r="C213" s="18" t="s">
        <v>363</v>
      </c>
      <c r="D213" s="18" t="s">
        <v>514</v>
      </c>
      <c r="E213" s="19" t="s">
        <v>305</v>
      </c>
      <c r="F213" s="81">
        <v>6221061208001210</v>
      </c>
      <c r="G213" s="21" t="s">
        <v>354</v>
      </c>
      <c r="H213" s="22">
        <f t="shared" si="4"/>
        <v>8</v>
      </c>
      <c r="I213" s="21">
        <v>1401</v>
      </c>
      <c r="J213" s="21"/>
      <c r="K213" s="23">
        <v>5000000</v>
      </c>
      <c r="L213" s="24"/>
    </row>
    <row r="214" spans="1:12" ht="15.75" customHeight="1">
      <c r="A214" s="2" t="s">
        <v>327</v>
      </c>
      <c r="B214" s="17">
        <f>SUMIFS('لیست واریزی کل خیرین'!B:B,'لیست واریزی کل خیرین'!D:D,Table1[[#This Row],[نام]],'لیست واریزی کل خیرین'!E:E,Table1[[#This Row],[نام خانوادگی]])</f>
        <v>12</v>
      </c>
      <c r="C214" s="25" t="s">
        <v>366</v>
      </c>
      <c r="D214" s="25" t="s">
        <v>367</v>
      </c>
      <c r="E214" s="19" t="s">
        <v>434</v>
      </c>
      <c r="F214" s="81" t="s">
        <v>492</v>
      </c>
      <c r="G214" s="21" t="s">
        <v>354</v>
      </c>
      <c r="H214" s="22">
        <f t="shared" si="4"/>
        <v>8</v>
      </c>
      <c r="I214" s="21">
        <v>1401</v>
      </c>
      <c r="J214" s="21"/>
      <c r="K214" s="23">
        <v>5000000</v>
      </c>
      <c r="L214" s="24"/>
    </row>
    <row r="215" spans="1:12" ht="15.75" customHeight="1">
      <c r="A215" s="1" t="s">
        <v>327</v>
      </c>
      <c r="B215" s="17">
        <f>SUMIFS('لیست واریزی کل خیرین'!B:B,'لیست واریزی کل خیرین'!D:D,Table1[[#This Row],[نام]],'لیست واریزی کل خیرین'!E:E,Table1[[#This Row],[نام خانوادگی]])</f>
        <v>61</v>
      </c>
      <c r="C215" s="18" t="s">
        <v>571</v>
      </c>
      <c r="D215" s="18" t="s">
        <v>572</v>
      </c>
      <c r="E215" s="19" t="s">
        <v>569</v>
      </c>
      <c r="F215" s="81" t="s">
        <v>573</v>
      </c>
      <c r="G215" s="21" t="s">
        <v>354</v>
      </c>
      <c r="H215" s="22">
        <f t="shared" si="4"/>
        <v>8</v>
      </c>
      <c r="I215" s="21">
        <v>1401</v>
      </c>
      <c r="J215" s="21"/>
      <c r="K215" s="23">
        <v>5000000</v>
      </c>
      <c r="L215" s="24"/>
    </row>
    <row r="216" spans="1:12" ht="15.75" customHeight="1">
      <c r="A216" s="2" t="s">
        <v>327</v>
      </c>
      <c r="B216" s="17">
        <f>SUMIFS('لیست واریزی کل خیرین'!B:B,'لیست واریزی کل خیرین'!D:D,Table1[[#This Row],[نام]],'لیست واریزی کل خیرین'!E:E,Table1[[#This Row],[نام خانوادگی]])</f>
        <v>14</v>
      </c>
      <c r="C216" s="18" t="s">
        <v>71</v>
      </c>
      <c r="D216" s="18" t="s">
        <v>371</v>
      </c>
      <c r="E216" s="19" t="s">
        <v>569</v>
      </c>
      <c r="F216" s="81" t="s">
        <v>570</v>
      </c>
      <c r="G216" s="21" t="s">
        <v>354</v>
      </c>
      <c r="H216" s="22">
        <f t="shared" si="4"/>
        <v>8</v>
      </c>
      <c r="I216" s="21">
        <v>1401</v>
      </c>
      <c r="J216" s="21"/>
      <c r="K216" s="23">
        <v>10000000</v>
      </c>
      <c r="L216" s="24"/>
    </row>
    <row r="217" spans="1:12" ht="15.75" customHeight="1">
      <c r="A217" s="2" t="s">
        <v>327</v>
      </c>
      <c r="B217" s="17">
        <f>SUMIFS('لیست واریزی کل خیرین'!B:B,'لیست واریزی کل خیرین'!D:D,Table1[[#This Row],[نام]],'لیست واریزی کل خیرین'!E:E,Table1[[#This Row],[نام خانوادگی]])</f>
        <v>59</v>
      </c>
      <c r="C217" s="18" t="s">
        <v>564</v>
      </c>
      <c r="D217" s="18" t="s">
        <v>565</v>
      </c>
      <c r="E217" s="19" t="s">
        <v>294</v>
      </c>
      <c r="F217" s="81" t="s">
        <v>566</v>
      </c>
      <c r="G217" s="21" t="s">
        <v>354</v>
      </c>
      <c r="H217" s="22">
        <f t="shared" si="4"/>
        <v>8</v>
      </c>
      <c r="I217" s="21">
        <v>1401</v>
      </c>
      <c r="J217" s="21"/>
      <c r="K217" s="23">
        <v>5000000</v>
      </c>
      <c r="L217" s="24"/>
    </row>
    <row r="218" spans="1:12" ht="15.75" customHeight="1">
      <c r="A218" s="2" t="s">
        <v>327</v>
      </c>
      <c r="B218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218" s="18" t="s">
        <v>358</v>
      </c>
      <c r="D218" s="18" t="s">
        <v>359</v>
      </c>
      <c r="E218" s="19" t="s">
        <v>295</v>
      </c>
      <c r="F218" s="81" t="s">
        <v>562</v>
      </c>
      <c r="G218" s="21" t="s">
        <v>354</v>
      </c>
      <c r="H218" s="22">
        <f t="shared" si="4"/>
        <v>8</v>
      </c>
      <c r="I218" s="21">
        <v>1401</v>
      </c>
      <c r="J218" s="21"/>
      <c r="K218" s="23">
        <v>100000000</v>
      </c>
      <c r="L218" s="24"/>
    </row>
    <row r="219" spans="1:12" ht="15.75" customHeight="1">
      <c r="A219" s="2" t="s">
        <v>327</v>
      </c>
      <c r="B219" s="17">
        <f>SUMIFS('لیست واریزی کل خیرین'!B:B,'لیست واریزی کل خیرین'!D:D,Table1[[#This Row],[نام]],'لیست واریزی کل خیرین'!E:E,Table1[[#This Row],[نام خانوادگی]])</f>
        <v>19</v>
      </c>
      <c r="C219" s="18" t="s">
        <v>363</v>
      </c>
      <c r="D219" s="18" t="s">
        <v>380</v>
      </c>
      <c r="E219" s="48" t="s">
        <v>295</v>
      </c>
      <c r="F219" s="81" t="s">
        <v>562</v>
      </c>
      <c r="G219" s="21" t="s">
        <v>354</v>
      </c>
      <c r="H219" s="22">
        <f t="shared" si="4"/>
        <v>8</v>
      </c>
      <c r="I219" s="21">
        <v>1401</v>
      </c>
      <c r="J219" s="21"/>
      <c r="K219" s="23">
        <v>50000000</v>
      </c>
      <c r="L219" s="24"/>
    </row>
    <row r="220" spans="1:12" ht="15.75" customHeight="1">
      <c r="A220" s="2" t="s">
        <v>327</v>
      </c>
      <c r="B220" s="17">
        <f>SUMIFS('لیست واریزی کل خیرین'!B:B,'لیست واریزی کل خیرین'!D:D,Table1[[#This Row],[نام]],'لیست واریزی کل خیرین'!E:E,Table1[[#This Row],[نام خانوادگی]])</f>
        <v>13</v>
      </c>
      <c r="C220" s="25" t="s">
        <v>355</v>
      </c>
      <c r="D220" s="25" t="s">
        <v>369</v>
      </c>
      <c r="E220" s="19" t="s">
        <v>553</v>
      </c>
      <c r="F220" s="81" t="s">
        <v>554</v>
      </c>
      <c r="G220" s="21" t="s">
        <v>354</v>
      </c>
      <c r="H220" s="22">
        <f t="shared" si="4"/>
        <v>8</v>
      </c>
      <c r="I220" s="21">
        <v>1401</v>
      </c>
      <c r="J220" s="26"/>
      <c r="K220" s="23">
        <v>2500000</v>
      </c>
      <c r="L220" s="27" t="s">
        <v>555</v>
      </c>
    </row>
    <row r="221" spans="1:12" ht="15.75" customHeight="1">
      <c r="A221" s="2" t="s">
        <v>327</v>
      </c>
      <c r="B221" s="17">
        <f>SUMIFS('لیست واریزی کل خیرین'!B:B,'لیست واریزی کل خیرین'!D:D,Table1[[#This Row],[نام]],'لیست واریزی کل خیرین'!E:E,Table1[[#This Row],[نام خانوادگی]])</f>
        <v>35</v>
      </c>
      <c r="C221" s="18" t="s">
        <v>465</v>
      </c>
      <c r="D221" s="18" t="s">
        <v>466</v>
      </c>
      <c r="E221" s="19" t="s">
        <v>312</v>
      </c>
      <c r="F221" s="81">
        <v>6104337835253040</v>
      </c>
      <c r="G221" s="21" t="s">
        <v>354</v>
      </c>
      <c r="H221" s="22">
        <f t="shared" si="4"/>
        <v>8</v>
      </c>
      <c r="I221" s="21">
        <v>1401</v>
      </c>
      <c r="J221" s="21"/>
      <c r="K221" s="23">
        <v>2000000</v>
      </c>
      <c r="L221" s="24"/>
    </row>
    <row r="222" spans="1:12" ht="15.75" customHeight="1">
      <c r="A222" s="2" t="s">
        <v>327</v>
      </c>
      <c r="B222" s="17">
        <f>SUMIFS('لیست واریزی کل خیرین'!B:B,'لیست واریزی کل خیرین'!D:D,Table1[[#This Row],[نام]],'لیست واریزی کل خیرین'!E:E,Table1[[#This Row],[نام خانوادگی]])</f>
        <v>5</v>
      </c>
      <c r="C222" s="18" t="s">
        <v>344</v>
      </c>
      <c r="D222" s="18" t="s">
        <v>345</v>
      </c>
      <c r="E222" s="19" t="s">
        <v>287</v>
      </c>
      <c r="F222" s="81">
        <v>5859831202663190</v>
      </c>
      <c r="G222" s="21" t="s">
        <v>354</v>
      </c>
      <c r="H222" s="22">
        <f t="shared" si="4"/>
        <v>8</v>
      </c>
      <c r="I222" s="21">
        <v>1401</v>
      </c>
      <c r="J222" s="21"/>
      <c r="K222" s="23">
        <v>5000000</v>
      </c>
      <c r="L222" s="24"/>
    </row>
    <row r="223" spans="1:12" ht="15.75" customHeight="1">
      <c r="A223" s="2" t="s">
        <v>327</v>
      </c>
      <c r="B223" s="17">
        <f>SUMIFS('لیست واریزی کل خیرین'!B:B,'لیست واریزی کل خیرین'!D:D,Table1[[#This Row],[نام]],'لیست واریزی کل خیرین'!E:E,Table1[[#This Row],[نام خانوادگی]])</f>
        <v>21</v>
      </c>
      <c r="C223" s="18" t="s">
        <v>366</v>
      </c>
      <c r="D223" s="18" t="s">
        <v>385</v>
      </c>
      <c r="E223" s="19" t="s">
        <v>290</v>
      </c>
      <c r="F223" s="84" t="s">
        <v>488</v>
      </c>
      <c r="G223" s="21" t="s">
        <v>354</v>
      </c>
      <c r="H223" s="22">
        <f t="shared" si="4"/>
        <v>8</v>
      </c>
      <c r="I223" s="21">
        <v>1401</v>
      </c>
      <c r="J223" s="21"/>
      <c r="K223" s="23">
        <v>5000000</v>
      </c>
      <c r="L223" s="24"/>
    </row>
    <row r="224" spans="1:12" ht="15.75" customHeight="1">
      <c r="A224" s="2" t="s">
        <v>327</v>
      </c>
      <c r="B224" s="17">
        <f>SUMIFS('لیست واریزی کل خیرین'!B:B,'لیست واریزی کل خیرین'!D:D,Table1[[#This Row],[نام]],'لیست واریزی کل خیرین'!E:E,Table1[[#This Row],[نام خانوادگی]])</f>
        <v>23</v>
      </c>
      <c r="C224" s="21" t="s">
        <v>457</v>
      </c>
      <c r="D224" s="21" t="s">
        <v>390</v>
      </c>
      <c r="E224" s="57" t="s">
        <v>569</v>
      </c>
      <c r="F224" s="81">
        <v>6219861917039190</v>
      </c>
      <c r="G224" s="21" t="s">
        <v>354</v>
      </c>
      <c r="H224" s="22">
        <f t="shared" si="4"/>
        <v>8</v>
      </c>
      <c r="I224" s="21">
        <v>1401</v>
      </c>
      <c r="J224" s="21"/>
      <c r="K224" s="23">
        <v>10000000</v>
      </c>
      <c r="L224" s="24"/>
    </row>
    <row r="225" spans="1:13" ht="20.25" customHeight="1">
      <c r="A225" s="2"/>
      <c r="B225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225" s="21" t="s">
        <v>412</v>
      </c>
      <c r="D225" s="21" t="s">
        <v>413</v>
      </c>
      <c r="E225" s="19" t="s">
        <v>656</v>
      </c>
      <c r="F225" s="81" t="s">
        <v>658</v>
      </c>
      <c r="G225" s="21" t="s">
        <v>354</v>
      </c>
      <c r="H225" s="22">
        <f t="shared" si="4"/>
        <v>8</v>
      </c>
      <c r="I225" s="21">
        <v>1401</v>
      </c>
      <c r="J225" s="74"/>
      <c r="K225" s="76">
        <v>5000000</v>
      </c>
      <c r="L225" s="24" t="s">
        <v>657</v>
      </c>
    </row>
    <row r="226" spans="1:13" ht="15.75" customHeight="1">
      <c r="A226" s="2" t="s">
        <v>327</v>
      </c>
      <c r="B226" s="17">
        <f>SUMIFS('لیست واریزی کل خیرین'!B:B,'لیست واریزی کل خیرین'!D:D,Table1[[#This Row],[نام]],'لیست واریزی کل خیرین'!E:E,Table1[[#This Row],[نام خانوادگی]])</f>
        <v>60</v>
      </c>
      <c r="C226" s="18" t="s">
        <v>519</v>
      </c>
      <c r="D226" s="18" t="s">
        <v>567</v>
      </c>
      <c r="E226" s="19" t="s">
        <v>295</v>
      </c>
      <c r="F226" s="81" t="s">
        <v>568</v>
      </c>
      <c r="G226" s="21" t="s">
        <v>354</v>
      </c>
      <c r="H226" s="22">
        <f t="shared" si="4"/>
        <v>8</v>
      </c>
      <c r="I226" s="21">
        <v>1401</v>
      </c>
      <c r="J226" s="21"/>
      <c r="K226" s="23">
        <v>40000000</v>
      </c>
      <c r="L226" s="24"/>
    </row>
    <row r="227" spans="1:13" ht="15.75" customHeight="1">
      <c r="A227" s="2" t="s">
        <v>327</v>
      </c>
      <c r="B227" s="17">
        <f>SUMIFS('لیست واریزی کل خیرین'!B:B,'لیست واریزی کل خیرین'!D:D,Table1[[#This Row],[نام]],'لیست واریزی کل خیرین'!E:E,Table1[[#This Row],[نام خانوادگی]])</f>
        <v>33</v>
      </c>
      <c r="C227" s="18" t="s">
        <v>452</v>
      </c>
      <c r="D227" s="18" t="s">
        <v>453</v>
      </c>
      <c r="E227" s="19" t="s">
        <v>292</v>
      </c>
      <c r="F227" s="81" t="s">
        <v>563</v>
      </c>
      <c r="G227" s="21" t="s">
        <v>354</v>
      </c>
      <c r="H227" s="22">
        <f t="shared" si="4"/>
        <v>8</v>
      </c>
      <c r="I227" s="21">
        <v>1401</v>
      </c>
      <c r="J227" s="21"/>
      <c r="K227" s="23">
        <v>20000000</v>
      </c>
      <c r="L227" s="24"/>
    </row>
    <row r="228" spans="1:13" ht="15.75" customHeight="1">
      <c r="A228" s="2"/>
      <c r="B228" s="73">
        <f>SUMIFS('لیست واریزی کل خیرین'!B:B,'لیست واریزی کل خیرین'!D:D,Table1[[#This Row],[نام]],'لیست واریزی کل خیرین'!E:E,Table1[[#This Row],[نام خانوادگی]])</f>
        <v>15</v>
      </c>
      <c r="C228" s="21" t="s">
        <v>372</v>
      </c>
      <c r="D228" s="21" t="s">
        <v>373</v>
      </c>
      <c r="E228" s="19" t="s">
        <v>1085</v>
      </c>
      <c r="F228" s="87" t="s">
        <v>1089</v>
      </c>
      <c r="G228" s="74" t="s">
        <v>354</v>
      </c>
      <c r="H228" s="75">
        <f t="shared" si="4"/>
        <v>8</v>
      </c>
      <c r="I228" s="74">
        <v>1401</v>
      </c>
      <c r="J228" s="74"/>
      <c r="K228" s="76">
        <v>10000000</v>
      </c>
      <c r="L228" s="24" t="s">
        <v>1100</v>
      </c>
    </row>
    <row r="229" spans="1:13" ht="37.5" customHeight="1">
      <c r="A229" s="67"/>
      <c r="B229" s="17">
        <f>SUMIFS('لیست واریزی کل خیرین'!B:B,'لیست واریزی کل خیرین'!D:D,Table1[[#This Row],[نام]],'لیست واریزی کل خیرین'!E:E,Table1[[#This Row],[نام خانوادگی]])</f>
        <v>16</v>
      </c>
      <c r="C229" s="25" t="s">
        <v>366</v>
      </c>
      <c r="D229" s="25" t="s">
        <v>374</v>
      </c>
      <c r="E229" s="19" t="s">
        <v>434</v>
      </c>
      <c r="F229" s="81">
        <v>6037998112152490</v>
      </c>
      <c r="G229" s="21" t="s">
        <v>357</v>
      </c>
      <c r="H229" s="22">
        <f t="shared" si="4"/>
        <v>9</v>
      </c>
      <c r="I229" s="21">
        <v>1401</v>
      </c>
      <c r="J229" s="21"/>
      <c r="K229" s="23">
        <v>3000000</v>
      </c>
      <c r="L229" s="267" t="s">
        <v>1273</v>
      </c>
      <c r="M229" s="268"/>
    </row>
    <row r="230" spans="1:13" ht="15.75" customHeight="1">
      <c r="A230" s="2" t="s">
        <v>327</v>
      </c>
      <c r="B230" s="17">
        <f>SUMIFS('لیست واریزی کل خیرین'!B:B,'لیست واریزی کل خیرین'!D:D,Table1[[#This Row],[نام]],'لیست واریزی کل خیرین'!E:E,Table1[[#This Row],[نام خانوادگی]])</f>
        <v>28</v>
      </c>
      <c r="C230" s="18" t="s">
        <v>414</v>
      </c>
      <c r="D230" s="18" t="s">
        <v>415</v>
      </c>
      <c r="E230" s="19" t="s">
        <v>557</v>
      </c>
      <c r="F230" s="81" t="s">
        <v>449</v>
      </c>
      <c r="G230" s="21" t="s">
        <v>357</v>
      </c>
      <c r="H230" s="22">
        <f t="shared" si="4"/>
        <v>9</v>
      </c>
      <c r="I230" s="21">
        <v>1401</v>
      </c>
      <c r="J230" s="21"/>
      <c r="K230" s="23">
        <v>6500000</v>
      </c>
      <c r="L230" s="24"/>
    </row>
    <row r="231" spans="1:13" ht="15.75" customHeight="1">
      <c r="A231" s="2" t="s">
        <v>327</v>
      </c>
      <c r="B231" s="17">
        <f>SUMIFS('لیست واریزی کل خیرین'!B:B,'لیست واریزی کل خیرین'!D:D,Table1[[#This Row],[نام]],'لیست واریزی کل خیرین'!E:E,Table1[[#This Row],[نام خانوادگی]])</f>
        <v>48</v>
      </c>
      <c r="C231" s="21" t="s">
        <v>363</v>
      </c>
      <c r="D231" s="21" t="s">
        <v>415</v>
      </c>
      <c r="E231" s="19" t="s">
        <v>557</v>
      </c>
      <c r="F231" s="81" t="s">
        <v>393</v>
      </c>
      <c r="G231" s="21" t="s">
        <v>357</v>
      </c>
      <c r="H231" s="22">
        <f t="shared" si="4"/>
        <v>9</v>
      </c>
      <c r="I231" s="21">
        <v>1401</v>
      </c>
      <c r="J231" s="21"/>
      <c r="K231" s="23">
        <v>40000000</v>
      </c>
      <c r="L231" s="24"/>
    </row>
    <row r="232" spans="1:13" ht="15.75" customHeight="1">
      <c r="A232" s="2" t="s">
        <v>327</v>
      </c>
      <c r="B232" s="17">
        <f>SUMIFS('لیست واریزی کل خیرین'!B:B,'لیست واریزی کل خیرین'!D:D,Table1[[#This Row],[نام]],'لیست واریزی کل خیرین'!E:E,Table1[[#This Row],[نام خانوادگی]])</f>
        <v>34</v>
      </c>
      <c r="C232" s="18" t="s">
        <v>457</v>
      </c>
      <c r="D232" s="18" t="s">
        <v>458</v>
      </c>
      <c r="E232" s="47" t="s">
        <v>559</v>
      </c>
      <c r="F232" s="81"/>
      <c r="G232" s="21" t="s">
        <v>357</v>
      </c>
      <c r="H232" s="22">
        <f t="shared" si="4"/>
        <v>9</v>
      </c>
      <c r="I232" s="21">
        <v>1401</v>
      </c>
      <c r="J232" s="21"/>
      <c r="K232" s="23">
        <v>5000000</v>
      </c>
      <c r="L232" s="24"/>
    </row>
    <row r="233" spans="1:13" ht="15.75" customHeight="1">
      <c r="A233" s="72" t="s">
        <v>327</v>
      </c>
      <c r="B233" s="17">
        <v>62</v>
      </c>
      <c r="C233" s="21" t="s">
        <v>616</v>
      </c>
      <c r="D233" s="21" t="s">
        <v>574</v>
      </c>
      <c r="E233" s="19" t="s">
        <v>614</v>
      </c>
      <c r="F233" s="81" t="s">
        <v>575</v>
      </c>
      <c r="G233" s="21" t="s">
        <v>357</v>
      </c>
      <c r="H233" s="22">
        <f t="shared" si="4"/>
        <v>9</v>
      </c>
      <c r="I233" s="21">
        <v>1401</v>
      </c>
      <c r="J233" s="21"/>
      <c r="K233" s="23">
        <v>10000000</v>
      </c>
      <c r="L233" s="24"/>
    </row>
    <row r="234" spans="1:13" ht="15.75" customHeight="1">
      <c r="A234" s="2"/>
      <c r="B234" s="17">
        <f>SUMIFS('لیست واریزی کل خیرین'!B:B,'لیست واریزی کل خیرین'!D:D,Table1[[#This Row],[نام]],'لیست واریزی کل خیرین'!E:E,Table1[[#This Row],[نام خانوادگی]])</f>
        <v>22</v>
      </c>
      <c r="C234" s="21" t="s">
        <v>387</v>
      </c>
      <c r="D234" s="21" t="s">
        <v>388</v>
      </c>
      <c r="E234" s="19" t="s">
        <v>661</v>
      </c>
      <c r="F234" s="81" t="s">
        <v>662</v>
      </c>
      <c r="G234" s="74" t="s">
        <v>357</v>
      </c>
      <c r="H234" s="22">
        <f t="shared" si="4"/>
        <v>9</v>
      </c>
      <c r="I234" s="21">
        <v>1401</v>
      </c>
      <c r="J234" s="21"/>
      <c r="K234" s="23">
        <v>2000000</v>
      </c>
      <c r="L234" s="24"/>
    </row>
    <row r="235" spans="1:13" ht="15.75" customHeight="1">
      <c r="A235" s="2" t="s">
        <v>327</v>
      </c>
      <c r="B235" s="17">
        <f>SUMIFS('لیست واریزی کل خیرین'!B:B,'لیست واریزی کل خیرین'!D:D,Table1[[#This Row],[نام]],'لیست واریزی کل خیرین'!E:E,Table1[[#This Row],[نام خانوادگی]])</f>
        <v>42</v>
      </c>
      <c r="C235" s="18" t="s">
        <v>499</v>
      </c>
      <c r="D235" s="18" t="s">
        <v>500</v>
      </c>
      <c r="E235" s="21"/>
      <c r="F235" s="81" t="s">
        <v>604</v>
      </c>
      <c r="G235" s="21" t="s">
        <v>357</v>
      </c>
      <c r="H235" s="22">
        <f t="shared" si="4"/>
        <v>9</v>
      </c>
      <c r="I235" s="21">
        <v>1401</v>
      </c>
      <c r="J235" s="21"/>
      <c r="K235" s="23">
        <v>13800000</v>
      </c>
      <c r="L235" s="61" t="s">
        <v>599</v>
      </c>
    </row>
    <row r="236" spans="1:13" ht="15.75" customHeight="1">
      <c r="A236" s="45" t="s">
        <v>327</v>
      </c>
      <c r="B236" s="40">
        <f>SUMIFS('لیست واریزی کل خیرین'!B:B,'لیست واریزی کل خیرین'!D:D,Table1[[#This Row],[نام]],'لیست واریزی کل خیرین'!E:E,Table1[[#This Row],[نام خانوادگی]])</f>
        <v>41</v>
      </c>
      <c r="C236" s="38" t="s">
        <v>73</v>
      </c>
      <c r="D236" s="38" t="s">
        <v>497</v>
      </c>
      <c r="E236" s="48" t="s">
        <v>605</v>
      </c>
      <c r="F236" s="82">
        <v>6037998200067800</v>
      </c>
      <c r="G236" s="21" t="s">
        <v>357</v>
      </c>
      <c r="H236" s="52">
        <f t="shared" si="4"/>
        <v>9</v>
      </c>
      <c r="I236" s="50">
        <v>1401</v>
      </c>
      <c r="J236" s="50"/>
      <c r="K236" s="54">
        <v>5000000</v>
      </c>
      <c r="L236" s="24"/>
    </row>
    <row r="237" spans="1:13" ht="15.75" customHeight="1">
      <c r="A237" s="45" t="s">
        <v>327</v>
      </c>
      <c r="B237" s="17">
        <f>SUMIFS('لیست واریزی کل خیرین'!B:B,'لیست واریزی کل خیرین'!D:D,Table1[[#This Row],[نام]],'لیست واریزی کل خیرین'!E:E,Table1[[#This Row],[نام خانوادگی]])</f>
        <v>71</v>
      </c>
      <c r="C237" s="21" t="s">
        <v>363</v>
      </c>
      <c r="D237" s="21" t="s">
        <v>618</v>
      </c>
      <c r="E237" s="48" t="s">
        <v>603</v>
      </c>
      <c r="F237" s="81">
        <v>5022291022889720</v>
      </c>
      <c r="G237" s="21" t="s">
        <v>357</v>
      </c>
      <c r="H237" s="22">
        <f t="shared" si="4"/>
        <v>9</v>
      </c>
      <c r="I237" s="21">
        <v>1401</v>
      </c>
      <c r="J237" s="21"/>
      <c r="K237" s="23">
        <v>10000000</v>
      </c>
      <c r="L237" s="24"/>
    </row>
    <row r="238" spans="1:13" ht="15.75" customHeight="1">
      <c r="A238" s="45" t="s">
        <v>327</v>
      </c>
      <c r="B238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238" s="18" t="s">
        <v>352</v>
      </c>
      <c r="D238" s="18" t="s">
        <v>353</v>
      </c>
      <c r="E238" s="48" t="s">
        <v>603</v>
      </c>
      <c r="F238" s="81">
        <v>6104337871897400</v>
      </c>
      <c r="G238" s="21" t="s">
        <v>357</v>
      </c>
      <c r="H238" s="22">
        <f t="shared" si="4"/>
        <v>9</v>
      </c>
      <c r="I238" s="21">
        <v>1401</v>
      </c>
      <c r="J238" s="21"/>
      <c r="K238" s="23">
        <v>5000000</v>
      </c>
      <c r="L238" s="24"/>
    </row>
    <row r="239" spans="1:13" ht="15.75" customHeight="1">
      <c r="A239" s="45" t="s">
        <v>327</v>
      </c>
      <c r="B239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239" s="18" t="s">
        <v>391</v>
      </c>
      <c r="D239" s="18" t="s">
        <v>392</v>
      </c>
      <c r="E239" s="19" t="s">
        <v>614</v>
      </c>
      <c r="F239" s="81" t="s">
        <v>393</v>
      </c>
      <c r="G239" s="21" t="s">
        <v>357</v>
      </c>
      <c r="H239" s="22">
        <f t="shared" si="4"/>
        <v>9</v>
      </c>
      <c r="I239" s="21">
        <v>1401</v>
      </c>
      <c r="J239" s="21"/>
      <c r="K239" s="23">
        <v>20361327</v>
      </c>
      <c r="L239" s="24"/>
    </row>
    <row r="240" spans="1:13" ht="15.75" customHeight="1">
      <c r="A240" s="2" t="s">
        <v>327</v>
      </c>
      <c r="B240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240" s="18" t="s">
        <v>366</v>
      </c>
      <c r="D240" s="18" t="s">
        <v>382</v>
      </c>
      <c r="E240" s="19" t="s">
        <v>601</v>
      </c>
      <c r="F240" s="81" t="s">
        <v>536</v>
      </c>
      <c r="G240" s="21" t="s">
        <v>357</v>
      </c>
      <c r="H240" s="22">
        <f t="shared" si="4"/>
        <v>9</v>
      </c>
      <c r="I240" s="21">
        <v>1401</v>
      </c>
      <c r="J240" s="21"/>
      <c r="K240" s="23">
        <v>20000000</v>
      </c>
      <c r="L240" s="24"/>
    </row>
    <row r="241" spans="1:12" ht="15.75" customHeight="1">
      <c r="A241" s="2" t="s">
        <v>327</v>
      </c>
      <c r="B241" s="62">
        <f>SUMIFS('لیست واریزی کل خیرین'!B:B,'لیست واریزی کل خیرین'!D:D,Table1[[#This Row],[نام]],'لیست واریزی کل خیرین'!E:E,Table1[[#This Row],[نام خانوادگی]])</f>
        <v>1</v>
      </c>
      <c r="C241" s="63" t="s">
        <v>338</v>
      </c>
      <c r="D241" s="63" t="s">
        <v>339</v>
      </c>
      <c r="E241" s="57" t="s">
        <v>601</v>
      </c>
      <c r="F241" s="83">
        <v>6104337649628050</v>
      </c>
      <c r="G241" s="21" t="s">
        <v>357</v>
      </c>
      <c r="H241" s="65">
        <f t="shared" si="4"/>
        <v>9</v>
      </c>
      <c r="I241" s="64">
        <v>1401</v>
      </c>
      <c r="J241" s="64"/>
      <c r="K241" s="66">
        <v>28830500</v>
      </c>
      <c r="L241" s="61" t="s">
        <v>602</v>
      </c>
    </row>
    <row r="242" spans="1:12" ht="15.75" customHeight="1">
      <c r="A242" s="2"/>
      <c r="B242" s="17">
        <f>SUMIFS('لیست واریزی کل خیرین'!B:B,'لیست واریزی کل خیرین'!D:D,Table1[[#This Row],[نام]],'لیست واریزی کل خیرین'!E:E,Table1[[#This Row],[نام خانوادگی]])</f>
        <v>2</v>
      </c>
      <c r="C242" s="21" t="s">
        <v>333</v>
      </c>
      <c r="D242" s="36" t="s">
        <v>334</v>
      </c>
      <c r="E242" s="19" t="s">
        <v>714</v>
      </c>
      <c r="F242" s="87" t="s">
        <v>637</v>
      </c>
      <c r="G242" s="21" t="s">
        <v>357</v>
      </c>
      <c r="H242" s="22">
        <f t="shared" si="4"/>
        <v>9</v>
      </c>
      <c r="I242" s="21">
        <v>1401</v>
      </c>
      <c r="J242" s="21"/>
      <c r="K242" s="23">
        <v>20000000</v>
      </c>
      <c r="L242" s="24" t="s">
        <v>715</v>
      </c>
    </row>
    <row r="243" spans="1:12" ht="15.75" customHeight="1">
      <c r="A243" s="1" t="s">
        <v>327</v>
      </c>
      <c r="B243" s="17">
        <f>SUMIFS('لیست واریزی کل خیرین'!B:B,'لیست واریزی کل خیرین'!D:D,Table1[[#This Row],[نام]],'لیست واریزی کل خیرین'!E:E,Table1[[#This Row],[نام خانوادگی]])</f>
        <v>4</v>
      </c>
      <c r="C243" s="18" t="s">
        <v>340</v>
      </c>
      <c r="D243" s="18" t="s">
        <v>341</v>
      </c>
      <c r="E243" s="19" t="s">
        <v>617</v>
      </c>
      <c r="F243" s="81">
        <v>6221061233952690</v>
      </c>
      <c r="G243" s="21" t="s">
        <v>357</v>
      </c>
      <c r="H243" s="22">
        <f t="shared" si="4"/>
        <v>9</v>
      </c>
      <c r="I243" s="21">
        <v>1401</v>
      </c>
      <c r="J243" s="21"/>
      <c r="K243" s="23">
        <v>2000000</v>
      </c>
      <c r="L243" s="24"/>
    </row>
    <row r="244" spans="1:12" ht="15.75" customHeight="1">
      <c r="A244" s="2" t="s">
        <v>327</v>
      </c>
      <c r="B244" s="17">
        <f>SUMIFS('لیست واریزی کل خیرین'!B:B,'لیست واریزی کل خیرین'!D:D,Table1[[#This Row],[نام]],'لیست واریزی کل خیرین'!E:E,Table1[[#This Row],[نام خانوادگی]])</f>
        <v>65</v>
      </c>
      <c r="C244" s="18" t="s">
        <v>586</v>
      </c>
      <c r="D244" s="18" t="s">
        <v>587</v>
      </c>
      <c r="E244" s="19" t="s">
        <v>579</v>
      </c>
      <c r="F244" s="81" t="s">
        <v>393</v>
      </c>
      <c r="G244" s="21" t="s">
        <v>357</v>
      </c>
      <c r="H244" s="22">
        <f t="shared" si="4"/>
        <v>9</v>
      </c>
      <c r="I244" s="21">
        <v>1401</v>
      </c>
      <c r="J244" s="21"/>
      <c r="K244" s="23">
        <v>250000000</v>
      </c>
      <c r="L244" s="24"/>
    </row>
    <row r="245" spans="1:12" ht="15.75" customHeight="1">
      <c r="A245" s="2" t="s">
        <v>327</v>
      </c>
      <c r="B245" s="17">
        <f>SUMIFS('لیست واریزی کل خیرین'!B:B,'لیست واریزی کل خیرین'!D:D,Table1[[#This Row],[نام]],'لیست واریزی کل خیرین'!E:E,Table1[[#This Row],[نام خانوادگی]])</f>
        <v>25</v>
      </c>
      <c r="C245" s="18" t="s">
        <v>401</v>
      </c>
      <c r="D245" s="18" t="s">
        <v>402</v>
      </c>
      <c r="E245" s="19" t="s">
        <v>581</v>
      </c>
      <c r="F245" s="81">
        <v>6037997248149000</v>
      </c>
      <c r="G245" s="21" t="s">
        <v>357</v>
      </c>
      <c r="H245" s="22">
        <f t="shared" si="4"/>
        <v>9</v>
      </c>
      <c r="I245" s="21">
        <v>1401</v>
      </c>
      <c r="J245" s="21"/>
      <c r="K245" s="23">
        <v>30000000</v>
      </c>
      <c r="L245" s="24"/>
    </row>
    <row r="246" spans="1:12" ht="15.75" customHeight="1">
      <c r="A246" s="2"/>
      <c r="B246" s="17">
        <f>SUMIFS('لیست واریزی کل خیرین'!B:B,'لیست واریزی کل خیرین'!D:D,Table1[[#This Row],[نام]],'لیست واریزی کل خیرین'!E:E,Table1[[#This Row],[نام خانوادگی]])</f>
        <v>40</v>
      </c>
      <c r="C246" s="63" t="s">
        <v>363</v>
      </c>
      <c r="D246" s="63" t="s">
        <v>402</v>
      </c>
      <c r="E246" s="19" t="s">
        <v>694</v>
      </c>
      <c r="F246" s="81" t="s">
        <v>696</v>
      </c>
      <c r="G246" s="21" t="s">
        <v>357</v>
      </c>
      <c r="H246" s="22">
        <f t="shared" si="4"/>
        <v>9</v>
      </c>
      <c r="I246" s="21">
        <v>1401</v>
      </c>
      <c r="J246" s="21"/>
      <c r="K246" s="23">
        <v>50000000</v>
      </c>
      <c r="L246" s="24"/>
    </row>
    <row r="247" spans="1:12" ht="15.75" customHeight="1">
      <c r="A247" s="2" t="s">
        <v>327</v>
      </c>
      <c r="B247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247" s="18" t="s">
        <v>355</v>
      </c>
      <c r="D247" s="18" t="s">
        <v>356</v>
      </c>
      <c r="E247" s="19" t="s">
        <v>609</v>
      </c>
      <c r="F247" s="81" t="s">
        <v>464</v>
      </c>
      <c r="G247" s="21" t="s">
        <v>357</v>
      </c>
      <c r="H247" s="22">
        <f t="shared" si="4"/>
        <v>9</v>
      </c>
      <c r="I247" s="21">
        <v>1401</v>
      </c>
      <c r="J247" s="21"/>
      <c r="K247" s="23">
        <v>10000000</v>
      </c>
      <c r="L247" s="24"/>
    </row>
    <row r="248" spans="1:12" ht="15.75" customHeight="1">
      <c r="A248" s="2" t="s">
        <v>327</v>
      </c>
      <c r="B248" s="17">
        <f>SUMIFS('لیست واریزی کل خیرین'!B:B,'لیست واریزی کل خیرین'!D:D,Table1[[#This Row],[نام]],'لیست واریزی کل خیرین'!E:E,Table1[[#This Row],[نام خانوادگی]])</f>
        <v>11</v>
      </c>
      <c r="C248" s="25" t="s">
        <v>363</v>
      </c>
      <c r="D248" s="25" t="s">
        <v>364</v>
      </c>
      <c r="E248" s="19" t="s">
        <v>585</v>
      </c>
      <c r="F248" s="81" t="s">
        <v>442</v>
      </c>
      <c r="G248" s="21" t="s">
        <v>357</v>
      </c>
      <c r="H248" s="22">
        <f t="shared" si="4"/>
        <v>9</v>
      </c>
      <c r="I248" s="21">
        <v>1401</v>
      </c>
      <c r="J248" s="21"/>
      <c r="K248" s="23">
        <v>30000000</v>
      </c>
      <c r="L248" s="24"/>
    </row>
    <row r="249" spans="1:12" ht="15.75" customHeight="1">
      <c r="A249" s="2" t="s">
        <v>327</v>
      </c>
      <c r="B249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249" s="18" t="s">
        <v>349</v>
      </c>
      <c r="D249" s="18" t="s">
        <v>350</v>
      </c>
      <c r="E249" s="19" t="s">
        <v>608</v>
      </c>
      <c r="F249" s="81">
        <v>6037991947370220</v>
      </c>
      <c r="G249" s="21" t="s">
        <v>357</v>
      </c>
      <c r="H249" s="22">
        <f t="shared" si="4"/>
        <v>9</v>
      </c>
      <c r="I249" s="21">
        <v>1401</v>
      </c>
      <c r="J249" s="21"/>
      <c r="K249" s="23">
        <v>10000000</v>
      </c>
      <c r="L249" s="24"/>
    </row>
    <row r="250" spans="1:12" ht="15.75" customHeight="1">
      <c r="A250" s="2" t="s">
        <v>327</v>
      </c>
      <c r="B250" s="17">
        <f>SUMIFS('لیست واریزی کل خیرین'!B:B,'لیست واریزی کل خیرین'!D:D,Table1[[#This Row],[نام]],'لیست واریزی کل خیرین'!E:E,Table1[[#This Row],[نام خانوادگی]])</f>
        <v>12</v>
      </c>
      <c r="C250" s="25" t="s">
        <v>366</v>
      </c>
      <c r="D250" s="25" t="s">
        <v>367</v>
      </c>
      <c r="E250" s="19" t="s">
        <v>553</v>
      </c>
      <c r="F250" s="81" t="s">
        <v>492</v>
      </c>
      <c r="G250" s="21" t="s">
        <v>357</v>
      </c>
      <c r="H250" s="22">
        <f t="shared" si="4"/>
        <v>9</v>
      </c>
      <c r="I250" s="21">
        <v>1401</v>
      </c>
      <c r="J250" s="21"/>
      <c r="K250" s="23">
        <v>5000000</v>
      </c>
      <c r="L250" s="24"/>
    </row>
    <row r="251" spans="1:12" ht="15.75" customHeight="1">
      <c r="A251" s="1" t="s">
        <v>327</v>
      </c>
      <c r="B251" s="17">
        <f>SUMIFS('لیست واریزی کل خیرین'!B:B,'لیست واریزی کل خیرین'!D:D,Table1[[#This Row],[نام]],'لیست واریزی کل خیرین'!E:E,Table1[[#This Row],[نام خانوادگی]])</f>
        <v>61</v>
      </c>
      <c r="C251" s="18" t="s">
        <v>571</v>
      </c>
      <c r="D251" s="18" t="s">
        <v>572</v>
      </c>
      <c r="E251" s="19" t="s">
        <v>603</v>
      </c>
      <c r="F251" s="81" t="s">
        <v>573</v>
      </c>
      <c r="G251" s="21" t="s">
        <v>357</v>
      </c>
      <c r="H251" s="22">
        <f t="shared" si="4"/>
        <v>9</v>
      </c>
      <c r="I251" s="21">
        <v>1401</v>
      </c>
      <c r="J251" s="21"/>
      <c r="K251" s="23">
        <v>3000000</v>
      </c>
      <c r="L251" s="77"/>
    </row>
    <row r="252" spans="1:12" ht="15.75" customHeight="1">
      <c r="A252" s="2" t="s">
        <v>327</v>
      </c>
      <c r="B252" s="17">
        <f>SUMIFS('لیست واریزی کل خیرین'!B:B,'لیست واریزی کل خیرین'!D:D,Table1[[#This Row],[نام]],'لیست واریزی کل خیرین'!E:E,Table1[[#This Row],[نام خانوادگی]])</f>
        <v>14</v>
      </c>
      <c r="C252" s="18" t="s">
        <v>71</v>
      </c>
      <c r="D252" s="18" t="s">
        <v>371</v>
      </c>
      <c r="E252" s="19" t="s">
        <v>611</v>
      </c>
      <c r="F252" s="81" t="s">
        <v>570</v>
      </c>
      <c r="G252" s="21" t="s">
        <v>357</v>
      </c>
      <c r="H252" s="22">
        <f t="shared" si="4"/>
        <v>9</v>
      </c>
      <c r="I252" s="21">
        <v>1401</v>
      </c>
      <c r="J252" s="21"/>
      <c r="K252" s="23">
        <v>10000000</v>
      </c>
      <c r="L252" s="24"/>
    </row>
    <row r="253" spans="1:12" ht="15.75" customHeight="1">
      <c r="A253" s="2" t="s">
        <v>327</v>
      </c>
      <c r="B253" s="17">
        <f>SUMIFS('لیست واریزی کل خیرین'!B:B,'لیست واریزی کل خیرین'!D:D,Table1[[#This Row],[نام]],'لیست واریزی کل خیرین'!E:E,Table1[[#This Row],[نام خانوادگی]])</f>
        <v>68</v>
      </c>
      <c r="C253" s="21" t="s">
        <v>76</v>
      </c>
      <c r="D253" s="21" t="s">
        <v>606</v>
      </c>
      <c r="E253" s="19" t="s">
        <v>607</v>
      </c>
      <c r="F253" s="81">
        <v>6104337830455970</v>
      </c>
      <c r="G253" s="21" t="s">
        <v>357</v>
      </c>
      <c r="H253" s="22">
        <f t="shared" si="4"/>
        <v>9</v>
      </c>
      <c r="I253" s="21">
        <v>1401</v>
      </c>
      <c r="J253" s="21"/>
      <c r="K253" s="23">
        <v>10000000</v>
      </c>
      <c r="L253" s="24"/>
    </row>
    <row r="254" spans="1:12" ht="15.75" customHeight="1">
      <c r="A254" s="2" t="s">
        <v>327</v>
      </c>
      <c r="B254" s="205">
        <f>SUMIFS('لیست واریزی کل خیرین'!B:B,'لیست واریزی کل خیرین'!D:D,Table1[[#This Row],[نام]],'لیست واریزی کل خیرین'!E:E,Table1[[#This Row],[نام خانوادگی]])</f>
        <v>73</v>
      </c>
      <c r="C254" s="21" t="s">
        <v>620</v>
      </c>
      <c r="D254" s="21" t="s">
        <v>621</v>
      </c>
      <c r="E254" s="19" t="s">
        <v>622</v>
      </c>
      <c r="F254" s="86" t="s">
        <v>393</v>
      </c>
      <c r="G254" s="21" t="s">
        <v>357</v>
      </c>
      <c r="H254" s="207">
        <f t="shared" si="4"/>
        <v>9</v>
      </c>
      <c r="I254" s="21">
        <v>1401</v>
      </c>
      <c r="J254" s="79"/>
      <c r="K254" s="76">
        <v>240000000</v>
      </c>
      <c r="L254" s="262" t="s">
        <v>623</v>
      </c>
    </row>
    <row r="255" spans="1:12" ht="15.75" customHeight="1">
      <c r="A255" s="2" t="s">
        <v>327</v>
      </c>
      <c r="B255" s="73">
        <f>SUMIFS('لیست واریزی کل خیرین'!B:B,'لیست واریزی کل خیرین'!D:D,Table1[[#This Row],[نام]],'لیست واریزی کل خیرین'!E:E,Table1[[#This Row],[نام خانوادگی]])</f>
        <v>73</v>
      </c>
      <c r="C255" s="21" t="s">
        <v>620</v>
      </c>
      <c r="D255" s="21" t="s">
        <v>621</v>
      </c>
      <c r="E255" s="19" t="s">
        <v>622</v>
      </c>
      <c r="F255" s="81" t="s">
        <v>393</v>
      </c>
      <c r="G255" s="21" t="s">
        <v>357</v>
      </c>
      <c r="H255" s="75">
        <f t="shared" si="4"/>
        <v>9</v>
      </c>
      <c r="I255" s="21">
        <v>1401</v>
      </c>
      <c r="J255" s="74"/>
      <c r="K255" s="76">
        <v>180000000</v>
      </c>
      <c r="L255" s="262" t="s">
        <v>623</v>
      </c>
    </row>
    <row r="256" spans="1:12" ht="15.75" customHeight="1">
      <c r="A256" s="2" t="s">
        <v>327</v>
      </c>
      <c r="B256" s="68">
        <f>SUMIFS('لیست واریزی کل خیرین'!B:B,'لیست واریزی کل خیرین'!D:D,Table1[[#This Row],[نام]],'لیست واریزی کل خیرین'!E:E,Table1[[#This Row],[نام خانوادگی]])</f>
        <v>10</v>
      </c>
      <c r="C256" s="18" t="s">
        <v>358</v>
      </c>
      <c r="D256" s="18" t="s">
        <v>359</v>
      </c>
      <c r="E256" s="19" t="s">
        <v>610</v>
      </c>
      <c r="F256" s="86" t="s">
        <v>562</v>
      </c>
      <c r="G256" s="21" t="s">
        <v>357</v>
      </c>
      <c r="H256" s="70">
        <f t="shared" si="4"/>
        <v>9</v>
      </c>
      <c r="I256" s="21">
        <v>1401</v>
      </c>
      <c r="J256" s="69"/>
      <c r="K256" s="23">
        <v>100000000</v>
      </c>
      <c r="L256" s="71"/>
    </row>
    <row r="257" spans="1:27" ht="15.75" customHeight="1">
      <c r="A257" s="2" t="s">
        <v>327</v>
      </c>
      <c r="B257" s="17">
        <f>SUMIFS('لیست واریزی کل خیرین'!B:B,'لیست واریزی کل خیرین'!D:D,Table1[[#This Row],[نام]],'لیست واریزی کل خیرین'!E:E,Table1[[#This Row],[نام خانوادگی]])</f>
        <v>69</v>
      </c>
      <c r="C257" s="21" t="s">
        <v>612</v>
      </c>
      <c r="D257" s="21" t="s">
        <v>613</v>
      </c>
      <c r="E257" s="19" t="s">
        <v>611</v>
      </c>
      <c r="F257" s="81">
        <v>6104337355366280</v>
      </c>
      <c r="G257" s="21" t="s">
        <v>357</v>
      </c>
      <c r="H257" s="22">
        <f t="shared" si="4"/>
        <v>9</v>
      </c>
      <c r="I257" s="21">
        <v>1401</v>
      </c>
      <c r="J257" s="21"/>
      <c r="K257" s="23">
        <v>5000000</v>
      </c>
      <c r="L257" s="78" t="s">
        <v>1092</v>
      </c>
    </row>
    <row r="258" spans="1:27" ht="15.75" customHeight="1">
      <c r="A258" s="2" t="s">
        <v>327</v>
      </c>
      <c r="B258" s="17">
        <f>SUMIFS('لیست واریزی کل خیرین'!B:B,'لیست واریزی کل خیرین'!D:D,Table1[[#This Row],[نام]],'لیست واریزی کل خیرین'!E:E,Table1[[#This Row],[نام خانوادگی]])</f>
        <v>70</v>
      </c>
      <c r="C258" s="21" t="s">
        <v>72</v>
      </c>
      <c r="D258" s="21" t="s">
        <v>615</v>
      </c>
      <c r="E258" s="19" t="s">
        <v>611</v>
      </c>
      <c r="F258" s="81">
        <v>6104337549982270</v>
      </c>
      <c r="G258" s="21" t="s">
        <v>357</v>
      </c>
      <c r="H258" s="22">
        <f t="shared" si="4"/>
        <v>9</v>
      </c>
      <c r="I258" s="21">
        <v>1401</v>
      </c>
      <c r="J258" s="21"/>
      <c r="K258" s="23">
        <v>10000000</v>
      </c>
      <c r="L258" s="78"/>
    </row>
    <row r="259" spans="1:27" ht="15.75" customHeight="1">
      <c r="A259" s="2" t="s">
        <v>327</v>
      </c>
      <c r="B259" s="17">
        <f>SUMIFS('لیست واریزی کل خیرین'!B:B,'لیست واریزی کل خیرین'!D:D,Table1[[#This Row],[نام]],'لیست واریزی کل خیرین'!E:E,Table1[[#This Row],[نام خانوادگی]])</f>
        <v>19</v>
      </c>
      <c r="C259" s="18" t="s">
        <v>363</v>
      </c>
      <c r="D259" s="18" t="s">
        <v>380</v>
      </c>
      <c r="E259" s="19" t="s">
        <v>591</v>
      </c>
      <c r="F259" s="81" t="s">
        <v>393</v>
      </c>
      <c r="G259" s="21" t="s">
        <v>357</v>
      </c>
      <c r="H259" s="22">
        <f t="shared" si="4"/>
        <v>9</v>
      </c>
      <c r="I259" s="21">
        <v>1401</v>
      </c>
      <c r="J259" s="21"/>
      <c r="K259" s="23">
        <v>50000000</v>
      </c>
      <c r="L259" s="78"/>
    </row>
    <row r="260" spans="1:27" ht="15.75" customHeight="1">
      <c r="A260" s="67" t="s">
        <v>327</v>
      </c>
      <c r="B260" s="17">
        <f>SUMIFS('لیست واریزی کل خیرین'!B:B,'لیست واریزی کل خیرین'!D:D,Table1[[#This Row],[نام]],'لیست واریزی کل خیرین'!E:E,Table1[[#This Row],[نام خانوادگی]])</f>
        <v>64</v>
      </c>
      <c r="C260" s="69" t="s">
        <v>389</v>
      </c>
      <c r="D260" s="69" t="s">
        <v>582</v>
      </c>
      <c r="E260" s="19" t="s">
        <v>583</v>
      </c>
      <c r="F260" s="86" t="s">
        <v>584</v>
      </c>
      <c r="G260" s="69" t="s">
        <v>357</v>
      </c>
      <c r="H260" s="22">
        <f t="shared" si="4"/>
        <v>9</v>
      </c>
      <c r="I260" s="21">
        <v>1401</v>
      </c>
      <c r="J260" s="21"/>
      <c r="K260" s="23">
        <v>5000000</v>
      </c>
      <c r="L260" s="78"/>
    </row>
    <row r="261" spans="1:27" ht="15.75" customHeight="1">
      <c r="A261" s="67" t="s">
        <v>327</v>
      </c>
      <c r="B261" s="17">
        <f>SUMIFS('لیست واریزی کل خیرین'!B:B,'لیست واریزی کل خیرین'!D:D,Table1[[#This Row],[نام]],'لیست واریزی کل خیرین'!E:E,Table1[[#This Row],[نام خانوادگی]])</f>
        <v>13</v>
      </c>
      <c r="C261" s="25" t="s">
        <v>355</v>
      </c>
      <c r="D261" s="25" t="s">
        <v>369</v>
      </c>
      <c r="E261" s="19" t="s">
        <v>553</v>
      </c>
      <c r="F261" s="81" t="s">
        <v>554</v>
      </c>
      <c r="G261" s="69" t="s">
        <v>357</v>
      </c>
      <c r="H261" s="22">
        <f t="shared" ref="H261:H329" si="5">IF(G261="","",VLOOKUP(G261,mah,2,0))</f>
        <v>9</v>
      </c>
      <c r="I261" s="21">
        <v>1401</v>
      </c>
      <c r="J261" s="26"/>
      <c r="K261" s="23">
        <v>2500000</v>
      </c>
      <c r="L261" s="261" t="s">
        <v>555</v>
      </c>
    </row>
    <row r="262" spans="1:27" ht="23.25" customHeight="1">
      <c r="A262" s="67" t="s">
        <v>327</v>
      </c>
      <c r="B262" s="62">
        <f>SUMIFS('لیست واریزی کل خیرین'!B:B,'لیست واریزی کل خیرین'!D:D,Table1[[#This Row],[نام]],'لیست واریزی کل خیرین'!E:E,Table1[[#This Row],[نام خانوادگی]])</f>
        <v>72</v>
      </c>
      <c r="C262" s="21" t="s">
        <v>457</v>
      </c>
      <c r="D262" s="21" t="s">
        <v>619</v>
      </c>
      <c r="E262" s="19" t="s">
        <v>601</v>
      </c>
      <c r="F262" s="83">
        <v>6037691560457630</v>
      </c>
      <c r="G262" s="69" t="s">
        <v>357</v>
      </c>
      <c r="H262" s="65">
        <f t="shared" si="5"/>
        <v>9</v>
      </c>
      <c r="I262" s="21">
        <v>1401</v>
      </c>
      <c r="J262" s="64"/>
      <c r="K262" s="23">
        <v>10000000</v>
      </c>
      <c r="L262" s="264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 spans="1:27" ht="15.75" customHeight="1">
      <c r="A263" s="67" t="s">
        <v>327</v>
      </c>
      <c r="B263" s="17">
        <f>SUMIFS('لیست واریزی کل خیرین'!B:B,'لیست واریزی کل خیرین'!D:D,Table1[[#This Row],[نام]],'لیست واریزی کل خیرین'!E:E,Table1[[#This Row],[نام خانوادگی]])</f>
        <v>35</v>
      </c>
      <c r="C263" s="18" t="s">
        <v>465</v>
      </c>
      <c r="D263" s="18" t="s">
        <v>466</v>
      </c>
      <c r="E263" s="19" t="s">
        <v>611</v>
      </c>
      <c r="F263" s="81" t="s">
        <v>467</v>
      </c>
      <c r="G263" s="69" t="s">
        <v>357</v>
      </c>
      <c r="H263" s="22">
        <f t="shared" si="5"/>
        <v>9</v>
      </c>
      <c r="I263" s="21">
        <v>1401</v>
      </c>
      <c r="J263" s="21"/>
      <c r="K263" s="23">
        <v>2000000</v>
      </c>
      <c r="L263" s="78"/>
    </row>
    <row r="264" spans="1:27" ht="15.75" customHeight="1">
      <c r="A264" s="67" t="s">
        <v>327</v>
      </c>
      <c r="B264" s="17">
        <f>SUMIFS('لیست واریزی کل خیرین'!B:B,'لیست واریزی کل خیرین'!D:D,Table1[[#This Row],[نام]],'لیست واریزی کل خیرین'!E:E,Table1[[#This Row],[نام خانوادگی]])</f>
        <v>5</v>
      </c>
      <c r="C264" s="18" t="s">
        <v>344</v>
      </c>
      <c r="D264" s="18" t="s">
        <v>345</v>
      </c>
      <c r="E264" s="19" t="s">
        <v>610</v>
      </c>
      <c r="F264" s="81">
        <v>5859831202663190</v>
      </c>
      <c r="G264" s="69" t="s">
        <v>357</v>
      </c>
      <c r="H264" s="22">
        <f t="shared" si="5"/>
        <v>9</v>
      </c>
      <c r="I264" s="21">
        <v>1401</v>
      </c>
      <c r="J264" s="21"/>
      <c r="K264" s="23">
        <v>5000000</v>
      </c>
      <c r="L264" s="78"/>
    </row>
    <row r="265" spans="1:27" ht="15.75" customHeight="1">
      <c r="A265" s="67"/>
      <c r="B265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265" s="21" t="s">
        <v>366</v>
      </c>
      <c r="D265" s="21" t="s">
        <v>385</v>
      </c>
      <c r="E265" s="210" t="s">
        <v>1060</v>
      </c>
      <c r="F265" s="206" t="s">
        <v>488</v>
      </c>
      <c r="G265" s="79" t="s">
        <v>357</v>
      </c>
      <c r="H265" s="75">
        <f t="shared" si="5"/>
        <v>9</v>
      </c>
      <c r="I265" s="21">
        <v>1401</v>
      </c>
      <c r="J265" s="74"/>
      <c r="K265" s="76">
        <v>5000000</v>
      </c>
      <c r="L265" s="78" t="s">
        <v>1061</v>
      </c>
    </row>
    <row r="266" spans="1:27" ht="15.75" customHeight="1">
      <c r="A266" s="67"/>
      <c r="B266" s="17">
        <f>SUMIFS('لیست واریزی کل خیرین'!B:B,'لیست واریزی کل خیرین'!D:D,Table1[[#This Row],[نام]],'لیست واریزی کل خیرین'!E:E,Table1[[#This Row],[نام خانوادگی]])</f>
        <v>23</v>
      </c>
      <c r="C266" s="21" t="s">
        <v>457</v>
      </c>
      <c r="D266" s="21" t="s">
        <v>390</v>
      </c>
      <c r="E266" s="19" t="s">
        <v>671</v>
      </c>
      <c r="F266" s="81" t="s">
        <v>556</v>
      </c>
      <c r="G266" s="79" t="s">
        <v>357</v>
      </c>
      <c r="H266" s="22">
        <f t="shared" si="5"/>
        <v>9</v>
      </c>
      <c r="I266" s="21">
        <v>1401</v>
      </c>
      <c r="J266" s="21"/>
      <c r="K266" s="23">
        <v>10000000</v>
      </c>
      <c r="L266" s="78"/>
    </row>
    <row r="267" spans="1:27" ht="15.75" customHeight="1">
      <c r="A267" s="67"/>
      <c r="B267" s="68">
        <f>SUMIFS('لیست واریزی کل خیرین'!B:B,'لیست واریزی کل خیرین'!D:D,Table1[[#This Row],[نام]],'لیست واریزی کل خیرین'!E:E,Table1[[#This Row],[نام خانوادگی]])</f>
        <v>27</v>
      </c>
      <c r="C267" s="21" t="s">
        <v>412</v>
      </c>
      <c r="D267" s="21" t="s">
        <v>413</v>
      </c>
      <c r="E267" s="19" t="s">
        <v>656</v>
      </c>
      <c r="F267" s="86" t="s">
        <v>658</v>
      </c>
      <c r="G267" s="69" t="s">
        <v>357</v>
      </c>
      <c r="H267" s="22">
        <f t="shared" si="5"/>
        <v>9</v>
      </c>
      <c r="I267" s="21">
        <v>1401</v>
      </c>
      <c r="J267" s="79"/>
      <c r="K267" s="208">
        <v>5000000</v>
      </c>
      <c r="L267" s="94" t="s">
        <v>657</v>
      </c>
    </row>
    <row r="268" spans="1:27" ht="15.75" customHeight="1">
      <c r="A268" s="197" t="s">
        <v>327</v>
      </c>
      <c r="B268" s="17">
        <f>SUMIFS('لیست واریزی کل خیرین'!B:B,'لیست واریزی کل خیرین'!D:D,Table1[[#This Row],[نام]],'لیست واریزی کل خیرین'!E:E,Table1[[#This Row],[نام خانوادگی]])</f>
        <v>60</v>
      </c>
      <c r="C268" s="21" t="s">
        <v>519</v>
      </c>
      <c r="D268" s="21" t="s">
        <v>567</v>
      </c>
      <c r="E268" s="19" t="s">
        <v>603</v>
      </c>
      <c r="F268" s="81">
        <v>6037997582756420</v>
      </c>
      <c r="G268" s="69" t="s">
        <v>357</v>
      </c>
      <c r="H268" s="22">
        <f t="shared" si="5"/>
        <v>9</v>
      </c>
      <c r="I268" s="21">
        <v>1401</v>
      </c>
      <c r="J268" s="21"/>
      <c r="K268" s="23">
        <v>10000000</v>
      </c>
      <c r="L268" s="78"/>
    </row>
    <row r="269" spans="1:27" ht="15.75" customHeight="1">
      <c r="A269" s="67"/>
      <c r="B269" s="73">
        <f>SUMIFS('لیست واریزی کل خیرین'!B:B,'لیست واریزی کل خیرین'!D:D,Table1[[#This Row],[نام]],'لیست واریزی کل خیرین'!E:E,Table1[[#This Row],[نام خانوادگی]])</f>
        <v>15</v>
      </c>
      <c r="C269" s="21" t="s">
        <v>372</v>
      </c>
      <c r="D269" s="21" t="s">
        <v>373</v>
      </c>
      <c r="E269" s="19" t="s">
        <v>1085</v>
      </c>
      <c r="F269" s="87" t="s">
        <v>1089</v>
      </c>
      <c r="G269" s="79" t="s">
        <v>357</v>
      </c>
      <c r="H269" s="75">
        <f t="shared" si="5"/>
        <v>9</v>
      </c>
      <c r="I269" s="74">
        <v>1401</v>
      </c>
      <c r="J269" s="74"/>
      <c r="K269" s="76">
        <v>10000000</v>
      </c>
      <c r="L269" s="78" t="s">
        <v>1100</v>
      </c>
    </row>
    <row r="270" spans="1:27" ht="37.5" customHeight="1">
      <c r="A270" s="67"/>
      <c r="B270" s="17">
        <f>SUMIFS('لیست واریزی کل خیرین'!B:B,'لیست واریزی کل خیرین'!D:D,Table1[[#This Row],[نام]],'لیست واریزی کل خیرین'!E:E,Table1[[#This Row],[نام خانوادگی]])</f>
        <v>16</v>
      </c>
      <c r="C270" s="25" t="s">
        <v>366</v>
      </c>
      <c r="D270" s="25" t="s">
        <v>374</v>
      </c>
      <c r="E270" s="19" t="s">
        <v>1090</v>
      </c>
      <c r="F270" s="81">
        <v>6037998112152490</v>
      </c>
      <c r="G270" s="21" t="s">
        <v>362</v>
      </c>
      <c r="H270" s="22">
        <f t="shared" si="5"/>
        <v>10</v>
      </c>
      <c r="I270" s="21">
        <v>1401</v>
      </c>
      <c r="J270" s="21"/>
      <c r="K270" s="23">
        <v>3000000</v>
      </c>
      <c r="L270" s="267" t="s">
        <v>1274</v>
      </c>
      <c r="M270" s="268"/>
    </row>
    <row r="271" spans="1:27" ht="15.75" customHeight="1">
      <c r="A271" s="67"/>
      <c r="B271" s="73">
        <f>SUMIFS('لیست واریزی کل خیرین'!B:B,'لیست واریزی کل خیرین'!D:D,Table1[[#This Row],[نام]],'لیست واریزی کل خیرین'!E:E,Table1[[#This Row],[نام خانوادگی]])</f>
        <v>48</v>
      </c>
      <c r="C271" s="199" t="s">
        <v>363</v>
      </c>
      <c r="D271" s="199" t="s">
        <v>415</v>
      </c>
      <c r="E271" s="19" t="s">
        <v>636</v>
      </c>
      <c r="F271" s="87" t="s">
        <v>637</v>
      </c>
      <c r="G271" s="79" t="s">
        <v>362</v>
      </c>
      <c r="H271" s="22">
        <f t="shared" si="5"/>
        <v>10</v>
      </c>
      <c r="I271" s="21">
        <v>1401</v>
      </c>
      <c r="J271" s="74"/>
      <c r="K271" s="76">
        <v>40000000</v>
      </c>
      <c r="L271" s="209"/>
    </row>
    <row r="272" spans="1:27" ht="15.75" customHeight="1">
      <c r="A272" s="67"/>
      <c r="B272" s="73">
        <f>SUMIFS('لیست واریزی کل خیرین'!B:B,'لیست واریزی کل خیرین'!D:D,Table1[[#This Row],[نام]],'لیست واریزی کل خیرین'!E:E,Table1[[#This Row],[نام خانوادگی]])</f>
        <v>34</v>
      </c>
      <c r="C272" s="21" t="s">
        <v>457</v>
      </c>
      <c r="D272" s="21" t="s">
        <v>458</v>
      </c>
      <c r="E272" s="19" t="s">
        <v>638</v>
      </c>
      <c r="F272" s="81" t="s">
        <v>639</v>
      </c>
      <c r="G272" s="79" t="s">
        <v>362</v>
      </c>
      <c r="H272" s="22">
        <f t="shared" si="5"/>
        <v>10</v>
      </c>
      <c r="I272" s="21">
        <v>1401</v>
      </c>
      <c r="J272" s="74"/>
      <c r="K272" s="76">
        <v>5000000</v>
      </c>
      <c r="L272" s="209"/>
    </row>
    <row r="273" spans="1:12" ht="15.75" customHeight="1">
      <c r="A273" s="67"/>
      <c r="B273" s="17">
        <f>SUMIFS('لیست واریزی کل خیرین'!B:B,'لیست واریزی کل خیرین'!D:D,Table1[[#This Row],[نام]],'لیست واریزی کل خیرین'!E:E,Table1[[#This Row],[نام خانوادگی]])</f>
        <v>62</v>
      </c>
      <c r="C273" s="21" t="s">
        <v>616</v>
      </c>
      <c r="D273" s="21" t="s">
        <v>574</v>
      </c>
      <c r="E273" s="19" t="s">
        <v>675</v>
      </c>
      <c r="F273" s="81" t="s">
        <v>575</v>
      </c>
      <c r="G273" s="79" t="s">
        <v>362</v>
      </c>
      <c r="H273" s="22">
        <f t="shared" si="5"/>
        <v>10</v>
      </c>
      <c r="I273" s="21">
        <v>1401</v>
      </c>
      <c r="J273" s="21"/>
      <c r="K273" s="23">
        <v>10000000</v>
      </c>
      <c r="L273" s="78"/>
    </row>
    <row r="274" spans="1:12" ht="15.75" customHeight="1">
      <c r="A274" s="67"/>
      <c r="B274" s="17">
        <f>SUMIFS('لیست واریزی کل خیرین'!B:B,'لیست واریزی کل خیرین'!D:D,Table1[[#This Row],[نام]],'لیست واریزی کل خیرین'!E:E,Table1[[#This Row],[نام خانوادگی]])</f>
        <v>22</v>
      </c>
      <c r="C274" s="21" t="s">
        <v>387</v>
      </c>
      <c r="D274" s="21" t="s">
        <v>388</v>
      </c>
      <c r="E274" s="19" t="s">
        <v>725</v>
      </c>
      <c r="F274" s="81" t="s">
        <v>480</v>
      </c>
      <c r="G274" s="69" t="s">
        <v>362</v>
      </c>
      <c r="H274" s="22">
        <f t="shared" si="5"/>
        <v>10</v>
      </c>
      <c r="I274" s="21">
        <v>1401</v>
      </c>
      <c r="J274" s="21"/>
      <c r="K274" s="23">
        <v>2000000</v>
      </c>
      <c r="L274" s="78" t="s">
        <v>726</v>
      </c>
    </row>
    <row r="275" spans="1:12" ht="15.75" customHeight="1">
      <c r="A275" s="67"/>
      <c r="B275" s="73">
        <f>SUMIFS('لیست واریزی کل خیرین'!B:B,'لیست واریزی کل خیرین'!D:D,Table1[[#This Row],[نام]],'لیست واریزی کل خیرین'!E:E,Table1[[#This Row],[نام خانوادگی]])</f>
        <v>75</v>
      </c>
      <c r="C275" s="21" t="s">
        <v>645</v>
      </c>
      <c r="D275" s="21" t="s">
        <v>646</v>
      </c>
      <c r="E275" s="19" t="s">
        <v>644</v>
      </c>
      <c r="F275" s="86" t="s">
        <v>647</v>
      </c>
      <c r="G275" s="79" t="s">
        <v>362</v>
      </c>
      <c r="H275" s="22">
        <f t="shared" si="5"/>
        <v>10</v>
      </c>
      <c r="I275" s="21">
        <v>1401</v>
      </c>
      <c r="J275" s="74"/>
      <c r="K275" s="76">
        <v>100000000</v>
      </c>
      <c r="L275" s="200"/>
    </row>
    <row r="276" spans="1:12" ht="15.75" customHeight="1">
      <c r="A276" s="67"/>
      <c r="B276" s="73">
        <f>SUMIFS('لیست واریزی کل خیرین'!B:B,'لیست واریزی کل خیرین'!D:D,Table1[[#This Row],[نام]],'لیست واریزی کل خیرین'!E:E,Table1[[#This Row],[نام خانوادگی]])</f>
        <v>8</v>
      </c>
      <c r="C276" s="21" t="s">
        <v>352</v>
      </c>
      <c r="D276" s="21" t="s">
        <v>353</v>
      </c>
      <c r="E276" s="19" t="s">
        <v>654</v>
      </c>
      <c r="F276" s="86" t="s">
        <v>468</v>
      </c>
      <c r="G276" s="79" t="s">
        <v>362</v>
      </c>
      <c r="H276" s="22">
        <f t="shared" si="5"/>
        <v>10</v>
      </c>
      <c r="I276" s="21">
        <v>1401</v>
      </c>
      <c r="J276" s="74"/>
      <c r="K276" s="76">
        <v>20000000</v>
      </c>
      <c r="L276" s="91" t="s">
        <v>655</v>
      </c>
    </row>
    <row r="277" spans="1:12" ht="15.75" customHeight="1">
      <c r="A277" s="67"/>
      <c r="B277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277" s="21" t="s">
        <v>352</v>
      </c>
      <c r="D277" s="21" t="s">
        <v>353</v>
      </c>
      <c r="E277" s="19" t="s">
        <v>698</v>
      </c>
      <c r="F277" s="81" t="s">
        <v>468</v>
      </c>
      <c r="G277" s="69" t="s">
        <v>362</v>
      </c>
      <c r="H277" s="22">
        <f t="shared" si="5"/>
        <v>10</v>
      </c>
      <c r="I277" s="21">
        <v>1401</v>
      </c>
      <c r="J277" s="21"/>
      <c r="K277" s="23">
        <v>5000000</v>
      </c>
      <c r="L277" s="91" t="s">
        <v>699</v>
      </c>
    </row>
    <row r="278" spans="1:12" ht="15.75" customHeight="1">
      <c r="A278" s="67"/>
      <c r="B278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278" s="18" t="s">
        <v>391</v>
      </c>
      <c r="D278" s="18" t="s">
        <v>392</v>
      </c>
      <c r="E278" s="19" t="s">
        <v>676</v>
      </c>
      <c r="F278" s="81" t="s">
        <v>393</v>
      </c>
      <c r="G278" s="69" t="s">
        <v>362</v>
      </c>
      <c r="H278" s="22">
        <f t="shared" si="5"/>
        <v>10</v>
      </c>
      <c r="I278" s="21">
        <v>1401</v>
      </c>
      <c r="J278" s="21"/>
      <c r="K278" s="23">
        <v>24065060</v>
      </c>
      <c r="L278" s="91"/>
    </row>
    <row r="279" spans="1:12" ht="15.75" customHeight="1">
      <c r="A279" s="67"/>
      <c r="B279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279" s="21" t="s">
        <v>366</v>
      </c>
      <c r="D279" s="21" t="s">
        <v>382</v>
      </c>
      <c r="E279" s="19" t="s">
        <v>689</v>
      </c>
      <c r="F279" s="86" t="s">
        <v>536</v>
      </c>
      <c r="G279" s="79" t="s">
        <v>362</v>
      </c>
      <c r="H279" s="22">
        <f t="shared" si="5"/>
        <v>10</v>
      </c>
      <c r="I279" s="21">
        <v>1401</v>
      </c>
      <c r="J279" s="21"/>
      <c r="K279" s="23">
        <v>20000000</v>
      </c>
      <c r="L279" s="91"/>
    </row>
    <row r="280" spans="1:12" ht="15.75" customHeight="1">
      <c r="A280" s="67"/>
      <c r="B280" s="17">
        <f>SUMIFS('لیست واریزی کل خیرین'!B:B,'لیست واریزی کل خیرین'!D:D,Table1[[#This Row],[نام]],'لیست واریزی کل خیرین'!E:E,Table1[[#This Row],[نام خانوادگی]])</f>
        <v>2</v>
      </c>
      <c r="C280" s="21" t="s">
        <v>333</v>
      </c>
      <c r="D280" s="36" t="s">
        <v>334</v>
      </c>
      <c r="E280" s="19" t="s">
        <v>665</v>
      </c>
      <c r="F280" s="87" t="s">
        <v>637</v>
      </c>
      <c r="G280" s="79" t="s">
        <v>362</v>
      </c>
      <c r="H280" s="22">
        <f t="shared" si="5"/>
        <v>10</v>
      </c>
      <c r="I280" s="21">
        <v>1401</v>
      </c>
      <c r="J280" s="21"/>
      <c r="K280" s="23">
        <v>20000000</v>
      </c>
      <c r="L280" s="91"/>
    </row>
    <row r="281" spans="1:12" ht="15.75" customHeight="1">
      <c r="A281" s="67"/>
      <c r="B281" s="17">
        <f>SUMIFS('لیست واریزی کل خیرین'!B:B,'لیست واریزی کل خیرین'!D:D,Table1[[#This Row],[نام]],'لیست واریزی کل خیرین'!E:E,Table1[[#This Row],[نام خانوادگی]])</f>
        <v>4</v>
      </c>
      <c r="C281" s="21" t="s">
        <v>340</v>
      </c>
      <c r="D281" s="21" t="s">
        <v>341</v>
      </c>
      <c r="E281" s="19" t="s">
        <v>671</v>
      </c>
      <c r="F281" s="81" t="s">
        <v>674</v>
      </c>
      <c r="G281" s="79" t="s">
        <v>362</v>
      </c>
      <c r="H281" s="22">
        <f t="shared" si="5"/>
        <v>10</v>
      </c>
      <c r="I281" s="21">
        <v>1401</v>
      </c>
      <c r="J281" s="21"/>
      <c r="K281" s="23">
        <v>2000000</v>
      </c>
      <c r="L281" s="91"/>
    </row>
    <row r="282" spans="1:12" ht="15.75" customHeight="1">
      <c r="A282" s="67"/>
      <c r="B282" s="73">
        <f>SUMIFS('لیست واریزی کل خیرین'!B:B,'لیست واریزی کل خیرین'!D:D,Table1[[#This Row],[نام]],'لیست واریزی کل خیرین'!E:E,Table1[[#This Row],[نام خانوادگی]])</f>
        <v>25</v>
      </c>
      <c r="C282" s="21" t="s">
        <v>401</v>
      </c>
      <c r="D282" s="21" t="s">
        <v>402</v>
      </c>
      <c r="E282" s="19" t="s">
        <v>638</v>
      </c>
      <c r="F282" s="81" t="s">
        <v>438</v>
      </c>
      <c r="G282" s="79" t="s">
        <v>362</v>
      </c>
      <c r="H282" s="22">
        <f t="shared" si="5"/>
        <v>10</v>
      </c>
      <c r="I282" s="21">
        <v>1401</v>
      </c>
      <c r="J282" s="74"/>
      <c r="K282" s="76">
        <v>30000000</v>
      </c>
      <c r="L282" s="200"/>
    </row>
    <row r="283" spans="1:12" ht="15.75" customHeight="1">
      <c r="A283" s="67"/>
      <c r="B283" s="17">
        <f>SUMIFS('لیست واریزی کل خیرین'!B:B,'لیست واریزی کل خیرین'!D:D,Table1[[#This Row],[نام]],'لیست واریزی کل خیرین'!E:E,Table1[[#This Row],[نام خانوادگی]])</f>
        <v>40</v>
      </c>
      <c r="C283" s="63" t="s">
        <v>363</v>
      </c>
      <c r="D283" s="63" t="s">
        <v>402</v>
      </c>
      <c r="E283" s="19" t="s">
        <v>727</v>
      </c>
      <c r="F283" s="87" t="s">
        <v>637</v>
      </c>
      <c r="G283" s="69" t="s">
        <v>362</v>
      </c>
      <c r="H283" s="22">
        <f t="shared" si="5"/>
        <v>10</v>
      </c>
      <c r="I283" s="21">
        <v>1401</v>
      </c>
      <c r="J283" s="21"/>
      <c r="K283" s="23">
        <v>50000000</v>
      </c>
      <c r="L283" s="91"/>
    </row>
    <row r="284" spans="1:12" ht="15.75" customHeight="1">
      <c r="A284" s="67"/>
      <c r="B284" s="17">
        <f>SUMIFS('لیست واریزی کل خیرین'!B:B,'لیست واریزی کل خیرین'!D:D,Table1[[#This Row],[نام]],'لیست واریزی کل خیرین'!E:E,Table1[[#This Row],[نام خانوادگی]])</f>
        <v>77</v>
      </c>
      <c r="C284" s="21" t="s">
        <v>666</v>
      </c>
      <c r="D284" s="21" t="s">
        <v>667</v>
      </c>
      <c r="E284" s="19" t="s">
        <v>663</v>
      </c>
      <c r="F284" s="81" t="s">
        <v>668</v>
      </c>
      <c r="G284" s="79" t="s">
        <v>362</v>
      </c>
      <c r="H284" s="22">
        <f t="shared" si="5"/>
        <v>10</v>
      </c>
      <c r="I284" s="21">
        <v>1401</v>
      </c>
      <c r="J284" s="21"/>
      <c r="K284" s="23">
        <v>100000000</v>
      </c>
      <c r="L284" s="91"/>
    </row>
    <row r="285" spans="1:12" ht="15.75" customHeight="1">
      <c r="A285" s="67"/>
      <c r="B285" s="17">
        <f>SUMIFS('لیست واریزی کل خیرین'!B:B,'لیست واریزی کل خیرین'!D:D,Table1[[#This Row],[نام]],'لیست واریزی کل خیرین'!E:E,Table1[[#This Row],[نام خانوادگی]])</f>
        <v>24</v>
      </c>
      <c r="C285" s="21" t="s">
        <v>398</v>
      </c>
      <c r="D285" s="21" t="s">
        <v>399</v>
      </c>
      <c r="E285" s="19" t="s">
        <v>677</v>
      </c>
      <c r="F285" s="81" t="s">
        <v>558</v>
      </c>
      <c r="G285" s="79" t="s">
        <v>362</v>
      </c>
      <c r="H285" s="22">
        <f t="shared" si="5"/>
        <v>10</v>
      </c>
      <c r="I285" s="21">
        <v>1401</v>
      </c>
      <c r="J285" s="21"/>
      <c r="K285" s="23">
        <v>5000000</v>
      </c>
      <c r="L285" s="91"/>
    </row>
    <row r="286" spans="1:12" ht="15.75" customHeight="1">
      <c r="A286" s="67"/>
      <c r="B286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286" s="21" t="s">
        <v>355</v>
      </c>
      <c r="D286" s="21" t="s">
        <v>356</v>
      </c>
      <c r="E286" s="19" t="s">
        <v>670</v>
      </c>
      <c r="F286" s="81" t="s">
        <v>464</v>
      </c>
      <c r="G286" s="79" t="s">
        <v>362</v>
      </c>
      <c r="H286" s="22">
        <f t="shared" si="5"/>
        <v>10</v>
      </c>
      <c r="I286" s="21">
        <v>1401</v>
      </c>
      <c r="J286" s="21"/>
      <c r="K286" s="23">
        <v>12000000</v>
      </c>
      <c r="L286" s="91"/>
    </row>
    <row r="287" spans="1:12" ht="15.75" customHeight="1">
      <c r="A287" s="67"/>
      <c r="B287" s="73">
        <f>SUMIFS('لیست واریزی کل خیرین'!B:B,'لیست واریزی کل خیرین'!D:D,Table1[[#This Row],[نام]],'لیست واریزی کل خیرین'!E:E,Table1[[#This Row],[نام خانوادگی]])</f>
        <v>11</v>
      </c>
      <c r="C287" s="21" t="s">
        <v>363</v>
      </c>
      <c r="D287" s="21" t="s">
        <v>364</v>
      </c>
      <c r="E287" s="19" t="s">
        <v>648</v>
      </c>
      <c r="F287" s="81" t="s">
        <v>442</v>
      </c>
      <c r="G287" s="79" t="s">
        <v>362</v>
      </c>
      <c r="H287" s="22">
        <f t="shared" si="5"/>
        <v>10</v>
      </c>
      <c r="I287" s="21">
        <v>1401</v>
      </c>
      <c r="J287" s="74"/>
      <c r="K287" s="76">
        <v>30000000</v>
      </c>
      <c r="L287" s="200"/>
    </row>
    <row r="288" spans="1:12" ht="15.75" customHeight="1">
      <c r="A288" s="67"/>
      <c r="B288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288" s="21" t="s">
        <v>349</v>
      </c>
      <c r="D288" s="21" t="s">
        <v>350</v>
      </c>
      <c r="E288" s="19" t="s">
        <v>681</v>
      </c>
      <c r="F288" s="81" t="s">
        <v>683</v>
      </c>
      <c r="G288" s="79" t="s">
        <v>362</v>
      </c>
      <c r="H288" s="22">
        <f t="shared" si="5"/>
        <v>10</v>
      </c>
      <c r="I288" s="21">
        <v>1401</v>
      </c>
      <c r="J288" s="21"/>
      <c r="K288" s="23">
        <v>10000000</v>
      </c>
      <c r="L288" s="91" t="s">
        <v>682</v>
      </c>
    </row>
    <row r="289" spans="1:12" ht="15.75" customHeight="1">
      <c r="A289" s="67" t="s">
        <v>327</v>
      </c>
      <c r="B289" s="17">
        <f>SUMIFS('لیست واریزی کل خیرین'!B:B,'لیست واریزی کل خیرین'!D:D,Table1[[#This Row],[نام]],'لیست واریزی کل خیرین'!E:E,Table1[[#This Row],[نام خانوادگی]])</f>
        <v>12</v>
      </c>
      <c r="C289" s="25" t="s">
        <v>366</v>
      </c>
      <c r="D289" s="25" t="s">
        <v>367</v>
      </c>
      <c r="E289" s="19" t="s">
        <v>610</v>
      </c>
      <c r="F289" s="81">
        <v>5022291500410800</v>
      </c>
      <c r="G289" s="69" t="s">
        <v>362</v>
      </c>
      <c r="H289" s="22">
        <f t="shared" si="5"/>
        <v>10</v>
      </c>
      <c r="I289" s="21">
        <v>1401</v>
      </c>
      <c r="J289" s="21"/>
      <c r="K289" s="23">
        <v>5000000</v>
      </c>
      <c r="L289" s="91"/>
    </row>
    <row r="290" spans="1:12" ht="15.75" customHeight="1">
      <c r="A290" s="67"/>
      <c r="B290" s="17">
        <f>SUMIFS('لیست واریزی کل خیرین'!B:B,'لیست واریزی کل خیرین'!D:D,Table1[[#This Row],[نام]],'لیست واریزی کل خیرین'!E:E,Table1[[#This Row],[نام خانوادگی]])</f>
        <v>14</v>
      </c>
      <c r="C290" s="21" t="s">
        <v>71</v>
      </c>
      <c r="D290" s="21" t="s">
        <v>371</v>
      </c>
      <c r="E290" s="19" t="s">
        <v>688</v>
      </c>
      <c r="F290" s="81" t="s">
        <v>570</v>
      </c>
      <c r="G290" s="79" t="s">
        <v>362</v>
      </c>
      <c r="H290" s="22">
        <f t="shared" si="5"/>
        <v>10</v>
      </c>
      <c r="I290" s="21">
        <v>1401</v>
      </c>
      <c r="J290" s="21"/>
      <c r="K290" s="23">
        <v>10000000</v>
      </c>
      <c r="L290" s="91"/>
    </row>
    <row r="291" spans="1:12" ht="15.75" customHeight="1">
      <c r="A291" s="67"/>
      <c r="B291" s="17">
        <f>SUMIFS('لیست واریزی کل خیرین'!B:B,'لیست واریزی کل خیرین'!D:D,Table1[[#This Row],[نام]],'لیست واریزی کل خیرین'!E:E,Table1[[#This Row],[نام خانوادگی]])</f>
        <v>79</v>
      </c>
      <c r="C291" s="21" t="s">
        <v>679</v>
      </c>
      <c r="D291" s="21" t="s">
        <v>678</v>
      </c>
      <c r="E291" s="19" t="s">
        <v>677</v>
      </c>
      <c r="F291" s="81" t="s">
        <v>680</v>
      </c>
      <c r="G291" s="79" t="s">
        <v>362</v>
      </c>
      <c r="H291" s="22">
        <f t="shared" si="5"/>
        <v>10</v>
      </c>
      <c r="I291" s="21">
        <v>1401</v>
      </c>
      <c r="J291" s="21"/>
      <c r="K291" s="23">
        <v>1000000</v>
      </c>
      <c r="L291" s="91"/>
    </row>
    <row r="292" spans="1:12" ht="15.75" customHeight="1">
      <c r="A292" s="67"/>
      <c r="B292" s="73">
        <f>SUMIFS('لیست واریزی کل خیرین'!B:B,'لیست واریزی کل خیرین'!D:D,Table1[[#This Row],[نام]],'لیست واریزی کل خیرین'!E:E,Table1[[#This Row],[نام خانوادگی]])</f>
        <v>36</v>
      </c>
      <c r="C292" s="21" t="s">
        <v>471</v>
      </c>
      <c r="D292" s="21" t="s">
        <v>472</v>
      </c>
      <c r="E292" s="19" t="s">
        <v>644</v>
      </c>
      <c r="F292" s="87" t="s">
        <v>637</v>
      </c>
      <c r="G292" s="79" t="s">
        <v>362</v>
      </c>
      <c r="H292" s="22">
        <f t="shared" si="5"/>
        <v>10</v>
      </c>
      <c r="I292" s="21">
        <v>1401</v>
      </c>
      <c r="J292" s="74"/>
      <c r="K292" s="76">
        <v>20000000</v>
      </c>
      <c r="L292" s="200"/>
    </row>
    <row r="293" spans="1:12" ht="15.75" customHeight="1">
      <c r="A293" s="67"/>
      <c r="B293" s="17">
        <f>SUMIFS('لیست واریزی کل خیرین'!B:B,'لیست واریزی کل خیرین'!D:D,Table1[[#This Row],[نام]],'لیست واریزی کل خیرین'!E:E,Table1[[#This Row],[نام خانوادگی]])</f>
        <v>6</v>
      </c>
      <c r="C293" s="21" t="s">
        <v>76</v>
      </c>
      <c r="D293" s="21" t="s">
        <v>347</v>
      </c>
      <c r="E293" s="19" t="s">
        <v>684</v>
      </c>
      <c r="F293" s="81" t="s">
        <v>685</v>
      </c>
      <c r="G293" s="79" t="s">
        <v>362</v>
      </c>
      <c r="H293" s="22">
        <f t="shared" si="5"/>
        <v>10</v>
      </c>
      <c r="I293" s="21">
        <v>1401</v>
      </c>
      <c r="J293" s="21"/>
      <c r="K293" s="23">
        <v>5000000</v>
      </c>
      <c r="L293" s="91" t="s">
        <v>1658</v>
      </c>
    </row>
    <row r="294" spans="1:12" ht="15.75" customHeight="1">
      <c r="A294" s="67"/>
      <c r="B294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294" s="21" t="s">
        <v>76</v>
      </c>
      <c r="D294" s="21" t="s">
        <v>347</v>
      </c>
      <c r="E294" s="19" t="s">
        <v>684</v>
      </c>
      <c r="F294" s="81" t="s">
        <v>685</v>
      </c>
      <c r="G294" s="74" t="s">
        <v>354</v>
      </c>
      <c r="H294" s="75">
        <f>IF(G294="","",VLOOKUP(G294,mah,2,0))</f>
        <v>8</v>
      </c>
      <c r="I294" s="74">
        <v>1401</v>
      </c>
      <c r="J294" s="74"/>
      <c r="K294" s="23">
        <v>5000000</v>
      </c>
      <c r="L294" s="91" t="s">
        <v>1658</v>
      </c>
    </row>
    <row r="295" spans="1:12" ht="15.75" customHeight="1">
      <c r="A295" s="67"/>
      <c r="B295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295" s="21" t="s">
        <v>76</v>
      </c>
      <c r="D295" s="21" t="s">
        <v>347</v>
      </c>
      <c r="E295" s="19" t="s">
        <v>684</v>
      </c>
      <c r="F295" s="81" t="s">
        <v>685</v>
      </c>
      <c r="G295" s="74" t="s">
        <v>357</v>
      </c>
      <c r="H295" s="75">
        <f>IF(G295="","",VLOOKUP(G295,mah,2,0))</f>
        <v>9</v>
      </c>
      <c r="I295" s="74">
        <v>1401</v>
      </c>
      <c r="J295" s="74"/>
      <c r="K295" s="23">
        <v>5000000</v>
      </c>
      <c r="L295" s="91" t="s">
        <v>1658</v>
      </c>
    </row>
    <row r="296" spans="1:12" ht="15.75" customHeight="1">
      <c r="A296" s="67"/>
      <c r="B296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296" s="21" t="s">
        <v>76</v>
      </c>
      <c r="D296" s="21" t="s">
        <v>347</v>
      </c>
      <c r="E296" s="19" t="s">
        <v>684</v>
      </c>
      <c r="F296" s="81" t="s">
        <v>685</v>
      </c>
      <c r="G296" s="74" t="s">
        <v>365</v>
      </c>
      <c r="H296" s="75">
        <f>IF(G296="","",VLOOKUP(G296,mah,2,0))</f>
        <v>11</v>
      </c>
      <c r="I296" s="74">
        <v>1401</v>
      </c>
      <c r="J296" s="74"/>
      <c r="K296" s="23">
        <v>5000000</v>
      </c>
      <c r="L296" s="91" t="s">
        <v>1658</v>
      </c>
    </row>
    <row r="297" spans="1:12" ht="15.75" customHeight="1">
      <c r="A297" s="67"/>
      <c r="B297" s="73">
        <f>SUMIFS('لیست واریزی کل خیرین'!B:B,'لیست واریزی کل خیرین'!D:D,Table1[[#This Row],[نام]],'لیست واریزی کل خیرین'!E:E,Table1[[#This Row],[نام خانوادگی]])</f>
        <v>74</v>
      </c>
      <c r="C297" s="21" t="s">
        <v>640</v>
      </c>
      <c r="D297" s="21" t="s">
        <v>641</v>
      </c>
      <c r="E297" s="19" t="s">
        <v>642</v>
      </c>
      <c r="F297" s="86" t="s">
        <v>643</v>
      </c>
      <c r="G297" s="79" t="s">
        <v>362</v>
      </c>
      <c r="H297" s="22">
        <f t="shared" si="5"/>
        <v>10</v>
      </c>
      <c r="I297" s="21">
        <v>1401</v>
      </c>
      <c r="J297" s="74"/>
      <c r="K297" s="76">
        <v>5000000</v>
      </c>
      <c r="L297" s="209"/>
    </row>
    <row r="298" spans="1:12" ht="15.75" customHeight="1">
      <c r="A298" s="67"/>
      <c r="B298" s="17">
        <f>SUMIFS('لیست واریزی کل خیرین'!B:B,'لیست واریزی کل خیرین'!D:D,Table1[[#This Row],[نام]],'لیست واریزی کل خیرین'!E:E,Table1[[#This Row],[نام خانوادگی]])</f>
        <v>78</v>
      </c>
      <c r="C298" s="21" t="s">
        <v>443</v>
      </c>
      <c r="D298" s="21" t="s">
        <v>672</v>
      </c>
      <c r="E298" s="19" t="s">
        <v>671</v>
      </c>
      <c r="F298" s="81" t="s">
        <v>673</v>
      </c>
      <c r="G298" s="79" t="s">
        <v>362</v>
      </c>
      <c r="H298" s="22">
        <f t="shared" si="5"/>
        <v>10</v>
      </c>
      <c r="I298" s="21">
        <v>1401</v>
      </c>
      <c r="J298" s="21"/>
      <c r="K298" s="23">
        <v>1500000</v>
      </c>
      <c r="L298" s="78"/>
    </row>
    <row r="299" spans="1:12" ht="15.75" customHeight="1">
      <c r="A299" s="67" t="s">
        <v>327</v>
      </c>
      <c r="B299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299" s="21" t="s">
        <v>358</v>
      </c>
      <c r="D299" s="21" t="s">
        <v>359</v>
      </c>
      <c r="E299" s="19" t="s">
        <v>659</v>
      </c>
      <c r="F299" s="87" t="s">
        <v>637</v>
      </c>
      <c r="G299" s="79" t="s">
        <v>362</v>
      </c>
      <c r="H299" s="22">
        <f t="shared" si="5"/>
        <v>10</v>
      </c>
      <c r="I299" s="21">
        <v>1401</v>
      </c>
      <c r="J299" s="21"/>
      <c r="K299" s="23">
        <v>20000000</v>
      </c>
      <c r="L299" s="78" t="s">
        <v>660</v>
      </c>
    </row>
    <row r="300" spans="1:12" ht="15.75" customHeight="1">
      <c r="A300" s="67" t="s">
        <v>327</v>
      </c>
      <c r="B300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300" s="21" t="s">
        <v>358</v>
      </c>
      <c r="D300" s="21" t="s">
        <v>359</v>
      </c>
      <c r="E300" s="19" t="s">
        <v>684</v>
      </c>
      <c r="F300" s="87" t="s">
        <v>637</v>
      </c>
      <c r="G300" s="79" t="s">
        <v>362</v>
      </c>
      <c r="H300" s="22">
        <f t="shared" si="5"/>
        <v>10</v>
      </c>
      <c r="I300" s="21">
        <v>1401</v>
      </c>
      <c r="J300" s="21"/>
      <c r="K300" s="23">
        <v>100000000</v>
      </c>
      <c r="L300" s="78"/>
    </row>
    <row r="301" spans="1:12" ht="15.75" customHeight="1">
      <c r="A301" s="67" t="s">
        <v>327</v>
      </c>
      <c r="B301" s="73">
        <f>SUMIFS('لیست واریزی کل خیرین'!B:B,'لیست واریزی کل خیرین'!D:D,Table1[[#This Row],[نام]],'لیست واریزی کل خیرین'!E:E,Table1[[#This Row],[نام خانوادگی]])</f>
        <v>69</v>
      </c>
      <c r="C301" s="21" t="s">
        <v>612</v>
      </c>
      <c r="D301" s="21" t="s">
        <v>613</v>
      </c>
      <c r="E301" s="19" t="s">
        <v>638</v>
      </c>
      <c r="F301" s="87">
        <v>5894631563315030</v>
      </c>
      <c r="G301" s="79" t="s">
        <v>362</v>
      </c>
      <c r="H301" s="22">
        <f t="shared" si="5"/>
        <v>10</v>
      </c>
      <c r="I301" s="21">
        <v>1401</v>
      </c>
      <c r="J301" s="74"/>
      <c r="K301" s="76">
        <v>4000000</v>
      </c>
      <c r="L301" s="209"/>
    </row>
    <row r="302" spans="1:12" ht="15.75" customHeight="1">
      <c r="A302" s="67"/>
      <c r="B302" s="73">
        <f>SUMIFS('لیست واریزی کل خیرین'!B:B,'لیست واریزی کل خیرین'!D:D,Table1[[#This Row],[نام]],'لیست واریزی کل خیرین'!E:E,Table1[[#This Row],[نام خانوادگی]])</f>
        <v>70</v>
      </c>
      <c r="C302" s="21" t="s">
        <v>72</v>
      </c>
      <c r="D302" s="21" t="s">
        <v>615</v>
      </c>
      <c r="E302" s="19" t="s">
        <v>649</v>
      </c>
      <c r="F302" s="81" t="s">
        <v>650</v>
      </c>
      <c r="G302" s="79" t="s">
        <v>362</v>
      </c>
      <c r="H302" s="22">
        <f t="shared" si="5"/>
        <v>10</v>
      </c>
      <c r="I302" s="21">
        <v>1401</v>
      </c>
      <c r="J302" s="74"/>
      <c r="K302" s="76">
        <v>10000000</v>
      </c>
      <c r="L302" s="209"/>
    </row>
    <row r="303" spans="1:12" ht="15.75" customHeight="1">
      <c r="A303" s="67"/>
      <c r="B303" s="17">
        <f>SUMIFS('لیست واریزی کل خیرین'!B:B,'لیست واریزی کل خیرین'!D:D,Table1[[#This Row],[نام]],'لیست واریزی کل خیرین'!E:E,Table1[[#This Row],[نام خانوادگی]])</f>
        <v>19</v>
      </c>
      <c r="C303" s="21" t="s">
        <v>363</v>
      </c>
      <c r="D303" s="21" t="s">
        <v>380</v>
      </c>
      <c r="E303" s="19" t="s">
        <v>659</v>
      </c>
      <c r="F303" s="87" t="s">
        <v>637</v>
      </c>
      <c r="G303" s="79" t="s">
        <v>362</v>
      </c>
      <c r="H303" s="22">
        <f t="shared" si="5"/>
        <v>10</v>
      </c>
      <c r="I303" s="21">
        <v>1401</v>
      </c>
      <c r="J303" s="21"/>
      <c r="K303" s="23">
        <v>100000000</v>
      </c>
      <c r="L303" s="78" t="s">
        <v>660</v>
      </c>
    </row>
    <row r="304" spans="1:12" ht="15.75" customHeight="1">
      <c r="A304" s="67"/>
      <c r="B304" s="73">
        <f>SUMIFS('لیست واریزی کل خیرین'!B:B,'لیست واریزی کل خیرین'!D:D,Table1[[#This Row],[نام]],'لیست واریزی کل خیرین'!E:E,Table1[[#This Row],[نام خانوادگی]])</f>
        <v>76</v>
      </c>
      <c r="C304" s="21" t="s">
        <v>651</v>
      </c>
      <c r="D304" s="21" t="s">
        <v>652</v>
      </c>
      <c r="E304" s="19" t="s">
        <v>649</v>
      </c>
      <c r="F304" s="81" t="s">
        <v>653</v>
      </c>
      <c r="G304" s="79" t="s">
        <v>362</v>
      </c>
      <c r="H304" s="22">
        <f t="shared" si="5"/>
        <v>10</v>
      </c>
      <c r="I304" s="21">
        <v>1401</v>
      </c>
      <c r="J304" s="74"/>
      <c r="K304" s="76">
        <v>10000000</v>
      </c>
      <c r="L304" s="209"/>
    </row>
    <row r="305" spans="1:13" ht="15.75" customHeight="1">
      <c r="A305" s="67" t="s">
        <v>327</v>
      </c>
      <c r="B305" s="17">
        <f>SUMIFS('لیست واریزی کل خیرین'!B:B,'لیست واریزی کل خیرین'!D:D,Table1[[#This Row],[نام]],'لیست واریزی کل خیرین'!E:E,Table1[[#This Row],[نام خانوادگی]])</f>
        <v>13</v>
      </c>
      <c r="C305" s="25" t="s">
        <v>355</v>
      </c>
      <c r="D305" s="25" t="s">
        <v>369</v>
      </c>
      <c r="E305" s="19" t="s">
        <v>553</v>
      </c>
      <c r="F305" s="81" t="s">
        <v>554</v>
      </c>
      <c r="G305" s="69" t="s">
        <v>362</v>
      </c>
      <c r="H305" s="22">
        <f t="shared" si="5"/>
        <v>10</v>
      </c>
      <c r="I305" s="21">
        <v>1401</v>
      </c>
      <c r="J305" s="26"/>
      <c r="K305" s="23">
        <v>2500000</v>
      </c>
      <c r="L305" s="261" t="s">
        <v>555</v>
      </c>
    </row>
    <row r="306" spans="1:13" ht="15.75" customHeight="1">
      <c r="A306" s="67"/>
      <c r="B306" s="17">
        <f>SUMIFS('لیست واریزی کل خیرین'!B:B,'لیست واریزی کل خیرین'!D:D,Table1[[#This Row],[نام]],'لیست واریزی کل خیرین'!E:E,Table1[[#This Row],[نام خانوادگی]])</f>
        <v>35</v>
      </c>
      <c r="C306" s="69" t="s">
        <v>465</v>
      </c>
      <c r="D306" s="69" t="s">
        <v>466</v>
      </c>
      <c r="E306" s="19" t="s">
        <v>677</v>
      </c>
      <c r="F306" s="81" t="s">
        <v>467</v>
      </c>
      <c r="G306" s="79" t="s">
        <v>362</v>
      </c>
      <c r="H306" s="22">
        <f t="shared" si="5"/>
        <v>10</v>
      </c>
      <c r="I306" s="21">
        <v>1401</v>
      </c>
      <c r="J306" s="21"/>
      <c r="K306" s="23">
        <v>3000000</v>
      </c>
      <c r="L306" s="78"/>
    </row>
    <row r="307" spans="1:13" ht="15.75" customHeight="1">
      <c r="A307" s="67"/>
      <c r="B307" s="17">
        <f>SUMIFS('لیست واریزی کل خیرین'!B:B,'لیست واریزی کل خیرین'!D:D,Table1[[#This Row],[نام]],'لیست واریزی کل خیرین'!E:E,Table1[[#This Row],[نام خانوادگی]])</f>
        <v>5</v>
      </c>
      <c r="C307" s="21" t="s">
        <v>344</v>
      </c>
      <c r="D307" s="21" t="s">
        <v>345</v>
      </c>
      <c r="E307" s="19" t="s">
        <v>665</v>
      </c>
      <c r="F307" s="81" t="s">
        <v>669</v>
      </c>
      <c r="G307" s="79" t="s">
        <v>362</v>
      </c>
      <c r="H307" s="22">
        <f t="shared" si="5"/>
        <v>10</v>
      </c>
      <c r="I307" s="21">
        <v>1401</v>
      </c>
      <c r="J307" s="21"/>
      <c r="K307" s="23">
        <v>5000000</v>
      </c>
      <c r="L307" s="91"/>
    </row>
    <row r="308" spans="1:13" ht="15.75" customHeight="1">
      <c r="A308" s="67"/>
      <c r="B308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308" s="21" t="s">
        <v>366</v>
      </c>
      <c r="D308" s="21" t="s">
        <v>385</v>
      </c>
      <c r="E308" s="210" t="s">
        <v>1060</v>
      </c>
      <c r="F308" s="87" t="s">
        <v>488</v>
      </c>
      <c r="G308" s="79" t="s">
        <v>362</v>
      </c>
      <c r="H308" s="75">
        <f t="shared" si="5"/>
        <v>10</v>
      </c>
      <c r="I308" s="21">
        <v>1401</v>
      </c>
      <c r="J308" s="74"/>
      <c r="K308" s="76">
        <v>5000000</v>
      </c>
      <c r="L308" s="91" t="s">
        <v>1061</v>
      </c>
    </row>
    <row r="309" spans="1:13" ht="15.75" customHeight="1">
      <c r="A309" s="67"/>
      <c r="B309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309" s="21" t="s">
        <v>412</v>
      </c>
      <c r="D309" s="21" t="s">
        <v>413</v>
      </c>
      <c r="E309" s="19" t="s">
        <v>656</v>
      </c>
      <c r="F309" s="81" t="s">
        <v>658</v>
      </c>
      <c r="G309" s="79" t="s">
        <v>362</v>
      </c>
      <c r="H309" s="22">
        <f t="shared" si="5"/>
        <v>10</v>
      </c>
      <c r="I309" s="21">
        <v>1401</v>
      </c>
      <c r="J309" s="74"/>
      <c r="K309" s="76">
        <v>5000000</v>
      </c>
      <c r="L309" s="78" t="s">
        <v>657</v>
      </c>
    </row>
    <row r="310" spans="1:13" ht="15.75" customHeight="1">
      <c r="A310" s="67"/>
      <c r="B310" s="17">
        <f>SUMIFS('لیست واریزی کل خیرین'!B:B,'لیست واریزی کل خیرین'!D:D,Table1[[#This Row],[نام]],'لیست واریزی کل خیرین'!E:E,Table1[[#This Row],[نام خانوادگی]])</f>
        <v>60</v>
      </c>
      <c r="C310" s="21" t="s">
        <v>519</v>
      </c>
      <c r="D310" s="21" t="s">
        <v>567</v>
      </c>
      <c r="E310" s="19" t="s">
        <v>676</v>
      </c>
      <c r="F310" s="86" t="s">
        <v>568</v>
      </c>
      <c r="G310" s="79" t="s">
        <v>362</v>
      </c>
      <c r="H310" s="22">
        <f t="shared" si="5"/>
        <v>10</v>
      </c>
      <c r="I310" s="21">
        <v>1401</v>
      </c>
      <c r="J310" s="21"/>
      <c r="K310" s="23">
        <v>15000000</v>
      </c>
      <c r="L310" s="78"/>
    </row>
    <row r="311" spans="1:13" ht="15.75" customHeight="1">
      <c r="A311" s="67"/>
      <c r="B311" s="17">
        <f>SUMIFS('لیست واریزی کل خیرین'!B:B,'لیست واریزی کل خیرین'!D:D,Table1[[#This Row],[نام]],'لیست واریزی کل خیرین'!E:E,Table1[[#This Row],[نام خانوادگی]])</f>
        <v>80</v>
      </c>
      <c r="C311" s="21" t="s">
        <v>686</v>
      </c>
      <c r="D311" s="21" t="s">
        <v>687</v>
      </c>
      <c r="E311" s="19" t="s">
        <v>688</v>
      </c>
      <c r="F311" s="86" t="s">
        <v>449</v>
      </c>
      <c r="G311" s="79" t="s">
        <v>362</v>
      </c>
      <c r="H311" s="22">
        <f t="shared" si="5"/>
        <v>10</v>
      </c>
      <c r="I311" s="21">
        <v>1401</v>
      </c>
      <c r="J311" s="21"/>
      <c r="K311" s="23">
        <v>1000000</v>
      </c>
      <c r="L311" s="78"/>
    </row>
    <row r="312" spans="1:13" ht="15.75" customHeight="1">
      <c r="A312" s="67" t="s">
        <v>327</v>
      </c>
      <c r="B312" s="73">
        <f>SUMIFS('لیست واریزی کل خیرین'!B:B,'لیست واریزی کل خیرین'!D:D,Table1[[#This Row],[نام]],'لیست واریزی کل خیرین'!E:E,Table1[[#This Row],[نام خانوادگی]])</f>
        <v>23</v>
      </c>
      <c r="C312" s="21" t="s">
        <v>457</v>
      </c>
      <c r="D312" s="21" t="s">
        <v>390</v>
      </c>
      <c r="E312" s="19" t="s">
        <v>1067</v>
      </c>
      <c r="F312" s="81" t="s">
        <v>556</v>
      </c>
      <c r="G312" s="79" t="s">
        <v>362</v>
      </c>
      <c r="H312" s="22">
        <f t="shared" si="5"/>
        <v>10</v>
      </c>
      <c r="I312" s="21">
        <v>1401</v>
      </c>
      <c r="J312" s="21"/>
      <c r="K312" s="23">
        <v>10000000</v>
      </c>
      <c r="L312" s="78" t="s">
        <v>1068</v>
      </c>
    </row>
    <row r="313" spans="1:13" ht="15.75" customHeight="1">
      <c r="A313" s="67"/>
      <c r="B313" s="73">
        <f>SUMIFS('لیست واریزی کل خیرین'!B:B,'لیست واریزی کل خیرین'!D:D,Table1[[#This Row],[نام]],'لیست واریزی کل خیرین'!E:E,Table1[[#This Row],[نام خانوادگی]])</f>
        <v>15</v>
      </c>
      <c r="C313" s="21" t="s">
        <v>372</v>
      </c>
      <c r="D313" s="21" t="s">
        <v>373</v>
      </c>
      <c r="E313" s="19" t="s">
        <v>1085</v>
      </c>
      <c r="F313" s="87" t="s">
        <v>1089</v>
      </c>
      <c r="G313" s="79" t="s">
        <v>362</v>
      </c>
      <c r="H313" s="75">
        <f t="shared" si="5"/>
        <v>10</v>
      </c>
      <c r="I313" s="74">
        <v>1401</v>
      </c>
      <c r="J313" s="74"/>
      <c r="K313" s="76">
        <v>10000000</v>
      </c>
      <c r="L313" s="78" t="s">
        <v>1100</v>
      </c>
    </row>
    <row r="314" spans="1:13" ht="29.25" customHeight="1">
      <c r="A314" s="67"/>
      <c r="B314" s="17">
        <f>SUMIFS('لیست واریزی کل خیرین'!B:B,'لیست واریزی کل خیرین'!D:D,Table1[[#This Row],[نام]],'لیست واریزی کل خیرین'!E:E,Table1[[#This Row],[نام خانوادگی]])</f>
        <v>16</v>
      </c>
      <c r="C314" s="25" t="s">
        <v>366</v>
      </c>
      <c r="D314" s="25" t="s">
        <v>374</v>
      </c>
      <c r="E314" s="19" t="s">
        <v>1090</v>
      </c>
      <c r="F314" s="81">
        <v>6037998112152490</v>
      </c>
      <c r="G314" s="21" t="s">
        <v>365</v>
      </c>
      <c r="H314" s="22">
        <f t="shared" ref="H314" si="6">IF(G314="","",VLOOKUP(G314,mah,2,0))</f>
        <v>11</v>
      </c>
      <c r="I314" s="21">
        <v>1401</v>
      </c>
      <c r="J314" s="21"/>
      <c r="K314" s="23">
        <v>3000000</v>
      </c>
      <c r="L314" s="267" t="s">
        <v>1274</v>
      </c>
      <c r="M314" s="268"/>
    </row>
    <row r="315" spans="1:13" ht="15.75" customHeight="1">
      <c r="A315" s="67"/>
      <c r="B315" s="17">
        <f>SUMIFS('لیست واریزی کل خیرین'!B:B,'لیست واریزی کل خیرین'!D:D,Table1[[#This Row],[نام]],'لیست واریزی کل خیرین'!E:E,Table1[[#This Row],[نام خانوادگی]])</f>
        <v>48</v>
      </c>
      <c r="C315" s="199" t="s">
        <v>363</v>
      </c>
      <c r="D315" s="199" t="s">
        <v>415</v>
      </c>
      <c r="E315" s="19" t="s">
        <v>694</v>
      </c>
      <c r="F315" s="81" t="s">
        <v>697</v>
      </c>
      <c r="G315" s="69" t="s">
        <v>365</v>
      </c>
      <c r="H315" s="22">
        <f t="shared" si="5"/>
        <v>11</v>
      </c>
      <c r="I315" s="21">
        <v>1401</v>
      </c>
      <c r="J315" s="21"/>
      <c r="K315" s="23">
        <v>40000000</v>
      </c>
      <c r="L315" s="78"/>
    </row>
    <row r="316" spans="1:13" ht="15.75" customHeight="1">
      <c r="A316" s="67"/>
      <c r="B316" s="17">
        <f>SUMIFS('لیست واریزی کل خیرین'!B:B,'لیست واریزی کل خیرین'!D:D,Table1[[#This Row],[نام]],'لیست واریزی کل خیرین'!E:E,Table1[[#This Row],[نام خانوادگی]])</f>
        <v>62</v>
      </c>
      <c r="C316" s="21" t="s">
        <v>616</v>
      </c>
      <c r="D316" s="21" t="s">
        <v>574</v>
      </c>
      <c r="E316" s="19" t="s">
        <v>723</v>
      </c>
      <c r="F316" s="81" t="s">
        <v>575</v>
      </c>
      <c r="G316" s="69" t="s">
        <v>365</v>
      </c>
      <c r="H316" s="22">
        <f t="shared" si="5"/>
        <v>11</v>
      </c>
      <c r="I316" s="21">
        <v>1401</v>
      </c>
      <c r="J316" s="21"/>
      <c r="K316" s="23">
        <v>10000000</v>
      </c>
      <c r="L316" s="78"/>
    </row>
    <row r="317" spans="1:13" ht="15.75" customHeight="1">
      <c r="A317" s="67"/>
      <c r="B317" s="17">
        <f>SUMIFS('لیست واریزی کل خیرین'!B:B,'لیست واریزی کل خیرین'!D:D,Table1[[#This Row],[نام]],'لیست واریزی کل خیرین'!E:E,Table1[[#This Row],[نام خانوادگی]])</f>
        <v>22</v>
      </c>
      <c r="C317" s="21" t="s">
        <v>387</v>
      </c>
      <c r="D317" s="21" t="s">
        <v>388</v>
      </c>
      <c r="E317" s="19" t="s">
        <v>725</v>
      </c>
      <c r="F317" s="81" t="s">
        <v>480</v>
      </c>
      <c r="G317" s="69" t="s">
        <v>365</v>
      </c>
      <c r="H317" s="22">
        <f t="shared" si="5"/>
        <v>11</v>
      </c>
      <c r="I317" s="21">
        <v>1401</v>
      </c>
      <c r="J317" s="21"/>
      <c r="K317" s="23">
        <v>2000000</v>
      </c>
      <c r="L317" s="78" t="s">
        <v>726</v>
      </c>
    </row>
    <row r="318" spans="1:13" ht="15.75" customHeight="1">
      <c r="A318" s="67"/>
      <c r="B318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318" s="21" t="s">
        <v>352</v>
      </c>
      <c r="D318" s="21" t="s">
        <v>353</v>
      </c>
      <c r="E318" s="19" t="s">
        <v>698</v>
      </c>
      <c r="F318" s="81" t="s">
        <v>468</v>
      </c>
      <c r="G318" s="69" t="s">
        <v>365</v>
      </c>
      <c r="H318" s="22">
        <f t="shared" si="5"/>
        <v>11</v>
      </c>
      <c r="I318" s="21">
        <v>1401</v>
      </c>
      <c r="J318" s="21"/>
      <c r="K318" s="23">
        <v>5000000</v>
      </c>
      <c r="L318" s="78" t="s">
        <v>699</v>
      </c>
    </row>
    <row r="319" spans="1:13" ht="15.75" customHeight="1">
      <c r="A319" s="67"/>
      <c r="B319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319" s="18" t="s">
        <v>391</v>
      </c>
      <c r="D319" s="18" t="s">
        <v>392</v>
      </c>
      <c r="E319" s="19" t="s">
        <v>720</v>
      </c>
      <c r="F319" s="86" t="s">
        <v>393</v>
      </c>
      <c r="G319" s="69" t="s">
        <v>365</v>
      </c>
      <c r="H319" s="22">
        <f t="shared" si="5"/>
        <v>11</v>
      </c>
      <c r="I319" s="21">
        <v>1401</v>
      </c>
      <c r="J319" s="21"/>
      <c r="K319" s="23">
        <v>32965781</v>
      </c>
      <c r="L319" s="78"/>
    </row>
    <row r="320" spans="1:13" ht="15.75" customHeight="1">
      <c r="A320" s="67"/>
      <c r="B320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320" s="21" t="s">
        <v>366</v>
      </c>
      <c r="D320" s="21" t="s">
        <v>382</v>
      </c>
      <c r="E320" s="19" t="s">
        <v>725</v>
      </c>
      <c r="F320" s="86" t="s">
        <v>536</v>
      </c>
      <c r="G320" s="69" t="s">
        <v>365</v>
      </c>
      <c r="H320" s="22">
        <f t="shared" si="5"/>
        <v>11</v>
      </c>
      <c r="I320" s="21">
        <v>1401</v>
      </c>
      <c r="J320" s="21"/>
      <c r="K320" s="23">
        <v>20000000</v>
      </c>
      <c r="L320" s="78"/>
    </row>
    <row r="321" spans="1:12" ht="15.75" customHeight="1">
      <c r="A321" s="67"/>
      <c r="B321" s="17">
        <f>SUMIFS('لیست واریزی کل خیرین'!B:B,'لیست واریزی کل خیرین'!D:D,Table1[[#This Row],[نام]],'لیست واریزی کل خیرین'!E:E,Table1[[#This Row],[نام خانوادگی]])</f>
        <v>2</v>
      </c>
      <c r="C321" s="21" t="s">
        <v>333</v>
      </c>
      <c r="D321" s="36" t="s">
        <v>334</v>
      </c>
      <c r="E321" s="19" t="s">
        <v>714</v>
      </c>
      <c r="F321" s="206" t="s">
        <v>637</v>
      </c>
      <c r="G321" s="69" t="s">
        <v>365</v>
      </c>
      <c r="H321" s="22">
        <f t="shared" si="5"/>
        <v>11</v>
      </c>
      <c r="I321" s="21">
        <v>1401</v>
      </c>
      <c r="J321" s="21"/>
      <c r="K321" s="23">
        <v>30000000</v>
      </c>
      <c r="L321" s="78" t="s">
        <v>715</v>
      </c>
    </row>
    <row r="322" spans="1:12" ht="15.75" customHeight="1">
      <c r="A322" s="67"/>
      <c r="B322" s="17">
        <f>SUMIFS('لیست واریزی کل خیرین'!B:B,'لیست واریزی کل خیرین'!D:D,Table1[[#This Row],[نام]],'لیست واریزی کل خیرین'!E:E,Table1[[#This Row],[نام خانوادگی]])</f>
        <v>4</v>
      </c>
      <c r="C322" s="21" t="s">
        <v>340</v>
      </c>
      <c r="D322" s="21" t="s">
        <v>341</v>
      </c>
      <c r="E322" s="19" t="s">
        <v>725</v>
      </c>
      <c r="F322" s="86" t="s">
        <v>674</v>
      </c>
      <c r="G322" s="69" t="s">
        <v>365</v>
      </c>
      <c r="H322" s="22">
        <f t="shared" si="5"/>
        <v>11</v>
      </c>
      <c r="I322" s="21">
        <v>1401</v>
      </c>
      <c r="J322" s="21"/>
      <c r="K322" s="23">
        <v>2000000</v>
      </c>
      <c r="L322" s="78"/>
    </row>
    <row r="323" spans="1:12" ht="15.75" customHeight="1">
      <c r="A323" s="67"/>
      <c r="B323" s="17">
        <f>SUMIFS('لیست واریزی کل خیرین'!B:B,'لیست واریزی کل خیرین'!D:D,Table1[[#This Row],[نام]],'لیست واریزی کل خیرین'!E:E,Table1[[#This Row],[نام خانوادگی]])</f>
        <v>82</v>
      </c>
      <c r="C323" s="21" t="s">
        <v>700</v>
      </c>
      <c r="D323" s="21" t="s">
        <v>701</v>
      </c>
      <c r="E323" s="19" t="s">
        <v>702</v>
      </c>
      <c r="F323" s="81" t="s">
        <v>703</v>
      </c>
      <c r="G323" s="69" t="s">
        <v>365</v>
      </c>
      <c r="H323" s="22">
        <f t="shared" si="5"/>
        <v>11</v>
      </c>
      <c r="I323" s="21">
        <v>1401</v>
      </c>
      <c r="J323" s="21"/>
      <c r="K323" s="23">
        <v>40000000</v>
      </c>
      <c r="L323" s="78"/>
    </row>
    <row r="324" spans="1:12" ht="15.75" customHeight="1">
      <c r="A324" s="67"/>
      <c r="B324" s="17">
        <f>SUMIFS('لیست واریزی کل خیرین'!B:B,'لیست واریزی کل خیرین'!D:D,Table1[[#This Row],[نام]],'لیست واریزی کل خیرین'!E:E,Table1[[#This Row],[نام خانوادگی]])</f>
        <v>25</v>
      </c>
      <c r="C324" s="21" t="s">
        <v>401</v>
      </c>
      <c r="D324" s="21" t="s">
        <v>402</v>
      </c>
      <c r="E324" s="19" t="s">
        <v>694</v>
      </c>
      <c r="F324" s="81" t="s">
        <v>696</v>
      </c>
      <c r="G324" s="69" t="s">
        <v>365</v>
      </c>
      <c r="H324" s="22">
        <f t="shared" si="5"/>
        <v>11</v>
      </c>
      <c r="I324" s="21">
        <v>1401</v>
      </c>
      <c r="J324" s="21"/>
      <c r="K324" s="23">
        <v>30000000</v>
      </c>
      <c r="L324" s="78"/>
    </row>
    <row r="325" spans="1:12" ht="15.75" customHeight="1">
      <c r="A325" s="67"/>
      <c r="B325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325" s="21" t="s">
        <v>355</v>
      </c>
      <c r="D325" s="21" t="s">
        <v>356</v>
      </c>
      <c r="E325" s="19" t="s">
        <v>716</v>
      </c>
      <c r="F325" s="81" t="s">
        <v>464</v>
      </c>
      <c r="G325" s="69" t="s">
        <v>365</v>
      </c>
      <c r="H325" s="22">
        <f t="shared" si="5"/>
        <v>11</v>
      </c>
      <c r="I325" s="21">
        <v>1401</v>
      </c>
      <c r="J325" s="21"/>
      <c r="K325" s="23">
        <v>12000000</v>
      </c>
      <c r="L325" s="78"/>
    </row>
    <row r="326" spans="1:12" ht="15.75" customHeight="1">
      <c r="A326" s="67"/>
      <c r="B326" s="17">
        <f>SUMIFS('لیست واریزی کل خیرین'!B:B,'لیست واریزی کل خیرین'!D:D,Table1[[#This Row],[نام]],'لیست واریزی کل خیرین'!E:E,Table1[[#This Row],[نام خانوادگی]])</f>
        <v>11</v>
      </c>
      <c r="C326" s="21" t="s">
        <v>363</v>
      </c>
      <c r="D326" s="21" t="s">
        <v>364</v>
      </c>
      <c r="E326" s="19" t="s">
        <v>704</v>
      </c>
      <c r="F326" s="86" t="s">
        <v>442</v>
      </c>
      <c r="G326" s="69" t="s">
        <v>365</v>
      </c>
      <c r="H326" s="22">
        <f t="shared" si="5"/>
        <v>11</v>
      </c>
      <c r="I326" s="21">
        <v>1401</v>
      </c>
      <c r="J326" s="21"/>
      <c r="K326" s="23">
        <v>30000000</v>
      </c>
      <c r="L326" s="78"/>
    </row>
    <row r="327" spans="1:12" ht="15.75" customHeight="1">
      <c r="A327" s="67"/>
      <c r="B327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327" s="21" t="s">
        <v>349</v>
      </c>
      <c r="D327" s="21" t="s">
        <v>350</v>
      </c>
      <c r="E327" s="19" t="s">
        <v>712</v>
      </c>
      <c r="F327" s="81" t="s">
        <v>448</v>
      </c>
      <c r="G327" s="69" t="s">
        <v>365</v>
      </c>
      <c r="H327" s="22">
        <f t="shared" si="5"/>
        <v>11</v>
      </c>
      <c r="I327" s="21">
        <v>1401</v>
      </c>
      <c r="J327" s="21"/>
      <c r="K327" s="23">
        <v>10000000</v>
      </c>
      <c r="L327" s="78"/>
    </row>
    <row r="328" spans="1:12" ht="15.75" customHeight="1">
      <c r="A328" s="67"/>
      <c r="B328" s="17">
        <f>SUMIFS('لیست واریزی کل خیرین'!B:B,'لیست واریزی کل خیرین'!D:D,Table1[[#This Row],[نام]],'لیست واریزی کل خیرین'!E:E,Table1[[#This Row],[نام خانوادگی]])</f>
        <v>12</v>
      </c>
      <c r="C328" s="21" t="s">
        <v>366</v>
      </c>
      <c r="D328" s="36" t="s">
        <v>367</v>
      </c>
      <c r="E328" s="19" t="s">
        <v>663</v>
      </c>
      <c r="F328" s="81" t="s">
        <v>664</v>
      </c>
      <c r="G328" s="69" t="s">
        <v>365</v>
      </c>
      <c r="H328" s="22">
        <f t="shared" si="5"/>
        <v>11</v>
      </c>
      <c r="I328" s="21">
        <v>1401</v>
      </c>
      <c r="J328" s="21"/>
      <c r="K328" s="23">
        <v>10000000</v>
      </c>
      <c r="L328" s="78"/>
    </row>
    <row r="329" spans="1:12" ht="19.5" customHeight="1">
      <c r="A329" s="67"/>
      <c r="B329" s="17">
        <f>SUMIFS('لیست واریزی کل خیرین'!B:B,'لیست واریزی کل خیرین'!D:D,Table1[[#This Row],[نام]],'لیست واریزی کل خیرین'!E:E,Table1[[#This Row],[نام خانوادگی]])</f>
        <v>36</v>
      </c>
      <c r="C329" s="21" t="s">
        <v>471</v>
      </c>
      <c r="D329" s="21" t="s">
        <v>472</v>
      </c>
      <c r="E329" s="19" t="s">
        <v>722</v>
      </c>
      <c r="F329" s="87" t="s">
        <v>637</v>
      </c>
      <c r="G329" s="69" t="s">
        <v>365</v>
      </c>
      <c r="H329" s="22">
        <f t="shared" si="5"/>
        <v>11</v>
      </c>
      <c r="I329" s="21">
        <v>1401</v>
      </c>
      <c r="J329" s="21"/>
      <c r="K329" s="23">
        <v>100000000</v>
      </c>
      <c r="L329" s="78"/>
    </row>
    <row r="330" spans="1:12" ht="15.75" customHeight="1">
      <c r="A330" s="67"/>
      <c r="B330" s="17">
        <f>SUMIFS('لیست واریزی کل خیرین'!B:B,'لیست واریزی کل خیرین'!D:D,Table1[[#This Row],[نام]],'لیست واریزی کل خیرین'!E:E,Table1[[#This Row],[نام خانوادگی]])</f>
        <v>84</v>
      </c>
      <c r="C330" s="21" t="s">
        <v>709</v>
      </c>
      <c r="D330" s="21" t="s">
        <v>710</v>
      </c>
      <c r="E330" s="19" t="s">
        <v>707</v>
      </c>
      <c r="F330" s="81" t="s">
        <v>711</v>
      </c>
      <c r="G330" s="69" t="s">
        <v>365</v>
      </c>
      <c r="H330" s="22">
        <f t="shared" ref="H330:H394" si="7">IF(G330="","",VLOOKUP(G330,mah,2,0))</f>
        <v>11</v>
      </c>
      <c r="I330" s="21">
        <v>1401</v>
      </c>
      <c r="J330" s="21"/>
      <c r="K330" s="23">
        <v>10000000</v>
      </c>
      <c r="L330" s="78"/>
    </row>
    <row r="331" spans="1:12" ht="15.75" customHeight="1">
      <c r="A331" s="67"/>
      <c r="B331" s="17">
        <f>SUMIFS('لیست واریزی کل خیرین'!B:B,'لیست واریزی کل خیرین'!D:D,Table1[[#This Row],[نام]],'لیست واریزی کل خیرین'!E:E,Table1[[#This Row],[نام خانوادگی]])</f>
        <v>74</v>
      </c>
      <c r="C331" s="21" t="s">
        <v>640</v>
      </c>
      <c r="D331" s="21" t="s">
        <v>641</v>
      </c>
      <c r="E331" s="19" t="s">
        <v>689</v>
      </c>
      <c r="F331" s="81" t="s">
        <v>643</v>
      </c>
      <c r="G331" s="69" t="s">
        <v>365</v>
      </c>
      <c r="H331" s="22">
        <f t="shared" si="7"/>
        <v>11</v>
      </c>
      <c r="I331" s="21">
        <v>1401</v>
      </c>
      <c r="J331" s="21"/>
      <c r="K331" s="23">
        <v>5000000</v>
      </c>
      <c r="L331" s="78"/>
    </row>
    <row r="332" spans="1:12" ht="15.75" customHeight="1">
      <c r="A332" s="67"/>
      <c r="B332" s="17">
        <f>SUMIFS('لیست واریزی کل خیرین'!B:B,'لیست واریزی کل خیرین'!D:D,Table1[[#This Row],[نام]],'لیست واریزی کل خیرین'!E:E,Table1[[#This Row],[نام خانوادگی]])</f>
        <v>81</v>
      </c>
      <c r="C332" s="21" t="s">
        <v>692</v>
      </c>
      <c r="D332" s="21" t="s">
        <v>693</v>
      </c>
      <c r="E332" s="19" t="s">
        <v>694</v>
      </c>
      <c r="F332" s="81" t="s">
        <v>695</v>
      </c>
      <c r="G332" s="69" t="s">
        <v>365</v>
      </c>
      <c r="H332" s="22">
        <f t="shared" si="7"/>
        <v>11</v>
      </c>
      <c r="I332" s="21">
        <v>1401</v>
      </c>
      <c r="J332" s="21"/>
      <c r="K332" s="23">
        <v>5000000</v>
      </c>
      <c r="L332" s="78"/>
    </row>
    <row r="333" spans="1:12" ht="15.75" customHeight="1">
      <c r="A333" s="67" t="s">
        <v>327</v>
      </c>
      <c r="B333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333" s="21" t="s">
        <v>358</v>
      </c>
      <c r="D333" s="21" t="s">
        <v>359</v>
      </c>
      <c r="E333" s="19" t="s">
        <v>714</v>
      </c>
      <c r="F333" s="87" t="s">
        <v>637</v>
      </c>
      <c r="G333" s="69" t="s">
        <v>365</v>
      </c>
      <c r="H333" s="22">
        <f t="shared" si="7"/>
        <v>11</v>
      </c>
      <c r="I333" s="21">
        <v>1401</v>
      </c>
      <c r="J333" s="21"/>
      <c r="K333" s="23">
        <v>100000000</v>
      </c>
      <c r="L333" s="78"/>
    </row>
    <row r="334" spans="1:12" ht="15.75" customHeight="1">
      <c r="A334" s="67" t="s">
        <v>327</v>
      </c>
      <c r="B334" s="17">
        <f>SUMIFS('لیست واریزی کل خیرین'!B:B,'لیست واریزی کل خیرین'!D:D,Table1[[#This Row],[نام]],'لیست واریزی کل خیرین'!E:E,Table1[[#This Row],[نام خانوادگی]])</f>
        <v>69</v>
      </c>
      <c r="C334" s="21" t="s">
        <v>612</v>
      </c>
      <c r="D334" s="21" t="s">
        <v>613</v>
      </c>
      <c r="E334" s="19" t="s">
        <v>611</v>
      </c>
      <c r="F334" s="81">
        <v>6104337355366280</v>
      </c>
      <c r="G334" s="69" t="s">
        <v>365</v>
      </c>
      <c r="H334" s="22">
        <f t="shared" si="7"/>
        <v>11</v>
      </c>
      <c r="I334" s="21">
        <v>1401</v>
      </c>
      <c r="J334" s="21"/>
      <c r="K334" s="23">
        <v>5000000</v>
      </c>
      <c r="L334" s="78" t="s">
        <v>1092</v>
      </c>
    </row>
    <row r="335" spans="1:12" ht="15.75" customHeight="1">
      <c r="A335" s="67"/>
      <c r="B335" s="17">
        <f>SUMIFS('لیست واریزی کل خیرین'!B:B,'لیست واریزی کل خیرین'!D:D,Table1[[#This Row],[نام]],'لیست واریزی کل خیرین'!E:E,Table1[[#This Row],[نام خانوادگی]])</f>
        <v>70</v>
      </c>
      <c r="C335" s="21" t="s">
        <v>72</v>
      </c>
      <c r="D335" s="21" t="s">
        <v>615</v>
      </c>
      <c r="E335" s="19" t="s">
        <v>705</v>
      </c>
      <c r="F335" s="81" t="s">
        <v>650</v>
      </c>
      <c r="G335" s="69" t="s">
        <v>365</v>
      </c>
      <c r="H335" s="22">
        <f t="shared" si="7"/>
        <v>11</v>
      </c>
      <c r="I335" s="21">
        <v>1401</v>
      </c>
      <c r="J335" s="21"/>
      <c r="K335" s="23">
        <v>10000000</v>
      </c>
      <c r="L335" s="78"/>
    </row>
    <row r="336" spans="1:12" ht="15.75" customHeight="1">
      <c r="A336" s="67"/>
      <c r="B336" s="17">
        <f>SUMIFS('لیست واریزی کل خیرین'!B:B,'لیست واریزی کل خیرین'!D:D,Table1[[#This Row],[نام]],'لیست واریزی کل خیرین'!E:E,Table1[[#This Row],[نام خانوادگی]])</f>
        <v>19</v>
      </c>
      <c r="C336" s="21" t="s">
        <v>363</v>
      </c>
      <c r="D336" s="21" t="s">
        <v>380</v>
      </c>
      <c r="E336" s="19" t="s">
        <v>702</v>
      </c>
      <c r="F336" s="206" t="s">
        <v>637</v>
      </c>
      <c r="G336" s="69" t="s">
        <v>365</v>
      </c>
      <c r="H336" s="22">
        <f t="shared" si="7"/>
        <v>11</v>
      </c>
      <c r="I336" s="21">
        <v>1401</v>
      </c>
      <c r="J336" s="21"/>
      <c r="K336" s="23">
        <v>50000000</v>
      </c>
      <c r="L336" s="78"/>
    </row>
    <row r="337" spans="1:12" ht="15.75" customHeight="1">
      <c r="A337" s="67" t="s">
        <v>327</v>
      </c>
      <c r="B337" s="17">
        <f>SUMIFS('لیست واریزی کل خیرین'!B:B,'لیست واریزی کل خیرین'!D:D,Table1[[#This Row],[نام]],'لیست واریزی کل خیرین'!E:E,Table1[[#This Row],[نام خانوادگی]])</f>
        <v>13</v>
      </c>
      <c r="C337" s="25" t="s">
        <v>355</v>
      </c>
      <c r="D337" s="25" t="s">
        <v>369</v>
      </c>
      <c r="E337" s="19" t="s">
        <v>553</v>
      </c>
      <c r="F337" s="81" t="s">
        <v>554</v>
      </c>
      <c r="G337" s="69" t="s">
        <v>365</v>
      </c>
      <c r="H337" s="22">
        <f t="shared" si="7"/>
        <v>11</v>
      </c>
      <c r="I337" s="21">
        <v>1401</v>
      </c>
      <c r="J337" s="26"/>
      <c r="K337" s="23">
        <v>2500000</v>
      </c>
      <c r="L337" s="261" t="s">
        <v>555</v>
      </c>
    </row>
    <row r="338" spans="1:12" ht="15.75" customHeight="1">
      <c r="A338" s="67"/>
      <c r="B338" s="17">
        <f>SUMIFS('لیست واریزی کل خیرین'!B:B,'لیست واریزی کل خیرین'!D:D,Table1[[#This Row],[نام]],'لیست واریزی کل خیرین'!E:E,Table1[[#This Row],[نام خانوادگی]])</f>
        <v>35</v>
      </c>
      <c r="C338" s="21" t="s">
        <v>465</v>
      </c>
      <c r="D338" s="21" t="s">
        <v>466</v>
      </c>
      <c r="E338" s="19" t="s">
        <v>717</v>
      </c>
      <c r="F338" s="81" t="s">
        <v>467</v>
      </c>
      <c r="G338" s="69" t="s">
        <v>365</v>
      </c>
      <c r="H338" s="22">
        <f t="shared" si="7"/>
        <v>11</v>
      </c>
      <c r="I338" s="21">
        <v>1401</v>
      </c>
      <c r="J338" s="21"/>
      <c r="K338" s="23">
        <v>3000000</v>
      </c>
      <c r="L338" s="78"/>
    </row>
    <row r="339" spans="1:12" ht="15.75" customHeight="1">
      <c r="A339" s="67"/>
      <c r="B339" s="68">
        <f>SUMIFS('لیست واریزی کل خیرین'!B:B,'لیست واریزی کل خیرین'!D:D,Table1[[#This Row],[نام]],'لیست واریزی کل خیرین'!E:E,Table1[[#This Row],[نام خانوادگی]])</f>
        <v>60</v>
      </c>
      <c r="C339" s="69" t="s">
        <v>519</v>
      </c>
      <c r="D339" s="69" t="s">
        <v>567</v>
      </c>
      <c r="E339" s="92" t="s">
        <v>713</v>
      </c>
      <c r="F339" s="86" t="s">
        <v>568</v>
      </c>
      <c r="G339" s="69" t="s">
        <v>365</v>
      </c>
      <c r="H339" s="70">
        <f t="shared" si="7"/>
        <v>11</v>
      </c>
      <c r="I339" s="69">
        <v>1401</v>
      </c>
      <c r="J339" s="69"/>
      <c r="K339" s="93">
        <v>35000000</v>
      </c>
      <c r="L339" s="94"/>
    </row>
    <row r="340" spans="1:12" ht="15.75" customHeight="1">
      <c r="A340" s="67" t="s">
        <v>327</v>
      </c>
      <c r="B340" s="68">
        <f>SUMIFS('لیست واریزی کل خیرین'!B:B,'لیست واریزی کل خیرین'!D:D,Table1[[#This Row],[نام]],'لیست واریزی کل خیرین'!E:E,Table1[[#This Row],[نام خانوادگی]])</f>
        <v>83</v>
      </c>
      <c r="C340" s="69" t="s">
        <v>72</v>
      </c>
      <c r="D340" s="69" t="s">
        <v>706</v>
      </c>
      <c r="E340" s="92" t="s">
        <v>707</v>
      </c>
      <c r="F340" s="86" t="s">
        <v>708</v>
      </c>
      <c r="G340" s="69" t="s">
        <v>365</v>
      </c>
      <c r="H340" s="70">
        <f t="shared" si="7"/>
        <v>11</v>
      </c>
      <c r="I340" s="69">
        <v>1401</v>
      </c>
      <c r="J340" s="69"/>
      <c r="K340" s="93">
        <v>100000000</v>
      </c>
      <c r="L340" s="94"/>
    </row>
    <row r="341" spans="1:12" ht="15.75" customHeight="1">
      <c r="A341" s="67" t="s">
        <v>327</v>
      </c>
      <c r="B341" s="68">
        <f>SUMIFS('لیست واریزی کل خیرین'!B:B,'لیست واریزی کل خیرین'!D:D,Table1[[#This Row],[نام]],'لیست واریزی کل خیرین'!E:E,Table1[[#This Row],[نام خانوادگی]])</f>
        <v>85</v>
      </c>
      <c r="C341" s="21" t="s">
        <v>718</v>
      </c>
      <c r="D341" s="21" t="s">
        <v>719</v>
      </c>
      <c r="E341" s="92" t="s">
        <v>720</v>
      </c>
      <c r="F341" s="86" t="s">
        <v>721</v>
      </c>
      <c r="G341" s="69" t="s">
        <v>365</v>
      </c>
      <c r="H341" s="70">
        <f t="shared" si="7"/>
        <v>11</v>
      </c>
      <c r="I341" s="69">
        <v>1401</v>
      </c>
      <c r="J341" s="69"/>
      <c r="K341" s="93">
        <v>30000000</v>
      </c>
      <c r="L341" s="94"/>
    </row>
    <row r="342" spans="1:12" ht="15.75" customHeight="1">
      <c r="A342" s="67" t="s">
        <v>327</v>
      </c>
      <c r="B342" s="73">
        <f>SUMIFS('لیست واریزی کل خیرین'!B:B,'لیست واریزی کل خیرین'!D:D,Table1[[#This Row],[نام]],'لیست واریزی کل خیرین'!E:E,Table1[[#This Row],[نام خانوادگی]])</f>
        <v>23</v>
      </c>
      <c r="C342" s="21" t="s">
        <v>457</v>
      </c>
      <c r="D342" s="21" t="s">
        <v>390</v>
      </c>
      <c r="E342" s="212" t="s">
        <v>1067</v>
      </c>
      <c r="F342" s="87" t="s">
        <v>556</v>
      </c>
      <c r="G342" s="79" t="s">
        <v>365</v>
      </c>
      <c r="H342" s="75">
        <f t="shared" si="7"/>
        <v>11</v>
      </c>
      <c r="I342" s="79">
        <v>1401</v>
      </c>
      <c r="J342" s="74"/>
      <c r="K342" s="76">
        <v>10000000</v>
      </c>
      <c r="L342" s="209" t="s">
        <v>1068</v>
      </c>
    </row>
    <row r="343" spans="1:12" ht="15.75" customHeight="1">
      <c r="A343" s="67"/>
      <c r="B343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343" s="21" t="s">
        <v>344</v>
      </c>
      <c r="D343" s="21" t="s">
        <v>345</v>
      </c>
      <c r="E343" s="92" t="s">
        <v>1070</v>
      </c>
      <c r="F343" s="81" t="s">
        <v>669</v>
      </c>
      <c r="G343" s="74" t="s">
        <v>365</v>
      </c>
      <c r="H343" s="22">
        <f t="shared" si="7"/>
        <v>11</v>
      </c>
      <c r="I343" s="69">
        <v>1401</v>
      </c>
      <c r="J343" s="21"/>
      <c r="K343" s="23">
        <v>5000000</v>
      </c>
      <c r="L343" s="78" t="s">
        <v>1084</v>
      </c>
    </row>
    <row r="344" spans="1:12" ht="15.75" customHeight="1">
      <c r="A344" s="67"/>
      <c r="B344" s="73">
        <f>SUMIFS('لیست واریزی کل خیرین'!B:B,'لیست واریزی کل خیرین'!D:D,Table1[[#This Row],[نام]],'لیست واریزی کل خیرین'!E:E,Table1[[#This Row],[نام خانوادگی]])</f>
        <v>15</v>
      </c>
      <c r="C344" s="21" t="s">
        <v>372</v>
      </c>
      <c r="D344" s="21" t="s">
        <v>373</v>
      </c>
      <c r="E344" s="92" t="s">
        <v>1085</v>
      </c>
      <c r="F344" s="87" t="s">
        <v>1089</v>
      </c>
      <c r="G344" s="74" t="s">
        <v>365</v>
      </c>
      <c r="H344" s="75">
        <f t="shared" si="7"/>
        <v>11</v>
      </c>
      <c r="I344" s="79">
        <v>1401</v>
      </c>
      <c r="J344" s="74"/>
      <c r="K344" s="76">
        <v>10000000</v>
      </c>
      <c r="L344" s="78" t="s">
        <v>1100</v>
      </c>
    </row>
    <row r="345" spans="1:12" ht="15.75" customHeight="1">
      <c r="A345" s="67"/>
      <c r="B345" s="17">
        <f>SUMIFS('لیست واریزی کل خیرین'!B:B,'لیست واریزی کل خیرین'!D:D,Table1[[#This Row],[نام]],'لیست واریزی کل خیرین'!E:E,Table1[[#This Row],[نام خانوادگی]])</f>
        <v>25</v>
      </c>
      <c r="C345" s="21" t="s">
        <v>401</v>
      </c>
      <c r="D345" s="21" t="s">
        <v>402</v>
      </c>
      <c r="E345" s="19" t="s">
        <v>725</v>
      </c>
      <c r="F345" s="81" t="s">
        <v>438</v>
      </c>
      <c r="G345" s="21" t="s">
        <v>368</v>
      </c>
      <c r="H345" s="22">
        <f t="shared" si="7"/>
        <v>12</v>
      </c>
      <c r="I345" s="21">
        <v>1401</v>
      </c>
      <c r="J345" s="21"/>
      <c r="K345" s="23">
        <v>30000000</v>
      </c>
      <c r="L345" s="78"/>
    </row>
    <row r="346" spans="1:12" ht="15.75" customHeight="1">
      <c r="A346" s="67" t="s">
        <v>327</v>
      </c>
      <c r="B346" s="73">
        <f>SUMIFS('لیست واریزی کل خیرین'!B:B,'لیست واریزی کل خیرین'!D:D,Table1[[#This Row],[نام]],'لیست واریزی کل خیرین'!E:E,Table1[[#This Row],[نام خانوادگی]])</f>
        <v>74</v>
      </c>
      <c r="C346" s="21" t="s">
        <v>640</v>
      </c>
      <c r="D346" s="21" t="s">
        <v>641</v>
      </c>
      <c r="E346" s="210" t="s">
        <v>729</v>
      </c>
      <c r="F346" s="87" t="s">
        <v>643</v>
      </c>
      <c r="G346" s="74" t="s">
        <v>368</v>
      </c>
      <c r="H346" s="75">
        <f t="shared" si="7"/>
        <v>12</v>
      </c>
      <c r="I346" s="21">
        <v>1401</v>
      </c>
      <c r="J346" s="74"/>
      <c r="K346" s="76">
        <v>5000000</v>
      </c>
      <c r="L346" s="213"/>
    </row>
    <row r="347" spans="1:12" ht="15.75" customHeight="1">
      <c r="A347" s="67"/>
      <c r="B347" s="17">
        <f>SUMIFS('لیست واریزی کل خیرین'!B:B,'لیست واریزی کل خیرین'!D:D,Table1[[#This Row],[نام]],'لیست واریزی کل خیرین'!E:E,Table1[[#This Row],[نام خانوادگی]])</f>
        <v>81</v>
      </c>
      <c r="C347" s="21" t="s">
        <v>692</v>
      </c>
      <c r="D347" s="21" t="s">
        <v>693</v>
      </c>
      <c r="E347" s="19" t="s">
        <v>729</v>
      </c>
      <c r="F347" s="81" t="s">
        <v>695</v>
      </c>
      <c r="G347" s="21" t="s">
        <v>368</v>
      </c>
      <c r="H347" s="22">
        <f t="shared" si="7"/>
        <v>12</v>
      </c>
      <c r="I347" s="21">
        <v>1401</v>
      </c>
      <c r="J347" s="21"/>
      <c r="K347" s="23">
        <v>2500000</v>
      </c>
      <c r="L347" s="78"/>
    </row>
    <row r="348" spans="1:12" ht="15.75" customHeight="1">
      <c r="A348" s="67"/>
      <c r="B348" s="17">
        <f>SUMIFS('لیست واریزی کل خیرین'!B:B,'لیست واریزی کل خیرین'!D:D,Table1[[#This Row],[نام]],'لیست واریزی کل خیرین'!E:E,Table1[[#This Row],[نام خانوادگی]])</f>
        <v>59</v>
      </c>
      <c r="C348" s="18" t="s">
        <v>564</v>
      </c>
      <c r="D348" s="18" t="s">
        <v>565</v>
      </c>
      <c r="E348" s="19" t="s">
        <v>727</v>
      </c>
      <c r="F348" s="81" t="s">
        <v>566</v>
      </c>
      <c r="G348" s="21" t="s">
        <v>368</v>
      </c>
      <c r="H348" s="22">
        <f t="shared" si="7"/>
        <v>12</v>
      </c>
      <c r="I348" s="21">
        <v>1401</v>
      </c>
      <c r="J348" s="21"/>
      <c r="K348" s="23">
        <v>3000000</v>
      </c>
      <c r="L348" s="78"/>
    </row>
    <row r="349" spans="1:12" ht="15.75" customHeight="1">
      <c r="A349" s="67" t="s">
        <v>327</v>
      </c>
      <c r="B349" s="17">
        <f>SUMIFS('لیست واریزی کل خیرین'!B:B,'لیست واریزی کل خیرین'!D:D,Table1[[#This Row],[نام]],'لیست واریزی کل خیرین'!E:E,Table1[[#This Row],[نام خانوادگی]])</f>
        <v>13</v>
      </c>
      <c r="C349" s="25" t="s">
        <v>355</v>
      </c>
      <c r="D349" s="25" t="s">
        <v>369</v>
      </c>
      <c r="E349" s="19" t="s">
        <v>553</v>
      </c>
      <c r="F349" s="81" t="s">
        <v>554</v>
      </c>
      <c r="G349" s="69" t="s">
        <v>368</v>
      </c>
      <c r="H349" s="22">
        <f t="shared" si="7"/>
        <v>12</v>
      </c>
      <c r="I349" s="21">
        <v>1401</v>
      </c>
      <c r="J349" s="26"/>
      <c r="K349" s="23">
        <v>2500000</v>
      </c>
      <c r="L349" s="263" t="s">
        <v>555</v>
      </c>
    </row>
    <row r="350" spans="1:12" ht="15.75" customHeight="1">
      <c r="A350" s="67"/>
      <c r="B350" s="68">
        <f>SUMIFS('لیست واریزی کل خیرین'!B:B,'لیست واریزی کل خیرین'!D:D,Table1[[#This Row],[نام]],'لیست واریزی کل خیرین'!E:E,Table1[[#This Row],[نام خانوادگی]])</f>
        <v>72</v>
      </c>
      <c r="C350" s="69" t="s">
        <v>457</v>
      </c>
      <c r="D350" s="69" t="s">
        <v>619</v>
      </c>
      <c r="E350" s="92" t="s">
        <v>727</v>
      </c>
      <c r="F350" s="86" t="s">
        <v>728</v>
      </c>
      <c r="G350" s="69" t="s">
        <v>368</v>
      </c>
      <c r="H350" s="70">
        <f t="shared" si="7"/>
        <v>12</v>
      </c>
      <c r="I350" s="69">
        <v>1401</v>
      </c>
      <c r="J350" s="69"/>
      <c r="K350" s="93">
        <v>10000000</v>
      </c>
      <c r="L350" s="94"/>
    </row>
    <row r="351" spans="1:12" ht="15.75" customHeight="1">
      <c r="A351" s="67"/>
      <c r="B351" s="68">
        <f>SUMIFS('لیست واریزی کل خیرین'!B:B,'لیست واریزی کل خیرین'!D:D,Table1[[#This Row],[نام]],'لیست واریزی کل خیرین'!E:E,Table1[[#This Row],[نام خانوادگی]])</f>
        <v>60</v>
      </c>
      <c r="C351" s="69" t="s">
        <v>519</v>
      </c>
      <c r="D351" s="69" t="s">
        <v>567</v>
      </c>
      <c r="E351" s="92" t="s">
        <v>724</v>
      </c>
      <c r="F351" s="86" t="s">
        <v>568</v>
      </c>
      <c r="G351" s="21" t="s">
        <v>368</v>
      </c>
      <c r="H351" s="70">
        <f t="shared" si="7"/>
        <v>12</v>
      </c>
      <c r="I351" s="69">
        <v>1401</v>
      </c>
      <c r="J351" s="69"/>
      <c r="K351" s="93">
        <v>30000000</v>
      </c>
      <c r="L351" s="94"/>
    </row>
    <row r="352" spans="1:12" ht="15.75" customHeight="1">
      <c r="A352" s="67" t="s">
        <v>327</v>
      </c>
      <c r="B352" s="17">
        <f>SUMIFS('لیست واریزی کل خیرین'!B:B,'لیست واریزی کل خیرین'!D:D,Table1[[#This Row],[نام]],'لیست واریزی کل خیرین'!E:E,Table1[[#This Row],[نام خانوادگی]])</f>
        <v>85</v>
      </c>
      <c r="C352" s="21" t="s">
        <v>718</v>
      </c>
      <c r="D352" s="21" t="s">
        <v>719</v>
      </c>
      <c r="E352" s="19" t="s">
        <v>725</v>
      </c>
      <c r="F352" s="81" t="s">
        <v>721</v>
      </c>
      <c r="G352" s="21" t="s">
        <v>368</v>
      </c>
      <c r="H352" s="22">
        <f t="shared" si="7"/>
        <v>12</v>
      </c>
      <c r="I352" s="21">
        <v>1401</v>
      </c>
      <c r="J352" s="21"/>
      <c r="K352" s="23">
        <v>20000000</v>
      </c>
      <c r="L352" s="78"/>
    </row>
    <row r="353" spans="1:12" ht="15.75" customHeight="1">
      <c r="A353" s="67" t="s">
        <v>327</v>
      </c>
      <c r="B353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353" s="21" t="s">
        <v>349</v>
      </c>
      <c r="D353" s="21" t="s">
        <v>350</v>
      </c>
      <c r="E353" s="19" t="s">
        <v>1063</v>
      </c>
      <c r="F353" s="81" t="s">
        <v>448</v>
      </c>
      <c r="G353" s="74" t="s">
        <v>368</v>
      </c>
      <c r="H353" s="22">
        <f t="shared" si="7"/>
        <v>12</v>
      </c>
      <c r="I353" s="21">
        <v>1401</v>
      </c>
      <c r="J353" s="21"/>
      <c r="K353" s="23">
        <v>10000000</v>
      </c>
      <c r="L353" s="213"/>
    </row>
    <row r="354" spans="1:12" ht="15.75" customHeight="1">
      <c r="A354" s="67" t="s">
        <v>327</v>
      </c>
      <c r="B354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354" s="21" t="s">
        <v>355</v>
      </c>
      <c r="D354" s="21" t="s">
        <v>356</v>
      </c>
      <c r="E354" s="19" t="s">
        <v>1064</v>
      </c>
      <c r="F354" s="81" t="s">
        <v>464</v>
      </c>
      <c r="G354" s="74" t="s">
        <v>368</v>
      </c>
      <c r="H354" s="22">
        <f t="shared" si="7"/>
        <v>12</v>
      </c>
      <c r="I354" s="69">
        <v>1401</v>
      </c>
      <c r="J354" s="21"/>
      <c r="K354" s="23">
        <v>20000000</v>
      </c>
      <c r="L354" s="78" t="s">
        <v>1101</v>
      </c>
    </row>
    <row r="355" spans="1:12" ht="15.75" customHeight="1">
      <c r="A355" s="67" t="s">
        <v>327</v>
      </c>
      <c r="B355" s="73">
        <f>SUMIFS('لیست واریزی کل خیرین'!B:B,'لیست واریزی کل خیرین'!D:D,Table1[[#This Row],[نام]],'لیست واریزی کل خیرین'!E:E,Table1[[#This Row],[نام خانوادگی]])</f>
        <v>70</v>
      </c>
      <c r="C355" s="21" t="s">
        <v>72</v>
      </c>
      <c r="D355" s="21" t="s">
        <v>615</v>
      </c>
      <c r="E355" s="19" t="s">
        <v>1065</v>
      </c>
      <c r="F355" s="81" t="s">
        <v>650</v>
      </c>
      <c r="G355" s="74" t="s">
        <v>368</v>
      </c>
      <c r="H355" s="22">
        <f t="shared" si="7"/>
        <v>12</v>
      </c>
      <c r="I355" s="69">
        <v>1401</v>
      </c>
      <c r="J355" s="21"/>
      <c r="K355" s="23">
        <v>10000000</v>
      </c>
      <c r="L355" s="213"/>
    </row>
    <row r="356" spans="1:12" ht="15.75" customHeight="1">
      <c r="A356" s="67" t="s">
        <v>327</v>
      </c>
      <c r="B356" s="73">
        <f>SUMIFS('لیست واریزی کل خیرین'!B:B,'لیست واریزی کل خیرین'!D:D,Table1[[#This Row],[نام]],'لیست واریزی کل خیرین'!E:E,Table1[[#This Row],[نام خانوادگی]])</f>
        <v>86</v>
      </c>
      <c r="C356" s="199" t="s">
        <v>412</v>
      </c>
      <c r="D356" s="199" t="s">
        <v>1069</v>
      </c>
      <c r="E356" s="210" t="s">
        <v>1070</v>
      </c>
      <c r="F356" s="87" t="s">
        <v>1071</v>
      </c>
      <c r="G356" s="74" t="s">
        <v>368</v>
      </c>
      <c r="H356" s="75">
        <f t="shared" si="7"/>
        <v>12</v>
      </c>
      <c r="I356" s="79">
        <v>1401</v>
      </c>
      <c r="J356" s="74"/>
      <c r="K356" s="76">
        <v>20000000</v>
      </c>
      <c r="L356" s="213" t="s">
        <v>1072</v>
      </c>
    </row>
    <row r="357" spans="1:12" ht="15.75" customHeight="1">
      <c r="A357" s="67"/>
      <c r="B357" s="73">
        <f>SUMIFS('لیست واریزی کل خیرین'!B:B,'لیست واریزی کل خیرین'!D:D,Table1[[#This Row],[نام]],'لیست واریزی کل خیرین'!E:E,Table1[[#This Row],[نام خانوادگی]])</f>
        <v>11</v>
      </c>
      <c r="C357" s="21" t="s">
        <v>363</v>
      </c>
      <c r="D357" s="21" t="s">
        <v>364</v>
      </c>
      <c r="E357" s="19" t="s">
        <v>1060</v>
      </c>
      <c r="F357" s="81" t="s">
        <v>442</v>
      </c>
      <c r="G357" s="74" t="s">
        <v>368</v>
      </c>
      <c r="H357" s="22">
        <f t="shared" si="7"/>
        <v>12</v>
      </c>
      <c r="I357" s="69">
        <v>1401</v>
      </c>
      <c r="J357" s="21"/>
      <c r="K357" s="23">
        <v>30000000</v>
      </c>
      <c r="L357" s="213"/>
    </row>
    <row r="358" spans="1:12" ht="15.75" customHeight="1">
      <c r="A358" s="67"/>
      <c r="B358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358" s="21" t="s">
        <v>344</v>
      </c>
      <c r="D358" s="21" t="s">
        <v>345</v>
      </c>
      <c r="E358" s="19" t="s">
        <v>1070</v>
      </c>
      <c r="F358" s="81" t="s">
        <v>669</v>
      </c>
      <c r="G358" s="74" t="s">
        <v>368</v>
      </c>
      <c r="H358" s="22">
        <f t="shared" si="7"/>
        <v>12</v>
      </c>
      <c r="I358" s="69">
        <v>1401</v>
      </c>
      <c r="J358" s="21"/>
      <c r="K358" s="23">
        <v>5000000</v>
      </c>
      <c r="L358" s="94" t="s">
        <v>1084</v>
      </c>
    </row>
    <row r="359" spans="1:12" ht="15.75" customHeight="1">
      <c r="A359" s="67"/>
      <c r="B359" s="73">
        <f>SUMIFS('لیست واریزی کل خیرین'!B:B,'لیست واریزی کل خیرین'!D:D,Table1[[#This Row],[نام]],'لیست واریزی کل خیرین'!E:E,Table1[[#This Row],[نام خانوادگی]])</f>
        <v>87</v>
      </c>
      <c r="C359" s="21" t="s">
        <v>376</v>
      </c>
      <c r="D359" s="21" t="s">
        <v>1086</v>
      </c>
      <c r="E359" s="19" t="s">
        <v>1085</v>
      </c>
      <c r="F359" s="87" t="s">
        <v>1087</v>
      </c>
      <c r="G359" s="74" t="s">
        <v>368</v>
      </c>
      <c r="H359" s="75">
        <f t="shared" si="7"/>
        <v>12</v>
      </c>
      <c r="I359" s="79">
        <v>1401</v>
      </c>
      <c r="J359" s="74"/>
      <c r="K359" s="76">
        <v>100000000</v>
      </c>
      <c r="L359" s="213" t="s">
        <v>1088</v>
      </c>
    </row>
    <row r="360" spans="1:12" ht="15.75" customHeight="1">
      <c r="A360" s="67"/>
      <c r="B360" s="73">
        <f>SUMIFS('لیست واریزی کل خیرین'!B:B,'لیست واریزی کل خیرین'!D:D,Table1[[#This Row],[نام]],'لیست واریزی کل خیرین'!E:E,Table1[[#This Row],[نام خانوادگی]])</f>
        <v>15</v>
      </c>
      <c r="C360" s="21" t="s">
        <v>372</v>
      </c>
      <c r="D360" s="21" t="s">
        <v>373</v>
      </c>
      <c r="E360" s="19" t="s">
        <v>1085</v>
      </c>
      <c r="F360" s="87" t="s">
        <v>1089</v>
      </c>
      <c r="G360" s="74" t="s">
        <v>368</v>
      </c>
      <c r="H360" s="75">
        <f t="shared" si="7"/>
        <v>12</v>
      </c>
      <c r="I360" s="79">
        <v>1401</v>
      </c>
      <c r="J360" s="74"/>
      <c r="K360" s="76">
        <v>20000000</v>
      </c>
      <c r="L360" s="78" t="s">
        <v>1100</v>
      </c>
    </row>
    <row r="361" spans="1:12" ht="15.75" customHeight="1">
      <c r="A361" s="67"/>
      <c r="B361" s="73">
        <f>SUMIFS('لیست واریزی کل خیرین'!B:B,'لیست واریزی کل خیرین'!D:D,Table1[[#This Row],[نام]],'لیست واریزی کل خیرین'!E:E,Table1[[#This Row],[نام خانوادگی]])</f>
        <v>16</v>
      </c>
      <c r="C361" s="21" t="s">
        <v>366</v>
      </c>
      <c r="D361" s="21" t="s">
        <v>374</v>
      </c>
      <c r="E361" s="19" t="s">
        <v>1090</v>
      </c>
      <c r="F361" s="87" t="s">
        <v>637</v>
      </c>
      <c r="G361" s="74" t="s">
        <v>368</v>
      </c>
      <c r="H361" s="75">
        <f t="shared" si="7"/>
        <v>12</v>
      </c>
      <c r="I361" s="74">
        <v>1401</v>
      </c>
      <c r="J361" s="74"/>
      <c r="K361" s="76">
        <v>3000000</v>
      </c>
      <c r="L361" s="267" t="s">
        <v>1274</v>
      </c>
    </row>
    <row r="362" spans="1:12" ht="15.75" customHeight="1">
      <c r="A362" s="67"/>
      <c r="B362" s="73">
        <f>SUMIFS('لیست واریزی کل خیرین'!B:B,'لیست واریزی کل خیرین'!D:D,Table1[[#This Row],[نام]],'لیست واریزی کل خیرین'!E:E,Table1[[#This Row],[نام خانوادگی]])</f>
        <v>69</v>
      </c>
      <c r="C362" s="21" t="s">
        <v>612</v>
      </c>
      <c r="D362" s="21" t="s">
        <v>613</v>
      </c>
      <c r="E362" s="19" t="s">
        <v>1090</v>
      </c>
      <c r="F362" s="87" t="s">
        <v>1091</v>
      </c>
      <c r="G362" s="74" t="s">
        <v>368</v>
      </c>
      <c r="H362" s="75">
        <f t="shared" si="7"/>
        <v>12</v>
      </c>
      <c r="I362" s="79">
        <v>1401</v>
      </c>
      <c r="J362" s="74"/>
      <c r="K362" s="76">
        <v>5000000</v>
      </c>
      <c r="L362" s="209"/>
    </row>
    <row r="363" spans="1:12" ht="15.75" customHeight="1">
      <c r="A363" s="67"/>
      <c r="B363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363" s="21" t="s">
        <v>340</v>
      </c>
      <c r="D363" s="21" t="s">
        <v>341</v>
      </c>
      <c r="E363" s="19" t="s">
        <v>1090</v>
      </c>
      <c r="F363" s="87" t="s">
        <v>1093</v>
      </c>
      <c r="G363" s="74" t="s">
        <v>368</v>
      </c>
      <c r="H363" s="75">
        <f t="shared" si="7"/>
        <v>12</v>
      </c>
      <c r="I363" s="79">
        <v>1401</v>
      </c>
      <c r="J363" s="74"/>
      <c r="K363" s="76">
        <v>2000000</v>
      </c>
      <c r="L363" s="209"/>
    </row>
    <row r="364" spans="1:12" ht="15.75" customHeight="1">
      <c r="A364" s="67"/>
      <c r="B364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364" s="21" t="s">
        <v>340</v>
      </c>
      <c r="D364" s="21" t="s">
        <v>341</v>
      </c>
      <c r="E364" s="19" t="s">
        <v>1090</v>
      </c>
      <c r="F364" s="87" t="s">
        <v>1093</v>
      </c>
      <c r="G364" s="74" t="s">
        <v>368</v>
      </c>
      <c r="H364" s="75">
        <f t="shared" si="7"/>
        <v>12</v>
      </c>
      <c r="I364" s="79">
        <v>1401</v>
      </c>
      <c r="J364" s="74"/>
      <c r="K364" s="76">
        <v>5000000</v>
      </c>
      <c r="L364" s="209" t="s">
        <v>1094</v>
      </c>
    </row>
    <row r="365" spans="1:12" ht="15.75" customHeight="1">
      <c r="A365" s="67"/>
      <c r="B365" s="73">
        <f>SUMIFS('لیست واریزی کل خیرین'!B:B,'لیست واریزی کل خیرین'!D:D,Table1[[#This Row],[نام]],'لیست واریزی کل خیرین'!E:E,Table1[[#This Row],[نام خانوادگی]])</f>
        <v>55</v>
      </c>
      <c r="C365" s="21" t="s">
        <v>418</v>
      </c>
      <c r="D365" s="21" t="s">
        <v>1095</v>
      </c>
      <c r="E365" s="19" t="s">
        <v>1090</v>
      </c>
      <c r="F365" s="87" t="s">
        <v>1096</v>
      </c>
      <c r="G365" s="74" t="s">
        <v>368</v>
      </c>
      <c r="H365" s="75">
        <f t="shared" si="7"/>
        <v>12</v>
      </c>
      <c r="I365" s="79">
        <v>1401</v>
      </c>
      <c r="J365" s="74"/>
      <c r="K365" s="76">
        <v>3000000</v>
      </c>
      <c r="L365" s="209" t="s">
        <v>1094</v>
      </c>
    </row>
    <row r="366" spans="1:12" ht="15.75" customHeight="1">
      <c r="A366" s="67"/>
      <c r="B366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366" s="21" t="s">
        <v>349</v>
      </c>
      <c r="D366" s="21" t="s">
        <v>350</v>
      </c>
      <c r="E366" s="19" t="s">
        <v>1097</v>
      </c>
      <c r="F366" s="87" t="s">
        <v>1098</v>
      </c>
      <c r="G366" s="74" t="s">
        <v>368</v>
      </c>
      <c r="H366" s="75">
        <f t="shared" si="7"/>
        <v>12</v>
      </c>
      <c r="I366" s="79">
        <v>1401</v>
      </c>
      <c r="J366" s="74"/>
      <c r="K366" s="76">
        <v>50000000</v>
      </c>
      <c r="L366" s="209" t="s">
        <v>1094</v>
      </c>
    </row>
    <row r="367" spans="1:12" ht="15.75" customHeight="1">
      <c r="A367" s="67"/>
      <c r="B367" s="73">
        <f>SUMIFS('لیست واریزی کل خیرین'!B:B,'لیست واریزی کل خیرین'!D:D,Table1[[#This Row],[نام]],'لیست واریزی کل خیرین'!E:E,Table1[[#This Row],[نام خانوادگی]])</f>
        <v>34</v>
      </c>
      <c r="C367" s="21" t="s">
        <v>457</v>
      </c>
      <c r="D367" s="21" t="s">
        <v>458</v>
      </c>
      <c r="E367" s="19" t="s">
        <v>1097</v>
      </c>
      <c r="F367" s="87" t="s">
        <v>639</v>
      </c>
      <c r="G367" s="74" t="s">
        <v>368</v>
      </c>
      <c r="H367" s="75">
        <f t="shared" si="7"/>
        <v>12</v>
      </c>
      <c r="I367" s="79">
        <v>1401</v>
      </c>
      <c r="J367" s="74"/>
      <c r="K367" s="76">
        <v>5000000</v>
      </c>
      <c r="L367" s="209" t="s">
        <v>1094</v>
      </c>
    </row>
    <row r="368" spans="1:12" ht="15.75" customHeight="1">
      <c r="A368" s="67"/>
      <c r="B368" s="73">
        <f>SUMIFS('لیست واریزی کل خیرین'!B:B,'لیست واریزی کل خیرین'!D:D,Table1[[#This Row],[نام]],'لیست واریزی کل خیرین'!E:E,Table1[[#This Row],[نام خانوادگی]])</f>
        <v>35</v>
      </c>
      <c r="C368" s="21" t="s">
        <v>465</v>
      </c>
      <c r="D368" s="21" t="s">
        <v>466</v>
      </c>
      <c r="E368" s="19" t="s">
        <v>1097</v>
      </c>
      <c r="F368" s="87" t="s">
        <v>467</v>
      </c>
      <c r="G368" s="74" t="s">
        <v>368</v>
      </c>
      <c r="H368" s="75">
        <f t="shared" si="7"/>
        <v>12</v>
      </c>
      <c r="I368" s="79">
        <v>1401</v>
      </c>
      <c r="J368" s="74"/>
      <c r="K368" s="76">
        <v>8000000</v>
      </c>
      <c r="L368" s="209" t="s">
        <v>1099</v>
      </c>
    </row>
    <row r="369" spans="1:13" ht="15.75" customHeight="1">
      <c r="A369" s="67"/>
      <c r="B369" s="73">
        <f>SUMIFS('لیست واریزی کل خیرین'!B:B,'لیست واریزی کل خیرین'!D:D,Table1[[#This Row],[نام]],'لیست واریزی کل خیرین'!E:E,Table1[[#This Row],[نام خانوادگی]])</f>
        <v>15</v>
      </c>
      <c r="C369" s="21" t="s">
        <v>372</v>
      </c>
      <c r="D369" s="21" t="s">
        <v>373</v>
      </c>
      <c r="E369" s="19" t="s">
        <v>1097</v>
      </c>
      <c r="F369" s="87" t="s">
        <v>1089</v>
      </c>
      <c r="G369" s="74" t="s">
        <v>368</v>
      </c>
      <c r="H369" s="75">
        <f t="shared" si="7"/>
        <v>12</v>
      </c>
      <c r="I369" s="74">
        <v>1401</v>
      </c>
      <c r="J369" s="74"/>
      <c r="K369" s="76">
        <v>30000000</v>
      </c>
      <c r="L369" s="209" t="s">
        <v>1094</v>
      </c>
    </row>
    <row r="370" spans="1:13" ht="15.75" customHeight="1">
      <c r="A370" s="67"/>
      <c r="B370" s="73">
        <f>SUMIFS('لیست واریزی کل خیرین'!B:B,'لیست واریزی کل خیرین'!D:D,Table1[[#This Row],[نام]],'لیست واریزی کل خیرین'!E:E,Table1[[#This Row],[نام خانوادگی]])</f>
        <v>22</v>
      </c>
      <c r="C370" s="21" t="s">
        <v>387</v>
      </c>
      <c r="D370" s="21" t="s">
        <v>388</v>
      </c>
      <c r="E370" s="19" t="s">
        <v>1102</v>
      </c>
      <c r="F370" s="87" t="s">
        <v>1112</v>
      </c>
      <c r="G370" s="74" t="s">
        <v>368</v>
      </c>
      <c r="H370" s="75">
        <f t="shared" si="7"/>
        <v>12</v>
      </c>
      <c r="I370" s="74">
        <v>1401</v>
      </c>
      <c r="J370" s="74"/>
      <c r="K370" s="76">
        <v>5000000</v>
      </c>
      <c r="L370" s="209"/>
    </row>
    <row r="371" spans="1:13" ht="15.75" customHeight="1">
      <c r="A371" s="67"/>
      <c r="B371" s="73">
        <f>SUMIFS('لیست واریزی کل خیرین'!B:B,'لیست واریزی کل خیرین'!D:D,Table1[[#This Row],[نام]],'لیست واریزی کل خیرین'!E:E,Table1[[#This Row],[نام خانوادگی]])</f>
        <v>2</v>
      </c>
      <c r="C371" s="21" t="s">
        <v>333</v>
      </c>
      <c r="D371" s="36" t="s">
        <v>334</v>
      </c>
      <c r="E371" s="19" t="s">
        <v>1102</v>
      </c>
      <c r="F371" s="87" t="s">
        <v>637</v>
      </c>
      <c r="G371" s="74" t="s">
        <v>368</v>
      </c>
      <c r="H371" s="75">
        <f t="shared" si="7"/>
        <v>12</v>
      </c>
      <c r="I371" s="79">
        <v>1401</v>
      </c>
      <c r="J371" s="74"/>
      <c r="K371" s="76">
        <v>70000000</v>
      </c>
      <c r="L371" s="213"/>
    </row>
    <row r="372" spans="1:13" ht="15.75" customHeight="1">
      <c r="A372" s="67"/>
      <c r="B372" s="73">
        <f>SUMIFS('لیست واریزی کل خیرین'!B:B,'لیست واریزی کل خیرین'!D:D,Table1[[#This Row],[نام]],'لیست واریزی کل خیرین'!E:E,Table1[[#This Row],[نام خانوادگی]])</f>
        <v>88</v>
      </c>
      <c r="C372" s="21" t="s">
        <v>76</v>
      </c>
      <c r="D372" s="21" t="s">
        <v>1265</v>
      </c>
      <c r="E372" s="19" t="s">
        <v>1102</v>
      </c>
      <c r="F372" s="87" t="s">
        <v>697</v>
      </c>
      <c r="G372" s="74" t="s">
        <v>368</v>
      </c>
      <c r="H372" s="75">
        <f t="shared" si="7"/>
        <v>12</v>
      </c>
      <c r="I372" s="79">
        <v>1401</v>
      </c>
      <c r="J372" s="74"/>
      <c r="K372" s="76">
        <v>3000000</v>
      </c>
      <c r="L372" s="94" t="s">
        <v>1103</v>
      </c>
    </row>
    <row r="373" spans="1:13" ht="15.75" customHeight="1">
      <c r="A373" s="67"/>
      <c r="B373" s="73">
        <f>SUMIFS('لیست واریزی کل خیرین'!B:B,'لیست واریزی کل خیرین'!D:D,Table1[[#This Row],[نام]],'لیست واریزی کل خیرین'!E:E,Table1[[#This Row],[نام خانوادگی]])</f>
        <v>88</v>
      </c>
      <c r="C373" s="21" t="s">
        <v>76</v>
      </c>
      <c r="D373" s="21" t="s">
        <v>1265</v>
      </c>
      <c r="E373" s="19" t="s">
        <v>1102</v>
      </c>
      <c r="F373" s="87" t="s">
        <v>697</v>
      </c>
      <c r="G373" s="74" t="s">
        <v>368</v>
      </c>
      <c r="H373" s="75">
        <f t="shared" si="7"/>
        <v>12</v>
      </c>
      <c r="I373" s="79">
        <v>1401</v>
      </c>
      <c r="J373" s="74"/>
      <c r="K373" s="76">
        <v>10000000</v>
      </c>
      <c r="L373" s="78" t="s">
        <v>1103</v>
      </c>
    </row>
    <row r="374" spans="1:13" ht="15.75" customHeight="1">
      <c r="A374" s="67"/>
      <c r="B374" s="73">
        <f>SUMIFS('لیست واریزی کل خیرین'!B:B,'لیست واریزی کل خیرین'!D:D,Table1[[#This Row],[نام]],'لیست واریزی کل خیرین'!E:E,Table1[[#This Row],[نام خانوادگی]])</f>
        <v>19</v>
      </c>
      <c r="C374" s="21" t="s">
        <v>363</v>
      </c>
      <c r="D374" s="21" t="s">
        <v>380</v>
      </c>
      <c r="E374" s="19" t="s">
        <v>1104</v>
      </c>
      <c r="F374" s="87" t="s">
        <v>1114</v>
      </c>
      <c r="G374" s="74" t="s">
        <v>368</v>
      </c>
      <c r="H374" s="75">
        <f t="shared" si="7"/>
        <v>12</v>
      </c>
      <c r="I374" s="79">
        <v>1401</v>
      </c>
      <c r="J374" s="74"/>
      <c r="K374" s="76">
        <v>10000000</v>
      </c>
      <c r="L374" s="209" t="s">
        <v>1094</v>
      </c>
    </row>
    <row r="375" spans="1:13" ht="15.75" customHeight="1">
      <c r="A375" s="67"/>
      <c r="B375" s="73">
        <f>SUMIFS('لیست واریزی کل خیرین'!B:B,'لیست واریزی کل خیرین'!D:D,Table1[[#This Row],[نام]],'لیست واریزی کل خیرین'!E:E,Table1[[#This Row],[نام خانوادگی]])</f>
        <v>37</v>
      </c>
      <c r="C375" s="253" t="s">
        <v>481</v>
      </c>
      <c r="D375" s="253" t="s">
        <v>482</v>
      </c>
      <c r="E375" s="19" t="s">
        <v>1104</v>
      </c>
      <c r="F375" s="87" t="s">
        <v>1113</v>
      </c>
      <c r="G375" s="74" t="s">
        <v>368</v>
      </c>
      <c r="H375" s="75">
        <f t="shared" si="7"/>
        <v>12</v>
      </c>
      <c r="I375" s="74">
        <v>1401</v>
      </c>
      <c r="J375" s="74"/>
      <c r="K375" s="76">
        <v>5000000</v>
      </c>
      <c r="L375" s="209" t="s">
        <v>1094</v>
      </c>
    </row>
    <row r="376" spans="1:13" ht="15.75" customHeight="1">
      <c r="A376" s="67"/>
      <c r="B376" s="73">
        <f>SUMIFS('لیست واریزی کل خیرین'!B:B,'لیست واریزی کل خیرین'!D:D,Table1[[#This Row],[نام]],'لیست واریزی کل خیرین'!E:E,Table1[[#This Row],[نام خانوادگی]])</f>
        <v>90</v>
      </c>
      <c r="C376" s="216" t="s">
        <v>465</v>
      </c>
      <c r="D376" s="216" t="s">
        <v>1115</v>
      </c>
      <c r="E376" s="19" t="s">
        <v>1104</v>
      </c>
      <c r="F376" s="87" t="s">
        <v>1116</v>
      </c>
      <c r="G376" s="74" t="s">
        <v>368</v>
      </c>
      <c r="H376" s="75">
        <f t="shared" si="7"/>
        <v>12</v>
      </c>
      <c r="I376" s="74">
        <v>1401</v>
      </c>
      <c r="J376" s="74"/>
      <c r="K376" s="76">
        <v>20000000</v>
      </c>
      <c r="L376" s="209"/>
    </row>
    <row r="377" spans="1:13" ht="15.75" customHeight="1">
      <c r="A377" s="67"/>
      <c r="B377" s="73">
        <f>SUMIFS('لیست واریزی کل خیرین'!B:B,'لیست واریزی کل خیرین'!D:D,Table1[[#This Row],[نام]],'لیست واریزی کل خیرین'!E:E,Table1[[#This Row],[نام خانوادگی]])</f>
        <v>91</v>
      </c>
      <c r="C377" s="216" t="s">
        <v>1117</v>
      </c>
      <c r="D377" s="216" t="s">
        <v>1118</v>
      </c>
      <c r="E377" s="19" t="s">
        <v>1104</v>
      </c>
      <c r="F377" s="87" t="s">
        <v>637</v>
      </c>
      <c r="G377" s="74" t="s">
        <v>368</v>
      </c>
      <c r="H377" s="75">
        <f t="shared" si="7"/>
        <v>12</v>
      </c>
      <c r="I377" s="74">
        <v>1401</v>
      </c>
      <c r="J377" s="74"/>
      <c r="K377" s="76">
        <v>5000000</v>
      </c>
      <c r="L377" s="209"/>
    </row>
    <row r="378" spans="1:13" ht="15.75" customHeight="1">
      <c r="A378" s="67"/>
      <c r="B378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378" s="18" t="s">
        <v>391</v>
      </c>
      <c r="D378" s="18" t="s">
        <v>392</v>
      </c>
      <c r="E378" s="19" t="s">
        <v>1105</v>
      </c>
      <c r="F378" s="81" t="s">
        <v>1279</v>
      </c>
      <c r="G378" s="21" t="s">
        <v>368</v>
      </c>
      <c r="H378" s="22">
        <f>IF(G378="","",VLOOKUP(G378,mah,2,0))</f>
        <v>12</v>
      </c>
      <c r="I378" s="21">
        <v>1401</v>
      </c>
      <c r="J378" s="21"/>
      <c r="K378" s="23">
        <v>18131471</v>
      </c>
      <c r="L378" s="91"/>
      <c r="M378" s="268"/>
    </row>
    <row r="379" spans="1:13" ht="15.75" customHeight="1">
      <c r="A379" s="67"/>
      <c r="B379" s="73">
        <f>SUMIFS('لیست واریزی کل خیرین'!B:B,'لیست واریزی کل خیرین'!D:D,Table1[[#This Row],[نام]],'لیست واریزی کل خیرین'!E:E,Table1[[#This Row],[نام خانوادگی]])</f>
        <v>92</v>
      </c>
      <c r="C379" s="69" t="s">
        <v>1119</v>
      </c>
      <c r="D379" s="69" t="s">
        <v>1120</v>
      </c>
      <c r="E379" s="19" t="s">
        <v>1105</v>
      </c>
      <c r="F379" s="206" t="s">
        <v>1121</v>
      </c>
      <c r="G379" s="79" t="s">
        <v>368</v>
      </c>
      <c r="H379" s="207">
        <f t="shared" si="7"/>
        <v>12</v>
      </c>
      <c r="I379" s="79">
        <v>1401</v>
      </c>
      <c r="J379" s="79"/>
      <c r="K379" s="208">
        <v>20000000</v>
      </c>
      <c r="L379" s="209"/>
    </row>
    <row r="380" spans="1:13" ht="15.75" customHeight="1">
      <c r="A380" s="67"/>
      <c r="B380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380" s="252" t="s">
        <v>358</v>
      </c>
      <c r="D380" s="252" t="s">
        <v>359</v>
      </c>
      <c r="E380" s="19" t="s">
        <v>1105</v>
      </c>
      <c r="F380" s="87" t="s">
        <v>637</v>
      </c>
      <c r="G380" s="74" t="s">
        <v>368</v>
      </c>
      <c r="H380" s="75">
        <f t="shared" si="7"/>
        <v>12</v>
      </c>
      <c r="I380" s="74">
        <v>1401</v>
      </c>
      <c r="J380" s="74"/>
      <c r="K380" s="208">
        <v>150000000</v>
      </c>
      <c r="L380" s="209"/>
    </row>
    <row r="381" spans="1:13" ht="15.75" customHeight="1">
      <c r="A381" s="67"/>
      <c r="B381" s="73">
        <f>SUMIFS('لیست واریزی کل خیرین'!B:B,'لیست واریزی کل خیرین'!D:D,Table1[[#This Row],[نام]],'لیست واریزی کل خیرین'!E:E,Table1[[#This Row],[نام خانوادگی]])</f>
        <v>93</v>
      </c>
      <c r="C381" s="21" t="s">
        <v>1122</v>
      </c>
      <c r="D381" s="21" t="s">
        <v>1123</v>
      </c>
      <c r="E381" s="19" t="s">
        <v>1105</v>
      </c>
      <c r="F381" s="87" t="s">
        <v>1124</v>
      </c>
      <c r="G381" s="74" t="s">
        <v>368</v>
      </c>
      <c r="H381" s="75">
        <f t="shared" si="7"/>
        <v>12</v>
      </c>
      <c r="I381" s="79">
        <v>1401</v>
      </c>
      <c r="J381" s="74"/>
      <c r="K381" s="76">
        <v>15000000</v>
      </c>
      <c r="L381" s="209"/>
    </row>
    <row r="382" spans="1:13" ht="15.75" customHeight="1">
      <c r="A382" s="67"/>
      <c r="B382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382" s="21" t="s">
        <v>366</v>
      </c>
      <c r="D382" s="21" t="s">
        <v>382</v>
      </c>
      <c r="E382" s="19" t="s">
        <v>1106</v>
      </c>
      <c r="F382" s="87" t="s">
        <v>536</v>
      </c>
      <c r="G382" s="74" t="s">
        <v>368</v>
      </c>
      <c r="H382" s="75">
        <f t="shared" si="7"/>
        <v>12</v>
      </c>
      <c r="I382" s="79">
        <v>1401</v>
      </c>
      <c r="J382" s="74"/>
      <c r="K382" s="76">
        <v>20000000</v>
      </c>
      <c r="L382" s="209"/>
    </row>
    <row r="383" spans="1:13" ht="15.75" customHeight="1">
      <c r="A383" s="67"/>
      <c r="B383" s="205">
        <f>SUMIFS('لیست واریزی کل خیرین'!B:B,'لیست واریزی کل خیرین'!D:D,Table1[[#This Row],[نام]],'لیست واریزی کل خیرین'!E:E,Table1[[#This Row],[نام خانوادگی]])</f>
        <v>55</v>
      </c>
      <c r="C383" s="21" t="s">
        <v>418</v>
      </c>
      <c r="D383" s="21" t="s">
        <v>1095</v>
      </c>
      <c r="E383" s="19" t="s">
        <v>1106</v>
      </c>
      <c r="F383" s="206" t="s">
        <v>1125</v>
      </c>
      <c r="G383" s="79" t="s">
        <v>368</v>
      </c>
      <c r="H383" s="207">
        <f t="shared" si="7"/>
        <v>12</v>
      </c>
      <c r="I383" s="79">
        <v>1401</v>
      </c>
      <c r="J383" s="79"/>
      <c r="K383" s="208">
        <v>3000000</v>
      </c>
      <c r="L383" s="213" t="s">
        <v>1094</v>
      </c>
    </row>
    <row r="384" spans="1:13" ht="15.75" customHeight="1">
      <c r="A384" s="67"/>
      <c r="B384" s="205">
        <f>SUMIFS('لیست واریزی کل خیرین'!B:B,'لیست واریزی کل خیرین'!D:D,Table1[[#This Row],[نام]],'لیست واریزی کل خیرین'!E:E,Table1[[#This Row],[نام خانوادگی]])</f>
        <v>19</v>
      </c>
      <c r="C384" s="69" t="s">
        <v>363</v>
      </c>
      <c r="D384" s="69" t="s">
        <v>380</v>
      </c>
      <c r="E384" s="19" t="s">
        <v>1106</v>
      </c>
      <c r="F384" s="206" t="s">
        <v>637</v>
      </c>
      <c r="G384" s="79" t="s">
        <v>368</v>
      </c>
      <c r="H384" s="207">
        <f t="shared" si="7"/>
        <v>12</v>
      </c>
      <c r="I384" s="79">
        <v>1401</v>
      </c>
      <c r="J384" s="79"/>
      <c r="K384" s="208">
        <v>50000000</v>
      </c>
      <c r="L384" s="213" t="s">
        <v>1107</v>
      </c>
    </row>
    <row r="385" spans="1:13" ht="15.75" customHeight="1">
      <c r="A385" s="67"/>
      <c r="B385" s="73">
        <f>SUMIFS('لیست واریزی کل خیرین'!B:B,'لیست واریزی کل خیرین'!D:D,Table1[[#This Row],[نام]],'لیست واریزی کل خیرین'!E:E,Table1[[#This Row],[نام خانوادگی]])</f>
        <v>25</v>
      </c>
      <c r="C385" s="199" t="s">
        <v>401</v>
      </c>
      <c r="D385" s="199" t="s">
        <v>402</v>
      </c>
      <c r="E385" s="19" t="s">
        <v>1106</v>
      </c>
      <c r="F385" s="87" t="s">
        <v>438</v>
      </c>
      <c r="G385" s="74" t="s">
        <v>368</v>
      </c>
      <c r="H385" s="75">
        <f t="shared" si="7"/>
        <v>12</v>
      </c>
      <c r="I385" s="74">
        <v>1401</v>
      </c>
      <c r="J385" s="74"/>
      <c r="K385" s="76">
        <v>100000000</v>
      </c>
      <c r="L385" s="209" t="s">
        <v>1094</v>
      </c>
    </row>
    <row r="386" spans="1:13" ht="15.75" customHeight="1">
      <c r="A386" s="67"/>
      <c r="B386" s="73">
        <f>SUMIFS('لیست واریزی کل خیرین'!B:B,'لیست واریزی کل خیرین'!D:D,Table1[[#This Row],[نام]],'لیست واریزی کل خیرین'!E:E,Table1[[#This Row],[نام خانوادگی]])</f>
        <v>70</v>
      </c>
      <c r="C386" s="216" t="s">
        <v>72</v>
      </c>
      <c r="D386" s="216" t="s">
        <v>615</v>
      </c>
      <c r="E386" s="19" t="s">
        <v>1106</v>
      </c>
      <c r="F386" s="87" t="s">
        <v>650</v>
      </c>
      <c r="G386" s="74" t="s">
        <v>368</v>
      </c>
      <c r="H386" s="75">
        <f t="shared" si="7"/>
        <v>12</v>
      </c>
      <c r="I386" s="74">
        <v>1401</v>
      </c>
      <c r="J386" s="74"/>
      <c r="K386" s="76">
        <v>20000000</v>
      </c>
      <c r="L386" s="209"/>
    </row>
    <row r="387" spans="1:13" ht="15.75" customHeight="1">
      <c r="A387" s="67"/>
      <c r="B387" s="73">
        <f>SUMIFS('لیست واریزی کل خیرین'!B:B,'لیست واریزی کل خیرین'!D:D,Table1[[#This Row],[نام]],'لیست واریزی کل خیرین'!E:E,Table1[[#This Row],[نام خانوادگی]])</f>
        <v>94</v>
      </c>
      <c r="C387" s="216" t="s">
        <v>1126</v>
      </c>
      <c r="D387" s="216" t="s">
        <v>1127</v>
      </c>
      <c r="E387" s="19" t="s">
        <v>1106</v>
      </c>
      <c r="F387" s="87" t="s">
        <v>1128</v>
      </c>
      <c r="G387" s="74" t="s">
        <v>368</v>
      </c>
      <c r="H387" s="75">
        <f t="shared" si="7"/>
        <v>12</v>
      </c>
      <c r="I387" s="74">
        <v>1401</v>
      </c>
      <c r="J387" s="74"/>
      <c r="K387" s="76">
        <v>20000000</v>
      </c>
      <c r="L387" s="209"/>
    </row>
    <row r="388" spans="1:13" ht="15.75" customHeight="1">
      <c r="A388" s="67"/>
      <c r="B388" s="73">
        <f>SUMIFS('لیست واریزی کل خیرین'!B:B,'لیست واریزی کل خیرین'!D:D,Table1[[#This Row],[نام]],'لیست واریزی کل خیرین'!E:E,Table1[[#This Row],[نام خانوادگی]])</f>
        <v>95</v>
      </c>
      <c r="C388" s="216" t="s">
        <v>799</v>
      </c>
      <c r="D388" s="216" t="s">
        <v>1129</v>
      </c>
      <c r="E388" s="19" t="s">
        <v>1108</v>
      </c>
      <c r="F388" s="87" t="s">
        <v>1130</v>
      </c>
      <c r="G388" s="74" t="s">
        <v>368</v>
      </c>
      <c r="H388" s="75">
        <f t="shared" si="7"/>
        <v>12</v>
      </c>
      <c r="I388" s="74">
        <v>1401</v>
      </c>
      <c r="J388" s="74"/>
      <c r="K388" s="76">
        <v>20000000</v>
      </c>
      <c r="L388" s="209"/>
    </row>
    <row r="389" spans="1:13" ht="15.75" customHeight="1">
      <c r="A389" s="67"/>
      <c r="B389" s="205">
        <f>SUMIFS('لیست واریزی کل خیرین'!B:B,'لیست واریزی کل خیرین'!D:D,Table1[[#This Row],[نام]],'لیست واریزی کل خیرین'!E:E,Table1[[#This Row],[نام خانوادگی]])</f>
        <v>95</v>
      </c>
      <c r="C389" s="69" t="s">
        <v>799</v>
      </c>
      <c r="D389" s="69" t="s">
        <v>1129</v>
      </c>
      <c r="E389" s="19" t="s">
        <v>1108</v>
      </c>
      <c r="F389" s="206" t="s">
        <v>1130</v>
      </c>
      <c r="G389" s="79" t="s">
        <v>368</v>
      </c>
      <c r="H389" s="207">
        <f t="shared" si="7"/>
        <v>12</v>
      </c>
      <c r="I389" s="79">
        <v>1401</v>
      </c>
      <c r="J389" s="79"/>
      <c r="K389" s="208">
        <v>20000000</v>
      </c>
      <c r="L389" s="213"/>
    </row>
    <row r="390" spans="1:13" ht="15.75" customHeight="1">
      <c r="A390" s="67"/>
      <c r="B390" s="205">
        <f>SUMIFS('لیست واریزی کل خیرین'!B:B,'لیست واریزی کل خیرین'!D:D,Table1[[#This Row],[نام]],'لیست واریزی کل خیرین'!E:E,Table1[[#This Row],[نام خانوادگی]])</f>
        <v>48</v>
      </c>
      <c r="C390" s="211" t="s">
        <v>363</v>
      </c>
      <c r="D390" s="211" t="s">
        <v>415</v>
      </c>
      <c r="E390" s="19" t="s">
        <v>1131</v>
      </c>
      <c r="F390" s="206" t="s">
        <v>637</v>
      </c>
      <c r="G390" s="79" t="s">
        <v>368</v>
      </c>
      <c r="H390" s="207">
        <f t="shared" si="7"/>
        <v>12</v>
      </c>
      <c r="I390" s="79">
        <v>1401</v>
      </c>
      <c r="J390" s="79"/>
      <c r="K390" s="208">
        <v>40000000</v>
      </c>
      <c r="L390" s="213" t="s">
        <v>368</v>
      </c>
    </row>
    <row r="391" spans="1:13" ht="15.75" customHeight="1">
      <c r="A391" s="67"/>
      <c r="B391" s="73">
        <f>SUMIFS('لیست واریزی کل خیرین'!B:B,'لیست واریزی کل خیرین'!D:D,Table1[[#This Row],[نام]],'لیست واریزی کل خیرین'!E:E,Table1[[#This Row],[نام خانوادگی]])</f>
        <v>48</v>
      </c>
      <c r="C391" s="211" t="s">
        <v>363</v>
      </c>
      <c r="D391" s="211" t="s">
        <v>415</v>
      </c>
      <c r="E391" s="19" t="s">
        <v>1109</v>
      </c>
      <c r="F391" s="206" t="s">
        <v>697</v>
      </c>
      <c r="G391" s="79" t="s">
        <v>368</v>
      </c>
      <c r="H391" s="207">
        <f t="shared" si="7"/>
        <v>12</v>
      </c>
      <c r="I391" s="79">
        <v>1401</v>
      </c>
      <c r="J391" s="74"/>
      <c r="K391" s="76">
        <v>20000000</v>
      </c>
      <c r="L391" s="94" t="s">
        <v>1132</v>
      </c>
    </row>
    <row r="392" spans="1:13" ht="15.75" customHeight="1">
      <c r="A392" s="67"/>
      <c r="B392" s="205">
        <f>SUMIFS('لیست واریزی کل خیرین'!B:B,'لیست واریزی کل خیرین'!D:D,Table1[[#This Row],[نام]],'لیست واریزی کل خیرین'!E:E,Table1[[#This Row],[نام خانوادگی]])</f>
        <v>11</v>
      </c>
      <c r="C392" s="211" t="s">
        <v>363</v>
      </c>
      <c r="D392" s="211" t="s">
        <v>364</v>
      </c>
      <c r="E392" s="19" t="s">
        <v>1110</v>
      </c>
      <c r="F392" s="206" t="s">
        <v>442</v>
      </c>
      <c r="G392" s="79" t="s">
        <v>368</v>
      </c>
      <c r="H392" s="207">
        <f t="shared" si="7"/>
        <v>12</v>
      </c>
      <c r="I392" s="79">
        <v>1401</v>
      </c>
      <c r="J392" s="79"/>
      <c r="K392" s="208">
        <v>30000000</v>
      </c>
      <c r="L392" s="213" t="s">
        <v>368</v>
      </c>
    </row>
    <row r="393" spans="1:13" ht="15.75" customHeight="1">
      <c r="A393" s="67"/>
      <c r="B393" s="205">
        <f>SUMIFS('لیست واریزی کل خیرین'!B:B,'لیست واریزی کل خیرین'!D:D,Table1[[#This Row],[نام]],'لیست واریزی کل خیرین'!E:E,Table1[[#This Row],[نام خانوادگی]])</f>
        <v>33</v>
      </c>
      <c r="C393" s="21" t="s">
        <v>452</v>
      </c>
      <c r="D393" s="21" t="s">
        <v>453</v>
      </c>
      <c r="E393" s="19" t="s">
        <v>1111</v>
      </c>
      <c r="F393" s="206" t="s">
        <v>1133</v>
      </c>
      <c r="G393" s="79" t="s">
        <v>368</v>
      </c>
      <c r="H393" s="207">
        <f t="shared" si="7"/>
        <v>12</v>
      </c>
      <c r="I393" s="79">
        <v>1401</v>
      </c>
      <c r="J393" s="79"/>
      <c r="K393" s="208">
        <v>30000000</v>
      </c>
      <c r="L393" s="213"/>
    </row>
    <row r="394" spans="1:13" ht="15.75" customHeight="1">
      <c r="A394" s="67"/>
      <c r="B394" s="205">
        <f>SUMIFS('لیست واریزی کل خیرین'!B:B,'لیست واریزی کل خیرین'!D:D,Table1[[#This Row],[نام]],'لیست واریزی کل خیرین'!E:E,Table1[[#This Row],[نام خانوادگی]])</f>
        <v>25</v>
      </c>
      <c r="C394" s="211" t="s">
        <v>401</v>
      </c>
      <c r="D394" s="211" t="s">
        <v>402</v>
      </c>
      <c r="E394" s="19" t="s">
        <v>1135</v>
      </c>
      <c r="F394" s="206" t="s">
        <v>438</v>
      </c>
      <c r="G394" s="79" t="s">
        <v>368</v>
      </c>
      <c r="H394" s="207">
        <f t="shared" si="7"/>
        <v>12</v>
      </c>
      <c r="I394" s="79">
        <v>1401</v>
      </c>
      <c r="J394" s="79"/>
      <c r="K394" s="208">
        <v>100000000</v>
      </c>
      <c r="L394" s="213" t="s">
        <v>542</v>
      </c>
    </row>
    <row r="395" spans="1:13" ht="15.75" customHeight="1">
      <c r="A395" s="67"/>
      <c r="B395" s="73">
        <f>SUMIFS('لیست واریزی کل خیرین'!B:B,'لیست واریزی کل خیرین'!D:D,Table1[[#This Row],[نام]],'لیست واریزی کل خیرین'!E:E,Table1[[#This Row],[نام خانوادگی]])</f>
        <v>48</v>
      </c>
      <c r="C395" s="199" t="s">
        <v>363</v>
      </c>
      <c r="D395" s="199" t="s">
        <v>415</v>
      </c>
      <c r="E395" s="19" t="s">
        <v>1109</v>
      </c>
      <c r="F395" s="87" t="s">
        <v>697</v>
      </c>
      <c r="G395" s="74" t="s">
        <v>332</v>
      </c>
      <c r="H395" s="75">
        <f t="shared" ref="H395:H790" si="8">IF(G395="","",VLOOKUP(G395,mah,2,0))</f>
        <v>1</v>
      </c>
      <c r="I395" s="74">
        <v>1402</v>
      </c>
      <c r="J395" s="74"/>
      <c r="K395" s="76">
        <v>40000000</v>
      </c>
      <c r="L395" s="78" t="s">
        <v>1132</v>
      </c>
    </row>
    <row r="396" spans="1:13" ht="15.75" customHeight="1">
      <c r="A396" s="67"/>
      <c r="B396" s="205">
        <f>SUMIFS('لیست واریزی کل خیرین'!B:B,'لیست واریزی کل خیرین'!D:D,Table1[[#This Row],[نام]],'لیست واریزی کل خیرین'!E:E,Table1[[#This Row],[نام خانوادگی]])</f>
        <v>25</v>
      </c>
      <c r="C396" s="211" t="s">
        <v>401</v>
      </c>
      <c r="D396" s="211" t="s">
        <v>402</v>
      </c>
      <c r="E396" s="19" t="s">
        <v>1134</v>
      </c>
      <c r="F396" s="206" t="s">
        <v>438</v>
      </c>
      <c r="G396" s="79" t="s">
        <v>332</v>
      </c>
      <c r="H396" s="207">
        <f t="shared" si="8"/>
        <v>1</v>
      </c>
      <c r="I396" s="79">
        <v>1402</v>
      </c>
      <c r="J396" s="79"/>
      <c r="K396" s="208">
        <v>30000000</v>
      </c>
      <c r="L396" s="213"/>
    </row>
    <row r="397" spans="1:13" ht="15.75" customHeight="1">
      <c r="A397" s="67"/>
      <c r="B397" s="205">
        <f>SUMIFS('لیست واریزی کل خیرین'!B:B,'لیست واریزی کل خیرین'!D:D,Table1[[#This Row],[نام]],'لیست واریزی کل خیرین'!E:E,Table1[[#This Row],[نام خانوادگی]])</f>
        <v>8</v>
      </c>
      <c r="C397" s="69" t="s">
        <v>352</v>
      </c>
      <c r="D397" s="69" t="s">
        <v>353</v>
      </c>
      <c r="E397" s="19" t="s">
        <v>1136</v>
      </c>
      <c r="F397" s="206" t="s">
        <v>468</v>
      </c>
      <c r="G397" s="79" t="s">
        <v>332</v>
      </c>
      <c r="H397" s="207">
        <f t="shared" si="8"/>
        <v>1</v>
      </c>
      <c r="I397" s="79">
        <v>1402</v>
      </c>
      <c r="J397" s="79"/>
      <c r="K397" s="208">
        <v>5000000</v>
      </c>
      <c r="L397" s="94" t="s">
        <v>1309</v>
      </c>
    </row>
    <row r="398" spans="1:13" ht="15.75" customHeight="1">
      <c r="A398" s="67"/>
      <c r="B398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398" s="18" t="s">
        <v>352</v>
      </c>
      <c r="D398" s="18" t="s">
        <v>353</v>
      </c>
      <c r="E398" s="19" t="s">
        <v>1136</v>
      </c>
      <c r="F398" s="206" t="s">
        <v>468</v>
      </c>
      <c r="G398" s="21" t="s">
        <v>368</v>
      </c>
      <c r="H398" s="22">
        <f>IF(G398="","",VLOOKUP(G398,mah,2,0))</f>
        <v>12</v>
      </c>
      <c r="I398" s="21">
        <v>1401</v>
      </c>
      <c r="J398" s="21"/>
      <c r="K398" s="23">
        <v>5000000</v>
      </c>
      <c r="L398" s="94" t="s">
        <v>1309</v>
      </c>
      <c r="M398" s="270"/>
    </row>
    <row r="399" spans="1:13" ht="15.75" customHeight="1">
      <c r="A399" s="67"/>
      <c r="B399" s="205">
        <f>SUMIFS('لیست واریزی کل خیرین'!B:B,'لیست واریزی کل خیرین'!D:D,Table1[[#This Row],[نام]],'لیست واریزی کل خیرین'!E:E,Table1[[#This Row],[نام خانوادگی]])</f>
        <v>96</v>
      </c>
      <c r="C399" s="211" t="s">
        <v>1137</v>
      </c>
      <c r="D399" s="211" t="s">
        <v>1138</v>
      </c>
      <c r="E399" s="19" t="s">
        <v>1139</v>
      </c>
      <c r="F399" s="206" t="s">
        <v>1140</v>
      </c>
      <c r="G399" s="79" t="s">
        <v>332</v>
      </c>
      <c r="H399" s="207">
        <f t="shared" si="8"/>
        <v>1</v>
      </c>
      <c r="I399" s="79">
        <v>1402</v>
      </c>
      <c r="J399" s="79"/>
      <c r="K399" s="208">
        <v>10000000</v>
      </c>
      <c r="L399" s="213"/>
    </row>
    <row r="400" spans="1:13" ht="15.75" customHeight="1">
      <c r="A400" s="67"/>
      <c r="B400" s="205">
        <f>SUMIFS('لیست واریزی کل خیرین'!B:B,'لیست واریزی کل خیرین'!D:D,Table1[[#This Row],[نام]],'لیست واریزی کل خیرین'!E:E,Table1[[#This Row],[نام خانوادگی]])</f>
        <v>10</v>
      </c>
      <c r="C400" s="211" t="s">
        <v>358</v>
      </c>
      <c r="D400" s="211" t="s">
        <v>359</v>
      </c>
      <c r="E400" s="19" t="s">
        <v>1168</v>
      </c>
      <c r="F400" s="206" t="s">
        <v>637</v>
      </c>
      <c r="G400" s="79" t="s">
        <v>332</v>
      </c>
      <c r="H400" s="207">
        <f t="shared" si="8"/>
        <v>1</v>
      </c>
      <c r="I400" s="79">
        <v>1402</v>
      </c>
      <c r="J400" s="79"/>
      <c r="K400" s="208">
        <v>100000000</v>
      </c>
      <c r="L400" s="94" t="s">
        <v>1144</v>
      </c>
    </row>
    <row r="401" spans="1:13" ht="15.75" customHeight="1">
      <c r="A401" s="67"/>
      <c r="B401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401" s="21" t="s">
        <v>340</v>
      </c>
      <c r="D401" s="21" t="s">
        <v>341</v>
      </c>
      <c r="E401" s="19" t="s">
        <v>1168</v>
      </c>
      <c r="F401" s="87" t="s">
        <v>1093</v>
      </c>
      <c r="G401" s="79" t="s">
        <v>332</v>
      </c>
      <c r="H401" s="75">
        <f t="shared" si="8"/>
        <v>1</v>
      </c>
      <c r="I401" s="79">
        <v>1402</v>
      </c>
      <c r="J401" s="74"/>
      <c r="K401" s="76">
        <v>2000000</v>
      </c>
      <c r="L401" s="209"/>
    </row>
    <row r="402" spans="1:13" ht="15.75" customHeight="1">
      <c r="A402" s="67"/>
      <c r="B402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402" s="199" t="s">
        <v>358</v>
      </c>
      <c r="D402" s="199" t="s">
        <v>359</v>
      </c>
      <c r="E402" s="19" t="s">
        <v>1168</v>
      </c>
      <c r="F402" s="87" t="s">
        <v>637</v>
      </c>
      <c r="G402" s="74" t="s">
        <v>337</v>
      </c>
      <c r="H402" s="75">
        <f t="shared" si="8"/>
        <v>2</v>
      </c>
      <c r="I402" s="79">
        <v>1402</v>
      </c>
      <c r="J402" s="74"/>
      <c r="K402" s="76">
        <v>100000000</v>
      </c>
      <c r="L402" s="94" t="s">
        <v>1144</v>
      </c>
    </row>
    <row r="403" spans="1:13" ht="15.75" customHeight="1">
      <c r="A403" s="67" t="s">
        <v>327</v>
      </c>
      <c r="B403" s="73">
        <f>SUMIFS('لیست واریزی کل خیرین'!B:B,'لیست واریزی کل خیرین'!D:D,Table1[[#This Row],[نام]],'لیست واریزی کل خیرین'!E:E,Table1[[#This Row],[نام خانوادگی]])</f>
        <v>12</v>
      </c>
      <c r="C403" s="25" t="s">
        <v>366</v>
      </c>
      <c r="D403" s="25" t="s">
        <v>367</v>
      </c>
      <c r="E403" s="19" t="s">
        <v>1065</v>
      </c>
      <c r="F403" s="81" t="s">
        <v>664</v>
      </c>
      <c r="G403" s="74" t="s">
        <v>368</v>
      </c>
      <c r="H403" s="22">
        <f t="shared" si="8"/>
        <v>12</v>
      </c>
      <c r="I403" s="69">
        <v>1402</v>
      </c>
      <c r="J403" s="21"/>
      <c r="K403" s="23">
        <v>10000000</v>
      </c>
      <c r="L403" s="213" t="s">
        <v>1066</v>
      </c>
    </row>
    <row r="404" spans="1:13" ht="15.75" customHeight="1">
      <c r="A404" s="67"/>
      <c r="B404" s="73">
        <f>SUMIFS('لیست واریزی کل خیرین'!B:B,'لیست واریزی کل خیرین'!D:D,Table1[[#This Row],[نام]],'لیست واریزی کل خیرین'!E:E,Table1[[#This Row],[نام خانوادگی]])</f>
        <v>38</v>
      </c>
      <c r="C404" s="21" t="s">
        <v>429</v>
      </c>
      <c r="D404" s="21" t="s">
        <v>430</v>
      </c>
      <c r="E404" s="19" t="s">
        <v>1177</v>
      </c>
      <c r="F404" s="87" t="s">
        <v>1146</v>
      </c>
      <c r="G404" s="74" t="s">
        <v>332</v>
      </c>
      <c r="H404" s="75">
        <f t="shared" si="8"/>
        <v>1</v>
      </c>
      <c r="I404" s="79">
        <v>1402</v>
      </c>
      <c r="J404" s="74"/>
      <c r="K404" s="76">
        <v>6000000</v>
      </c>
      <c r="L404" s="209"/>
    </row>
    <row r="405" spans="1:13" ht="15.75" customHeight="1">
      <c r="A405" s="67"/>
      <c r="B405" s="73">
        <f>SUMIFS('لیست واریزی کل خیرین'!B:B,'لیست واریزی کل خیرین'!D:D,Table1[[#This Row],[نام]],'لیست واریزی کل خیرین'!E:E,Table1[[#This Row],[نام خانوادگی]])</f>
        <v>1</v>
      </c>
      <c r="C405" s="21" t="s">
        <v>338</v>
      </c>
      <c r="D405" s="21" t="s">
        <v>339</v>
      </c>
      <c r="E405" s="19" t="s">
        <v>1178</v>
      </c>
      <c r="F405" s="81" t="s">
        <v>1179</v>
      </c>
      <c r="G405" s="21" t="s">
        <v>362</v>
      </c>
      <c r="H405" s="22">
        <f t="shared" si="8"/>
        <v>10</v>
      </c>
      <c r="I405" s="21">
        <v>1401</v>
      </c>
      <c r="J405" s="21"/>
      <c r="K405" s="23">
        <v>10000000</v>
      </c>
      <c r="L405" s="78" t="s">
        <v>1310</v>
      </c>
    </row>
    <row r="406" spans="1:13" ht="15.75" customHeight="1">
      <c r="A406" s="67"/>
      <c r="B406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406" s="21" t="s">
        <v>338</v>
      </c>
      <c r="D406" s="21" t="s">
        <v>339</v>
      </c>
      <c r="E406" s="19" t="s">
        <v>1178</v>
      </c>
      <c r="F406" s="81" t="s">
        <v>1179</v>
      </c>
      <c r="G406" s="21" t="s">
        <v>365</v>
      </c>
      <c r="H406" s="22">
        <f>IF(G406="","",VLOOKUP(G406,mah,2,0))</f>
        <v>11</v>
      </c>
      <c r="I406" s="21">
        <v>1401</v>
      </c>
      <c r="J406" s="21"/>
      <c r="K406" s="23">
        <v>10000000</v>
      </c>
      <c r="L406" s="78" t="s">
        <v>1310</v>
      </c>
      <c r="M406" s="270"/>
    </row>
    <row r="407" spans="1:13" ht="15.75" customHeight="1">
      <c r="A407" s="67"/>
      <c r="B407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407" s="21" t="s">
        <v>338</v>
      </c>
      <c r="D407" s="21" t="s">
        <v>339</v>
      </c>
      <c r="E407" s="19" t="s">
        <v>1178</v>
      </c>
      <c r="F407" s="81" t="s">
        <v>1179</v>
      </c>
      <c r="G407" s="21" t="s">
        <v>368</v>
      </c>
      <c r="H407" s="22">
        <f>IF(G407="","",VLOOKUP(G407,mah,2,0))</f>
        <v>12</v>
      </c>
      <c r="I407" s="21">
        <v>1401</v>
      </c>
      <c r="J407" s="21"/>
      <c r="K407" s="23">
        <v>10000000</v>
      </c>
      <c r="L407" s="78" t="s">
        <v>1310</v>
      </c>
      <c r="M407" s="270"/>
    </row>
    <row r="408" spans="1:13" ht="15.75" customHeight="1">
      <c r="A408" s="67"/>
      <c r="B408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408" s="21" t="s">
        <v>355</v>
      </c>
      <c r="D408" s="21" t="s">
        <v>356</v>
      </c>
      <c r="E408" s="19" t="s">
        <v>1180</v>
      </c>
      <c r="F408" s="81" t="s">
        <v>464</v>
      </c>
      <c r="G408" s="21" t="s">
        <v>332</v>
      </c>
      <c r="H408" s="22">
        <f t="shared" si="8"/>
        <v>1</v>
      </c>
      <c r="I408" s="21">
        <v>1402</v>
      </c>
      <c r="J408" s="21"/>
      <c r="K408" s="23">
        <v>15000000</v>
      </c>
      <c r="L408" s="78"/>
    </row>
    <row r="409" spans="1:13" ht="15.75" customHeight="1">
      <c r="A409" s="67"/>
      <c r="B409" s="73">
        <f>SUMIFS('لیست واریزی کل خیرین'!B:B,'لیست واریزی کل خیرین'!D:D,Table1[[#This Row],[نام]],'لیست واریزی کل خیرین'!E:E,Table1[[#This Row],[نام خانوادگی]])</f>
        <v>97</v>
      </c>
      <c r="C409" s="216" t="s">
        <v>1181</v>
      </c>
      <c r="D409" s="216" t="s">
        <v>1182</v>
      </c>
      <c r="E409" s="19" t="s">
        <v>1180</v>
      </c>
      <c r="F409" s="81" t="s">
        <v>1183</v>
      </c>
      <c r="G409" s="21" t="s">
        <v>332</v>
      </c>
      <c r="H409" s="22">
        <f t="shared" si="8"/>
        <v>1</v>
      </c>
      <c r="I409" s="21">
        <v>1402</v>
      </c>
      <c r="J409" s="21"/>
      <c r="K409" s="23">
        <v>50000000</v>
      </c>
      <c r="L409" s="78"/>
    </row>
    <row r="410" spans="1:13" ht="15.75" customHeight="1">
      <c r="A410" s="67"/>
      <c r="B410" s="73">
        <f>SUMIFS('لیست واریزی کل خیرین'!B:B,'لیست واریزی کل خیرین'!D:D,Table1[[#This Row],[نام]],'لیست واریزی کل خیرین'!E:E,Table1[[#This Row],[نام خانوادگی]])</f>
        <v>35</v>
      </c>
      <c r="C410" s="21" t="s">
        <v>465</v>
      </c>
      <c r="D410" s="21" t="s">
        <v>466</v>
      </c>
      <c r="E410" s="19" t="s">
        <v>1184</v>
      </c>
      <c r="F410" s="81" t="s">
        <v>467</v>
      </c>
      <c r="G410" s="21" t="s">
        <v>332</v>
      </c>
      <c r="H410" s="22">
        <f t="shared" si="8"/>
        <v>1</v>
      </c>
      <c r="I410" s="21">
        <v>1402</v>
      </c>
      <c r="J410" s="21"/>
      <c r="K410" s="23">
        <v>3000000</v>
      </c>
      <c r="L410" s="78"/>
    </row>
    <row r="411" spans="1:13" ht="15.75" customHeight="1">
      <c r="A411" s="67"/>
      <c r="B411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411" s="18" t="s">
        <v>391</v>
      </c>
      <c r="D411" s="18" t="s">
        <v>392</v>
      </c>
      <c r="E411" s="19" t="s">
        <v>1277</v>
      </c>
      <c r="F411" s="81" t="s">
        <v>1278</v>
      </c>
      <c r="G411" s="21" t="s">
        <v>332</v>
      </c>
      <c r="H411" s="22">
        <f>IF(G411="","",VLOOKUP(G411,mah,2,0))</f>
        <v>1</v>
      </c>
      <c r="I411" s="21">
        <v>1402</v>
      </c>
      <c r="J411" s="21"/>
      <c r="K411" s="23">
        <v>20216371</v>
      </c>
      <c r="L411" s="91"/>
      <c r="M411" s="268"/>
    </row>
    <row r="412" spans="1:13" ht="15.75" customHeight="1">
      <c r="A412" s="67"/>
      <c r="B412" s="73">
        <f>SUMIFS('لیست واریزی کل خیرین'!B:B,'لیست واریزی کل خیرین'!D:D,Table1[[#This Row],[نام]],'لیست واریزی کل خیرین'!E:E,Table1[[#This Row],[نام خانوادگی]])</f>
        <v>12</v>
      </c>
      <c r="C412" s="21" t="s">
        <v>366</v>
      </c>
      <c r="D412" s="36" t="s">
        <v>367</v>
      </c>
      <c r="E412" s="19" t="s">
        <v>1185</v>
      </c>
      <c r="F412" s="81" t="s">
        <v>664</v>
      </c>
      <c r="G412" s="21" t="s">
        <v>368</v>
      </c>
      <c r="H412" s="22">
        <f t="shared" si="8"/>
        <v>12</v>
      </c>
      <c r="I412" s="21">
        <v>1401</v>
      </c>
      <c r="J412" s="21"/>
      <c r="K412" s="23">
        <v>10000000</v>
      </c>
      <c r="L412" s="78"/>
    </row>
    <row r="413" spans="1:13" ht="15.75" customHeight="1">
      <c r="A413" s="67"/>
      <c r="B413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413" s="21" t="s">
        <v>358</v>
      </c>
      <c r="D413" s="21" t="s">
        <v>359</v>
      </c>
      <c r="E413" s="19" t="s">
        <v>1186</v>
      </c>
      <c r="F413" s="81" t="s">
        <v>1187</v>
      </c>
      <c r="G413" s="21" t="s">
        <v>332</v>
      </c>
      <c r="H413" s="22">
        <f t="shared" si="8"/>
        <v>1</v>
      </c>
      <c r="I413" s="21">
        <v>1402</v>
      </c>
      <c r="J413" s="21"/>
      <c r="K413" s="23">
        <v>10000000</v>
      </c>
      <c r="L413" s="78"/>
    </row>
    <row r="414" spans="1:13" ht="15.75" customHeight="1">
      <c r="A414" s="67"/>
      <c r="B414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414" s="21" t="s">
        <v>366</v>
      </c>
      <c r="D414" s="21" t="s">
        <v>382</v>
      </c>
      <c r="E414" s="19" t="s">
        <v>1188</v>
      </c>
      <c r="F414" s="81" t="s">
        <v>536</v>
      </c>
      <c r="G414" s="21" t="s">
        <v>332</v>
      </c>
      <c r="H414" s="22">
        <f t="shared" si="8"/>
        <v>1</v>
      </c>
      <c r="I414" s="21">
        <v>1402</v>
      </c>
      <c r="J414" s="21"/>
      <c r="K414" s="23">
        <v>20000000</v>
      </c>
      <c r="L414" s="78"/>
    </row>
    <row r="415" spans="1:13" ht="15.75" customHeight="1">
      <c r="A415" s="67"/>
      <c r="B415" s="73">
        <f>SUMIFS('لیست واریزی کل خیرین'!B:B,'لیست واریزی کل خیرین'!D:D,Table1[[#This Row],[نام]],'لیست واریزی کل خیرین'!E:E,Table1[[#This Row],[نام خانوادگی]])</f>
        <v>74</v>
      </c>
      <c r="C415" s="18" t="s">
        <v>640</v>
      </c>
      <c r="D415" s="18" t="s">
        <v>641</v>
      </c>
      <c r="E415" s="19" t="s">
        <v>1205</v>
      </c>
      <c r="F415" s="81" t="s">
        <v>643</v>
      </c>
      <c r="G415" s="21" t="s">
        <v>332</v>
      </c>
      <c r="H415" s="22">
        <f t="shared" si="8"/>
        <v>1</v>
      </c>
      <c r="I415" s="21">
        <v>1402</v>
      </c>
      <c r="J415" s="21"/>
      <c r="K415" s="23">
        <v>5000000</v>
      </c>
      <c r="L415" s="78"/>
    </row>
    <row r="416" spans="1:13" ht="15.75" customHeight="1">
      <c r="A416" s="67"/>
      <c r="B416" s="73">
        <f>SUMIFS('لیست واریزی کل خیرین'!B:B,'لیست واریزی کل خیرین'!D:D,Table1[[#This Row],[نام]],'لیست واریزی کل خیرین'!E:E,Table1[[#This Row],[نام خانوادگی]])</f>
        <v>25</v>
      </c>
      <c r="C416" s="18" t="s">
        <v>401</v>
      </c>
      <c r="D416" s="18" t="s">
        <v>402</v>
      </c>
      <c r="E416" s="19" t="s">
        <v>1206</v>
      </c>
      <c r="F416" s="81" t="s">
        <v>438</v>
      </c>
      <c r="G416" s="21" t="s">
        <v>337</v>
      </c>
      <c r="H416" s="22">
        <f t="shared" si="8"/>
        <v>2</v>
      </c>
      <c r="I416" s="21">
        <v>1402</v>
      </c>
      <c r="J416" s="21"/>
      <c r="K416" s="23">
        <v>30000000</v>
      </c>
      <c r="L416" s="78"/>
    </row>
    <row r="417" spans="1:12" ht="29.25" customHeight="1">
      <c r="A417" s="67"/>
      <c r="B417" s="73">
        <f>SUMIFS('لیست واریزی کل خیرین'!B:B,'لیست واریزی کل خیرین'!D:D,Table1[[#This Row],[نام]],'لیست واریزی کل خیرین'!E:E,Table1[[#This Row],[نام خانوادگی]])</f>
        <v>70</v>
      </c>
      <c r="C417" s="21" t="s">
        <v>72</v>
      </c>
      <c r="D417" s="21" t="s">
        <v>615</v>
      </c>
      <c r="E417" s="19" t="s">
        <v>1190</v>
      </c>
      <c r="F417" s="81" t="s">
        <v>650</v>
      </c>
      <c r="G417" s="21" t="s">
        <v>332</v>
      </c>
      <c r="H417" s="22">
        <f t="shared" si="8"/>
        <v>1</v>
      </c>
      <c r="I417" s="21">
        <v>1402</v>
      </c>
      <c r="J417" s="21"/>
      <c r="K417" s="23">
        <v>10000000</v>
      </c>
      <c r="L417" s="265" t="s">
        <v>1268</v>
      </c>
    </row>
    <row r="418" spans="1:12" ht="24" customHeight="1">
      <c r="A418" s="67"/>
      <c r="B418" s="73">
        <f>SUMIFS('لیست واریزی کل خیرین'!B:B,'لیست واریزی کل خیرین'!D:D,Table1[[#This Row],[نام]],'لیست واریزی کل خیرین'!E:E,Table1[[#This Row],[نام خانوادگی]])</f>
        <v>70</v>
      </c>
      <c r="C418" s="21" t="s">
        <v>72</v>
      </c>
      <c r="D418" s="21" t="s">
        <v>615</v>
      </c>
      <c r="E418" s="19" t="s">
        <v>1190</v>
      </c>
      <c r="F418" s="81" t="s">
        <v>650</v>
      </c>
      <c r="G418" s="21" t="s">
        <v>337</v>
      </c>
      <c r="H418" s="22">
        <f t="shared" ref="H418" si="9">IF(G418="","",VLOOKUP(G418,mah,2,0))</f>
        <v>2</v>
      </c>
      <c r="I418" s="21">
        <v>1402</v>
      </c>
      <c r="J418" s="74"/>
      <c r="K418" s="76">
        <v>10000000</v>
      </c>
      <c r="L418" s="265" t="s">
        <v>1268</v>
      </c>
    </row>
    <row r="419" spans="1:12" ht="15.75" customHeight="1">
      <c r="A419" s="67"/>
      <c r="B419" s="73">
        <f>SUMIFS('لیست واریزی کل خیرین'!B:B,'لیست واریزی کل خیرین'!D:D,Table1[[#This Row],[نام]],'لیست واریزی کل خیرین'!E:E,Table1[[#This Row],[نام خانوادگی]])</f>
        <v>98</v>
      </c>
      <c r="C419" s="216" t="s">
        <v>1207</v>
      </c>
      <c r="D419" s="216" t="s">
        <v>1208</v>
      </c>
      <c r="E419" s="19" t="s">
        <v>1192</v>
      </c>
      <c r="F419" s="81" t="s">
        <v>1209</v>
      </c>
      <c r="G419" s="21" t="s">
        <v>337</v>
      </c>
      <c r="H419" s="22">
        <f t="shared" si="8"/>
        <v>2</v>
      </c>
      <c r="I419" s="21">
        <v>1402</v>
      </c>
      <c r="J419" s="21"/>
      <c r="K419" s="23">
        <v>10000000</v>
      </c>
      <c r="L419" s="78"/>
    </row>
    <row r="420" spans="1:12" ht="15.75" customHeight="1">
      <c r="A420" s="67"/>
      <c r="B420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420" s="21" t="s">
        <v>355</v>
      </c>
      <c r="D420" s="21" t="s">
        <v>356</v>
      </c>
      <c r="E420" s="19" t="s">
        <v>1192</v>
      </c>
      <c r="F420" s="81" t="s">
        <v>464</v>
      </c>
      <c r="G420" s="21" t="s">
        <v>337</v>
      </c>
      <c r="H420" s="22">
        <f t="shared" si="8"/>
        <v>2</v>
      </c>
      <c r="I420" s="21">
        <v>1402</v>
      </c>
      <c r="J420" s="21"/>
      <c r="K420" s="23">
        <v>20000000</v>
      </c>
      <c r="L420" s="78"/>
    </row>
    <row r="421" spans="1:12" ht="15.75" customHeight="1">
      <c r="A421" s="67"/>
      <c r="B421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421" s="21" t="s">
        <v>76</v>
      </c>
      <c r="D421" s="21" t="s">
        <v>347</v>
      </c>
      <c r="E421" s="19" t="s">
        <v>1211</v>
      </c>
      <c r="F421" s="81" t="s">
        <v>1212</v>
      </c>
      <c r="G421" s="21" t="s">
        <v>337</v>
      </c>
      <c r="H421" s="22">
        <f t="shared" si="8"/>
        <v>2</v>
      </c>
      <c r="I421" s="21">
        <v>1402</v>
      </c>
      <c r="J421" s="21"/>
      <c r="K421" s="23">
        <v>5000000</v>
      </c>
      <c r="L421" s="78"/>
    </row>
    <row r="422" spans="1:12" ht="15.75" customHeight="1">
      <c r="A422" s="67"/>
      <c r="B422" s="73">
        <f>SUMIFS('لیست واریزی کل خیرین'!B:B,'لیست واریزی کل خیرین'!D:D,Table1[[#This Row],[نام]],'لیست واریزی کل خیرین'!E:E,Table1[[#This Row],[نام خانوادگی]])</f>
        <v>99</v>
      </c>
      <c r="C422" s="216" t="s">
        <v>1137</v>
      </c>
      <c r="D422" s="216" t="s">
        <v>1214</v>
      </c>
      <c r="E422" s="19" t="s">
        <v>1211</v>
      </c>
      <c r="F422" s="81" t="s">
        <v>1213</v>
      </c>
      <c r="G422" s="21" t="s">
        <v>337</v>
      </c>
      <c r="H422" s="22">
        <f t="shared" si="8"/>
        <v>2</v>
      </c>
      <c r="I422" s="21">
        <v>1402</v>
      </c>
      <c r="J422" s="21"/>
      <c r="K422" s="23">
        <v>6000000</v>
      </c>
      <c r="L422" s="78"/>
    </row>
    <row r="423" spans="1:12" ht="15.75" customHeight="1">
      <c r="A423" s="67"/>
      <c r="B423" s="73">
        <f>SUMIFS('لیست واریزی کل خیرین'!B:B,'لیست واریزی کل خیرین'!D:D,Table1[[#This Row],[نام]],'لیست واریزی کل خیرین'!E:E,Table1[[#This Row],[نام خانوادگی]])</f>
        <v>40</v>
      </c>
      <c r="C423" s="21" t="s">
        <v>363</v>
      </c>
      <c r="D423" s="21" t="s">
        <v>402</v>
      </c>
      <c r="E423" s="19" t="s">
        <v>1211</v>
      </c>
      <c r="F423" s="81" t="s">
        <v>1215</v>
      </c>
      <c r="G423" s="21" t="s">
        <v>332</v>
      </c>
      <c r="H423" s="22">
        <f t="shared" si="8"/>
        <v>1</v>
      </c>
      <c r="I423" s="21">
        <v>1402</v>
      </c>
      <c r="J423" s="21"/>
      <c r="K423" s="23">
        <v>50000000</v>
      </c>
      <c r="L423" s="78"/>
    </row>
    <row r="424" spans="1:12" ht="15.75" customHeight="1">
      <c r="A424" s="67"/>
      <c r="B424" s="73">
        <f>SUMIFS('لیست واریزی کل خیرین'!B:B,'لیست واریزی کل خیرین'!D:D,Table1[[#This Row],[نام]],'لیست واریزی کل خیرین'!E:E,Table1[[#This Row],[نام خانوادگی]])</f>
        <v>100</v>
      </c>
      <c r="C424" s="216" t="s">
        <v>1218</v>
      </c>
      <c r="D424" s="216" t="s">
        <v>1219</v>
      </c>
      <c r="E424" s="19" t="s">
        <v>1216</v>
      </c>
      <c r="F424" s="81" t="s">
        <v>1217</v>
      </c>
      <c r="G424" s="21" t="s">
        <v>337</v>
      </c>
      <c r="H424" s="22">
        <f t="shared" si="8"/>
        <v>2</v>
      </c>
      <c r="I424" s="21">
        <v>1402</v>
      </c>
      <c r="J424" s="21"/>
      <c r="K424" s="23">
        <v>50000000</v>
      </c>
      <c r="L424" s="78"/>
    </row>
    <row r="425" spans="1:12" ht="15.75" customHeight="1">
      <c r="A425" s="67"/>
      <c r="B425" s="73">
        <f>SUMIFS('لیست واریزی کل خیرین'!B:B,'لیست واریزی کل خیرین'!D:D,Table1[[#This Row],[نام]],'لیست واریزی کل خیرین'!E:E,Table1[[#This Row],[نام خانوادگی]])</f>
        <v>50</v>
      </c>
      <c r="C425" s="21" t="s">
        <v>372</v>
      </c>
      <c r="D425" s="21" t="s">
        <v>533</v>
      </c>
      <c r="E425" s="19" t="s">
        <v>1216</v>
      </c>
      <c r="F425" s="81" t="s">
        <v>1220</v>
      </c>
      <c r="G425" s="21" t="s">
        <v>337</v>
      </c>
      <c r="H425" s="22">
        <f t="shared" si="8"/>
        <v>2</v>
      </c>
      <c r="I425" s="21">
        <v>1402</v>
      </c>
      <c r="J425" s="21"/>
      <c r="K425" s="23">
        <v>10000000</v>
      </c>
      <c r="L425" s="78"/>
    </row>
    <row r="426" spans="1:12" ht="19.5" customHeight="1">
      <c r="A426" s="67"/>
      <c r="B426" s="73">
        <f>SUMIFS('لیست واریزی کل خیرین'!B:B,'لیست واریزی کل خیرین'!D:D,Table1[[#This Row],[نام]],'لیست واریزی کل خیرین'!E:E,Table1[[#This Row],[نام خانوادگی]])</f>
        <v>72</v>
      </c>
      <c r="C426" s="19" t="s">
        <v>457</v>
      </c>
      <c r="D426" s="19" t="s">
        <v>619</v>
      </c>
      <c r="E426" s="19" t="s">
        <v>1216</v>
      </c>
      <c r="F426" s="81" t="s">
        <v>728</v>
      </c>
      <c r="G426" s="21" t="s">
        <v>337</v>
      </c>
      <c r="H426" s="22">
        <f t="shared" si="8"/>
        <v>2</v>
      </c>
      <c r="I426" s="21">
        <v>1402</v>
      </c>
      <c r="J426" s="21"/>
      <c r="K426" s="23">
        <v>10000000</v>
      </c>
      <c r="L426" s="78"/>
    </row>
    <row r="427" spans="1:12" ht="15.75" customHeight="1">
      <c r="A427" s="67"/>
      <c r="B427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427" s="19" t="s">
        <v>349</v>
      </c>
      <c r="D427" s="19" t="s">
        <v>350</v>
      </c>
      <c r="E427" s="19" t="s">
        <v>1221</v>
      </c>
      <c r="F427" s="81" t="s">
        <v>448</v>
      </c>
      <c r="G427" s="21" t="s">
        <v>337</v>
      </c>
      <c r="H427" s="22">
        <f t="shared" si="8"/>
        <v>2</v>
      </c>
      <c r="I427" s="21">
        <v>1402</v>
      </c>
      <c r="J427" s="21"/>
      <c r="K427" s="23">
        <v>50000000</v>
      </c>
      <c r="L427" s="78"/>
    </row>
    <row r="428" spans="1:12" ht="15.75" customHeight="1">
      <c r="A428" s="67"/>
      <c r="B428" s="73">
        <f>SUMIFS('لیست واریزی کل خیرین'!B:B,'لیست واریزی کل خیرین'!D:D,Table1[[#This Row],[نام]],'لیست واریزی کل خیرین'!E:E,Table1[[#This Row],[نام خانوادگی]])</f>
        <v>48</v>
      </c>
      <c r="C428" s="19" t="s">
        <v>363</v>
      </c>
      <c r="D428" s="19" t="s">
        <v>415</v>
      </c>
      <c r="E428" s="19" t="s">
        <v>1221</v>
      </c>
      <c r="F428" s="81" t="s">
        <v>1222</v>
      </c>
      <c r="G428" s="21" t="s">
        <v>337</v>
      </c>
      <c r="H428" s="22">
        <f t="shared" si="8"/>
        <v>2</v>
      </c>
      <c r="I428" s="21">
        <v>1402</v>
      </c>
      <c r="J428" s="21"/>
      <c r="K428" s="23">
        <v>40000000</v>
      </c>
      <c r="L428" s="78"/>
    </row>
    <row r="429" spans="1:12" ht="15.75" customHeight="1">
      <c r="A429" s="67"/>
      <c r="B429" s="73">
        <f>SUMIFS('لیست واریزی کل خیرین'!B:B,'لیست واریزی کل خیرین'!D:D,Table1[[#This Row],[نام]],'لیست واریزی کل خیرین'!E:E,Table1[[#This Row],[نام خانوادگی]])</f>
        <v>11</v>
      </c>
      <c r="C429" s="19" t="s">
        <v>363</v>
      </c>
      <c r="D429" s="19" t="s">
        <v>364</v>
      </c>
      <c r="E429" s="19" t="s">
        <v>1221</v>
      </c>
      <c r="F429" s="81" t="s">
        <v>442</v>
      </c>
      <c r="G429" s="21" t="s">
        <v>337</v>
      </c>
      <c r="H429" s="22">
        <f t="shared" si="8"/>
        <v>2</v>
      </c>
      <c r="I429" s="21">
        <v>1402</v>
      </c>
      <c r="J429" s="21"/>
      <c r="K429" s="23">
        <v>40000000</v>
      </c>
      <c r="L429" s="78"/>
    </row>
    <row r="430" spans="1:12" ht="15.75" customHeight="1">
      <c r="A430" s="67"/>
      <c r="B430" s="73">
        <f>SUMIFS('لیست واریزی کل خیرین'!B:B,'لیست واریزی کل خیرین'!D:D,Table1[[#This Row],[نام]],'لیست واریزی کل خیرین'!E:E,Table1[[#This Row],[نام خانوادگی]])</f>
        <v>88</v>
      </c>
      <c r="C430" s="19" t="s">
        <v>76</v>
      </c>
      <c r="D430" s="19" t="s">
        <v>1265</v>
      </c>
      <c r="E430" s="19" t="s">
        <v>1223</v>
      </c>
      <c r="F430" s="81" t="s">
        <v>1224</v>
      </c>
      <c r="G430" s="21" t="s">
        <v>337</v>
      </c>
      <c r="H430" s="22">
        <f t="shared" si="8"/>
        <v>2</v>
      </c>
      <c r="I430" s="21">
        <v>1402</v>
      </c>
      <c r="J430" s="21"/>
      <c r="K430" s="23">
        <v>7900000</v>
      </c>
      <c r="L430" s="78"/>
    </row>
    <row r="431" spans="1:12" ht="15.75" customHeight="1">
      <c r="A431" s="67"/>
      <c r="B431" s="73">
        <f>SUMIFS('لیست واریزی کل خیرین'!B:B,'لیست واریزی کل خیرین'!D:D,Table1[[#This Row],[نام]],'لیست واریزی کل خیرین'!E:E,Table1[[#This Row],[نام خانوادگی]])</f>
        <v>35</v>
      </c>
      <c r="C431" s="19" t="s">
        <v>465</v>
      </c>
      <c r="D431" s="19" t="s">
        <v>466</v>
      </c>
      <c r="E431" s="19" t="s">
        <v>1225</v>
      </c>
      <c r="F431" s="81" t="s">
        <v>467</v>
      </c>
      <c r="G431" s="21" t="s">
        <v>337</v>
      </c>
      <c r="H431" s="22">
        <f t="shared" si="8"/>
        <v>2</v>
      </c>
      <c r="I431" s="21">
        <v>1402</v>
      </c>
      <c r="J431" s="21"/>
      <c r="K431" s="23">
        <v>3000000</v>
      </c>
      <c r="L431" s="78"/>
    </row>
    <row r="432" spans="1:12" ht="15.75" customHeight="1">
      <c r="A432" s="67"/>
      <c r="B432" s="73">
        <f>SUMIFS('لیست واریزی کل خیرین'!B:B,'لیست واریزی کل خیرین'!D:D,Table1[[#This Row],[نام]],'لیست واریزی کل خیرین'!E:E,Table1[[#This Row],[نام خانوادگی]])</f>
        <v>85</v>
      </c>
      <c r="C432" s="19" t="s">
        <v>718</v>
      </c>
      <c r="D432" s="19" t="s">
        <v>719</v>
      </c>
      <c r="E432" s="19" t="s">
        <v>1194</v>
      </c>
      <c r="F432" s="81" t="s">
        <v>721</v>
      </c>
      <c r="G432" s="21" t="s">
        <v>337</v>
      </c>
      <c r="H432" s="22">
        <f t="shared" si="8"/>
        <v>2</v>
      </c>
      <c r="I432" s="21">
        <v>1402</v>
      </c>
      <c r="J432" s="21"/>
      <c r="K432" s="23">
        <v>10000000</v>
      </c>
      <c r="L432" s="78"/>
    </row>
    <row r="433" spans="1:13" ht="15.75" customHeight="1">
      <c r="A433" s="67"/>
      <c r="B433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433" s="21" t="s">
        <v>355</v>
      </c>
      <c r="D433" s="21" t="s">
        <v>356</v>
      </c>
      <c r="E433" s="19" t="s">
        <v>1195</v>
      </c>
      <c r="F433" s="81" t="s">
        <v>464</v>
      </c>
      <c r="G433" s="21" t="s">
        <v>331</v>
      </c>
      <c r="H433" s="22">
        <f t="shared" si="8"/>
        <v>3</v>
      </c>
      <c r="I433" s="21">
        <v>1402</v>
      </c>
      <c r="J433" s="21"/>
      <c r="K433" s="23">
        <v>20000000</v>
      </c>
      <c r="L433" s="78"/>
    </row>
    <row r="434" spans="1:13" ht="15.75" customHeight="1">
      <c r="A434" s="67"/>
      <c r="B434" s="73">
        <f>SUMIFS('لیست واریزی کل خیرین'!B:B,'لیست واریزی کل خیرین'!D:D,Table1[[#This Row],[نام]],'لیست واریزی کل خیرین'!E:E,Table1[[#This Row],[نام خانوادگی]])</f>
        <v>12</v>
      </c>
      <c r="C434" s="21" t="s">
        <v>366</v>
      </c>
      <c r="D434" s="36" t="s">
        <v>367</v>
      </c>
      <c r="E434" s="19" t="s">
        <v>1196</v>
      </c>
      <c r="F434" s="81" t="s">
        <v>664</v>
      </c>
      <c r="G434" s="21" t="s">
        <v>332</v>
      </c>
      <c r="H434" s="22">
        <f t="shared" si="8"/>
        <v>1</v>
      </c>
      <c r="I434" s="21">
        <v>1402</v>
      </c>
      <c r="J434" s="21"/>
      <c r="K434" s="23">
        <v>10000000</v>
      </c>
      <c r="L434" s="78"/>
    </row>
    <row r="435" spans="1:13" ht="15.75" customHeight="1">
      <c r="A435" s="67"/>
      <c r="B435" s="73">
        <f>SUMIFS('لیست واریزی کل خیرین'!B:B,'لیست واریزی کل خیرین'!D:D,Table1[[#This Row],[نام]],'لیست واریزی کل خیرین'!E:E,Table1[[#This Row],[نام خانوادگی]])</f>
        <v>62</v>
      </c>
      <c r="C435" s="21" t="s">
        <v>616</v>
      </c>
      <c r="D435" s="21" t="s">
        <v>574</v>
      </c>
      <c r="E435" s="19" t="s">
        <v>1226</v>
      </c>
      <c r="F435" s="81" t="s">
        <v>1227</v>
      </c>
      <c r="G435" s="21" t="s">
        <v>337</v>
      </c>
      <c r="H435" s="22">
        <f t="shared" si="8"/>
        <v>2</v>
      </c>
      <c r="I435" s="21">
        <v>1402</v>
      </c>
      <c r="J435" s="21"/>
      <c r="K435" s="23">
        <v>10000000</v>
      </c>
      <c r="L435" s="78"/>
    </row>
    <row r="436" spans="1:13" ht="15.75" customHeight="1">
      <c r="A436" s="67"/>
      <c r="B436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436" s="19" t="s">
        <v>391</v>
      </c>
      <c r="D436" s="19" t="s">
        <v>392</v>
      </c>
      <c r="E436" s="19" t="s">
        <v>1228</v>
      </c>
      <c r="F436" s="81" t="s">
        <v>1276</v>
      </c>
      <c r="G436" s="21" t="s">
        <v>337</v>
      </c>
      <c r="H436" s="22">
        <f>IF(G436="","",VLOOKUP(G436,mah,2,0))</f>
        <v>2</v>
      </c>
      <c r="I436" s="21">
        <v>1402</v>
      </c>
      <c r="J436" s="21"/>
      <c r="K436" s="23">
        <v>25365951</v>
      </c>
      <c r="L436" s="91"/>
      <c r="M436" s="268"/>
    </row>
    <row r="437" spans="1:13" ht="15.75" customHeight="1">
      <c r="A437" s="67"/>
      <c r="B437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437" s="19" t="s">
        <v>340</v>
      </c>
      <c r="D437" s="19" t="s">
        <v>341</v>
      </c>
      <c r="E437" s="19" t="s">
        <v>1197</v>
      </c>
      <c r="F437" s="81" t="s">
        <v>1229</v>
      </c>
      <c r="G437" s="21" t="s">
        <v>337</v>
      </c>
      <c r="H437" s="22">
        <f t="shared" si="8"/>
        <v>2</v>
      </c>
      <c r="I437" s="21">
        <v>1402</v>
      </c>
      <c r="J437" s="21"/>
      <c r="K437" s="23">
        <v>2000000</v>
      </c>
      <c r="L437" s="78"/>
    </row>
    <row r="438" spans="1:13" ht="15.75" customHeight="1">
      <c r="A438" s="67"/>
      <c r="B438" s="73">
        <f>SUMIFS('لیست واریزی کل خیرین'!B:B,'لیست واریزی کل خیرین'!D:D,Table1[[#This Row],[نام]],'لیست واریزی کل خیرین'!E:E,Table1[[#This Row],[نام خانوادگی]])</f>
        <v>74</v>
      </c>
      <c r="C438" s="19" t="s">
        <v>640</v>
      </c>
      <c r="D438" s="19" t="s">
        <v>641</v>
      </c>
      <c r="E438" s="19" t="s">
        <v>1230</v>
      </c>
      <c r="F438" s="81" t="s">
        <v>643</v>
      </c>
      <c r="G438" s="21" t="s">
        <v>337</v>
      </c>
      <c r="H438" s="22">
        <f t="shared" si="8"/>
        <v>2</v>
      </c>
      <c r="I438" s="21">
        <v>1402</v>
      </c>
      <c r="J438" s="21"/>
      <c r="K438" s="23">
        <v>5000000</v>
      </c>
      <c r="L438" s="78"/>
    </row>
    <row r="439" spans="1:13" ht="30" customHeight="1">
      <c r="A439" s="67"/>
      <c r="B439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39" s="19" t="s">
        <v>355</v>
      </c>
      <c r="D439" s="19" t="s">
        <v>369</v>
      </c>
      <c r="E439" s="19" t="s">
        <v>1230</v>
      </c>
      <c r="F439" s="81" t="s">
        <v>554</v>
      </c>
      <c r="G439" s="21" t="s">
        <v>332</v>
      </c>
      <c r="H439" s="22">
        <f t="shared" si="8"/>
        <v>1</v>
      </c>
      <c r="I439" s="21">
        <v>1402</v>
      </c>
      <c r="J439" s="21"/>
      <c r="K439" s="23">
        <v>4166000</v>
      </c>
      <c r="L439" s="265" t="s">
        <v>1269</v>
      </c>
    </row>
    <row r="440" spans="1:13" ht="29.25" customHeight="1">
      <c r="A440" s="67"/>
      <c r="B440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40" s="19" t="s">
        <v>355</v>
      </c>
      <c r="D440" s="19" t="s">
        <v>369</v>
      </c>
      <c r="E440" s="19" t="s">
        <v>1230</v>
      </c>
      <c r="F440" s="81" t="s">
        <v>554</v>
      </c>
      <c r="G440" s="74" t="s">
        <v>337</v>
      </c>
      <c r="H440" s="75">
        <f t="shared" ref="H440:H450" si="10">IF(G440="","",VLOOKUP(G440,mah,2,0))</f>
        <v>2</v>
      </c>
      <c r="I440" s="21">
        <v>1402</v>
      </c>
      <c r="J440" s="74"/>
      <c r="K440" s="23">
        <v>4166000</v>
      </c>
      <c r="L440" s="265" t="s">
        <v>1269</v>
      </c>
    </row>
    <row r="441" spans="1:13" ht="33" customHeight="1">
      <c r="A441" s="67"/>
      <c r="B441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41" s="19" t="s">
        <v>355</v>
      </c>
      <c r="D441" s="19" t="s">
        <v>369</v>
      </c>
      <c r="E441" s="19" t="s">
        <v>1230</v>
      </c>
      <c r="F441" s="81" t="s">
        <v>554</v>
      </c>
      <c r="G441" s="74" t="s">
        <v>331</v>
      </c>
      <c r="H441" s="75">
        <f t="shared" si="10"/>
        <v>3</v>
      </c>
      <c r="I441" s="21">
        <v>1402</v>
      </c>
      <c r="J441" s="74"/>
      <c r="K441" s="23">
        <v>4166000</v>
      </c>
      <c r="L441" s="265" t="s">
        <v>1269</v>
      </c>
    </row>
    <row r="442" spans="1:13" ht="31.5" customHeight="1">
      <c r="A442" s="67"/>
      <c r="B442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42" s="19" t="s">
        <v>355</v>
      </c>
      <c r="D442" s="19" t="s">
        <v>369</v>
      </c>
      <c r="E442" s="19" t="s">
        <v>1230</v>
      </c>
      <c r="F442" s="81" t="s">
        <v>554</v>
      </c>
      <c r="G442" s="74" t="s">
        <v>343</v>
      </c>
      <c r="H442" s="75">
        <f t="shared" si="10"/>
        <v>4</v>
      </c>
      <c r="I442" s="21">
        <v>1402</v>
      </c>
      <c r="J442" s="74"/>
      <c r="K442" s="23">
        <v>4166000</v>
      </c>
      <c r="L442" s="265" t="s">
        <v>1269</v>
      </c>
    </row>
    <row r="443" spans="1:13" ht="30.75" customHeight="1">
      <c r="A443" s="67"/>
      <c r="B443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43" s="19" t="s">
        <v>355</v>
      </c>
      <c r="D443" s="19" t="s">
        <v>369</v>
      </c>
      <c r="E443" s="19" t="s">
        <v>1230</v>
      </c>
      <c r="F443" s="81" t="s">
        <v>554</v>
      </c>
      <c r="G443" s="74" t="s">
        <v>346</v>
      </c>
      <c r="H443" s="75">
        <f t="shared" si="10"/>
        <v>5</v>
      </c>
      <c r="I443" s="21">
        <v>1402</v>
      </c>
      <c r="J443" s="74"/>
      <c r="K443" s="23">
        <v>4166000</v>
      </c>
      <c r="L443" s="265" t="s">
        <v>1269</v>
      </c>
    </row>
    <row r="444" spans="1:13" ht="30" customHeight="1">
      <c r="A444" s="67"/>
      <c r="B444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44" s="19" t="s">
        <v>355</v>
      </c>
      <c r="D444" s="19" t="s">
        <v>369</v>
      </c>
      <c r="E444" s="19" t="s">
        <v>1230</v>
      </c>
      <c r="F444" s="81" t="s">
        <v>554</v>
      </c>
      <c r="G444" s="74" t="s">
        <v>348</v>
      </c>
      <c r="H444" s="75">
        <f t="shared" si="10"/>
        <v>6</v>
      </c>
      <c r="I444" s="21">
        <v>1402</v>
      </c>
      <c r="J444" s="74"/>
      <c r="K444" s="23">
        <v>4166000</v>
      </c>
      <c r="L444" s="265" t="s">
        <v>1269</v>
      </c>
    </row>
    <row r="445" spans="1:13" ht="30.75" customHeight="1">
      <c r="A445" s="67"/>
      <c r="B445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45" s="19" t="s">
        <v>355</v>
      </c>
      <c r="D445" s="19" t="s">
        <v>369</v>
      </c>
      <c r="E445" s="19" t="s">
        <v>1230</v>
      </c>
      <c r="F445" s="81" t="s">
        <v>554</v>
      </c>
      <c r="G445" s="74" t="s">
        <v>351</v>
      </c>
      <c r="H445" s="75">
        <f t="shared" si="10"/>
        <v>7</v>
      </c>
      <c r="I445" s="21">
        <v>1402</v>
      </c>
      <c r="J445" s="74"/>
      <c r="K445" s="23">
        <v>4166000</v>
      </c>
      <c r="L445" s="265" t="s">
        <v>1269</v>
      </c>
    </row>
    <row r="446" spans="1:13" ht="30.75" customHeight="1">
      <c r="A446" s="67"/>
      <c r="B446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46" s="19" t="s">
        <v>355</v>
      </c>
      <c r="D446" s="19" t="s">
        <v>369</v>
      </c>
      <c r="E446" s="19" t="s">
        <v>1230</v>
      </c>
      <c r="F446" s="81" t="s">
        <v>554</v>
      </c>
      <c r="G446" s="74" t="s">
        <v>354</v>
      </c>
      <c r="H446" s="75">
        <f t="shared" si="10"/>
        <v>8</v>
      </c>
      <c r="I446" s="21">
        <v>1402</v>
      </c>
      <c r="J446" s="74"/>
      <c r="K446" s="23">
        <v>4166000</v>
      </c>
      <c r="L446" s="265" t="s">
        <v>1269</v>
      </c>
    </row>
    <row r="447" spans="1:13" ht="34.5" customHeight="1">
      <c r="A447" s="67"/>
      <c r="B447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47" s="19" t="s">
        <v>355</v>
      </c>
      <c r="D447" s="19" t="s">
        <v>369</v>
      </c>
      <c r="E447" s="19" t="s">
        <v>1230</v>
      </c>
      <c r="F447" s="81" t="s">
        <v>554</v>
      </c>
      <c r="G447" s="74" t="s">
        <v>357</v>
      </c>
      <c r="H447" s="75">
        <f t="shared" si="10"/>
        <v>9</v>
      </c>
      <c r="I447" s="21">
        <v>1402</v>
      </c>
      <c r="J447" s="74"/>
      <c r="K447" s="23">
        <v>4166000</v>
      </c>
      <c r="L447" s="265" t="s">
        <v>1269</v>
      </c>
    </row>
    <row r="448" spans="1:13" ht="30" customHeight="1">
      <c r="A448" s="67"/>
      <c r="B448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48" s="19" t="s">
        <v>355</v>
      </c>
      <c r="D448" s="19" t="s">
        <v>369</v>
      </c>
      <c r="E448" s="19" t="s">
        <v>1230</v>
      </c>
      <c r="F448" s="81" t="s">
        <v>554</v>
      </c>
      <c r="G448" s="74" t="s">
        <v>362</v>
      </c>
      <c r="H448" s="75">
        <f t="shared" si="10"/>
        <v>10</v>
      </c>
      <c r="I448" s="21">
        <v>1402</v>
      </c>
      <c r="J448" s="74"/>
      <c r="K448" s="23">
        <v>4166000</v>
      </c>
      <c r="L448" s="265" t="s">
        <v>1269</v>
      </c>
    </row>
    <row r="449" spans="1:12" ht="31.5" customHeight="1">
      <c r="A449" s="67"/>
      <c r="B449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49" s="19" t="s">
        <v>355</v>
      </c>
      <c r="D449" s="19" t="s">
        <v>369</v>
      </c>
      <c r="E449" s="19" t="s">
        <v>1230</v>
      </c>
      <c r="F449" s="81" t="s">
        <v>554</v>
      </c>
      <c r="G449" s="74" t="s">
        <v>365</v>
      </c>
      <c r="H449" s="75">
        <f t="shared" si="10"/>
        <v>11</v>
      </c>
      <c r="I449" s="21">
        <v>1402</v>
      </c>
      <c r="J449" s="74"/>
      <c r="K449" s="23">
        <v>4166000</v>
      </c>
      <c r="L449" s="265" t="s">
        <v>1269</v>
      </c>
    </row>
    <row r="450" spans="1:12" ht="31.5" customHeight="1">
      <c r="A450" s="67"/>
      <c r="B450" s="73">
        <f>SUMIFS('لیست واریزی کل خیرین'!B:B,'لیست واریزی کل خیرین'!D:D,Table1[[#This Row],[نام]],'لیست واریزی کل خیرین'!E:E,Table1[[#This Row],[نام خانوادگی]])</f>
        <v>13</v>
      </c>
      <c r="C450" s="19" t="s">
        <v>355</v>
      </c>
      <c r="D450" s="19" t="s">
        <v>369</v>
      </c>
      <c r="E450" s="19" t="s">
        <v>1230</v>
      </c>
      <c r="F450" s="81" t="s">
        <v>554</v>
      </c>
      <c r="G450" s="74" t="s">
        <v>368</v>
      </c>
      <c r="H450" s="75">
        <f t="shared" si="10"/>
        <v>12</v>
      </c>
      <c r="I450" s="21">
        <v>1402</v>
      </c>
      <c r="J450" s="74"/>
      <c r="K450" s="23">
        <v>4166000</v>
      </c>
      <c r="L450" s="265" t="s">
        <v>1269</v>
      </c>
    </row>
    <row r="451" spans="1:12" ht="15.75" customHeight="1">
      <c r="A451" s="67"/>
      <c r="B451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451" s="21" t="s">
        <v>366</v>
      </c>
      <c r="D451" s="21" t="s">
        <v>382</v>
      </c>
      <c r="E451" s="19" t="s">
        <v>1231</v>
      </c>
      <c r="F451" s="81" t="s">
        <v>536</v>
      </c>
      <c r="G451" s="21" t="s">
        <v>337</v>
      </c>
      <c r="H451" s="22">
        <f t="shared" si="8"/>
        <v>2</v>
      </c>
      <c r="I451" s="21">
        <v>1402</v>
      </c>
      <c r="J451" s="21"/>
      <c r="K451" s="23">
        <v>20000000</v>
      </c>
      <c r="L451" s="78"/>
    </row>
    <row r="452" spans="1:12" ht="15.75" customHeight="1">
      <c r="A452" s="67"/>
      <c r="B452" s="73">
        <f>SUMIFS('لیست واریزی کل خیرین'!B:B,'لیست واریزی کل خیرین'!D:D,Table1[[#This Row],[نام]],'لیست واریزی کل خیرین'!E:E,Table1[[#This Row],[نام خانوادگی]])</f>
        <v>24</v>
      </c>
      <c r="C452" s="21" t="s">
        <v>398</v>
      </c>
      <c r="D452" s="21" t="s">
        <v>399</v>
      </c>
      <c r="E452" s="19" t="s">
        <v>1232</v>
      </c>
      <c r="F452" s="81" t="s">
        <v>558</v>
      </c>
      <c r="G452" s="21" t="s">
        <v>331</v>
      </c>
      <c r="H452" s="22">
        <f t="shared" si="8"/>
        <v>3</v>
      </c>
      <c r="I452" s="21">
        <v>1402</v>
      </c>
      <c r="J452" s="21"/>
      <c r="K452" s="23">
        <v>5000000</v>
      </c>
      <c r="L452" s="78"/>
    </row>
    <row r="453" spans="1:12" ht="15.75" customHeight="1">
      <c r="A453" s="67"/>
      <c r="B453" s="73">
        <f>SUMIFS('لیست واریزی کل خیرین'!B:B,'لیست واریزی کل خیرین'!D:D,Table1[[#This Row],[نام]],'لیست واریزی کل خیرین'!E:E,Table1[[#This Row],[نام خانوادگی]])</f>
        <v>25</v>
      </c>
      <c r="C453" s="21" t="s">
        <v>401</v>
      </c>
      <c r="D453" s="21" t="s">
        <v>402</v>
      </c>
      <c r="E453" s="19" t="s">
        <v>1232</v>
      </c>
      <c r="F453" s="81" t="s">
        <v>438</v>
      </c>
      <c r="G453" s="21" t="s">
        <v>331</v>
      </c>
      <c r="H453" s="22">
        <f t="shared" si="8"/>
        <v>3</v>
      </c>
      <c r="I453" s="21">
        <v>1402</v>
      </c>
      <c r="J453" s="21"/>
      <c r="K453" s="23">
        <v>30000000</v>
      </c>
      <c r="L453" s="78"/>
    </row>
    <row r="454" spans="1:12" ht="33" customHeight="1">
      <c r="A454" s="67"/>
      <c r="B454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454" s="21" t="s">
        <v>344</v>
      </c>
      <c r="D454" s="21" t="s">
        <v>345</v>
      </c>
      <c r="E454" s="19" t="s">
        <v>1233</v>
      </c>
      <c r="F454" s="81" t="s">
        <v>669</v>
      </c>
      <c r="G454" s="21" t="s">
        <v>332</v>
      </c>
      <c r="H454" s="22">
        <f t="shared" si="8"/>
        <v>1</v>
      </c>
      <c r="I454" s="21">
        <v>1402</v>
      </c>
      <c r="J454" s="21"/>
      <c r="K454" s="23">
        <v>5000000</v>
      </c>
      <c r="L454" s="265" t="s">
        <v>1266</v>
      </c>
    </row>
    <row r="455" spans="1:12" ht="27.75" customHeight="1">
      <c r="A455" s="67"/>
      <c r="B455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455" s="21" t="s">
        <v>344</v>
      </c>
      <c r="D455" s="21" t="s">
        <v>345</v>
      </c>
      <c r="E455" s="19" t="s">
        <v>1233</v>
      </c>
      <c r="F455" s="81" t="s">
        <v>669</v>
      </c>
      <c r="G455" s="74" t="s">
        <v>337</v>
      </c>
      <c r="H455" s="75">
        <f>IF(G455="","",VLOOKUP(G455,mah,2,0))</f>
        <v>2</v>
      </c>
      <c r="I455" s="21">
        <v>1402</v>
      </c>
      <c r="J455" s="74"/>
      <c r="K455" s="23">
        <v>5000000</v>
      </c>
      <c r="L455" s="265" t="s">
        <v>1266</v>
      </c>
    </row>
    <row r="456" spans="1:12" ht="27" customHeight="1">
      <c r="A456" s="67"/>
      <c r="B456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456" s="21" t="s">
        <v>344</v>
      </c>
      <c r="D456" s="21" t="s">
        <v>345</v>
      </c>
      <c r="E456" s="19" t="s">
        <v>1233</v>
      </c>
      <c r="F456" s="81" t="s">
        <v>669</v>
      </c>
      <c r="G456" s="74" t="s">
        <v>331</v>
      </c>
      <c r="H456" s="75">
        <f>IF(G456="","",VLOOKUP(G456,mah,2,0))</f>
        <v>3</v>
      </c>
      <c r="I456" s="21">
        <v>1402</v>
      </c>
      <c r="J456" s="74"/>
      <c r="K456" s="23">
        <v>5000000</v>
      </c>
      <c r="L456" s="265" t="s">
        <v>1266</v>
      </c>
    </row>
    <row r="457" spans="1:12" ht="15.75" customHeight="1">
      <c r="A457" s="67"/>
      <c r="B457" s="73">
        <f>SUMIFS('لیست واریزی کل خیرین'!B:B,'لیست واریزی کل خیرین'!D:D,Table1[[#This Row],[نام]],'لیست واریزی کل خیرین'!E:E,Table1[[#This Row],[نام خانوادگی]])</f>
        <v>11</v>
      </c>
      <c r="C457" s="21" t="s">
        <v>363</v>
      </c>
      <c r="D457" s="21" t="s">
        <v>364</v>
      </c>
      <c r="E457" s="19" t="s">
        <v>1233</v>
      </c>
      <c r="F457" s="81" t="s">
        <v>442</v>
      </c>
      <c r="G457" s="21" t="s">
        <v>331</v>
      </c>
      <c r="H457" s="22">
        <f t="shared" si="8"/>
        <v>3</v>
      </c>
      <c r="I457" s="21">
        <v>1402</v>
      </c>
      <c r="J457" s="21"/>
      <c r="K457" s="23">
        <v>40000000</v>
      </c>
      <c r="L457" s="78"/>
    </row>
    <row r="458" spans="1:12" ht="30" customHeight="1">
      <c r="A458" s="67"/>
      <c r="B458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458" s="21" t="s">
        <v>366</v>
      </c>
      <c r="D458" s="21" t="s">
        <v>385</v>
      </c>
      <c r="E458" s="19" t="s">
        <v>1234</v>
      </c>
      <c r="F458" s="81" t="s">
        <v>488</v>
      </c>
      <c r="G458" s="21" t="s">
        <v>337</v>
      </c>
      <c r="H458" s="22">
        <f t="shared" si="8"/>
        <v>2</v>
      </c>
      <c r="I458" s="21">
        <v>1402</v>
      </c>
      <c r="J458" s="21"/>
      <c r="K458" s="23">
        <v>5000000</v>
      </c>
      <c r="L458" s="265" t="s">
        <v>1267</v>
      </c>
    </row>
    <row r="459" spans="1:12" ht="22.5" customHeight="1">
      <c r="A459" s="67"/>
      <c r="B459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459" s="21" t="s">
        <v>366</v>
      </c>
      <c r="D459" s="21" t="s">
        <v>385</v>
      </c>
      <c r="E459" s="19" t="s">
        <v>1234</v>
      </c>
      <c r="F459" s="81" t="s">
        <v>488</v>
      </c>
      <c r="G459" s="21" t="s">
        <v>331</v>
      </c>
      <c r="H459" s="22">
        <f t="shared" ref="H459" si="11">IF(G459="","",VLOOKUP(G459,mah,2,0))</f>
        <v>3</v>
      </c>
      <c r="I459" s="21">
        <v>1402</v>
      </c>
      <c r="J459" s="74"/>
      <c r="K459" s="76">
        <v>5000000</v>
      </c>
      <c r="L459" s="265" t="s">
        <v>1267</v>
      </c>
    </row>
    <row r="460" spans="1:12" ht="15.75" customHeight="1">
      <c r="A460" s="67"/>
      <c r="B460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460" s="21" t="s">
        <v>358</v>
      </c>
      <c r="D460" s="21" t="s">
        <v>359</v>
      </c>
      <c r="E460" s="19" t="s">
        <v>1203</v>
      </c>
      <c r="F460" s="81" t="s">
        <v>637</v>
      </c>
      <c r="G460" s="21" t="s">
        <v>331</v>
      </c>
      <c r="H460" s="22">
        <f t="shared" si="8"/>
        <v>3</v>
      </c>
      <c r="I460" s="21">
        <v>1402</v>
      </c>
      <c r="J460" s="21"/>
      <c r="K460" s="23">
        <v>105000000</v>
      </c>
      <c r="L460" s="78"/>
    </row>
    <row r="461" spans="1:12" ht="15.75" customHeight="1">
      <c r="A461" s="67"/>
      <c r="B461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461" s="21" t="s">
        <v>349</v>
      </c>
      <c r="D461" s="21" t="s">
        <v>350</v>
      </c>
      <c r="E461" s="19" t="s">
        <v>1235</v>
      </c>
      <c r="F461" s="81" t="s">
        <v>448</v>
      </c>
      <c r="G461" s="21" t="s">
        <v>331</v>
      </c>
      <c r="H461" s="22">
        <f t="shared" si="8"/>
        <v>3</v>
      </c>
      <c r="I461" s="21">
        <v>1402</v>
      </c>
      <c r="J461" s="21"/>
      <c r="K461" s="23">
        <v>50000000</v>
      </c>
      <c r="L461" s="78"/>
    </row>
    <row r="462" spans="1:12" ht="26.25" customHeight="1">
      <c r="A462" s="67"/>
      <c r="B462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462" s="21" t="s">
        <v>412</v>
      </c>
      <c r="D462" s="21" t="s">
        <v>413</v>
      </c>
      <c r="E462" s="19" t="s">
        <v>1236</v>
      </c>
      <c r="F462" s="81" t="s">
        <v>658</v>
      </c>
      <c r="G462" s="21" t="s">
        <v>365</v>
      </c>
      <c r="H462" s="22">
        <f t="shared" si="8"/>
        <v>11</v>
      </c>
      <c r="I462" s="21">
        <v>1401</v>
      </c>
      <c r="J462" s="21"/>
      <c r="K462" s="23">
        <v>5000000</v>
      </c>
      <c r="L462" s="265" t="s">
        <v>1243</v>
      </c>
    </row>
    <row r="463" spans="1:12" ht="30" customHeight="1">
      <c r="A463" s="67"/>
      <c r="B463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463" s="21" t="s">
        <v>412</v>
      </c>
      <c r="D463" s="21" t="s">
        <v>413</v>
      </c>
      <c r="E463" s="19" t="s">
        <v>1236</v>
      </c>
      <c r="F463" s="81" t="s">
        <v>658</v>
      </c>
      <c r="G463" s="21" t="s">
        <v>368</v>
      </c>
      <c r="H463" s="22">
        <f t="shared" si="8"/>
        <v>12</v>
      </c>
      <c r="I463" s="21">
        <v>1401</v>
      </c>
      <c r="J463" s="21"/>
      <c r="K463" s="23">
        <v>5000000</v>
      </c>
      <c r="L463" s="265" t="s">
        <v>1243</v>
      </c>
    </row>
    <row r="464" spans="1:12" ht="29.25" customHeight="1">
      <c r="A464" s="67"/>
      <c r="B464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464" s="21" t="s">
        <v>412</v>
      </c>
      <c r="D464" s="21" t="s">
        <v>413</v>
      </c>
      <c r="E464" s="19" t="s">
        <v>1236</v>
      </c>
      <c r="F464" s="81" t="s">
        <v>658</v>
      </c>
      <c r="G464" s="21" t="s">
        <v>332</v>
      </c>
      <c r="H464" s="22">
        <f t="shared" si="8"/>
        <v>1</v>
      </c>
      <c r="I464" s="21">
        <v>1402</v>
      </c>
      <c r="J464" s="21"/>
      <c r="K464" s="23">
        <v>5000000</v>
      </c>
      <c r="L464" s="265" t="s">
        <v>1243</v>
      </c>
    </row>
    <row r="465" spans="1:13" ht="15.75" customHeight="1">
      <c r="A465" s="67"/>
      <c r="B465" s="73">
        <f>SUMIFS('لیست واریزی کل خیرین'!B:B,'لیست واریزی کل خیرین'!D:D,Table1[[#This Row],[نام]],'لیست واریزی کل خیرین'!E:E,Table1[[#This Row],[نام خانوادگی]])</f>
        <v>40</v>
      </c>
      <c r="C465" s="21" t="s">
        <v>363</v>
      </c>
      <c r="D465" s="21" t="s">
        <v>402</v>
      </c>
      <c r="E465" s="19" t="s">
        <v>1237</v>
      </c>
      <c r="F465" s="81" t="s">
        <v>1238</v>
      </c>
      <c r="G465" s="21" t="s">
        <v>337</v>
      </c>
      <c r="H465" s="22">
        <f t="shared" si="8"/>
        <v>2</v>
      </c>
      <c r="I465" s="21">
        <v>1402</v>
      </c>
      <c r="J465" s="21"/>
      <c r="K465" s="23">
        <v>50000000</v>
      </c>
      <c r="L465" s="78"/>
    </row>
    <row r="466" spans="1:13" ht="15.75" customHeight="1">
      <c r="A466" s="67"/>
      <c r="B466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466" s="21" t="s">
        <v>355</v>
      </c>
      <c r="D466" s="21" t="s">
        <v>356</v>
      </c>
      <c r="E466" s="19" t="s">
        <v>1237</v>
      </c>
      <c r="F466" s="81" t="s">
        <v>464</v>
      </c>
      <c r="G466" s="21" t="s">
        <v>343</v>
      </c>
      <c r="H466" s="22">
        <f t="shared" si="8"/>
        <v>4</v>
      </c>
      <c r="I466" s="21">
        <v>1402</v>
      </c>
      <c r="J466" s="21"/>
      <c r="K466" s="23">
        <v>20000000</v>
      </c>
      <c r="L466" s="78"/>
    </row>
    <row r="467" spans="1:13" ht="15.75" customHeight="1">
      <c r="A467" s="67"/>
      <c r="B467" s="73">
        <f>SUMIFS('لیست واریزی کل خیرین'!B:B,'لیست واریزی کل خیرین'!D:D,Table1[[#This Row],[نام]],'لیست واریزی کل خیرین'!E:E,Table1[[#This Row],[نام خانوادگی]])</f>
        <v>62</v>
      </c>
      <c r="C467" s="21" t="s">
        <v>616</v>
      </c>
      <c r="D467" s="21" t="s">
        <v>574</v>
      </c>
      <c r="E467" s="19" t="s">
        <v>1239</v>
      </c>
      <c r="F467" s="81" t="s">
        <v>1240</v>
      </c>
      <c r="G467" s="21" t="s">
        <v>331</v>
      </c>
      <c r="H467" s="22">
        <f t="shared" si="8"/>
        <v>3</v>
      </c>
      <c r="I467" s="21">
        <v>1402</v>
      </c>
      <c r="J467" s="21"/>
      <c r="K467" s="23">
        <v>10000000</v>
      </c>
      <c r="L467" s="78"/>
    </row>
    <row r="468" spans="1:13" ht="15.75" customHeight="1">
      <c r="A468" s="67"/>
      <c r="B468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468" s="21" t="s">
        <v>391</v>
      </c>
      <c r="D468" s="21" t="s">
        <v>392</v>
      </c>
      <c r="E468" s="19" t="s">
        <v>1275</v>
      </c>
      <c r="F468" s="81" t="s">
        <v>1276</v>
      </c>
      <c r="G468" s="21" t="s">
        <v>331</v>
      </c>
      <c r="H468" s="22">
        <f>IF(G468="","",VLOOKUP(G468,mah,2,0))</f>
        <v>3</v>
      </c>
      <c r="I468" s="21">
        <v>1402</v>
      </c>
      <c r="J468" s="21"/>
      <c r="K468" s="23">
        <v>26623788</v>
      </c>
      <c r="L468" s="91"/>
      <c r="M468" s="268"/>
    </row>
    <row r="469" spans="1:13" ht="15.75" customHeight="1">
      <c r="A469" s="67"/>
      <c r="B469" s="73">
        <f>SUMIFS('لیست واریزی کل خیرین'!B:B,'لیست واریزی کل خیرین'!D:D,Table1[[#This Row],[نام]],'لیست واریزی کل خیرین'!E:E,Table1[[#This Row],[نام خانوادگی]])</f>
        <v>12</v>
      </c>
      <c r="C469" s="21" t="s">
        <v>366</v>
      </c>
      <c r="D469" s="36" t="s">
        <v>367</v>
      </c>
      <c r="E469" s="19" t="s">
        <v>1204</v>
      </c>
      <c r="F469" s="81" t="s">
        <v>664</v>
      </c>
      <c r="G469" s="21" t="s">
        <v>337</v>
      </c>
      <c r="H469" s="22">
        <f t="shared" si="8"/>
        <v>2</v>
      </c>
      <c r="I469" s="21">
        <v>1402</v>
      </c>
      <c r="J469" s="21"/>
      <c r="K469" s="23">
        <v>10000000</v>
      </c>
      <c r="L469" s="78" t="s">
        <v>1264</v>
      </c>
    </row>
    <row r="470" spans="1:13" ht="15.75" customHeight="1">
      <c r="A470" s="67"/>
      <c r="B470" s="73">
        <f>SUMIFS('لیست واریزی کل خیرین'!B:B,'لیست واریزی کل خیرین'!D:D,Table1[[#This Row],[نام]],'لیست واریزی کل خیرین'!E:E,Table1[[#This Row],[نام خانوادگی]])</f>
        <v>12</v>
      </c>
      <c r="C470" s="21" t="s">
        <v>366</v>
      </c>
      <c r="D470" s="36" t="s">
        <v>367</v>
      </c>
      <c r="E470" s="19" t="s">
        <v>1204</v>
      </c>
      <c r="F470" s="81" t="s">
        <v>664</v>
      </c>
      <c r="G470" s="21" t="s">
        <v>331</v>
      </c>
      <c r="H470" s="22">
        <f t="shared" si="8"/>
        <v>3</v>
      </c>
      <c r="I470" s="21">
        <v>1402</v>
      </c>
      <c r="J470" s="21"/>
      <c r="K470" s="23">
        <v>10000000</v>
      </c>
      <c r="L470" s="78" t="s">
        <v>1264</v>
      </c>
    </row>
    <row r="471" spans="1:13" ht="15.75" customHeight="1">
      <c r="A471" s="67"/>
      <c r="B471" s="73">
        <f>SUMIFS('لیست واریزی کل خیرین'!B:B,'لیست واریزی کل خیرین'!D:D,Table1[[#This Row],[نام]],'لیست واریزی کل خیرین'!E:E,Table1[[#This Row],[نام خانوادگی]])</f>
        <v>12</v>
      </c>
      <c r="C471" s="21" t="s">
        <v>366</v>
      </c>
      <c r="D471" s="36" t="s">
        <v>367</v>
      </c>
      <c r="E471" s="19" t="s">
        <v>1204</v>
      </c>
      <c r="F471" s="81" t="s">
        <v>664</v>
      </c>
      <c r="G471" s="21" t="s">
        <v>343</v>
      </c>
      <c r="H471" s="22">
        <f t="shared" si="8"/>
        <v>4</v>
      </c>
      <c r="I471" s="21">
        <v>1402</v>
      </c>
      <c r="J471" s="74"/>
      <c r="K471" s="23">
        <v>10000000</v>
      </c>
      <c r="L471" s="78" t="s">
        <v>1264</v>
      </c>
    </row>
    <row r="472" spans="1:13" ht="15.75" customHeight="1">
      <c r="A472" s="67"/>
      <c r="B472" s="73">
        <f>SUMIFS('لیست واریزی کل خیرین'!B:B,'لیست واریزی کل خیرین'!D:D,Table1[[#This Row],[نام]],'لیست واریزی کل خیرین'!E:E,Table1[[#This Row],[نام خانوادگی]])</f>
        <v>88</v>
      </c>
      <c r="C472" s="19" t="s">
        <v>76</v>
      </c>
      <c r="D472" s="19" t="s">
        <v>1265</v>
      </c>
      <c r="E472" s="19" t="s">
        <v>1241</v>
      </c>
      <c r="F472" s="81" t="s">
        <v>1242</v>
      </c>
      <c r="G472" s="21" t="s">
        <v>331</v>
      </c>
      <c r="H472" s="22">
        <f t="shared" si="8"/>
        <v>3</v>
      </c>
      <c r="I472" s="21">
        <v>1402</v>
      </c>
      <c r="J472" s="21"/>
      <c r="K472" s="23">
        <v>10000000</v>
      </c>
      <c r="L472" s="209"/>
    </row>
    <row r="473" spans="1:13" ht="27.75" customHeight="1">
      <c r="A473" s="67"/>
      <c r="B473" s="73">
        <f>SUMIFS('لیست واریزی کل خیرین'!B:B,'لیست واریزی کل خیرین'!D:D,Table1[[#This Row],[نام]],'لیست واریزی کل خیرین'!E:E,Table1[[#This Row],[نام خانوادگی]])</f>
        <v>23</v>
      </c>
      <c r="C473" s="21" t="s">
        <v>457</v>
      </c>
      <c r="D473" s="21" t="s">
        <v>390</v>
      </c>
      <c r="E473" s="19" t="s">
        <v>1280</v>
      </c>
      <c r="F473" s="87" t="s">
        <v>1281</v>
      </c>
      <c r="G473" s="21" t="s">
        <v>368</v>
      </c>
      <c r="H473" s="22">
        <f t="shared" si="8"/>
        <v>12</v>
      </c>
      <c r="I473" s="21">
        <v>1401</v>
      </c>
      <c r="J473" s="74"/>
      <c r="K473" s="76">
        <v>10000000</v>
      </c>
      <c r="L473" s="265" t="s">
        <v>1282</v>
      </c>
    </row>
    <row r="474" spans="1:13" ht="28.5" customHeight="1">
      <c r="A474" s="67"/>
      <c r="B474" s="73">
        <f>SUMIFS('لیست واریزی کل خیرین'!B:B,'لیست واریزی کل خیرین'!D:D,Table1[[#This Row],[نام]],'لیست واریزی کل خیرین'!E:E,Table1[[#This Row],[نام خانوادگی]])</f>
        <v>23</v>
      </c>
      <c r="C474" s="21" t="s">
        <v>457</v>
      </c>
      <c r="D474" s="21" t="s">
        <v>390</v>
      </c>
      <c r="E474" s="19" t="s">
        <v>1280</v>
      </c>
      <c r="F474" s="87" t="s">
        <v>1281</v>
      </c>
      <c r="G474" s="74" t="s">
        <v>332</v>
      </c>
      <c r="H474" s="22">
        <f t="shared" si="8"/>
        <v>1</v>
      </c>
      <c r="I474" s="74">
        <v>1402</v>
      </c>
      <c r="J474" s="74"/>
      <c r="K474" s="76">
        <v>10000000</v>
      </c>
      <c r="L474" s="265" t="s">
        <v>1282</v>
      </c>
    </row>
    <row r="475" spans="1:13" ht="30" customHeight="1">
      <c r="A475" s="67"/>
      <c r="B475" s="73">
        <f>SUMIFS('لیست واریزی کل خیرین'!B:B,'لیست واریزی کل خیرین'!D:D,Table1[[#This Row],[نام]],'لیست واریزی کل خیرین'!E:E,Table1[[#This Row],[نام خانوادگی]])</f>
        <v>23</v>
      </c>
      <c r="C475" s="21" t="s">
        <v>457</v>
      </c>
      <c r="D475" s="21" t="s">
        <v>390</v>
      </c>
      <c r="E475" s="19" t="s">
        <v>1280</v>
      </c>
      <c r="F475" s="87" t="s">
        <v>1281</v>
      </c>
      <c r="G475" s="74" t="s">
        <v>337</v>
      </c>
      <c r="H475" s="22">
        <f t="shared" si="8"/>
        <v>2</v>
      </c>
      <c r="I475" s="74">
        <v>1402</v>
      </c>
      <c r="J475" s="74"/>
      <c r="K475" s="76">
        <v>10000000</v>
      </c>
      <c r="L475" s="265" t="s">
        <v>1282</v>
      </c>
    </row>
    <row r="476" spans="1:13" ht="33" customHeight="1">
      <c r="A476" s="67"/>
      <c r="B476" s="73">
        <f>SUMIFS('لیست واریزی کل خیرین'!B:B,'لیست واریزی کل خیرین'!D:D,Table1[[#This Row],[نام]],'لیست واریزی کل خیرین'!E:E,Table1[[#This Row],[نام خانوادگی]])</f>
        <v>23</v>
      </c>
      <c r="C476" s="21" t="s">
        <v>457</v>
      </c>
      <c r="D476" s="21" t="s">
        <v>390</v>
      </c>
      <c r="E476" s="19" t="s">
        <v>1280</v>
      </c>
      <c r="F476" s="87" t="s">
        <v>1281</v>
      </c>
      <c r="G476" s="74" t="s">
        <v>331</v>
      </c>
      <c r="H476" s="22">
        <f t="shared" si="8"/>
        <v>3</v>
      </c>
      <c r="I476" s="74">
        <v>1402</v>
      </c>
      <c r="J476" s="74"/>
      <c r="K476" s="76">
        <v>10000000</v>
      </c>
      <c r="L476" s="265" t="s">
        <v>1282</v>
      </c>
    </row>
    <row r="477" spans="1:13" ht="26.25" customHeight="1">
      <c r="A477" s="67"/>
      <c r="B477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477" s="21" t="s">
        <v>366</v>
      </c>
      <c r="D477" s="21" t="s">
        <v>382</v>
      </c>
      <c r="E477" s="19" t="s">
        <v>1280</v>
      </c>
      <c r="F477" s="81" t="s">
        <v>536</v>
      </c>
      <c r="G477" s="74" t="s">
        <v>331</v>
      </c>
      <c r="H477" s="22">
        <f t="shared" si="8"/>
        <v>3</v>
      </c>
      <c r="I477" s="74">
        <v>1402</v>
      </c>
      <c r="J477" s="74"/>
      <c r="K477" s="76">
        <v>20000000</v>
      </c>
      <c r="L477" s="209"/>
    </row>
    <row r="478" spans="1:13" ht="26.25" customHeight="1">
      <c r="A478" s="67"/>
      <c r="B478" s="73">
        <f>SUMIFS('لیست واریزی کل خیرین'!B:B,'لیست واریزی کل خیرین'!D:D,Table1[[#This Row],[نام]],'لیست واریزی کل خیرین'!E:E,Table1[[#This Row],[نام خانوادگی]])</f>
        <v>25</v>
      </c>
      <c r="C478" s="21" t="s">
        <v>401</v>
      </c>
      <c r="D478" s="21" t="s">
        <v>402</v>
      </c>
      <c r="E478" s="19" t="s">
        <v>1283</v>
      </c>
      <c r="F478" s="81" t="s">
        <v>438</v>
      </c>
      <c r="G478" s="21" t="s">
        <v>343</v>
      </c>
      <c r="H478" s="22">
        <f t="shared" si="8"/>
        <v>4</v>
      </c>
      <c r="I478" s="74">
        <v>1402</v>
      </c>
      <c r="J478" s="74"/>
      <c r="K478" s="76">
        <v>30000000</v>
      </c>
      <c r="L478" s="209"/>
    </row>
    <row r="479" spans="1:13" ht="26.25" customHeight="1">
      <c r="A479" s="67"/>
      <c r="B479" s="17">
        <f>SUMIFS('لیست واریزی کل خیرین'!B:B,'لیست واریزی کل خیرین'!D:D,Table1[[#This Row],[نام]],'لیست واریزی کل خیرین'!E:E,Table1[[#This Row],[نام خانوادگی]])</f>
        <v>35</v>
      </c>
      <c r="C479" s="21" t="s">
        <v>465</v>
      </c>
      <c r="D479" s="21" t="s">
        <v>466</v>
      </c>
      <c r="E479" s="19" t="s">
        <v>1284</v>
      </c>
      <c r="F479" s="81" t="s">
        <v>467</v>
      </c>
      <c r="G479" s="21" t="s">
        <v>331</v>
      </c>
      <c r="H479" s="22">
        <f>IF(G479="","",VLOOKUP(G479,mah,2,0))</f>
        <v>3</v>
      </c>
      <c r="I479" s="21">
        <v>1402</v>
      </c>
      <c r="J479" s="21"/>
      <c r="K479" s="23">
        <v>4000000</v>
      </c>
      <c r="L479" s="91" t="s">
        <v>1311</v>
      </c>
      <c r="M479" s="270"/>
    </row>
    <row r="480" spans="1:13" ht="27" customHeight="1">
      <c r="A480" s="67"/>
      <c r="B480" s="73">
        <f>SUMIFS('لیست واریزی کل خیرین'!B:B,'لیست واریزی کل خیرین'!D:D,Table1[[#This Row],[نام]],'لیست واریزی کل خیرین'!E:E,Table1[[#This Row],[نام خانوادگی]])</f>
        <v>35</v>
      </c>
      <c r="C480" s="21" t="s">
        <v>465</v>
      </c>
      <c r="D480" s="21" t="s">
        <v>466</v>
      </c>
      <c r="E480" s="19" t="s">
        <v>1284</v>
      </c>
      <c r="F480" s="81" t="s">
        <v>467</v>
      </c>
      <c r="G480" s="21" t="s">
        <v>343</v>
      </c>
      <c r="H480" s="22">
        <f t="shared" si="8"/>
        <v>4</v>
      </c>
      <c r="I480" s="74">
        <v>1402</v>
      </c>
      <c r="J480" s="74"/>
      <c r="K480" s="76">
        <v>4000000</v>
      </c>
      <c r="L480" s="91" t="s">
        <v>1311</v>
      </c>
    </row>
    <row r="481" spans="1:13" ht="25.5" customHeight="1">
      <c r="A481" s="67"/>
      <c r="B481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481" s="19" t="s">
        <v>340</v>
      </c>
      <c r="D481" s="19" t="s">
        <v>341</v>
      </c>
      <c r="E481" s="19" t="s">
        <v>1284</v>
      </c>
      <c r="F481" s="81" t="s">
        <v>1093</v>
      </c>
      <c r="G481" s="21" t="s">
        <v>331</v>
      </c>
      <c r="H481" s="22">
        <f t="shared" si="8"/>
        <v>3</v>
      </c>
      <c r="I481" s="74">
        <v>1402</v>
      </c>
      <c r="J481" s="74"/>
      <c r="K481" s="76">
        <v>2000000</v>
      </c>
      <c r="L481" s="209"/>
    </row>
    <row r="482" spans="1:13" ht="23.25" customHeight="1">
      <c r="A482" s="67"/>
      <c r="B482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482" s="19" t="s">
        <v>340</v>
      </c>
      <c r="D482" s="19" t="s">
        <v>341</v>
      </c>
      <c r="E482" s="19" t="s">
        <v>1284</v>
      </c>
      <c r="F482" s="81" t="s">
        <v>1093</v>
      </c>
      <c r="G482" s="21" t="s">
        <v>343</v>
      </c>
      <c r="H482" s="22">
        <f t="shared" si="8"/>
        <v>4</v>
      </c>
      <c r="I482" s="74">
        <v>1402</v>
      </c>
      <c r="J482" s="74"/>
      <c r="K482" s="76">
        <v>2000000</v>
      </c>
      <c r="L482" s="209"/>
    </row>
    <row r="483" spans="1:13" ht="24" customHeight="1">
      <c r="A483" s="67"/>
      <c r="B483" s="73">
        <f>SUMIFS('لیست واریزی کل خیرین'!B:B,'لیست واریزی کل خیرین'!D:D,Table1[[#This Row],[نام]],'لیست واریزی کل خیرین'!E:E,Table1[[#This Row],[نام خانوادگی]])</f>
        <v>74</v>
      </c>
      <c r="C483" s="19" t="s">
        <v>640</v>
      </c>
      <c r="D483" s="19" t="s">
        <v>641</v>
      </c>
      <c r="E483" s="19" t="s">
        <v>1285</v>
      </c>
      <c r="F483" s="81" t="s">
        <v>643</v>
      </c>
      <c r="G483" s="21" t="s">
        <v>331</v>
      </c>
      <c r="H483" s="22">
        <f t="shared" si="8"/>
        <v>3</v>
      </c>
      <c r="I483" s="74">
        <v>1402</v>
      </c>
      <c r="J483" s="74"/>
      <c r="K483" s="76">
        <v>5000000</v>
      </c>
      <c r="L483" s="209"/>
    </row>
    <row r="484" spans="1:13" ht="30" customHeight="1">
      <c r="A484" s="67"/>
      <c r="B484" s="73">
        <f>SUMIFS('لیست واریزی کل خیرین'!B:B,'لیست واریزی کل خیرین'!D:D,Table1[[#This Row],[نام]],'لیست واریزی کل خیرین'!E:E,Table1[[#This Row],[نام خانوادگی]])</f>
        <v>22</v>
      </c>
      <c r="C484" s="21" t="s">
        <v>387</v>
      </c>
      <c r="D484" s="21" t="s">
        <v>388</v>
      </c>
      <c r="E484" s="19" t="s">
        <v>1286</v>
      </c>
      <c r="F484" s="81" t="s">
        <v>662</v>
      </c>
      <c r="G484" s="74" t="s">
        <v>332</v>
      </c>
      <c r="H484" s="22">
        <f t="shared" si="8"/>
        <v>1</v>
      </c>
      <c r="I484" s="74">
        <v>1402</v>
      </c>
      <c r="J484" s="74"/>
      <c r="K484" s="76">
        <v>2000000</v>
      </c>
      <c r="L484" s="265" t="s">
        <v>1287</v>
      </c>
    </row>
    <row r="485" spans="1:13" ht="27.75" customHeight="1">
      <c r="A485" s="67"/>
      <c r="B485" s="73">
        <f>SUMIFS('لیست واریزی کل خیرین'!B:B,'لیست واریزی کل خیرین'!D:D,Table1[[#This Row],[نام]],'لیست واریزی کل خیرین'!E:E,Table1[[#This Row],[نام خانوادگی]])</f>
        <v>22</v>
      </c>
      <c r="C485" s="21" t="s">
        <v>387</v>
      </c>
      <c r="D485" s="21" t="s">
        <v>388</v>
      </c>
      <c r="E485" s="19" t="s">
        <v>1286</v>
      </c>
      <c r="F485" s="81" t="s">
        <v>662</v>
      </c>
      <c r="G485" s="74" t="s">
        <v>337</v>
      </c>
      <c r="H485" s="22">
        <f t="shared" si="8"/>
        <v>2</v>
      </c>
      <c r="I485" s="74">
        <v>1402</v>
      </c>
      <c r="J485" s="74"/>
      <c r="K485" s="76">
        <v>2000000</v>
      </c>
      <c r="L485" s="265" t="s">
        <v>1287</v>
      </c>
    </row>
    <row r="486" spans="1:13" ht="30" customHeight="1">
      <c r="A486" s="67"/>
      <c r="B486" s="73">
        <f>SUMIFS('لیست واریزی کل خیرین'!B:B,'لیست واریزی کل خیرین'!D:D,Table1[[#This Row],[نام]],'لیست واریزی کل خیرین'!E:E,Table1[[#This Row],[نام خانوادگی]])</f>
        <v>22</v>
      </c>
      <c r="C486" s="21" t="s">
        <v>387</v>
      </c>
      <c r="D486" s="21" t="s">
        <v>388</v>
      </c>
      <c r="E486" s="19" t="s">
        <v>1286</v>
      </c>
      <c r="F486" s="81" t="s">
        <v>662</v>
      </c>
      <c r="G486" s="74" t="s">
        <v>331</v>
      </c>
      <c r="H486" s="22">
        <f t="shared" si="8"/>
        <v>3</v>
      </c>
      <c r="I486" s="74">
        <v>1402</v>
      </c>
      <c r="J486" s="74"/>
      <c r="K486" s="76">
        <v>2000000</v>
      </c>
      <c r="L486" s="265" t="s">
        <v>1287</v>
      </c>
    </row>
    <row r="487" spans="1:13" ht="34.5" customHeight="1">
      <c r="A487" s="67"/>
      <c r="B487" s="73">
        <f>SUMIFS('لیست واریزی کل خیرین'!B:B,'لیست واریزی کل خیرین'!D:D,Table1[[#This Row],[نام]],'لیست واریزی کل خیرین'!E:E,Table1[[#This Row],[نام خانوادگی]])</f>
        <v>40</v>
      </c>
      <c r="C487" s="19" t="s">
        <v>363</v>
      </c>
      <c r="D487" s="19" t="s">
        <v>402</v>
      </c>
      <c r="E487" s="19" t="s">
        <v>1286</v>
      </c>
      <c r="F487" s="87" t="s">
        <v>1238</v>
      </c>
      <c r="G487" s="74" t="s">
        <v>331</v>
      </c>
      <c r="H487" s="22">
        <f t="shared" si="8"/>
        <v>3</v>
      </c>
      <c r="I487" s="74">
        <v>1402</v>
      </c>
      <c r="J487" s="74"/>
      <c r="K487" s="76">
        <v>50000000</v>
      </c>
      <c r="L487" s="209"/>
    </row>
    <row r="488" spans="1:13" ht="36.75" customHeight="1">
      <c r="A488" s="67"/>
      <c r="B488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488" s="19" t="s">
        <v>71</v>
      </c>
      <c r="D488" s="19" t="s">
        <v>371</v>
      </c>
      <c r="E488" s="19" t="s">
        <v>1297</v>
      </c>
      <c r="F488" s="87" t="s">
        <v>470</v>
      </c>
      <c r="G488" s="74" t="s">
        <v>365</v>
      </c>
      <c r="H488" s="22">
        <f t="shared" si="8"/>
        <v>11</v>
      </c>
      <c r="I488" s="74">
        <v>1401</v>
      </c>
      <c r="J488" s="74"/>
      <c r="K488" s="76">
        <v>10000000</v>
      </c>
      <c r="L488" s="269" t="s">
        <v>1302</v>
      </c>
    </row>
    <row r="489" spans="1:13" ht="31.5" customHeight="1">
      <c r="A489" s="67"/>
      <c r="B489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489" s="19" t="s">
        <v>71</v>
      </c>
      <c r="D489" s="19" t="s">
        <v>371</v>
      </c>
      <c r="E489" s="19" t="s">
        <v>1297</v>
      </c>
      <c r="F489" s="87" t="s">
        <v>470</v>
      </c>
      <c r="G489" s="74" t="s">
        <v>368</v>
      </c>
      <c r="H489" s="22">
        <f t="shared" si="8"/>
        <v>12</v>
      </c>
      <c r="I489" s="74">
        <v>1401</v>
      </c>
      <c r="J489" s="74"/>
      <c r="K489" s="76">
        <v>10000000</v>
      </c>
      <c r="L489" s="269" t="s">
        <v>1302</v>
      </c>
    </row>
    <row r="490" spans="1:13" ht="33" customHeight="1">
      <c r="A490" s="67"/>
      <c r="B490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490" s="19" t="s">
        <v>71</v>
      </c>
      <c r="D490" s="19" t="s">
        <v>371</v>
      </c>
      <c r="E490" s="19" t="s">
        <v>1297</v>
      </c>
      <c r="F490" s="87" t="s">
        <v>470</v>
      </c>
      <c r="G490" s="74" t="s">
        <v>332</v>
      </c>
      <c r="H490" s="22">
        <f t="shared" si="8"/>
        <v>1</v>
      </c>
      <c r="I490" s="74">
        <v>1402</v>
      </c>
      <c r="J490" s="74"/>
      <c r="K490" s="76">
        <v>10000000</v>
      </c>
      <c r="L490" s="269" t="s">
        <v>1302</v>
      </c>
    </row>
    <row r="491" spans="1:13" ht="30.75" customHeight="1">
      <c r="A491" s="67"/>
      <c r="B491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491" s="19" t="s">
        <v>71</v>
      </c>
      <c r="D491" s="19" t="s">
        <v>371</v>
      </c>
      <c r="E491" s="19" t="s">
        <v>1297</v>
      </c>
      <c r="F491" s="87" t="s">
        <v>470</v>
      </c>
      <c r="G491" s="74" t="s">
        <v>337</v>
      </c>
      <c r="H491" s="22">
        <f t="shared" si="8"/>
        <v>2</v>
      </c>
      <c r="I491" s="74">
        <v>1402</v>
      </c>
      <c r="J491" s="74"/>
      <c r="K491" s="76">
        <v>10000000</v>
      </c>
      <c r="L491" s="269" t="s">
        <v>1302</v>
      </c>
    </row>
    <row r="492" spans="1:13" ht="35.25" customHeight="1">
      <c r="A492" s="67"/>
      <c r="B492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492" s="19" t="s">
        <v>71</v>
      </c>
      <c r="D492" s="19" t="s">
        <v>371</v>
      </c>
      <c r="E492" s="19" t="s">
        <v>1297</v>
      </c>
      <c r="F492" s="87" t="s">
        <v>470</v>
      </c>
      <c r="G492" s="74" t="s">
        <v>331</v>
      </c>
      <c r="H492" s="22">
        <f t="shared" si="8"/>
        <v>3</v>
      </c>
      <c r="I492" s="74">
        <v>1402</v>
      </c>
      <c r="J492" s="74"/>
      <c r="K492" s="76">
        <v>10000000</v>
      </c>
      <c r="L492" s="269" t="s">
        <v>1302</v>
      </c>
    </row>
    <row r="493" spans="1:13" ht="32.25" customHeight="1">
      <c r="A493" s="67"/>
      <c r="B493" s="73">
        <f>SUMIFS('لیست واریزی کل خیرین'!B:B,'لیست واریزی کل خیرین'!D:D,Table1[[#This Row],[نام]],'لیست واریزی کل خیرین'!E:E,Table1[[#This Row],[نام خانوادگی]])</f>
        <v>16</v>
      </c>
      <c r="C493" s="21" t="s">
        <v>366</v>
      </c>
      <c r="D493" s="21" t="s">
        <v>374</v>
      </c>
      <c r="E493" s="19" t="s">
        <v>1297</v>
      </c>
      <c r="F493" s="81" t="s">
        <v>637</v>
      </c>
      <c r="G493" s="21" t="s">
        <v>332</v>
      </c>
      <c r="H493" s="22">
        <f t="shared" si="8"/>
        <v>1</v>
      </c>
      <c r="I493" s="74">
        <v>1402</v>
      </c>
      <c r="J493" s="74"/>
      <c r="K493" s="76">
        <v>3000000</v>
      </c>
      <c r="L493" s="265" t="s">
        <v>1303</v>
      </c>
    </row>
    <row r="494" spans="1:13" ht="27" customHeight="1">
      <c r="A494" s="67"/>
      <c r="B494" s="73">
        <f>SUMIFS('لیست واریزی کل خیرین'!B:B,'لیست واریزی کل خیرین'!D:D,Table1[[#This Row],[نام]],'لیست واریزی کل خیرین'!E:E,Table1[[#This Row],[نام خانوادگی]])</f>
        <v>16</v>
      </c>
      <c r="C494" s="21" t="s">
        <v>366</v>
      </c>
      <c r="D494" s="21" t="s">
        <v>374</v>
      </c>
      <c r="E494" s="19" t="s">
        <v>1297</v>
      </c>
      <c r="F494" s="81" t="s">
        <v>637</v>
      </c>
      <c r="G494" s="21" t="s">
        <v>337</v>
      </c>
      <c r="H494" s="22">
        <f t="shared" si="8"/>
        <v>2</v>
      </c>
      <c r="I494" s="74">
        <v>1402</v>
      </c>
      <c r="J494" s="74"/>
      <c r="K494" s="76">
        <v>3000000</v>
      </c>
      <c r="L494" s="265" t="s">
        <v>1303</v>
      </c>
    </row>
    <row r="495" spans="1:13" ht="31.5" customHeight="1">
      <c r="A495" s="67"/>
      <c r="B495" s="73">
        <f>SUMIFS('لیست واریزی کل خیرین'!B:B,'لیست واریزی کل خیرین'!D:D,Table1[[#This Row],[نام]],'لیست واریزی کل خیرین'!E:E,Table1[[#This Row],[نام خانوادگی]])</f>
        <v>16</v>
      </c>
      <c r="C495" s="21" t="s">
        <v>366</v>
      </c>
      <c r="D495" s="21" t="s">
        <v>374</v>
      </c>
      <c r="E495" s="19" t="s">
        <v>1297</v>
      </c>
      <c r="F495" s="81" t="s">
        <v>637</v>
      </c>
      <c r="G495" s="21" t="s">
        <v>331</v>
      </c>
      <c r="H495" s="22">
        <f t="shared" si="8"/>
        <v>3</v>
      </c>
      <c r="I495" s="74">
        <v>1402</v>
      </c>
      <c r="J495" s="74"/>
      <c r="K495" s="76">
        <v>3000000</v>
      </c>
      <c r="L495" s="265" t="s">
        <v>1303</v>
      </c>
    </row>
    <row r="496" spans="1:13" ht="31.5" customHeight="1">
      <c r="A496" s="67"/>
      <c r="B496" s="17">
        <f>SUMIFS('لیست واریزی کل خیرین'!B:B,'لیست واریزی کل خیرین'!D:D,Table1[[#This Row],[نام]],'لیست واریزی کل خیرین'!E:E,Table1[[#This Row],[نام خانوادگی]])</f>
        <v>16</v>
      </c>
      <c r="C496" s="21" t="s">
        <v>366</v>
      </c>
      <c r="D496" s="21" t="s">
        <v>374</v>
      </c>
      <c r="E496" s="19" t="s">
        <v>1297</v>
      </c>
      <c r="F496" s="81" t="s">
        <v>637</v>
      </c>
      <c r="G496" s="21" t="s">
        <v>343</v>
      </c>
      <c r="H496" s="22">
        <f t="shared" ref="H496" si="12">IF(G496="","",VLOOKUP(G496,mah,2,0))</f>
        <v>4</v>
      </c>
      <c r="I496" s="74">
        <v>1402</v>
      </c>
      <c r="J496" s="21"/>
      <c r="K496" s="23">
        <v>1000000</v>
      </c>
      <c r="L496" s="91" t="s">
        <v>1307</v>
      </c>
      <c r="M496" s="270"/>
    </row>
    <row r="497" spans="1:13" ht="29.25" customHeight="1">
      <c r="A497" s="67"/>
      <c r="B497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497" s="21" t="s">
        <v>338</v>
      </c>
      <c r="D497" s="21" t="s">
        <v>339</v>
      </c>
      <c r="E497" s="19" t="s">
        <v>1312</v>
      </c>
      <c r="F497" s="81" t="s">
        <v>1179</v>
      </c>
      <c r="G497" s="21" t="s">
        <v>332</v>
      </c>
      <c r="H497" s="22">
        <f t="shared" ref="H497:H502" si="13">IF(G497="","",VLOOKUP(G497,mah,2,0))</f>
        <v>1</v>
      </c>
      <c r="I497" s="21">
        <v>1402</v>
      </c>
      <c r="J497" s="21"/>
      <c r="K497" s="23">
        <v>10000000</v>
      </c>
      <c r="L497" s="271" t="s">
        <v>1313</v>
      </c>
      <c r="M497" s="270"/>
    </row>
    <row r="498" spans="1:13" ht="26.25" customHeight="1">
      <c r="A498" s="67"/>
      <c r="B498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498" s="21" t="s">
        <v>338</v>
      </c>
      <c r="D498" s="21" t="s">
        <v>339</v>
      </c>
      <c r="E498" s="19" t="s">
        <v>1312</v>
      </c>
      <c r="F498" s="81" t="s">
        <v>1179</v>
      </c>
      <c r="G498" s="21" t="s">
        <v>337</v>
      </c>
      <c r="H498" s="22">
        <f t="shared" si="13"/>
        <v>2</v>
      </c>
      <c r="I498" s="21">
        <v>1402</v>
      </c>
      <c r="J498" s="21"/>
      <c r="K498" s="23">
        <v>10000000</v>
      </c>
      <c r="L498" s="271" t="s">
        <v>1313</v>
      </c>
      <c r="M498" s="270"/>
    </row>
    <row r="499" spans="1:13" ht="27" customHeight="1">
      <c r="A499" s="67"/>
      <c r="B499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499" s="21" t="s">
        <v>338</v>
      </c>
      <c r="D499" s="21" t="s">
        <v>339</v>
      </c>
      <c r="E499" s="19" t="s">
        <v>1312</v>
      </c>
      <c r="F499" s="81" t="s">
        <v>1179</v>
      </c>
      <c r="G499" s="21" t="s">
        <v>331</v>
      </c>
      <c r="H499" s="22">
        <f t="shared" si="13"/>
        <v>3</v>
      </c>
      <c r="I499" s="21">
        <v>1402</v>
      </c>
      <c r="J499" s="21"/>
      <c r="K499" s="23">
        <v>10000000</v>
      </c>
      <c r="L499" s="271" t="s">
        <v>1313</v>
      </c>
      <c r="M499" s="270"/>
    </row>
    <row r="500" spans="1:13" ht="24" customHeight="1">
      <c r="A500" s="67"/>
      <c r="B500" s="17">
        <f>SUMIFS('لیست واریزی کل خیرین'!B:B,'لیست واریزی کل خیرین'!D:D,Table1[[#This Row],[نام]],'لیست واریزی کل خیرین'!E:E,Table1[[#This Row],[نام خانوادگی]])</f>
        <v>1</v>
      </c>
      <c r="C500" s="21" t="s">
        <v>338</v>
      </c>
      <c r="D500" s="21" t="s">
        <v>339</v>
      </c>
      <c r="E500" s="19" t="s">
        <v>1312</v>
      </c>
      <c r="F500" s="81" t="s">
        <v>1179</v>
      </c>
      <c r="G500" s="21" t="s">
        <v>343</v>
      </c>
      <c r="H500" s="22">
        <f t="shared" si="13"/>
        <v>4</v>
      </c>
      <c r="I500" s="21">
        <v>1402</v>
      </c>
      <c r="J500" s="21"/>
      <c r="K500" s="23">
        <v>10000000</v>
      </c>
      <c r="L500" s="271" t="s">
        <v>1313</v>
      </c>
      <c r="M500" s="270"/>
    </row>
    <row r="501" spans="1:13" ht="15.75" customHeight="1">
      <c r="A501" s="67"/>
      <c r="B501" s="17">
        <v>24</v>
      </c>
      <c r="C501" s="21"/>
      <c r="D501" s="21" t="s">
        <v>399</v>
      </c>
      <c r="E501" s="19" t="s">
        <v>1312</v>
      </c>
      <c r="F501" s="81" t="s">
        <v>558</v>
      </c>
      <c r="G501" s="21" t="s">
        <v>343</v>
      </c>
      <c r="H501" s="22">
        <f t="shared" si="13"/>
        <v>4</v>
      </c>
      <c r="I501" s="21">
        <v>1402</v>
      </c>
      <c r="J501" s="21"/>
      <c r="K501" s="23">
        <v>5000000</v>
      </c>
      <c r="L501" s="91"/>
      <c r="M501" s="270"/>
    </row>
    <row r="502" spans="1:13" ht="15.75" customHeight="1">
      <c r="A502" s="67"/>
      <c r="B502" s="17">
        <f>SUMIFS('لیست واریزی کل خیرین'!B:B,'لیست واریزی کل خیرین'!D:D,Table1[[#This Row],[نام]],'لیست واریزی کل خیرین'!E:E,Table1[[#This Row],[نام خانوادگی]])</f>
        <v>8</v>
      </c>
      <c r="C502" s="21" t="s">
        <v>352</v>
      </c>
      <c r="D502" s="21" t="s">
        <v>353</v>
      </c>
      <c r="E502" s="19" t="s">
        <v>1314</v>
      </c>
      <c r="F502" s="81" t="s">
        <v>468</v>
      </c>
      <c r="G502" s="21" t="s">
        <v>337</v>
      </c>
      <c r="H502" s="22">
        <f t="shared" si="13"/>
        <v>2</v>
      </c>
      <c r="I502" s="21">
        <v>1402</v>
      </c>
      <c r="J502" s="21"/>
      <c r="K502" s="23">
        <v>5000000</v>
      </c>
      <c r="L502" s="91" t="s">
        <v>1351</v>
      </c>
      <c r="M502" s="270"/>
    </row>
    <row r="503" spans="1:13" ht="15.75" customHeight="1">
      <c r="A503" s="67"/>
      <c r="B503" s="73">
        <f>SUMIFS('لیست واریزی کل خیرین'!B:B,'لیست واریزی کل خیرین'!D:D,Table1[[#This Row],[نام]],'لیست واریزی کل خیرین'!E:E,Table1[[#This Row],[نام خانوادگی]])</f>
        <v>8</v>
      </c>
      <c r="C503" s="21" t="s">
        <v>352</v>
      </c>
      <c r="D503" s="21" t="s">
        <v>353</v>
      </c>
      <c r="E503" s="19" t="s">
        <v>1314</v>
      </c>
      <c r="F503" s="81" t="s">
        <v>468</v>
      </c>
      <c r="G503" s="74" t="s">
        <v>331</v>
      </c>
      <c r="H503" s="75">
        <f>IF(G503="","",VLOOKUP(G503,mah,2,0))</f>
        <v>3</v>
      </c>
      <c r="I503" s="74">
        <v>1402</v>
      </c>
      <c r="J503" s="74"/>
      <c r="K503" s="76">
        <v>5000000</v>
      </c>
      <c r="L503" s="91" t="s">
        <v>1351</v>
      </c>
    </row>
    <row r="504" spans="1:13" ht="15.75" customHeight="1">
      <c r="A504" s="67"/>
      <c r="B504" s="73">
        <f>SUMIFS('لیست واریزی کل خیرین'!B:B,'لیست واریزی کل خیرین'!D:D,Table1[[#This Row],[نام]],'لیست واریزی کل خیرین'!E:E,Table1[[#This Row],[نام خانوادگی]])</f>
        <v>8</v>
      </c>
      <c r="C504" s="21" t="s">
        <v>352</v>
      </c>
      <c r="D504" s="21" t="s">
        <v>353</v>
      </c>
      <c r="E504" s="19" t="s">
        <v>1314</v>
      </c>
      <c r="F504" s="81" t="s">
        <v>468</v>
      </c>
      <c r="G504" s="74" t="s">
        <v>343</v>
      </c>
      <c r="H504" s="75">
        <f>IF(G504="","",VLOOKUP(G504,mah,2,0))</f>
        <v>4</v>
      </c>
      <c r="I504" s="74">
        <v>1402</v>
      </c>
      <c r="J504" s="74"/>
      <c r="K504" s="76">
        <v>5000000</v>
      </c>
      <c r="L504" s="91" t="s">
        <v>1351</v>
      </c>
    </row>
    <row r="505" spans="1:13" ht="15.75" customHeight="1">
      <c r="A505" s="67"/>
      <c r="B505" s="17">
        <f>SUMIFS('لیست واریزی کل خیرین'!B:B,'لیست واریزی کل خیرین'!D:D,Table1[[#This Row],[نام]],'لیست واریزی کل خیرین'!E:E,Table1[[#This Row],[نام خانوادگی]])</f>
        <v>85</v>
      </c>
      <c r="C505" s="21" t="s">
        <v>718</v>
      </c>
      <c r="D505" s="21" t="s">
        <v>719</v>
      </c>
      <c r="E505" s="19" t="s">
        <v>1315</v>
      </c>
      <c r="F505" s="81" t="s">
        <v>721</v>
      </c>
      <c r="G505" s="21" t="s">
        <v>343</v>
      </c>
      <c r="H505" s="22">
        <f t="shared" ref="H505" si="14">IF(G505="","",VLOOKUP(G505,mah,2,0))</f>
        <v>4</v>
      </c>
      <c r="I505" s="21">
        <v>1402</v>
      </c>
      <c r="J505" s="21"/>
      <c r="K505" s="23">
        <v>15000000</v>
      </c>
      <c r="L505" s="91"/>
      <c r="M505" s="270"/>
    </row>
    <row r="506" spans="1:13" ht="15.75" customHeight="1">
      <c r="A506" s="67"/>
      <c r="B506" s="17">
        <f>SUMIFS('لیست واریزی کل خیرین'!B:B,'لیست واریزی کل خیرین'!D:D,Table1[[#This Row],[نام]],'لیست واریزی کل خیرین'!E:E,Table1[[#This Row],[نام خانوادگی]])</f>
        <v>101</v>
      </c>
      <c r="C506" s="216" t="s">
        <v>805</v>
      </c>
      <c r="D506" s="216" t="s">
        <v>1316</v>
      </c>
      <c r="E506" s="19" t="s">
        <v>1317</v>
      </c>
      <c r="F506" s="81" t="s">
        <v>1318</v>
      </c>
      <c r="G506" s="21" t="s">
        <v>343</v>
      </c>
      <c r="H506" s="22">
        <f t="shared" ref="H506" si="15">IF(G506="","",VLOOKUP(G506,mah,2,0))</f>
        <v>4</v>
      </c>
      <c r="I506" s="21">
        <v>1402</v>
      </c>
      <c r="J506" s="21"/>
      <c r="K506" s="23">
        <v>20000000</v>
      </c>
      <c r="L506" s="91"/>
      <c r="M506" s="270"/>
    </row>
    <row r="507" spans="1:13" ht="15.75" customHeight="1">
      <c r="A507" s="67"/>
      <c r="B507" s="17">
        <f>SUMIFS('لیست واریزی کل خیرین'!B:B,'لیست واریزی کل خیرین'!D:D,Table1[[#This Row],[نام]],'لیست واریزی کل خیرین'!E:E,Table1[[#This Row],[نام خانوادگی]])</f>
        <v>11</v>
      </c>
      <c r="C507" s="21" t="s">
        <v>363</v>
      </c>
      <c r="D507" s="21" t="s">
        <v>364</v>
      </c>
      <c r="E507" s="19" t="s">
        <v>1317</v>
      </c>
      <c r="F507" s="81" t="s">
        <v>442</v>
      </c>
      <c r="G507" s="21" t="s">
        <v>343</v>
      </c>
      <c r="H507" s="22">
        <f t="shared" ref="H507" si="16">IF(G507="","",VLOOKUP(G507,mah,2,0))</f>
        <v>4</v>
      </c>
      <c r="I507" s="21">
        <v>1402</v>
      </c>
      <c r="J507" s="21"/>
      <c r="K507" s="23">
        <v>40000000</v>
      </c>
      <c r="L507" s="91"/>
      <c r="M507" s="270"/>
    </row>
    <row r="508" spans="1:13" ht="15.75" customHeight="1">
      <c r="A508" s="67"/>
      <c r="B508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508" s="21" t="s">
        <v>355</v>
      </c>
      <c r="D508" s="21" t="s">
        <v>356</v>
      </c>
      <c r="E508" s="19" t="s">
        <v>1319</v>
      </c>
      <c r="F508" s="81" t="s">
        <v>464</v>
      </c>
      <c r="G508" s="21" t="s">
        <v>343</v>
      </c>
      <c r="H508" s="22">
        <f t="shared" ref="H508" si="17">IF(G508="","",VLOOKUP(G508,mah,2,0))</f>
        <v>4</v>
      </c>
      <c r="I508" s="21">
        <v>1402</v>
      </c>
      <c r="J508" s="21"/>
      <c r="K508" s="23">
        <v>20000000</v>
      </c>
      <c r="L508" s="91"/>
      <c r="M508" s="270"/>
    </row>
    <row r="509" spans="1:13" ht="15.75" customHeight="1">
      <c r="A509" s="67"/>
      <c r="B509" s="17">
        <f>SUMIFS('لیست واریزی کل خیرین'!B:B,'لیست واریزی کل خیرین'!D:D,Table1[[#This Row],[نام]],'لیست واریزی کل خیرین'!E:E,Table1[[#This Row],[نام خانوادگی]])</f>
        <v>7</v>
      </c>
      <c r="C509" s="21" t="s">
        <v>349</v>
      </c>
      <c r="D509" s="21" t="s">
        <v>350</v>
      </c>
      <c r="E509" s="19" t="s">
        <v>1320</v>
      </c>
      <c r="F509" s="81" t="s">
        <v>1321</v>
      </c>
      <c r="G509" s="21" t="s">
        <v>343</v>
      </c>
      <c r="H509" s="22">
        <f t="shared" ref="H509" si="18">IF(G509="","",VLOOKUP(G509,mah,2,0))</f>
        <v>4</v>
      </c>
      <c r="I509" s="21">
        <v>1402</v>
      </c>
      <c r="J509" s="21"/>
      <c r="K509" s="23">
        <v>50000000</v>
      </c>
      <c r="L509" s="91"/>
      <c r="M509" s="270"/>
    </row>
    <row r="510" spans="1:13" ht="15.75" customHeight="1">
      <c r="A510" s="67"/>
      <c r="B510" s="17">
        <f>SUMIFS('لیست واریزی کل خیرین'!B:B,'لیست واریزی کل خیرین'!D:D,Table1[[#This Row],[نام]],'لیست واریزی کل خیرین'!E:E,Table1[[#This Row],[نام خانوادگی]])</f>
        <v>63</v>
      </c>
      <c r="C510" s="21" t="s">
        <v>391</v>
      </c>
      <c r="D510" s="21" t="s">
        <v>392</v>
      </c>
      <c r="E510" s="19" t="s">
        <v>1322</v>
      </c>
      <c r="F510" s="87"/>
      <c r="G510" s="21" t="s">
        <v>343</v>
      </c>
      <c r="H510" s="22">
        <f t="shared" ref="H510" si="19">IF(G510="","",VLOOKUP(G510,mah,2,0))</f>
        <v>4</v>
      </c>
      <c r="I510" s="21">
        <v>1402</v>
      </c>
      <c r="J510" s="74"/>
      <c r="K510" s="76">
        <v>20588777</v>
      </c>
      <c r="L510" s="209"/>
    </row>
    <row r="511" spans="1:13" ht="15.75" customHeight="1">
      <c r="A511" s="67"/>
      <c r="B511" s="17">
        <f>SUMIFS('لیست واریزی کل خیرین'!B:B,'لیست واریزی کل خیرین'!D:D,Table1[[#This Row],[نام]],'لیست واریزی کل خیرین'!E:E,Table1[[#This Row],[نام خانوادگی]])</f>
        <v>10</v>
      </c>
      <c r="C511" s="21" t="s">
        <v>358</v>
      </c>
      <c r="D511" s="21" t="s">
        <v>359</v>
      </c>
      <c r="E511" s="19" t="s">
        <v>1323</v>
      </c>
      <c r="F511" s="87" t="s">
        <v>637</v>
      </c>
      <c r="G511" s="21" t="s">
        <v>343</v>
      </c>
      <c r="H511" s="22">
        <f t="shared" ref="H511" si="20">IF(G511="","",VLOOKUP(G511,mah,2,0))</f>
        <v>4</v>
      </c>
      <c r="I511" s="21">
        <v>1402</v>
      </c>
      <c r="J511" s="74"/>
      <c r="K511" s="76">
        <v>100000000</v>
      </c>
      <c r="L511" s="209"/>
    </row>
    <row r="512" spans="1:13" ht="15.75" customHeight="1">
      <c r="A512" s="67"/>
      <c r="B512" s="17">
        <f>SUMIFS('لیست واریزی کل خیرین'!B:B,'لیست واریزی کل خیرین'!D:D,Table1[[#This Row],[نام]],'لیست واریزی کل خیرین'!E:E,Table1[[#This Row],[نام خانوادگی]])</f>
        <v>61</v>
      </c>
      <c r="C512" s="21" t="s">
        <v>571</v>
      </c>
      <c r="D512" s="21" t="s">
        <v>572</v>
      </c>
      <c r="E512" s="19" t="s">
        <v>1335</v>
      </c>
      <c r="F512" s="87" t="s">
        <v>573</v>
      </c>
      <c r="G512" s="21" t="s">
        <v>343</v>
      </c>
      <c r="H512" s="75">
        <f t="shared" ref="H512" si="21">IF(G512="","",VLOOKUP(G512,mah,2,0))</f>
        <v>4</v>
      </c>
      <c r="I512" s="21">
        <v>1402</v>
      </c>
      <c r="J512" s="74"/>
      <c r="K512" s="76">
        <v>5000000</v>
      </c>
      <c r="L512" s="209"/>
    </row>
    <row r="513" spans="1:13" ht="15.75" customHeight="1">
      <c r="A513" s="67"/>
      <c r="B513" s="17">
        <f>SUMIFS('لیست واریزی کل خیرین'!B:B,'لیست واریزی کل خیرین'!D:D,Table1[[#This Row],[نام]],'لیست واریزی کل خیرین'!E:E,Table1[[#This Row],[نام خانوادگی]])</f>
        <v>88</v>
      </c>
      <c r="C513" s="21" t="s">
        <v>76</v>
      </c>
      <c r="D513" s="21" t="s">
        <v>1265</v>
      </c>
      <c r="E513" s="19" t="s">
        <v>1336</v>
      </c>
      <c r="F513" s="87" t="s">
        <v>1337</v>
      </c>
      <c r="G513" s="21" t="s">
        <v>343</v>
      </c>
      <c r="H513" s="75">
        <f t="shared" ref="H513:H518" si="22">IF(G513="","",VLOOKUP(G513,mah,2,0))</f>
        <v>4</v>
      </c>
      <c r="I513" s="21">
        <v>1402</v>
      </c>
      <c r="J513" s="74"/>
      <c r="K513" s="76">
        <v>10000000</v>
      </c>
      <c r="L513" s="209"/>
    </row>
    <row r="514" spans="1:13" ht="15.75" customHeight="1">
      <c r="A514" s="67"/>
      <c r="B514" s="17">
        <f>SUMIFS('لیست واریزی کل خیرین'!B:B,'لیست واریزی کل خیرین'!D:D,Table1[[#This Row],[نام]],'لیست واریزی کل خیرین'!E:E,Table1[[#This Row],[نام خانوادگی]])</f>
        <v>102</v>
      </c>
      <c r="C514" s="216" t="s">
        <v>597</v>
      </c>
      <c r="D514" s="216" t="s">
        <v>1338</v>
      </c>
      <c r="E514" s="19" t="s">
        <v>1336</v>
      </c>
      <c r="F514" s="87" t="s">
        <v>1340</v>
      </c>
      <c r="G514" s="21" t="s">
        <v>343</v>
      </c>
      <c r="H514" s="75">
        <f t="shared" si="22"/>
        <v>4</v>
      </c>
      <c r="I514" s="21">
        <v>1402</v>
      </c>
      <c r="J514" s="74"/>
      <c r="K514" s="76">
        <v>6000000</v>
      </c>
      <c r="L514" s="209"/>
    </row>
    <row r="515" spans="1:13" ht="15.75" customHeight="1">
      <c r="A515" s="67"/>
      <c r="B515" s="17">
        <f>SUMIFS('لیست واریزی کل خیرین'!B:B,'لیست واریزی کل خیرین'!D:D,Table1[[#This Row],[نام]],'لیست واریزی کل خیرین'!E:E,Table1[[#This Row],[نام خانوادگی]])</f>
        <v>74</v>
      </c>
      <c r="C515" s="216" t="s">
        <v>640</v>
      </c>
      <c r="D515" s="216" t="s">
        <v>641</v>
      </c>
      <c r="E515" s="19" t="s">
        <v>1341</v>
      </c>
      <c r="F515" s="87" t="s">
        <v>643</v>
      </c>
      <c r="G515" s="21" t="s">
        <v>343</v>
      </c>
      <c r="H515" s="75">
        <f t="shared" si="22"/>
        <v>4</v>
      </c>
      <c r="I515" s="21">
        <v>1402</v>
      </c>
      <c r="J515" s="74"/>
      <c r="K515" s="76">
        <v>5000000</v>
      </c>
      <c r="L515" s="209"/>
    </row>
    <row r="516" spans="1:13" ht="15.75" customHeight="1">
      <c r="A516" s="67"/>
      <c r="B516" s="17">
        <f>SUMIFS('لیست واریزی کل خیرین'!B:B,'لیست واریزی کل خیرین'!D:D,Table1[[#This Row],[نام]],'لیست واریزی کل خیرین'!E:E,Table1[[#This Row],[نام خانوادگی]])</f>
        <v>69</v>
      </c>
      <c r="C516" s="21" t="s">
        <v>612</v>
      </c>
      <c r="D516" s="21" t="s">
        <v>613</v>
      </c>
      <c r="E516" s="19" t="s">
        <v>1341</v>
      </c>
      <c r="F516" s="87" t="s">
        <v>1342</v>
      </c>
      <c r="G516" s="21" t="s">
        <v>343</v>
      </c>
      <c r="H516" s="75">
        <f t="shared" si="22"/>
        <v>4</v>
      </c>
      <c r="I516" s="21">
        <v>1402</v>
      </c>
      <c r="J516" s="74"/>
      <c r="K516" s="76">
        <v>5000000</v>
      </c>
      <c r="L516" s="209"/>
    </row>
    <row r="517" spans="1:13" ht="15.75" customHeight="1">
      <c r="A517" s="67"/>
      <c r="B517" s="17">
        <f>SUMIFS('لیست واریزی کل خیرین'!B:B,'لیست واریزی کل خیرین'!D:D,Table1[[#This Row],[نام]],'لیست واریزی کل خیرین'!E:E,Table1[[#This Row],[نام خانوادگی]])</f>
        <v>20</v>
      </c>
      <c r="C517" s="21" t="s">
        <v>366</v>
      </c>
      <c r="D517" s="21" t="s">
        <v>382</v>
      </c>
      <c r="E517" s="19" t="s">
        <v>1341</v>
      </c>
      <c r="F517" s="87" t="s">
        <v>536</v>
      </c>
      <c r="G517" s="21" t="s">
        <v>343</v>
      </c>
      <c r="H517" s="75">
        <f t="shared" si="22"/>
        <v>4</v>
      </c>
      <c r="I517" s="21">
        <v>1402</v>
      </c>
      <c r="J517" s="74"/>
      <c r="K517" s="76">
        <v>20000000</v>
      </c>
      <c r="L517" s="209"/>
    </row>
    <row r="518" spans="1:13" ht="15.75" customHeight="1">
      <c r="A518" s="67"/>
      <c r="B518" s="17">
        <f>SUMIFS('لیست واریزی کل خیرین'!B:B,'لیست واریزی کل خیرین'!D:D,Table1[[#This Row],[نام]],'لیست واریزی کل خیرین'!E:E,Table1[[#This Row],[نام خانوادگی]])</f>
        <v>4</v>
      </c>
      <c r="C518" s="21" t="s">
        <v>340</v>
      </c>
      <c r="D518" s="21" t="s">
        <v>341</v>
      </c>
      <c r="E518" s="19" t="s">
        <v>1343</v>
      </c>
      <c r="F518" s="87" t="s">
        <v>1093</v>
      </c>
      <c r="G518" s="21" t="s">
        <v>346</v>
      </c>
      <c r="H518" s="75">
        <f t="shared" si="22"/>
        <v>5</v>
      </c>
      <c r="I518" s="21">
        <v>1402</v>
      </c>
      <c r="J518" s="74"/>
      <c r="K518" s="76">
        <v>2000000</v>
      </c>
      <c r="L518" s="209"/>
    </row>
    <row r="519" spans="1:13" ht="15.75" customHeight="1">
      <c r="A519" s="67"/>
      <c r="B519" s="17">
        <f>SUMIFS('لیست واریزی کل خیرین'!B:B,'لیست واریزی کل خیرین'!D:D,Table1[[#This Row],[نام]],'لیست واریزی کل خیرین'!E:E,Table1[[#This Row],[نام خانوادگی]])</f>
        <v>44</v>
      </c>
      <c r="C519" s="21" t="s">
        <v>504</v>
      </c>
      <c r="D519" s="21" t="s">
        <v>505</v>
      </c>
      <c r="E519" s="19" t="s">
        <v>1343</v>
      </c>
      <c r="F519" s="87" t="s">
        <v>1346</v>
      </c>
      <c r="G519" s="21" t="s">
        <v>346</v>
      </c>
      <c r="H519" s="75">
        <f t="shared" ref="H519:H523" si="23">IF(G519="","",VLOOKUP(G519,mah,2,0))</f>
        <v>5</v>
      </c>
      <c r="I519" s="21">
        <v>1402</v>
      </c>
      <c r="J519" s="74"/>
      <c r="K519" s="76">
        <v>10000000</v>
      </c>
      <c r="L519" s="209"/>
    </row>
    <row r="520" spans="1:13" ht="15.75" customHeight="1">
      <c r="A520" s="67"/>
      <c r="B520" s="17">
        <f>SUMIFS('لیست واریزی کل خیرین'!B:B,'لیست واریزی کل خیرین'!D:D,Table1[[#This Row],[نام]],'لیست واریزی کل خیرین'!E:E,Table1[[#This Row],[نام خانوادگی]])</f>
        <v>40</v>
      </c>
      <c r="C520" s="21" t="s">
        <v>363</v>
      </c>
      <c r="D520" s="21" t="s">
        <v>402</v>
      </c>
      <c r="E520" s="19" t="s">
        <v>1343</v>
      </c>
      <c r="F520" s="81" t="s">
        <v>1347</v>
      </c>
      <c r="G520" s="21" t="s">
        <v>343</v>
      </c>
      <c r="H520" s="75">
        <f t="shared" si="23"/>
        <v>4</v>
      </c>
      <c r="I520" s="21">
        <v>1402</v>
      </c>
      <c r="J520" s="21"/>
      <c r="K520" s="23">
        <v>50000000</v>
      </c>
      <c r="L520" s="91"/>
      <c r="M520" s="270"/>
    </row>
    <row r="521" spans="1:13" ht="15.75" customHeight="1">
      <c r="A521" s="67"/>
      <c r="B521" s="17">
        <f>SUMIFS('لیست واریزی کل خیرین'!B:B,'لیست واریزی کل خیرین'!D:D,Table1[[#This Row],[نام]],'لیست واریزی کل خیرین'!E:E,Table1[[#This Row],[نام خانوادگی]])</f>
        <v>91</v>
      </c>
      <c r="C521" s="216" t="s">
        <v>1117</v>
      </c>
      <c r="D521" s="216" t="s">
        <v>1118</v>
      </c>
      <c r="E521" s="19" t="s">
        <v>1343</v>
      </c>
      <c r="F521" s="87" t="s">
        <v>637</v>
      </c>
      <c r="G521" s="21" t="s">
        <v>346</v>
      </c>
      <c r="H521" s="75">
        <f t="shared" si="23"/>
        <v>5</v>
      </c>
      <c r="I521" s="21">
        <v>1402</v>
      </c>
      <c r="J521" s="74"/>
      <c r="K521" s="76">
        <v>10000000</v>
      </c>
      <c r="L521" s="209"/>
    </row>
    <row r="522" spans="1:13" ht="15.75" customHeight="1">
      <c r="A522" s="67"/>
      <c r="B522" s="73">
        <f>SUMIFS('لیست واریزی کل خیرین'!B:B,'لیست واریزی کل خیرین'!D:D,Table1[[#This Row],[نام]],'لیست واریزی کل خیرین'!E:E,Table1[[#This Row],[نام خانوادگی]])</f>
        <v>104</v>
      </c>
      <c r="C522" s="279" t="s">
        <v>1385</v>
      </c>
      <c r="D522" s="279" t="s">
        <v>1386</v>
      </c>
      <c r="E522" s="275" t="s">
        <v>1364</v>
      </c>
      <c r="F522" s="276"/>
      <c r="G522" s="274" t="s">
        <v>346</v>
      </c>
      <c r="H522" s="75">
        <f t="shared" ref="H522" si="24">IF(G522="","",VLOOKUP(G522,mah,2,0))</f>
        <v>5</v>
      </c>
      <c r="I522" s="274">
        <v>1402</v>
      </c>
      <c r="J522" s="277"/>
      <c r="K522" s="283">
        <v>20000000</v>
      </c>
      <c r="L522" s="209"/>
    </row>
    <row r="523" spans="1:13" ht="15.75" customHeight="1">
      <c r="A523" s="67"/>
      <c r="B523" s="17">
        <f>SUMIFS('لیست واریزی کل خیرین'!B:B,'لیست واریزی کل خیرین'!D:D,Table1[[#This Row],[نام]],'لیست واریزی کل خیرین'!E:E,Table1[[#This Row],[نام خانوادگی]])</f>
        <v>5</v>
      </c>
      <c r="C523" s="21" t="s">
        <v>344</v>
      </c>
      <c r="D523" s="21" t="s">
        <v>345</v>
      </c>
      <c r="E523" s="19" t="s">
        <v>1354</v>
      </c>
      <c r="F523" s="87" t="s">
        <v>669</v>
      </c>
      <c r="G523" s="21" t="s">
        <v>343</v>
      </c>
      <c r="H523" s="75">
        <f t="shared" si="23"/>
        <v>4</v>
      </c>
      <c r="I523" s="21">
        <v>1402</v>
      </c>
      <c r="J523" s="74"/>
      <c r="K523" s="76">
        <v>5000000</v>
      </c>
      <c r="L523" s="209"/>
    </row>
    <row r="524" spans="1:13" ht="15.75" customHeight="1">
      <c r="A524" s="67"/>
      <c r="B524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524" s="21" t="s">
        <v>344</v>
      </c>
      <c r="D524" s="21" t="s">
        <v>345</v>
      </c>
      <c r="E524" s="19" t="s">
        <v>1354</v>
      </c>
      <c r="F524" s="87" t="s">
        <v>669</v>
      </c>
      <c r="G524" s="21" t="s">
        <v>346</v>
      </c>
      <c r="H524" s="75">
        <f t="shared" ref="H524:H525" si="25">IF(G524="","",VLOOKUP(G524,mah,2,0))</f>
        <v>5</v>
      </c>
      <c r="I524" s="21">
        <v>1402</v>
      </c>
      <c r="J524" s="74"/>
      <c r="K524" s="76">
        <v>5000000</v>
      </c>
      <c r="L524" s="209"/>
    </row>
    <row r="525" spans="1:13" ht="15.75" customHeight="1">
      <c r="A525" s="67"/>
      <c r="B525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525" s="21" t="s">
        <v>344</v>
      </c>
      <c r="D525" s="21" t="s">
        <v>345</v>
      </c>
      <c r="E525" s="19" t="s">
        <v>1354</v>
      </c>
      <c r="F525" s="87" t="s">
        <v>669</v>
      </c>
      <c r="G525" s="21" t="s">
        <v>348</v>
      </c>
      <c r="H525" s="75">
        <f t="shared" si="25"/>
        <v>6</v>
      </c>
      <c r="I525" s="21">
        <v>1402</v>
      </c>
      <c r="J525" s="74"/>
      <c r="K525" s="76">
        <v>5000000</v>
      </c>
      <c r="L525" s="209"/>
    </row>
    <row r="526" spans="1:13" ht="15.75" customHeight="1">
      <c r="A526" s="67"/>
      <c r="B526" s="17">
        <f>SUMIFS('لیست واریزی کل خیرین'!B:B,'لیست واریزی کل خیرین'!D:D,Table1[[#This Row],[نام]],'لیست واریزی کل خیرین'!E:E,Table1[[#This Row],[نام خانوادگی]])</f>
        <v>88</v>
      </c>
      <c r="C526" s="21" t="s">
        <v>76</v>
      </c>
      <c r="D526" s="21" t="s">
        <v>1265</v>
      </c>
      <c r="E526" s="19" t="s">
        <v>1356</v>
      </c>
      <c r="F526" s="87" t="s">
        <v>1357</v>
      </c>
      <c r="G526" s="21" t="s">
        <v>346</v>
      </c>
      <c r="H526" s="75">
        <f t="shared" ref="H526:H537" si="26">IF(G526="","",VLOOKUP(G526,mah,2,0))</f>
        <v>5</v>
      </c>
      <c r="I526" s="21">
        <v>1402</v>
      </c>
      <c r="J526" s="74"/>
      <c r="K526" s="76">
        <v>2000000</v>
      </c>
      <c r="L526" s="209"/>
    </row>
    <row r="527" spans="1:13" ht="15.75" customHeight="1">
      <c r="A527" s="67"/>
      <c r="B527" s="17">
        <f>SUMIFS('لیست واریزی کل خیرین'!B:B,'لیست واریزی کل خیرین'!D:D,Table1[[#This Row],[نام]],'لیست واریزی کل خیرین'!E:E,Table1[[#This Row],[نام خانوادگی]])</f>
        <v>24</v>
      </c>
      <c r="C527" s="21" t="s">
        <v>398</v>
      </c>
      <c r="D527" s="21" t="s">
        <v>399</v>
      </c>
      <c r="E527" s="19" t="s">
        <v>1356</v>
      </c>
      <c r="F527" s="87" t="s">
        <v>558</v>
      </c>
      <c r="G527" s="21" t="s">
        <v>346</v>
      </c>
      <c r="H527" s="75">
        <f t="shared" si="26"/>
        <v>5</v>
      </c>
      <c r="I527" s="21">
        <v>1402</v>
      </c>
      <c r="J527" s="74"/>
      <c r="K527" s="76">
        <v>5000000</v>
      </c>
      <c r="L527" s="209"/>
    </row>
    <row r="528" spans="1:13" ht="15.75" customHeight="1">
      <c r="A528" s="67"/>
      <c r="B528" s="17">
        <f>SUMIFS('لیست واریزی کل خیرین'!B:B,'لیست واریزی کل خیرین'!D:D,Table1[[#This Row],[نام]],'لیست واریزی کل خیرین'!E:E,Table1[[#This Row],[نام خانوادگی]])</f>
        <v>11</v>
      </c>
      <c r="C528" s="21" t="s">
        <v>363</v>
      </c>
      <c r="D528" s="21" t="s">
        <v>364</v>
      </c>
      <c r="E528" s="19" t="s">
        <v>1358</v>
      </c>
      <c r="F528" s="87" t="s">
        <v>442</v>
      </c>
      <c r="G528" s="21" t="s">
        <v>346</v>
      </c>
      <c r="H528" s="75">
        <f t="shared" si="26"/>
        <v>5</v>
      </c>
      <c r="I528" s="21">
        <v>1402</v>
      </c>
      <c r="J528" s="74"/>
      <c r="K528" s="76">
        <v>40000000</v>
      </c>
      <c r="L528" s="209"/>
    </row>
    <row r="529" spans="1:13" ht="30.75" customHeight="1">
      <c r="A529" s="67"/>
      <c r="B529" s="17">
        <f>SUMIFS('لیست واریزی کل خیرین'!B:B,'لیست واریزی کل خیرین'!D:D,Table1[[#This Row],[نام]],'لیست واریزی کل خیرین'!E:E,Table1[[#This Row],[نام خانوادگی]])</f>
        <v>15</v>
      </c>
      <c r="C529" s="21" t="s">
        <v>372</v>
      </c>
      <c r="D529" s="21" t="s">
        <v>373</v>
      </c>
      <c r="E529" s="19" t="s">
        <v>1359</v>
      </c>
      <c r="F529" s="87" t="s">
        <v>1360</v>
      </c>
      <c r="G529" s="21" t="s">
        <v>332</v>
      </c>
      <c r="H529" s="75">
        <f t="shared" si="26"/>
        <v>1</v>
      </c>
      <c r="I529" s="21">
        <v>1402</v>
      </c>
      <c r="J529" s="74"/>
      <c r="K529" s="76">
        <v>10000000</v>
      </c>
      <c r="L529" s="271"/>
    </row>
    <row r="530" spans="1:13" ht="29.25" customHeight="1">
      <c r="A530" s="67"/>
      <c r="B530" s="73">
        <f>SUMIFS('لیست واریزی کل خیرین'!B:B,'لیست واریزی کل خیرین'!D:D,Table1[[#This Row],[نام]],'لیست واریزی کل خیرین'!E:E,Table1[[#This Row],[نام خانوادگی]])</f>
        <v>15</v>
      </c>
      <c r="C530" s="21" t="s">
        <v>372</v>
      </c>
      <c r="D530" s="21" t="s">
        <v>373</v>
      </c>
      <c r="E530" s="19" t="s">
        <v>1359</v>
      </c>
      <c r="F530" s="87" t="s">
        <v>1360</v>
      </c>
      <c r="G530" s="21" t="s">
        <v>337</v>
      </c>
      <c r="H530" s="75">
        <f t="shared" ref="H530:H533" si="27">IF(G530="","",VLOOKUP(G530,mah,2,0))</f>
        <v>2</v>
      </c>
      <c r="I530" s="21">
        <v>1402</v>
      </c>
      <c r="J530" s="74"/>
      <c r="K530" s="76">
        <v>10000000</v>
      </c>
      <c r="L530" s="271" t="s">
        <v>1420</v>
      </c>
    </row>
    <row r="531" spans="1:13" ht="27" customHeight="1">
      <c r="A531" s="67"/>
      <c r="B531" s="73">
        <f>SUMIFS('لیست واریزی کل خیرین'!B:B,'لیست واریزی کل خیرین'!D:D,Table1[[#This Row],[نام]],'لیست واریزی کل خیرین'!E:E,Table1[[#This Row],[نام خانوادگی]])</f>
        <v>15</v>
      </c>
      <c r="C531" s="21" t="s">
        <v>372</v>
      </c>
      <c r="D531" s="21" t="s">
        <v>373</v>
      </c>
      <c r="E531" s="19" t="s">
        <v>1359</v>
      </c>
      <c r="F531" s="87" t="s">
        <v>1360</v>
      </c>
      <c r="G531" s="21" t="s">
        <v>331</v>
      </c>
      <c r="H531" s="75">
        <f t="shared" si="27"/>
        <v>3</v>
      </c>
      <c r="I531" s="21">
        <v>1402</v>
      </c>
      <c r="J531" s="74"/>
      <c r="K531" s="76">
        <v>10000000</v>
      </c>
      <c r="L531" s="271" t="s">
        <v>1420</v>
      </c>
    </row>
    <row r="532" spans="1:13" ht="27" customHeight="1">
      <c r="A532" s="67"/>
      <c r="B532" s="73">
        <f>SUMIFS('لیست واریزی کل خیرین'!B:B,'لیست واریزی کل خیرین'!D:D,Table1[[#This Row],[نام]],'لیست واریزی کل خیرین'!E:E,Table1[[#This Row],[نام خانوادگی]])</f>
        <v>15</v>
      </c>
      <c r="C532" s="21" t="s">
        <v>372</v>
      </c>
      <c r="D532" s="21" t="s">
        <v>373</v>
      </c>
      <c r="E532" s="19" t="s">
        <v>1359</v>
      </c>
      <c r="F532" s="87" t="s">
        <v>1360</v>
      </c>
      <c r="G532" s="21" t="s">
        <v>343</v>
      </c>
      <c r="H532" s="75">
        <f t="shared" si="27"/>
        <v>4</v>
      </c>
      <c r="I532" s="21">
        <v>1402</v>
      </c>
      <c r="J532" s="74"/>
      <c r="K532" s="76">
        <v>10000000</v>
      </c>
      <c r="L532" s="271" t="s">
        <v>1420</v>
      </c>
    </row>
    <row r="533" spans="1:13" ht="27.75" customHeight="1">
      <c r="A533" s="67"/>
      <c r="B533" s="73">
        <f>SUMIFS('لیست واریزی کل خیرین'!B:B,'لیست واریزی کل خیرین'!D:D,Table1[[#This Row],[نام]],'لیست واریزی کل خیرین'!E:E,Table1[[#This Row],[نام خانوادگی]])</f>
        <v>15</v>
      </c>
      <c r="C533" s="21" t="s">
        <v>372</v>
      </c>
      <c r="D533" s="21" t="s">
        <v>373</v>
      </c>
      <c r="E533" s="19" t="s">
        <v>1359</v>
      </c>
      <c r="F533" s="87" t="s">
        <v>1360</v>
      </c>
      <c r="G533" s="21" t="s">
        <v>346</v>
      </c>
      <c r="H533" s="75">
        <f t="shared" si="27"/>
        <v>5</v>
      </c>
      <c r="I533" s="21">
        <v>1402</v>
      </c>
      <c r="J533" s="74"/>
      <c r="K533" s="76">
        <v>10000000</v>
      </c>
      <c r="L533" s="271" t="s">
        <v>1420</v>
      </c>
    </row>
    <row r="534" spans="1:13" ht="26.25" customHeight="1">
      <c r="A534" s="67"/>
      <c r="B534" s="17">
        <f>SUMIFS('لیست واریزی کل خیرین'!B:B,'لیست واریزی کل خیرین'!D:D,Table1[[#This Row],[نام]],'لیست واریزی کل خیرین'!E:E,Table1[[#This Row],[نام خانوادگی]])</f>
        <v>15</v>
      </c>
      <c r="C534" s="21" t="s">
        <v>372</v>
      </c>
      <c r="D534" s="21" t="s">
        <v>373</v>
      </c>
      <c r="E534" s="19" t="s">
        <v>1359</v>
      </c>
      <c r="F534" s="81" t="s">
        <v>1361</v>
      </c>
      <c r="G534" s="21" t="s">
        <v>348</v>
      </c>
      <c r="H534" s="75">
        <f t="shared" si="26"/>
        <v>6</v>
      </c>
      <c r="I534" s="21">
        <v>1402</v>
      </c>
      <c r="J534" s="21"/>
      <c r="K534" s="23">
        <v>10000000</v>
      </c>
      <c r="L534" s="271" t="s">
        <v>1420</v>
      </c>
      <c r="M534" s="270"/>
    </row>
    <row r="535" spans="1:13" ht="15.75" customHeight="1">
      <c r="A535" s="67"/>
      <c r="B535" s="17">
        <f>SUMIFS('لیست واریزی کل خیرین'!B:B,'لیست واریزی کل خیرین'!D:D,Table1[[#This Row],[نام]],'لیست واریزی کل خیرین'!E:E,Table1[[#This Row],[نام خانوادگی]])</f>
        <v>9</v>
      </c>
      <c r="C535" s="21" t="s">
        <v>355</v>
      </c>
      <c r="D535" s="21" t="s">
        <v>356</v>
      </c>
      <c r="E535" s="19" t="s">
        <v>1359</v>
      </c>
      <c r="F535" s="81" t="s">
        <v>464</v>
      </c>
      <c r="G535" s="21" t="s">
        <v>346</v>
      </c>
      <c r="H535" s="75">
        <f t="shared" si="26"/>
        <v>5</v>
      </c>
      <c r="I535" s="21">
        <v>1402</v>
      </c>
      <c r="J535" s="21"/>
      <c r="K535" s="23">
        <v>2000000</v>
      </c>
      <c r="L535" s="91"/>
      <c r="M535" s="270"/>
    </row>
    <row r="536" spans="1:13" ht="15.75" customHeight="1">
      <c r="A536" s="67"/>
      <c r="B536" s="17">
        <f>SUMIFS('لیست واریزی کل خیرین'!B:B,'لیست واریزی کل خیرین'!D:D,Table1[[#This Row],[نام]],'لیست واریزی کل خیرین'!E:E,Table1[[#This Row],[نام خانوادگی]])</f>
        <v>58</v>
      </c>
      <c r="C536" s="21" t="s">
        <v>1376</v>
      </c>
      <c r="D536" s="21" t="s">
        <v>1377</v>
      </c>
      <c r="E536" s="19" t="s">
        <v>1372</v>
      </c>
      <c r="F536" s="81" t="s">
        <v>1362</v>
      </c>
      <c r="G536" s="21" t="s">
        <v>346</v>
      </c>
      <c r="H536" s="75">
        <f t="shared" si="26"/>
        <v>5</v>
      </c>
      <c r="I536" s="21">
        <v>1402</v>
      </c>
      <c r="J536" s="21"/>
      <c r="K536" s="23">
        <v>2000000</v>
      </c>
      <c r="L536" s="91"/>
      <c r="M536" s="270"/>
    </row>
    <row r="537" spans="1:13" ht="15.75" customHeight="1">
      <c r="A537" s="67"/>
      <c r="B537" s="17">
        <f>SUMIFS('لیست واریزی کل خیرین'!B:B,'لیست واریزی کل خیرین'!D:D,Table1[[#This Row],[نام]],'لیست واریزی کل خیرین'!E:E,Table1[[#This Row],[نام خانوادگی]])</f>
        <v>88</v>
      </c>
      <c r="C537" s="21" t="s">
        <v>76</v>
      </c>
      <c r="D537" s="21" t="s">
        <v>1265</v>
      </c>
      <c r="E537" s="19" t="s">
        <v>1363</v>
      </c>
      <c r="F537" s="81" t="s">
        <v>1337</v>
      </c>
      <c r="G537" s="21" t="s">
        <v>346</v>
      </c>
      <c r="H537" s="75">
        <f t="shared" si="26"/>
        <v>5</v>
      </c>
      <c r="I537" s="21">
        <v>1402</v>
      </c>
      <c r="J537" s="21"/>
      <c r="K537" s="23">
        <v>8500000</v>
      </c>
      <c r="L537" s="91"/>
      <c r="M537" s="270"/>
    </row>
    <row r="538" spans="1:13" ht="15.75" customHeight="1">
      <c r="A538" s="67"/>
      <c r="B538" s="73">
        <f>SUMIFS('لیست واریزی کل خیرین'!B:B,'لیست واریزی کل خیرین'!D:D,Table1[[#This Row],[نام]],'لیست واریزی کل خیرین'!E:E,Table1[[#This Row],[نام خانوادگی]])</f>
        <v>64</v>
      </c>
      <c r="C538" s="274" t="s">
        <v>389</v>
      </c>
      <c r="D538" s="274" t="s">
        <v>582</v>
      </c>
      <c r="E538" s="275" t="s">
        <v>1387</v>
      </c>
      <c r="F538" s="276" t="s">
        <v>1388</v>
      </c>
      <c r="G538" s="274" t="s">
        <v>346</v>
      </c>
      <c r="H538" s="75">
        <f t="shared" ref="H538" si="28">IF(G538="","",VLOOKUP(G538,mah,2,0))</f>
        <v>5</v>
      </c>
      <c r="I538" s="274">
        <v>1402</v>
      </c>
      <c r="J538" s="277"/>
      <c r="K538" s="278">
        <v>5000000</v>
      </c>
      <c r="L538" s="209"/>
    </row>
    <row r="539" spans="1:13" ht="15.75" customHeight="1">
      <c r="A539" s="67"/>
      <c r="B539" s="73">
        <f>SUMIFS('لیست واریزی کل خیرین'!B:B,'لیست واریزی کل خیرین'!D:D,Table1[[#This Row],[نام]],'لیست واریزی کل خیرین'!E:E,Table1[[#This Row],[نام خانوادگی]])</f>
        <v>105</v>
      </c>
      <c r="C539" s="279" t="s">
        <v>1389</v>
      </c>
      <c r="D539" s="279" t="s">
        <v>1390</v>
      </c>
      <c r="E539" s="275" t="s">
        <v>1366</v>
      </c>
      <c r="F539" s="276" t="s">
        <v>1391</v>
      </c>
      <c r="G539" s="274" t="s">
        <v>346</v>
      </c>
      <c r="H539" s="75">
        <f t="shared" ref="H539" si="29">IF(G539="","",VLOOKUP(G539,mah,2,0))</f>
        <v>5</v>
      </c>
      <c r="I539" s="274">
        <v>1402</v>
      </c>
      <c r="J539" s="277"/>
      <c r="K539" s="278">
        <v>500000</v>
      </c>
      <c r="L539" s="209"/>
    </row>
    <row r="540" spans="1:13" ht="15.75" customHeight="1">
      <c r="A540" s="67"/>
      <c r="B540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540" s="280" t="s">
        <v>355</v>
      </c>
      <c r="D540" s="280" t="s">
        <v>356</v>
      </c>
      <c r="E540" s="275" t="s">
        <v>1392</v>
      </c>
      <c r="F540" s="276" t="s">
        <v>464</v>
      </c>
      <c r="G540" s="274" t="s">
        <v>346</v>
      </c>
      <c r="H540" s="75">
        <f t="shared" ref="H540" si="30">IF(G540="","",VLOOKUP(G540,mah,2,0))</f>
        <v>5</v>
      </c>
      <c r="I540" s="274">
        <v>1402</v>
      </c>
      <c r="J540" s="277"/>
      <c r="K540" s="278">
        <v>20000000</v>
      </c>
      <c r="L540" s="209"/>
    </row>
    <row r="541" spans="1:13" ht="15.75" customHeight="1">
      <c r="A541" s="67"/>
      <c r="B541" s="73">
        <f>SUMIFS('لیست واریزی کل خیرین'!B:B,'لیست واریزی کل خیرین'!D:D,Table1[[#This Row],[نام]],'لیست واریزی کل خیرین'!E:E,Table1[[#This Row],[نام خانوادگی]])</f>
        <v>62</v>
      </c>
      <c r="C541" s="21" t="s">
        <v>616</v>
      </c>
      <c r="D541" s="21" t="s">
        <v>574</v>
      </c>
      <c r="E541" s="19" t="s">
        <v>1378</v>
      </c>
      <c r="F541" s="87" t="s">
        <v>1379</v>
      </c>
      <c r="G541" s="21" t="s">
        <v>346</v>
      </c>
      <c r="H541" s="75">
        <f t="shared" ref="H541" si="31">IF(G541="","",VLOOKUP(G541,mah,2,0))</f>
        <v>5</v>
      </c>
      <c r="I541" s="21">
        <v>1402</v>
      </c>
      <c r="J541" s="74"/>
      <c r="K541" s="76">
        <v>10000000</v>
      </c>
      <c r="L541" s="209"/>
    </row>
    <row r="542" spans="1:13" ht="17.25" customHeight="1">
      <c r="A542" s="67"/>
      <c r="B542" s="73">
        <f>SUMIFS('لیست واریزی کل خیرین'!B:B,'لیست واریزی کل خیرین'!D:D,Table1[[#This Row],[نام]],'لیست واریزی کل خیرین'!E:E,Table1[[#This Row],[نام خانوادگی]])</f>
        <v>63</v>
      </c>
      <c r="C542" s="286" t="s">
        <v>391</v>
      </c>
      <c r="D542" s="286" t="s">
        <v>392</v>
      </c>
      <c r="E542" s="19" t="s">
        <v>1380</v>
      </c>
      <c r="F542" s="81" t="s">
        <v>1398</v>
      </c>
      <c r="G542" s="21" t="s">
        <v>346</v>
      </c>
      <c r="H542" s="75">
        <f t="shared" ref="H542" si="32">IF(G542="","",VLOOKUP(G542,mah,2,0))</f>
        <v>5</v>
      </c>
      <c r="I542" s="21">
        <v>1402</v>
      </c>
      <c r="J542" s="74"/>
      <c r="K542" s="76">
        <v>23182279</v>
      </c>
      <c r="L542" s="209"/>
    </row>
    <row r="543" spans="1:13" ht="17.25" customHeight="1">
      <c r="A543" s="67"/>
      <c r="B543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543" s="280" t="s">
        <v>358</v>
      </c>
      <c r="D543" s="280" t="s">
        <v>359</v>
      </c>
      <c r="E543" s="275" t="s">
        <v>1381</v>
      </c>
      <c r="F543" s="276" t="s">
        <v>637</v>
      </c>
      <c r="G543" s="277" t="s">
        <v>346</v>
      </c>
      <c r="H543" s="75">
        <f t="shared" ref="H543:H556" si="33">IF(G543="","",VLOOKUP(G543,mah,2,0))</f>
        <v>5</v>
      </c>
      <c r="I543" s="277">
        <v>1402</v>
      </c>
      <c r="J543" s="277"/>
      <c r="K543" s="278">
        <v>100000000</v>
      </c>
      <c r="L543" s="209"/>
    </row>
    <row r="544" spans="1:13" ht="15.75" customHeight="1">
      <c r="A544" s="67"/>
      <c r="B544" s="73">
        <f>SUMIFS('لیست واریزی کل خیرین'!B:B,'لیست واریزی کل خیرین'!D:D,Table1[[#This Row],[نام]],'لیست واریزی کل خیرین'!E:E,Table1[[#This Row],[نام خانوادگی]])</f>
        <v>48</v>
      </c>
      <c r="C544" s="274" t="s">
        <v>363</v>
      </c>
      <c r="D544" s="274" t="s">
        <v>415</v>
      </c>
      <c r="E544" s="275" t="s">
        <v>1381</v>
      </c>
      <c r="F544" s="276" t="s">
        <v>637</v>
      </c>
      <c r="G544" s="277" t="s">
        <v>346</v>
      </c>
      <c r="H544" s="75">
        <f t="shared" si="33"/>
        <v>5</v>
      </c>
      <c r="I544" s="277">
        <v>1402</v>
      </c>
      <c r="J544" s="277"/>
      <c r="K544" s="278">
        <v>40000000</v>
      </c>
      <c r="L544" s="209"/>
    </row>
    <row r="545" spans="1:13" ht="15.75" customHeight="1">
      <c r="A545" s="67"/>
      <c r="B545" s="17">
        <f>SUMIFS('لیست واریزی کل خیرین'!B:B,'لیست واریزی کل خیرین'!D:D,Table1[[#This Row],[نام]],'لیست واریزی کل خیرین'!E:E,Table1[[#This Row],[نام خانوادگی]])</f>
        <v>106</v>
      </c>
      <c r="C545" s="281" t="s">
        <v>1393</v>
      </c>
      <c r="D545" s="281" t="s">
        <v>1394</v>
      </c>
      <c r="E545" s="275" t="s">
        <v>1381</v>
      </c>
      <c r="F545" s="282" t="s">
        <v>1395</v>
      </c>
      <c r="G545" s="277" t="s">
        <v>346</v>
      </c>
      <c r="H545" s="75">
        <f t="shared" si="33"/>
        <v>5</v>
      </c>
      <c r="I545" s="277">
        <v>1402</v>
      </c>
      <c r="J545" s="274"/>
      <c r="K545" s="283">
        <v>10000000</v>
      </c>
      <c r="L545" s="78"/>
      <c r="M545" s="272"/>
    </row>
    <row r="546" spans="1:13" ht="15.75" customHeight="1">
      <c r="A546" s="67"/>
      <c r="B546" s="17">
        <f>SUMIFS('لیست واریزی کل خیرین'!B:B,'لیست واریزی کل خیرین'!D:D,Table1[[#This Row],[نام]],'لیست واریزی کل خیرین'!E:E,Table1[[#This Row],[نام خانوادگی]])</f>
        <v>35</v>
      </c>
      <c r="C546" s="281" t="s">
        <v>465</v>
      </c>
      <c r="D546" s="281" t="s">
        <v>466</v>
      </c>
      <c r="E546" s="275" t="s">
        <v>1396</v>
      </c>
      <c r="F546" s="282" t="s">
        <v>467</v>
      </c>
      <c r="G546" s="277" t="s">
        <v>346</v>
      </c>
      <c r="H546" s="75">
        <f t="shared" si="33"/>
        <v>5</v>
      </c>
      <c r="I546" s="277">
        <v>1402</v>
      </c>
      <c r="J546" s="274"/>
      <c r="K546" s="283">
        <v>4000000</v>
      </c>
      <c r="L546" s="78"/>
      <c r="M546" s="272"/>
    </row>
    <row r="547" spans="1:13" ht="15.75" customHeight="1">
      <c r="A547" s="67"/>
      <c r="B547" s="17">
        <f>SUMIFS('لیست واریزی کل خیرین'!B:B,'لیست واریزی کل خیرین'!D:D,Table1[[#This Row],[نام]],'لیست واریزی کل خیرین'!E:E,Table1[[#This Row],[نام خانوادگی]])</f>
        <v>27</v>
      </c>
      <c r="C547" s="274" t="s">
        <v>412</v>
      </c>
      <c r="D547" s="274" t="s">
        <v>413</v>
      </c>
      <c r="E547" s="275" t="s">
        <v>1397</v>
      </c>
      <c r="F547" s="282" t="s">
        <v>658</v>
      </c>
      <c r="G547" s="277" t="s">
        <v>346</v>
      </c>
      <c r="H547" s="75">
        <f t="shared" si="33"/>
        <v>5</v>
      </c>
      <c r="I547" s="277">
        <v>1402</v>
      </c>
      <c r="J547" s="274"/>
      <c r="K547" s="283">
        <v>5000000</v>
      </c>
      <c r="L547" s="78"/>
      <c r="M547" s="272"/>
    </row>
    <row r="548" spans="1:13" ht="15.75" customHeight="1">
      <c r="A548" s="67"/>
      <c r="B548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548" s="274" t="s">
        <v>412</v>
      </c>
      <c r="D548" s="274" t="s">
        <v>413</v>
      </c>
      <c r="E548" s="275" t="s">
        <v>1397</v>
      </c>
      <c r="F548" s="282" t="s">
        <v>658</v>
      </c>
      <c r="G548" s="74" t="s">
        <v>337</v>
      </c>
      <c r="H548" s="75">
        <f>IF(G548="","",VLOOKUP(G548,mah,2,0))</f>
        <v>2</v>
      </c>
      <c r="I548" s="277">
        <v>1402</v>
      </c>
      <c r="J548" s="74"/>
      <c r="K548" s="76">
        <v>5000000</v>
      </c>
      <c r="L548" s="209"/>
    </row>
    <row r="549" spans="1:13" ht="15.75" customHeight="1">
      <c r="A549" s="67"/>
      <c r="B549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549" s="274" t="s">
        <v>412</v>
      </c>
      <c r="D549" s="274" t="s">
        <v>413</v>
      </c>
      <c r="E549" s="275" t="s">
        <v>1397</v>
      </c>
      <c r="F549" s="282" t="s">
        <v>658</v>
      </c>
      <c r="G549" s="74" t="s">
        <v>343</v>
      </c>
      <c r="H549" s="75">
        <f>IF(G549="","",VLOOKUP(G549,mah,2,0))</f>
        <v>4</v>
      </c>
      <c r="I549" s="277">
        <v>1402</v>
      </c>
      <c r="J549" s="74"/>
      <c r="K549" s="76">
        <v>5000000</v>
      </c>
      <c r="L549" s="209"/>
    </row>
    <row r="550" spans="1:13" ht="15.75" customHeight="1">
      <c r="A550" s="67"/>
      <c r="B550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550" s="274" t="s">
        <v>412</v>
      </c>
      <c r="D550" s="274" t="s">
        <v>413</v>
      </c>
      <c r="E550" s="275" t="s">
        <v>1397</v>
      </c>
      <c r="F550" s="282" t="s">
        <v>658</v>
      </c>
      <c r="G550" s="74" t="s">
        <v>331</v>
      </c>
      <c r="H550" s="75">
        <f>IF(G550="","",VLOOKUP(G550,mah,2,0))</f>
        <v>3</v>
      </c>
      <c r="I550" s="277">
        <v>1402</v>
      </c>
      <c r="J550" s="74"/>
      <c r="K550" s="76">
        <v>5000000</v>
      </c>
      <c r="L550" s="209"/>
    </row>
    <row r="551" spans="1:13" ht="15.75" customHeight="1">
      <c r="A551" s="67"/>
      <c r="B551" s="17">
        <f>SUMIFS('لیست واریزی کل خیرین'!B:B,'لیست واریزی کل خیرین'!D:D,Table1[[#This Row],[نام]],'لیست واریزی کل خیرین'!E:E,Table1[[#This Row],[نام خانوادگی]])</f>
        <v>12</v>
      </c>
      <c r="C551" s="274" t="s">
        <v>366</v>
      </c>
      <c r="D551" s="284" t="s">
        <v>367</v>
      </c>
      <c r="E551" s="275" t="s">
        <v>1399</v>
      </c>
      <c r="F551" s="282" t="s">
        <v>1400</v>
      </c>
      <c r="G551" s="277" t="s">
        <v>346</v>
      </c>
      <c r="H551" s="75">
        <f t="shared" si="33"/>
        <v>5</v>
      </c>
      <c r="I551" s="277">
        <v>1402</v>
      </c>
      <c r="J551" s="274"/>
      <c r="K551" s="283">
        <v>37400000</v>
      </c>
      <c r="L551" s="78"/>
      <c r="M551" s="272"/>
    </row>
    <row r="552" spans="1:13" ht="15.75" customHeight="1">
      <c r="A552" s="67"/>
      <c r="B552" s="17">
        <f>SUMIFS('لیست واریزی کل خیرین'!B:B,'لیست واریزی کل خیرین'!D:D,Table1[[#This Row],[نام]],'لیست واریزی کل خیرین'!E:E,Table1[[#This Row],[نام خانوادگی]])</f>
        <v>14</v>
      </c>
      <c r="C552" s="274" t="s">
        <v>71</v>
      </c>
      <c r="D552" s="274" t="s">
        <v>371</v>
      </c>
      <c r="E552" s="275" t="s">
        <v>1399</v>
      </c>
      <c r="F552" s="282" t="s">
        <v>1401</v>
      </c>
      <c r="G552" s="277" t="s">
        <v>343</v>
      </c>
      <c r="H552" s="75">
        <f t="shared" si="33"/>
        <v>4</v>
      </c>
      <c r="I552" s="277">
        <v>1402</v>
      </c>
      <c r="J552" s="274"/>
      <c r="K552" s="283">
        <v>10000000</v>
      </c>
      <c r="L552" s="78"/>
      <c r="M552" s="272"/>
    </row>
    <row r="553" spans="1:13" ht="15.75" customHeight="1">
      <c r="A553" s="67"/>
      <c r="B553" s="17">
        <f>SUMIFS('لیست واریزی کل خیرین'!B:B,'لیست واریزی کل خیرین'!D:D,Table1[[#This Row],[نام]],'لیست واریزی کل خیرین'!E:E,Table1[[#This Row],[نام خانوادگی]])</f>
        <v>44</v>
      </c>
      <c r="C553" s="274" t="s">
        <v>504</v>
      </c>
      <c r="D553" s="274" t="s">
        <v>505</v>
      </c>
      <c r="E553" s="275" t="s">
        <v>1399</v>
      </c>
      <c r="F553" s="282" t="s">
        <v>1346</v>
      </c>
      <c r="G553" s="277" t="s">
        <v>346</v>
      </c>
      <c r="H553" s="75">
        <f t="shared" si="33"/>
        <v>5</v>
      </c>
      <c r="I553" s="277">
        <v>1402</v>
      </c>
      <c r="J553" s="274"/>
      <c r="K553" s="283">
        <v>8000000</v>
      </c>
      <c r="L553" s="78"/>
      <c r="M553" s="272"/>
    </row>
    <row r="554" spans="1:13" ht="15.75" customHeight="1">
      <c r="A554" s="67"/>
      <c r="B554" s="17">
        <f>SUMIFS('لیست واریزی کل خیرین'!B:B,'لیست واریزی کل خیرین'!D:D,Table1[[#This Row],[نام]],'لیست واریزی کل خیرین'!E:E,Table1[[#This Row],[نام خانوادگی]])</f>
        <v>88</v>
      </c>
      <c r="C554" s="281" t="s">
        <v>76</v>
      </c>
      <c r="D554" s="281" t="s">
        <v>1265</v>
      </c>
      <c r="E554" s="275" t="s">
        <v>1399</v>
      </c>
      <c r="F554" s="282" t="s">
        <v>1337</v>
      </c>
      <c r="G554" s="277" t="s">
        <v>346</v>
      </c>
      <c r="H554" s="75">
        <f t="shared" si="33"/>
        <v>5</v>
      </c>
      <c r="I554" s="277">
        <v>1402</v>
      </c>
      <c r="J554" s="274"/>
      <c r="K554" s="283">
        <v>30000000</v>
      </c>
      <c r="L554" s="78"/>
      <c r="M554" s="272"/>
    </row>
    <row r="555" spans="1:13" ht="15.75" customHeight="1">
      <c r="A555" s="67"/>
      <c r="B555" s="17">
        <f>SUMIFS('لیست واریزی کل خیرین'!B:B,'لیست واریزی کل خیرین'!D:D,Table1[[#This Row],[نام]],'لیست واریزی کل خیرین'!E:E,Table1[[#This Row],[نام خانوادگی]])</f>
        <v>105</v>
      </c>
      <c r="C555" s="279" t="s">
        <v>1389</v>
      </c>
      <c r="D555" s="279" t="s">
        <v>1390</v>
      </c>
      <c r="E555" s="275" t="s">
        <v>1402</v>
      </c>
      <c r="F555" s="282" t="s">
        <v>1391</v>
      </c>
      <c r="G555" s="277" t="s">
        <v>346</v>
      </c>
      <c r="H555" s="75">
        <f t="shared" si="33"/>
        <v>5</v>
      </c>
      <c r="I555" s="277">
        <v>1402</v>
      </c>
      <c r="J555" s="274"/>
      <c r="K555" s="283">
        <v>500000</v>
      </c>
      <c r="L555" s="78"/>
      <c r="M555" s="272"/>
    </row>
    <row r="556" spans="1:13" ht="15.75" customHeight="1">
      <c r="A556" s="67"/>
      <c r="B556" s="17">
        <f>SUMIFS('لیست واریزی کل خیرین'!B:B,'لیست واریزی کل خیرین'!D:D,Table1[[#This Row],[نام]],'لیست واریزی کل خیرین'!E:E,Table1[[#This Row],[نام خانوادگی]])</f>
        <v>6</v>
      </c>
      <c r="C556" s="281" t="s">
        <v>76</v>
      </c>
      <c r="D556" s="281" t="s">
        <v>347</v>
      </c>
      <c r="E556" s="275" t="s">
        <v>1403</v>
      </c>
      <c r="F556" s="282" t="s">
        <v>439</v>
      </c>
      <c r="G556" s="277" t="s">
        <v>346</v>
      </c>
      <c r="H556" s="75">
        <f t="shared" si="33"/>
        <v>5</v>
      </c>
      <c r="I556" s="277">
        <v>1402</v>
      </c>
      <c r="J556" s="274"/>
      <c r="K556" s="283">
        <v>5000000</v>
      </c>
      <c r="L556" s="78"/>
      <c r="M556" s="272"/>
    </row>
    <row r="557" spans="1:13" ht="15.75" customHeight="1">
      <c r="A557" s="67"/>
      <c r="B557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557" s="281" t="s">
        <v>76</v>
      </c>
      <c r="D557" s="281" t="s">
        <v>347</v>
      </c>
      <c r="E557" s="275" t="s">
        <v>1403</v>
      </c>
      <c r="F557" s="282" t="s">
        <v>439</v>
      </c>
      <c r="G557" s="74" t="s">
        <v>343</v>
      </c>
      <c r="H557" s="75">
        <v>4</v>
      </c>
      <c r="I557" s="277">
        <v>1402</v>
      </c>
      <c r="J557" s="74"/>
      <c r="K557" s="283">
        <v>5000000</v>
      </c>
      <c r="L557" s="209"/>
    </row>
    <row r="558" spans="1:13" ht="15.75" customHeight="1">
      <c r="A558" s="67"/>
      <c r="B558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558" s="281" t="s">
        <v>76</v>
      </c>
      <c r="D558" s="281" t="s">
        <v>347</v>
      </c>
      <c r="E558" s="275" t="s">
        <v>1403</v>
      </c>
      <c r="F558" s="282" t="s">
        <v>439</v>
      </c>
      <c r="G558" s="74" t="s">
        <v>331</v>
      </c>
      <c r="H558" s="75">
        <f>IF(G558="","",VLOOKUP(G558,mah,2,0))</f>
        <v>3</v>
      </c>
      <c r="I558" s="277">
        <v>1402</v>
      </c>
      <c r="J558" s="74"/>
      <c r="K558" s="283">
        <v>5000000</v>
      </c>
      <c r="L558" s="209"/>
    </row>
    <row r="559" spans="1:13" ht="15.75" customHeight="1">
      <c r="A559" s="67"/>
      <c r="B559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559" s="281" t="s">
        <v>76</v>
      </c>
      <c r="D559" s="281" t="s">
        <v>347</v>
      </c>
      <c r="E559" s="275" t="s">
        <v>1403</v>
      </c>
      <c r="F559" s="282" t="s">
        <v>439</v>
      </c>
      <c r="G559" s="74" t="s">
        <v>348</v>
      </c>
      <c r="H559" s="75">
        <f>IF(G559="","",VLOOKUP(G559,mah,2,0))</f>
        <v>6</v>
      </c>
      <c r="I559" s="277">
        <v>1402</v>
      </c>
      <c r="J559" s="74"/>
      <c r="K559" s="283">
        <v>5000000</v>
      </c>
      <c r="L559" s="209"/>
    </row>
    <row r="560" spans="1:13" ht="15.75" customHeight="1">
      <c r="A560" s="67"/>
      <c r="B560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560" s="281" t="s">
        <v>76</v>
      </c>
      <c r="D560" s="281" t="s">
        <v>347</v>
      </c>
      <c r="E560" s="275" t="s">
        <v>1403</v>
      </c>
      <c r="F560" s="282" t="s">
        <v>439</v>
      </c>
      <c r="G560" s="74" t="s">
        <v>337</v>
      </c>
      <c r="H560" s="75">
        <f>IF(G560="","",VLOOKUP(G560,mah,2,0))</f>
        <v>2</v>
      </c>
      <c r="I560" s="277">
        <v>1402</v>
      </c>
      <c r="J560" s="74"/>
      <c r="K560" s="283">
        <v>5000000</v>
      </c>
      <c r="L560" s="209"/>
    </row>
    <row r="561" spans="1:12" ht="15.75" customHeight="1">
      <c r="A561" s="67"/>
      <c r="B561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561" s="281" t="s">
        <v>76</v>
      </c>
      <c r="D561" s="281" t="s">
        <v>347</v>
      </c>
      <c r="E561" s="275" t="s">
        <v>1403</v>
      </c>
      <c r="F561" s="282" t="s">
        <v>439</v>
      </c>
      <c r="G561" s="74" t="s">
        <v>332</v>
      </c>
      <c r="H561" s="75">
        <f>IF(G561="","",VLOOKUP(G561,mah,2,0))</f>
        <v>1</v>
      </c>
      <c r="I561" s="277">
        <v>1402</v>
      </c>
      <c r="J561" s="74"/>
      <c r="K561" s="283">
        <v>5000000</v>
      </c>
      <c r="L561" s="209"/>
    </row>
    <row r="562" spans="1:12" ht="15.75" customHeight="1">
      <c r="A562" s="67"/>
      <c r="B562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562" s="21" t="s">
        <v>349</v>
      </c>
      <c r="D562" s="21" t="s">
        <v>350</v>
      </c>
      <c r="E562" s="19" t="s">
        <v>1382</v>
      </c>
      <c r="F562" s="87" t="s">
        <v>448</v>
      </c>
      <c r="G562" s="21" t="s">
        <v>346</v>
      </c>
      <c r="H562" s="75">
        <f t="shared" ref="H562" si="34">IF(G562="","",VLOOKUP(G562,mah,2,0))</f>
        <v>5</v>
      </c>
      <c r="I562" s="21">
        <v>1402</v>
      </c>
      <c r="J562" s="74"/>
      <c r="K562" s="76">
        <v>50000000</v>
      </c>
      <c r="L562" s="209"/>
    </row>
    <row r="563" spans="1:12" ht="15.75" customHeight="1">
      <c r="A563" s="67"/>
      <c r="B563" s="73">
        <f>SUMIFS('لیست واریزی کل خیرین'!B:B,'لیست واریزی کل خیرین'!D:D,Table1[[#This Row],[نام]],'لیست واریزی کل خیرین'!E:E,Table1[[#This Row],[نام خانوادگی]])</f>
        <v>40</v>
      </c>
      <c r="C563" s="21" t="s">
        <v>363</v>
      </c>
      <c r="D563" s="21" t="s">
        <v>402</v>
      </c>
      <c r="E563" s="19" t="s">
        <v>1383</v>
      </c>
      <c r="F563" s="87" t="s">
        <v>438</v>
      </c>
      <c r="G563" s="21" t="s">
        <v>346</v>
      </c>
      <c r="H563" s="75">
        <f t="shared" ref="H563" si="35">IF(G563="","",VLOOKUP(G563,mah,2,0))</f>
        <v>5</v>
      </c>
      <c r="I563" s="21">
        <v>1402</v>
      </c>
      <c r="J563" s="74"/>
      <c r="K563" s="76">
        <v>50000000</v>
      </c>
      <c r="L563" s="209"/>
    </row>
    <row r="564" spans="1:12" ht="15.75" customHeight="1">
      <c r="A564" s="67"/>
      <c r="B564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564" s="274" t="s">
        <v>366</v>
      </c>
      <c r="D564" s="274" t="s">
        <v>382</v>
      </c>
      <c r="E564" s="275" t="s">
        <v>1383</v>
      </c>
      <c r="F564" s="276" t="s">
        <v>536</v>
      </c>
      <c r="G564" s="274" t="s">
        <v>346</v>
      </c>
      <c r="H564" s="75">
        <f t="shared" ref="H564" si="36">IF(G564="","",VLOOKUP(G564,mah,2,0))</f>
        <v>5</v>
      </c>
      <c r="I564" s="274">
        <v>1402</v>
      </c>
      <c r="J564" s="277"/>
      <c r="K564" s="285">
        <v>20000000</v>
      </c>
      <c r="L564" s="209"/>
    </row>
    <row r="565" spans="1:12" ht="15.75" customHeight="1">
      <c r="A565" s="67"/>
      <c r="B565" s="73">
        <f>SUMIFS('لیست واریزی کل خیرین'!B:B,'لیست واریزی کل خیرین'!D:D,Table1[[#This Row],[نام]],'لیست واریزی کل خیرین'!E:E,Table1[[#This Row],[نام خانوادگی]])</f>
        <v>74</v>
      </c>
      <c r="C565" s="286" t="s">
        <v>640</v>
      </c>
      <c r="D565" s="286" t="s">
        <v>641</v>
      </c>
      <c r="E565" s="273" t="s">
        <v>1384</v>
      </c>
      <c r="F565" s="87" t="s">
        <v>643</v>
      </c>
      <c r="G565" s="21" t="s">
        <v>348</v>
      </c>
      <c r="H565" s="75">
        <v>6</v>
      </c>
      <c r="I565" s="21">
        <v>1402</v>
      </c>
      <c r="J565" s="74"/>
      <c r="K565" s="76">
        <v>5000000</v>
      </c>
      <c r="L565" s="209"/>
    </row>
    <row r="566" spans="1:12" ht="15.75" customHeight="1">
      <c r="A566" s="67"/>
      <c r="B566" s="73">
        <f>SUMIFS('لیست واریزی کل خیرین'!B:B,'لیست واریزی کل خیرین'!D:D,Table1[[#This Row],[نام]],'لیست واریزی کل خیرین'!E:E,Table1[[#This Row],[نام خانوادگی]])</f>
        <v>75</v>
      </c>
      <c r="C566" s="274" t="s">
        <v>645</v>
      </c>
      <c r="D566" s="274" t="s">
        <v>646</v>
      </c>
      <c r="E566" s="274" t="s">
        <v>1383</v>
      </c>
      <c r="F566" s="287" t="s">
        <v>1404</v>
      </c>
      <c r="G566" s="274" t="s">
        <v>346</v>
      </c>
      <c r="H566" s="75">
        <f t="shared" ref="H566" si="37">IF(G566="","",VLOOKUP(G566,mah,2,0))</f>
        <v>5</v>
      </c>
      <c r="I566" s="274">
        <v>1402</v>
      </c>
      <c r="J566" s="274"/>
      <c r="K566" s="285">
        <v>10000000</v>
      </c>
      <c r="L566" s="209"/>
    </row>
    <row r="567" spans="1:12" ht="15.75" customHeight="1">
      <c r="A567" s="67"/>
      <c r="B567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567" s="274" t="s">
        <v>340</v>
      </c>
      <c r="D567" s="274" t="s">
        <v>341</v>
      </c>
      <c r="E567" s="274" t="s">
        <v>1405</v>
      </c>
      <c r="F567" s="287" t="s">
        <v>1093</v>
      </c>
      <c r="G567" s="274" t="s">
        <v>348</v>
      </c>
      <c r="H567" s="75">
        <v>6</v>
      </c>
      <c r="I567" s="274">
        <v>1402</v>
      </c>
      <c r="J567" s="274"/>
      <c r="K567" s="285">
        <v>2000000</v>
      </c>
      <c r="L567" s="209"/>
    </row>
    <row r="568" spans="1:12" ht="15.75" customHeight="1">
      <c r="A568" s="67"/>
      <c r="B568" s="73">
        <f>SUMIFS('لیست واریزی کل خیرین'!B:B,'لیست واریزی کل خیرین'!D:D,Table1[[#This Row],[نام]],'لیست واریزی کل خیرین'!E:E,Table1[[#This Row],[نام خانوادگی]])</f>
        <v>44</v>
      </c>
      <c r="C568" s="274" t="s">
        <v>504</v>
      </c>
      <c r="D568" s="274" t="s">
        <v>505</v>
      </c>
      <c r="E568" s="274" t="s">
        <v>1406</v>
      </c>
      <c r="F568" s="287" t="s">
        <v>1407</v>
      </c>
      <c r="G568" s="274" t="s">
        <v>348</v>
      </c>
      <c r="H568" s="75">
        <v>6</v>
      </c>
      <c r="I568" s="274">
        <v>1402</v>
      </c>
      <c r="J568" s="274"/>
      <c r="K568" s="285">
        <v>1000000</v>
      </c>
      <c r="L568" s="209"/>
    </row>
    <row r="569" spans="1:12" ht="15.75" customHeight="1">
      <c r="A569" s="67"/>
      <c r="B569" s="73">
        <f>SUMIFS('لیست واریزی کل خیرین'!B:B,'لیست واریزی کل خیرین'!D:D,Table1[[#This Row],[نام]],'لیست واریزی کل خیرین'!E:E,Table1[[#This Row],[نام خانوادگی]])</f>
        <v>107</v>
      </c>
      <c r="C569" s="274" t="s">
        <v>1408</v>
      </c>
      <c r="D569" s="274" t="s">
        <v>1409</v>
      </c>
      <c r="E569" s="274" t="s">
        <v>1406</v>
      </c>
      <c r="F569" s="287" t="s">
        <v>1410</v>
      </c>
      <c r="G569" s="274" t="s">
        <v>348</v>
      </c>
      <c r="H569" s="75">
        <v>6</v>
      </c>
      <c r="I569" s="274">
        <v>1402</v>
      </c>
      <c r="J569" s="274"/>
      <c r="K569" s="285">
        <v>1000000</v>
      </c>
      <c r="L569" s="209"/>
    </row>
    <row r="570" spans="1:12" ht="15.75" customHeight="1">
      <c r="A570" s="67"/>
      <c r="B570" s="73">
        <f>SUMIFS('لیست واریزی کل خیرین'!B:B,'لیست واریزی کل خیرین'!D:D,Table1[[#This Row],[نام]],'لیست واریزی کل خیرین'!E:E,Table1[[#This Row],[نام خانوادگی]])</f>
        <v>2</v>
      </c>
      <c r="C570" s="21" t="s">
        <v>333</v>
      </c>
      <c r="D570" s="36" t="s">
        <v>334</v>
      </c>
      <c r="E570" s="274" t="s">
        <v>1406</v>
      </c>
      <c r="F570" s="287" t="s">
        <v>637</v>
      </c>
      <c r="G570" s="274" t="s">
        <v>346</v>
      </c>
      <c r="H570" s="75">
        <v>5</v>
      </c>
      <c r="I570" s="274">
        <v>1402</v>
      </c>
      <c r="J570" s="274"/>
      <c r="K570" s="285">
        <v>20000000</v>
      </c>
      <c r="L570" s="209"/>
    </row>
    <row r="571" spans="1:12" ht="15.75" customHeight="1">
      <c r="A571" s="67"/>
      <c r="B571" s="73">
        <f>SUMIFS('لیست واریزی کل خیرین'!B:B,'لیست واریزی کل خیرین'!D:D,Table1[[#This Row],[نام]],'لیست واریزی کل خیرین'!E:E,Table1[[#This Row],[نام خانوادگی]])</f>
        <v>2</v>
      </c>
      <c r="C571" s="21" t="s">
        <v>333</v>
      </c>
      <c r="D571" s="36" t="s">
        <v>334</v>
      </c>
      <c r="E571" s="274" t="s">
        <v>1406</v>
      </c>
      <c r="F571" s="287" t="s">
        <v>637</v>
      </c>
      <c r="G571" s="74" t="s">
        <v>332</v>
      </c>
      <c r="H571" s="75">
        <f>IF(G571="","",VLOOKUP(G571,mah,2,0))</f>
        <v>1</v>
      </c>
      <c r="I571" s="274">
        <v>1402</v>
      </c>
      <c r="J571" s="74"/>
      <c r="K571" s="285">
        <v>20000000</v>
      </c>
      <c r="L571" s="209"/>
    </row>
    <row r="572" spans="1:12" ht="15.75" customHeight="1">
      <c r="A572" s="67"/>
      <c r="B572" s="73">
        <f>SUMIFS('لیست واریزی کل خیرین'!B:B,'لیست واریزی کل خیرین'!D:D,Table1[[#This Row],[نام]],'لیست واریزی کل خیرین'!E:E,Table1[[#This Row],[نام خانوادگی]])</f>
        <v>2</v>
      </c>
      <c r="C572" s="21" t="s">
        <v>333</v>
      </c>
      <c r="D572" s="36" t="s">
        <v>334</v>
      </c>
      <c r="E572" s="274" t="s">
        <v>1406</v>
      </c>
      <c r="F572" s="287" t="s">
        <v>637</v>
      </c>
      <c r="G572" s="74" t="s">
        <v>337</v>
      </c>
      <c r="H572" s="75">
        <f>IF(G572="","",VLOOKUP(G572,mah,2,0))</f>
        <v>2</v>
      </c>
      <c r="I572" s="274">
        <v>1402</v>
      </c>
      <c r="J572" s="74"/>
      <c r="K572" s="285">
        <v>20000000</v>
      </c>
      <c r="L572" s="209"/>
    </row>
    <row r="573" spans="1:12" ht="15.75" customHeight="1">
      <c r="A573" s="67"/>
      <c r="B573" s="73">
        <f>SUMIFS('لیست واریزی کل خیرین'!B:B,'لیست واریزی کل خیرین'!D:D,Table1[[#This Row],[نام]],'لیست واریزی کل خیرین'!E:E,Table1[[#This Row],[نام خانوادگی]])</f>
        <v>2</v>
      </c>
      <c r="C573" s="21" t="s">
        <v>333</v>
      </c>
      <c r="D573" s="36" t="s">
        <v>334</v>
      </c>
      <c r="E573" s="274" t="s">
        <v>1406</v>
      </c>
      <c r="F573" s="287" t="s">
        <v>637</v>
      </c>
      <c r="G573" s="74" t="s">
        <v>331</v>
      </c>
      <c r="H573" s="75">
        <f>IF(G573="","",VLOOKUP(G573,mah,2,0))</f>
        <v>3</v>
      </c>
      <c r="I573" s="274">
        <v>1402</v>
      </c>
      <c r="J573" s="74"/>
      <c r="K573" s="285">
        <v>20000000</v>
      </c>
      <c r="L573" s="209"/>
    </row>
    <row r="574" spans="1:12" ht="15.75" customHeight="1">
      <c r="A574" s="67"/>
      <c r="B574" s="73">
        <f>SUMIFS('لیست واریزی کل خیرین'!B:B,'لیست واریزی کل خیرین'!D:D,Table1[[#This Row],[نام]],'لیست واریزی کل خیرین'!E:E,Table1[[#This Row],[نام خانوادگی]])</f>
        <v>2</v>
      </c>
      <c r="C574" s="21" t="s">
        <v>333</v>
      </c>
      <c r="D574" s="36" t="s">
        <v>334</v>
      </c>
      <c r="E574" s="274" t="s">
        <v>1406</v>
      </c>
      <c r="F574" s="287" t="s">
        <v>637</v>
      </c>
      <c r="G574" s="74" t="s">
        <v>343</v>
      </c>
      <c r="H574" s="75">
        <f>IF(G574="","",VLOOKUP(G574,mah,2,0))</f>
        <v>4</v>
      </c>
      <c r="I574" s="274">
        <v>1402</v>
      </c>
      <c r="J574" s="74"/>
      <c r="K574" s="285">
        <v>20000000</v>
      </c>
      <c r="L574" s="209"/>
    </row>
    <row r="575" spans="1:12" ht="15.75" customHeight="1">
      <c r="A575" s="67"/>
      <c r="B575" s="73">
        <f>SUMIFS('لیست واریزی کل خیرین'!B:B,'لیست واریزی کل خیرین'!D:D,Table1[[#This Row],[نام]],'لیست واریزی کل خیرین'!E:E,Table1[[#This Row],[نام خانوادگی]])</f>
        <v>63</v>
      </c>
      <c r="C575" s="274" t="s">
        <v>391</v>
      </c>
      <c r="D575" s="274" t="s">
        <v>392</v>
      </c>
      <c r="E575" s="274" t="s">
        <v>1384</v>
      </c>
      <c r="F575" s="287" t="s">
        <v>1418</v>
      </c>
      <c r="G575" s="274" t="s">
        <v>348</v>
      </c>
      <c r="H575" s="75">
        <v>6</v>
      </c>
      <c r="I575" s="274">
        <v>1402</v>
      </c>
      <c r="J575" s="274"/>
      <c r="K575" s="285">
        <v>84481</v>
      </c>
      <c r="L575" s="209"/>
    </row>
    <row r="576" spans="1:12" ht="15.75" customHeight="1">
      <c r="A576" s="67"/>
      <c r="B576" s="73">
        <f>SUMIFS('لیست واریزی کل خیرین'!B:B,'لیست واریزی کل خیرین'!D:D,Table1[[#This Row],[نام]],'لیست واریزی کل خیرین'!E:E,Table1[[#This Row],[نام خانوادگی]])</f>
        <v>11</v>
      </c>
      <c r="C576" s="21" t="s">
        <v>363</v>
      </c>
      <c r="D576" s="21" t="s">
        <v>364</v>
      </c>
      <c r="E576" s="274" t="s">
        <v>1421</v>
      </c>
      <c r="F576" s="287">
        <v>6063731028949880</v>
      </c>
      <c r="G576" s="74" t="s">
        <v>348</v>
      </c>
      <c r="H576" s="75">
        <f t="shared" ref="H576:H607" si="38">IF(G576="","",VLOOKUP(G576,mah,2,0))</f>
        <v>6</v>
      </c>
      <c r="I576" s="74">
        <v>1402</v>
      </c>
      <c r="J576" s="74"/>
      <c r="K576" s="285">
        <v>50000000</v>
      </c>
      <c r="L576" s="209"/>
    </row>
    <row r="577" spans="1:12" ht="15.75" customHeight="1">
      <c r="A577" s="67"/>
      <c r="B577" s="73">
        <f>SUMIFS('لیست واریزی کل خیرین'!B:B,'لیست واریزی کل خیرین'!D:D,Table1[[#This Row],[نام]],'لیست واریزی کل خیرین'!E:E,Table1[[#This Row],[نام خانوادگی]])</f>
        <v>108</v>
      </c>
      <c r="C577" s="216" t="s">
        <v>1423</v>
      </c>
      <c r="D577" s="216" t="s">
        <v>1424</v>
      </c>
      <c r="E577" s="274" t="s">
        <v>1422</v>
      </c>
      <c r="F577" s="287" t="s">
        <v>637</v>
      </c>
      <c r="G577" s="74" t="s">
        <v>348</v>
      </c>
      <c r="H577" s="75">
        <f t="shared" si="38"/>
        <v>6</v>
      </c>
      <c r="I577" s="74">
        <v>1402</v>
      </c>
      <c r="J577" s="74"/>
      <c r="K577" s="285">
        <v>200000000</v>
      </c>
      <c r="L577" s="209"/>
    </row>
    <row r="578" spans="1:12" ht="15.75" customHeight="1">
      <c r="A578" s="67"/>
      <c r="B578" s="73">
        <f>SUMIFS('لیست واریزی کل خیرین'!B:B,'لیست واریزی کل خیرین'!D:D,Table1[[#This Row],[نام]],'لیست واریزی کل خیرین'!E:E,Table1[[#This Row],[نام خانوادگی]])</f>
        <v>109</v>
      </c>
      <c r="C578" s="199" t="s">
        <v>1427</v>
      </c>
      <c r="D578" s="199" t="s">
        <v>1426</v>
      </c>
      <c r="E578" s="274" t="s">
        <v>1425</v>
      </c>
      <c r="F578" s="287">
        <v>5859831099450680</v>
      </c>
      <c r="G578" s="74" t="s">
        <v>348</v>
      </c>
      <c r="H578" s="75">
        <f t="shared" si="38"/>
        <v>6</v>
      </c>
      <c r="I578" s="74">
        <v>1402</v>
      </c>
      <c r="J578" s="74"/>
      <c r="K578" s="285">
        <v>5000000</v>
      </c>
      <c r="L578" s="209"/>
    </row>
    <row r="579" spans="1:12" ht="15.75" customHeight="1">
      <c r="A579" s="67"/>
      <c r="B579" s="73">
        <f>SUMIFS('لیست واریزی کل خیرین'!B:B,'لیست واریزی کل خیرین'!D:D,Table1[[#This Row],[نام]],'لیست واریزی کل خیرین'!E:E,Table1[[#This Row],[نام خانوادگی]])</f>
        <v>8</v>
      </c>
      <c r="C579" s="199" t="s">
        <v>352</v>
      </c>
      <c r="D579" s="199" t="s">
        <v>353</v>
      </c>
      <c r="E579" s="274" t="s">
        <v>1428</v>
      </c>
      <c r="F579" s="287">
        <v>6104337604787130</v>
      </c>
      <c r="G579" s="74" t="s">
        <v>346</v>
      </c>
      <c r="H579" s="75">
        <f t="shared" si="38"/>
        <v>5</v>
      </c>
      <c r="I579" s="74">
        <v>1402</v>
      </c>
      <c r="J579" s="74"/>
      <c r="K579" s="76">
        <v>5000000</v>
      </c>
      <c r="L579" s="209"/>
    </row>
    <row r="580" spans="1:12" ht="15.75" customHeight="1">
      <c r="A580" s="67"/>
      <c r="B580" s="73">
        <f>SUMIFS('لیست واریزی کل خیرین'!B:B,'لیست واریزی کل خیرین'!D:D,Table1[[#This Row],[نام]],'لیست واریزی کل خیرین'!E:E,Table1[[#This Row],[نام خانوادگی]])</f>
        <v>8</v>
      </c>
      <c r="C580" s="199" t="s">
        <v>352</v>
      </c>
      <c r="D580" s="199" t="s">
        <v>353</v>
      </c>
      <c r="E580" s="274" t="s">
        <v>1428</v>
      </c>
      <c r="F580" s="287">
        <v>6104337604787130</v>
      </c>
      <c r="G580" s="74" t="s">
        <v>348</v>
      </c>
      <c r="H580" s="75">
        <f t="shared" si="38"/>
        <v>6</v>
      </c>
      <c r="I580" s="74">
        <v>1402</v>
      </c>
      <c r="J580" s="74"/>
      <c r="K580" s="76">
        <v>5000000</v>
      </c>
      <c r="L580" s="209"/>
    </row>
    <row r="581" spans="1:12" ht="15.75" customHeight="1">
      <c r="A581" s="67"/>
      <c r="B581" s="73">
        <f>SUMIFS('لیست واریزی کل خیرین'!B:B,'لیست واریزی کل خیرین'!D:D,Table1[[#This Row],[نام]],'لیست واریزی کل خیرین'!E:E,Table1[[#This Row],[نام خانوادگی]])</f>
        <v>12</v>
      </c>
      <c r="C581" s="21" t="s">
        <v>366</v>
      </c>
      <c r="D581" s="199" t="s">
        <v>367</v>
      </c>
      <c r="E581" s="274" t="s">
        <v>1428</v>
      </c>
      <c r="F581" s="287">
        <v>6037997136517730</v>
      </c>
      <c r="G581" s="74" t="s">
        <v>348</v>
      </c>
      <c r="H581" s="75">
        <f t="shared" si="38"/>
        <v>6</v>
      </c>
      <c r="I581" s="74">
        <v>1402</v>
      </c>
      <c r="J581" s="74"/>
      <c r="K581" s="285">
        <v>30000000</v>
      </c>
      <c r="L581" s="209"/>
    </row>
    <row r="582" spans="1:12" ht="15.75" customHeight="1">
      <c r="A582" s="67"/>
      <c r="B582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582" s="199" t="s">
        <v>355</v>
      </c>
      <c r="D582" s="199" t="s">
        <v>356</v>
      </c>
      <c r="E582" s="274" t="s">
        <v>1429</v>
      </c>
      <c r="F582" s="287" t="s">
        <v>464</v>
      </c>
      <c r="G582" s="74" t="s">
        <v>348</v>
      </c>
      <c r="H582" s="75">
        <f t="shared" si="38"/>
        <v>6</v>
      </c>
      <c r="I582" s="74">
        <v>1402</v>
      </c>
      <c r="J582" s="74"/>
      <c r="K582" s="285">
        <v>20000000</v>
      </c>
      <c r="L582" s="209"/>
    </row>
    <row r="583" spans="1:12" ht="15.75" customHeight="1">
      <c r="A583" s="67"/>
      <c r="B583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583" s="199" t="s">
        <v>358</v>
      </c>
      <c r="D583" s="199" t="s">
        <v>359</v>
      </c>
      <c r="E583" s="274" t="s">
        <v>1430</v>
      </c>
      <c r="F583" s="287" t="s">
        <v>637</v>
      </c>
      <c r="G583" s="74" t="s">
        <v>348</v>
      </c>
      <c r="H583" s="75">
        <f t="shared" si="38"/>
        <v>6</v>
      </c>
      <c r="I583" s="74">
        <v>1402</v>
      </c>
      <c r="J583" s="74"/>
      <c r="K583" s="285">
        <v>100000000</v>
      </c>
      <c r="L583" s="209"/>
    </row>
    <row r="584" spans="1:12" ht="15.75" customHeight="1">
      <c r="A584" s="67"/>
      <c r="B584" s="73">
        <f>SUMIFS('لیست واریزی کل خیرین'!B:B,'لیست واریزی کل خیرین'!D:D,Table1[[#This Row],[نام]],'لیست واریزی کل خیرین'!E:E,Table1[[#This Row],[نام خانوادگی]])</f>
        <v>110</v>
      </c>
      <c r="C584" s="216" t="s">
        <v>1431</v>
      </c>
      <c r="D584" s="216" t="s">
        <v>1432</v>
      </c>
      <c r="E584" s="274" t="s">
        <v>1433</v>
      </c>
      <c r="F584" s="287" t="s">
        <v>1434</v>
      </c>
      <c r="G584" s="74" t="s">
        <v>348</v>
      </c>
      <c r="H584" s="75">
        <f t="shared" si="38"/>
        <v>6</v>
      </c>
      <c r="I584" s="74">
        <v>1402</v>
      </c>
      <c r="J584" s="74"/>
      <c r="K584" s="285">
        <v>1000000</v>
      </c>
      <c r="L584" s="209"/>
    </row>
    <row r="585" spans="1:12" ht="15.75" customHeight="1">
      <c r="A585" s="67"/>
      <c r="B585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585" s="199" t="s">
        <v>355</v>
      </c>
      <c r="D585" s="199" t="s">
        <v>356</v>
      </c>
      <c r="E585" s="274" t="s">
        <v>1435</v>
      </c>
      <c r="F585" s="87" t="s">
        <v>464</v>
      </c>
      <c r="G585" s="74" t="s">
        <v>348</v>
      </c>
      <c r="H585" s="75">
        <f t="shared" si="38"/>
        <v>6</v>
      </c>
      <c r="I585" s="74">
        <v>1402</v>
      </c>
      <c r="J585" s="74"/>
      <c r="K585" s="76">
        <v>6000000</v>
      </c>
      <c r="L585" s="209"/>
    </row>
    <row r="586" spans="1:12" ht="15.75" customHeight="1">
      <c r="A586" s="67"/>
      <c r="B586" s="73">
        <f>SUMIFS('لیست واریزی کل خیرین'!B:B,'لیست واریزی کل خیرین'!D:D,Table1[[#This Row],[نام]],'لیست واریزی کل خیرین'!E:E,Table1[[#This Row],[نام خانوادگی]])</f>
        <v>35</v>
      </c>
      <c r="C586" s="21" t="s">
        <v>465</v>
      </c>
      <c r="D586" s="21" t="s">
        <v>466</v>
      </c>
      <c r="E586" s="274" t="s">
        <v>1436</v>
      </c>
      <c r="F586" s="87" t="s">
        <v>467</v>
      </c>
      <c r="G586" s="74" t="s">
        <v>348</v>
      </c>
      <c r="H586" s="75">
        <f t="shared" si="38"/>
        <v>6</v>
      </c>
      <c r="I586" s="74">
        <v>1402</v>
      </c>
      <c r="J586" s="74"/>
      <c r="K586" s="76">
        <v>4000000</v>
      </c>
      <c r="L586" s="209"/>
    </row>
    <row r="587" spans="1:12" ht="15.75" customHeight="1">
      <c r="A587" s="67"/>
      <c r="B587" s="73">
        <f>SUMIFS('لیست واریزی کل خیرین'!B:B,'لیست واریزی کل خیرین'!D:D,Table1[[#This Row],[نام]],'لیست واریزی کل خیرین'!E:E,Table1[[#This Row],[نام خانوادگی]])</f>
        <v>55</v>
      </c>
      <c r="C587" s="21" t="s">
        <v>418</v>
      </c>
      <c r="D587" s="21" t="s">
        <v>1095</v>
      </c>
      <c r="E587" s="274" t="s">
        <v>1437</v>
      </c>
      <c r="F587" s="87" t="s">
        <v>1096</v>
      </c>
      <c r="G587" s="74" t="s">
        <v>348</v>
      </c>
      <c r="H587" s="75">
        <f t="shared" si="38"/>
        <v>6</v>
      </c>
      <c r="I587" s="74">
        <v>1402</v>
      </c>
      <c r="J587" s="74"/>
      <c r="K587" s="76">
        <v>5000000</v>
      </c>
      <c r="L587" s="209"/>
    </row>
    <row r="588" spans="1:12" ht="15.75" customHeight="1">
      <c r="A588" s="67"/>
      <c r="B588" s="73">
        <f>SUMIFS('لیست واریزی کل خیرین'!B:B,'لیست واریزی کل خیرین'!D:D,Table1[[#This Row],[نام]],'لیست واریزی کل خیرین'!E:E,Table1[[#This Row],[نام خانوادگی]])</f>
        <v>111</v>
      </c>
      <c r="C588" s="216" t="s">
        <v>1438</v>
      </c>
      <c r="D588" s="216" t="s">
        <v>1439</v>
      </c>
      <c r="E588" s="274" t="s">
        <v>1440</v>
      </c>
      <c r="F588" s="87" t="s">
        <v>1441</v>
      </c>
      <c r="G588" s="74" t="s">
        <v>348</v>
      </c>
      <c r="H588" s="75">
        <f t="shared" si="38"/>
        <v>6</v>
      </c>
      <c r="I588" s="74">
        <v>1402</v>
      </c>
      <c r="J588" s="74"/>
      <c r="K588" s="76">
        <v>10000000</v>
      </c>
      <c r="L588" s="209"/>
    </row>
    <row r="589" spans="1:12" ht="15.75" customHeight="1">
      <c r="A589" s="67"/>
      <c r="B589" s="73">
        <f>SUMIFS('لیست واریزی کل خیرین'!B:B,'لیست واریزی کل خیرین'!D:D,Table1[[#This Row],[نام]],'لیست واریزی کل خیرین'!E:E,Table1[[#This Row],[نام خانوادگی]])</f>
        <v>112</v>
      </c>
      <c r="C589" s="216" t="s">
        <v>1442</v>
      </c>
      <c r="D589" s="216" t="s">
        <v>1443</v>
      </c>
      <c r="E589" s="274" t="s">
        <v>1440</v>
      </c>
      <c r="F589" s="87" t="s">
        <v>1444</v>
      </c>
      <c r="G589" s="74" t="s">
        <v>348</v>
      </c>
      <c r="H589" s="75">
        <f t="shared" si="38"/>
        <v>6</v>
      </c>
      <c r="I589" s="74">
        <v>1402</v>
      </c>
      <c r="J589" s="74"/>
      <c r="K589" s="76">
        <v>3000000</v>
      </c>
      <c r="L589" s="209"/>
    </row>
    <row r="590" spans="1:12" ht="15.75" customHeight="1">
      <c r="A590" s="67"/>
      <c r="B590" s="73">
        <f>SUMIFS('لیست واریزی کل خیرین'!B:B,'لیست واریزی کل خیرین'!D:D,Table1[[#This Row],[نام]],'لیست واریزی کل خیرین'!E:E,Table1[[#This Row],[نام خانوادگی]])</f>
        <v>113</v>
      </c>
      <c r="C590" s="216" t="s">
        <v>76</v>
      </c>
      <c r="D590" s="216" t="s">
        <v>1445</v>
      </c>
      <c r="E590" s="274" t="s">
        <v>1440</v>
      </c>
      <c r="F590" s="87" t="s">
        <v>1446</v>
      </c>
      <c r="G590" s="74" t="s">
        <v>348</v>
      </c>
      <c r="H590" s="75">
        <f t="shared" si="38"/>
        <v>6</v>
      </c>
      <c r="I590" s="74">
        <v>1402</v>
      </c>
      <c r="J590" s="74"/>
      <c r="K590" s="76">
        <v>10000000</v>
      </c>
      <c r="L590" s="209"/>
    </row>
    <row r="591" spans="1:12" ht="15.75" customHeight="1">
      <c r="A591" s="67"/>
      <c r="B591" s="73">
        <f>SUMIFS('لیست واریزی کل خیرین'!B:B,'لیست واریزی کل خیرین'!D:D,Table1[[#This Row],[نام]],'لیست واریزی کل خیرین'!E:E,Table1[[#This Row],[نام خانوادگی]])</f>
        <v>114</v>
      </c>
      <c r="C591" s="199" t="s">
        <v>1447</v>
      </c>
      <c r="D591" s="199" t="s">
        <v>1448</v>
      </c>
      <c r="E591" s="274" t="s">
        <v>1440</v>
      </c>
      <c r="F591" s="87" t="s">
        <v>1449</v>
      </c>
      <c r="G591" s="74" t="s">
        <v>348</v>
      </c>
      <c r="H591" s="75">
        <f t="shared" si="38"/>
        <v>6</v>
      </c>
      <c r="I591" s="74">
        <v>1402</v>
      </c>
      <c r="J591" s="74"/>
      <c r="K591" s="76">
        <v>5000000</v>
      </c>
      <c r="L591" s="209"/>
    </row>
    <row r="592" spans="1:12" ht="15.75" customHeight="1">
      <c r="A592" s="67"/>
      <c r="B592" s="73">
        <f>SUMIFS('لیست واریزی کل خیرین'!B:B,'لیست واریزی کل خیرین'!D:D,Table1[[#This Row],[نام]],'لیست واریزی کل خیرین'!E:E,Table1[[#This Row],[نام خانوادگی]])</f>
        <v>115</v>
      </c>
      <c r="C592" s="216" t="s">
        <v>1450</v>
      </c>
      <c r="D592" s="216" t="s">
        <v>1451</v>
      </c>
      <c r="E592" s="274" t="s">
        <v>1440</v>
      </c>
      <c r="F592" s="87" t="s">
        <v>1452</v>
      </c>
      <c r="G592" s="74" t="s">
        <v>348</v>
      </c>
      <c r="H592" s="75">
        <f t="shared" si="38"/>
        <v>6</v>
      </c>
      <c r="I592" s="74">
        <v>1402</v>
      </c>
      <c r="J592" s="74"/>
      <c r="K592" s="76">
        <v>500000</v>
      </c>
      <c r="L592" s="209"/>
    </row>
    <row r="593" spans="1:12" ht="15.75" customHeight="1">
      <c r="A593" s="67"/>
      <c r="B593" s="73">
        <f>SUMIFS('لیست واریزی کل خیرین'!B:B,'لیست واریزی کل خیرین'!D:D,Table1[[#This Row],[نام]],'لیست واریزی کل خیرین'!E:E,Table1[[#This Row],[نام خانوادگی]])</f>
        <v>116</v>
      </c>
      <c r="C593" s="216" t="s">
        <v>799</v>
      </c>
      <c r="D593" s="216" t="s">
        <v>1453</v>
      </c>
      <c r="E593" s="274" t="s">
        <v>1440</v>
      </c>
      <c r="F593" s="87" t="s">
        <v>1454</v>
      </c>
      <c r="G593" s="74" t="s">
        <v>348</v>
      </c>
      <c r="H593" s="75">
        <f t="shared" si="38"/>
        <v>6</v>
      </c>
      <c r="I593" s="74">
        <v>1402</v>
      </c>
      <c r="J593" s="74"/>
      <c r="K593" s="76">
        <v>10000000</v>
      </c>
      <c r="L593" s="209"/>
    </row>
    <row r="594" spans="1:12" ht="15.75" customHeight="1">
      <c r="A594" s="67"/>
      <c r="B594" s="73">
        <f>SUMIFS('لیست واریزی کل خیرین'!B:B,'لیست واریزی کل خیرین'!D:D,Table1[[#This Row],[نام]],'لیست واریزی کل خیرین'!E:E,Table1[[#This Row],[نام خانوادگی]])</f>
        <v>117</v>
      </c>
      <c r="C594" s="216" t="s">
        <v>1456</v>
      </c>
      <c r="D594" s="216" t="s">
        <v>1455</v>
      </c>
      <c r="E594" s="274" t="s">
        <v>1440</v>
      </c>
      <c r="F594" s="87" t="s">
        <v>1457</v>
      </c>
      <c r="G594" s="74" t="s">
        <v>348</v>
      </c>
      <c r="H594" s="75">
        <f t="shared" si="38"/>
        <v>6</v>
      </c>
      <c r="I594" s="74">
        <v>1402</v>
      </c>
      <c r="J594" s="74"/>
      <c r="K594" s="76">
        <v>500000</v>
      </c>
      <c r="L594" s="209"/>
    </row>
    <row r="595" spans="1:12" ht="15.75" customHeight="1">
      <c r="A595" s="67"/>
      <c r="B595" s="73">
        <f>SUMIFS('لیست واریزی کل خیرین'!B:B,'لیست واریزی کل خیرین'!D:D,Table1[[#This Row],[نام]],'لیست واریزی کل خیرین'!E:E,Table1[[#This Row],[نام خانوادگی]])</f>
        <v>118</v>
      </c>
      <c r="C595" s="216" t="s">
        <v>1458</v>
      </c>
      <c r="D595" s="216" t="s">
        <v>1459</v>
      </c>
      <c r="E595" s="274" t="s">
        <v>1440</v>
      </c>
      <c r="F595" s="87" t="s">
        <v>1460</v>
      </c>
      <c r="G595" s="74" t="s">
        <v>348</v>
      </c>
      <c r="H595" s="75">
        <f t="shared" si="38"/>
        <v>6</v>
      </c>
      <c r="I595" s="74">
        <v>1402</v>
      </c>
      <c r="J595" s="74"/>
      <c r="K595" s="76">
        <v>500000</v>
      </c>
      <c r="L595" s="209"/>
    </row>
    <row r="596" spans="1:12" ht="15.75" customHeight="1">
      <c r="A596" s="67"/>
      <c r="B596" s="73">
        <f>SUMIFS('لیست واریزی کل خیرین'!B:B,'لیست واریزی کل خیرین'!D:D,Table1[[#This Row],[نام]],'لیست واریزی کل خیرین'!E:E,Table1[[#This Row],[نام خانوادگی]])</f>
        <v>99</v>
      </c>
      <c r="C596" s="216" t="s">
        <v>1137</v>
      </c>
      <c r="D596" s="216" t="s">
        <v>1214</v>
      </c>
      <c r="E596" s="274" t="s">
        <v>1461</v>
      </c>
      <c r="F596" s="87" t="s">
        <v>1213</v>
      </c>
      <c r="G596" s="74" t="s">
        <v>348</v>
      </c>
      <c r="H596" s="75">
        <f t="shared" si="38"/>
        <v>6</v>
      </c>
      <c r="I596" s="74">
        <v>1402</v>
      </c>
      <c r="J596" s="74"/>
      <c r="K596" s="76">
        <v>5000000</v>
      </c>
      <c r="L596" s="209"/>
    </row>
    <row r="597" spans="1:12" ht="15.75" customHeight="1">
      <c r="A597" s="67"/>
      <c r="B597" s="73">
        <f>SUMIFS('لیست واریزی کل خیرین'!B:B,'لیست واریزی کل خیرین'!D:D,Table1[[#This Row],[نام]],'لیست واریزی کل خیرین'!E:E,Table1[[#This Row],[نام خانوادگی]])</f>
        <v>119</v>
      </c>
      <c r="C597" s="216" t="s">
        <v>1218</v>
      </c>
      <c r="D597" s="216" t="s">
        <v>1462</v>
      </c>
      <c r="E597" s="274" t="s">
        <v>1461</v>
      </c>
      <c r="F597" s="87" t="s">
        <v>1463</v>
      </c>
      <c r="G597" s="74" t="s">
        <v>348</v>
      </c>
      <c r="H597" s="75">
        <f t="shared" si="38"/>
        <v>6</v>
      </c>
      <c r="I597" s="74">
        <v>1402</v>
      </c>
      <c r="J597" s="74"/>
      <c r="K597" s="76">
        <v>500000</v>
      </c>
      <c r="L597" s="209"/>
    </row>
    <row r="598" spans="1:12" ht="15.75" customHeight="1">
      <c r="A598" s="67"/>
      <c r="B598" s="73">
        <f>SUMIFS('لیست واریزی کل خیرین'!B:B,'لیست واریزی کل خیرین'!D:D,Table1[[#This Row],[نام]],'لیست واریزی کل خیرین'!E:E,Table1[[#This Row],[نام خانوادگی]])</f>
        <v>122</v>
      </c>
      <c r="C598" s="216" t="s">
        <v>540</v>
      </c>
      <c r="D598" s="216" t="s">
        <v>1554</v>
      </c>
      <c r="E598" s="274" t="s">
        <v>1464</v>
      </c>
      <c r="F598" s="287" t="s">
        <v>637</v>
      </c>
      <c r="G598" s="74" t="s">
        <v>348</v>
      </c>
      <c r="H598" s="75">
        <f t="shared" si="38"/>
        <v>6</v>
      </c>
      <c r="I598" s="74">
        <v>1402</v>
      </c>
      <c r="J598" s="74"/>
      <c r="K598" s="285">
        <v>92500000</v>
      </c>
      <c r="L598" s="209"/>
    </row>
    <row r="599" spans="1:12" ht="15.75" customHeight="1">
      <c r="A599" s="67"/>
      <c r="B599" s="73">
        <f>SUMIFS('لیست واریزی کل خیرین'!B:B,'لیست واریزی کل خیرین'!D:D,Table1[[#This Row],[نام]],'لیست واریزی کل خیرین'!E:E,Table1[[#This Row],[نام خانوادگی]])</f>
        <v>103</v>
      </c>
      <c r="C599" s="216" t="s">
        <v>1344</v>
      </c>
      <c r="D599" s="216" t="s">
        <v>1345</v>
      </c>
      <c r="E599" s="274" t="s">
        <v>1464</v>
      </c>
      <c r="F599" s="287" t="s">
        <v>1346</v>
      </c>
      <c r="G599" s="74" t="s">
        <v>348</v>
      </c>
      <c r="H599" s="75">
        <f t="shared" si="38"/>
        <v>6</v>
      </c>
      <c r="I599" s="74">
        <v>1402</v>
      </c>
      <c r="J599" s="74"/>
      <c r="K599" s="285">
        <v>5000000</v>
      </c>
      <c r="L599" s="209"/>
    </row>
    <row r="600" spans="1:12" ht="15.75" customHeight="1">
      <c r="A600" s="67"/>
      <c r="B600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600" s="21" t="s">
        <v>349</v>
      </c>
      <c r="D600" s="21" t="s">
        <v>350</v>
      </c>
      <c r="E600" s="274" t="s">
        <v>1465</v>
      </c>
      <c r="F600" s="87" t="s">
        <v>683</v>
      </c>
      <c r="G600" s="74" t="s">
        <v>348</v>
      </c>
      <c r="H600" s="75">
        <f t="shared" si="38"/>
        <v>6</v>
      </c>
      <c r="I600" s="74">
        <v>1402</v>
      </c>
      <c r="J600" s="74"/>
      <c r="K600" s="76">
        <v>50000000</v>
      </c>
      <c r="L600" s="209"/>
    </row>
    <row r="601" spans="1:12" ht="15.75" customHeight="1">
      <c r="A601" s="67"/>
      <c r="B601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601" s="21" t="s">
        <v>366</v>
      </c>
      <c r="D601" s="21" t="s">
        <v>382</v>
      </c>
      <c r="E601" s="274" t="s">
        <v>1465</v>
      </c>
      <c r="F601" s="87" t="s">
        <v>536</v>
      </c>
      <c r="G601" s="74" t="s">
        <v>348</v>
      </c>
      <c r="H601" s="75">
        <f t="shared" si="38"/>
        <v>6</v>
      </c>
      <c r="I601" s="74">
        <v>1402</v>
      </c>
      <c r="J601" s="74"/>
      <c r="K601" s="76">
        <v>10000000</v>
      </c>
      <c r="L601" s="209"/>
    </row>
    <row r="602" spans="1:12" ht="15.75" customHeight="1">
      <c r="A602" s="67"/>
      <c r="B602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602" s="21" t="s">
        <v>366</v>
      </c>
      <c r="D602" s="21" t="s">
        <v>382</v>
      </c>
      <c r="E602" s="274" t="s">
        <v>1465</v>
      </c>
      <c r="F602" s="87" t="s">
        <v>1466</v>
      </c>
      <c r="G602" s="74" t="s">
        <v>348</v>
      </c>
      <c r="H602" s="75">
        <f t="shared" si="38"/>
        <v>6</v>
      </c>
      <c r="I602" s="74">
        <v>1402</v>
      </c>
      <c r="J602" s="74"/>
      <c r="K602" s="76">
        <v>20000000</v>
      </c>
      <c r="L602" s="209"/>
    </row>
    <row r="603" spans="1:12" ht="15.75" customHeight="1">
      <c r="A603" s="67"/>
      <c r="B603" s="73">
        <f>SUMIFS('لیست واریزی کل خیرین'!B:B,'لیست واریزی کل خیرین'!D:D,Table1[[#This Row],[نام]],'لیست واریزی کل خیرین'!E:E,Table1[[#This Row],[نام خانوادگی]])</f>
        <v>19</v>
      </c>
      <c r="C603" s="21" t="s">
        <v>363</v>
      </c>
      <c r="D603" s="21" t="s">
        <v>380</v>
      </c>
      <c r="E603" s="274" t="s">
        <v>1467</v>
      </c>
      <c r="F603" s="87" t="s">
        <v>637</v>
      </c>
      <c r="G603" s="74" t="s">
        <v>348</v>
      </c>
      <c r="H603" s="75">
        <f t="shared" si="38"/>
        <v>6</v>
      </c>
      <c r="I603" s="74">
        <v>1402</v>
      </c>
      <c r="J603" s="74"/>
      <c r="K603" s="76">
        <v>50000000</v>
      </c>
      <c r="L603" s="271" t="s">
        <v>1655</v>
      </c>
    </row>
    <row r="604" spans="1:12" ht="15.75" customHeight="1">
      <c r="A604" s="67"/>
      <c r="B604" s="73">
        <f>SUMIFS('لیست واریزی کل خیرین'!B:B,'لیست واریزی کل خیرین'!D:D,Table1[[#This Row],[نام]],'لیست واریزی کل خیرین'!E:E,Table1[[#This Row],[نام خانوادگی]])</f>
        <v>19</v>
      </c>
      <c r="C604" s="21" t="s">
        <v>363</v>
      </c>
      <c r="D604" s="21" t="s">
        <v>380</v>
      </c>
      <c r="E604" s="274" t="s">
        <v>1467</v>
      </c>
      <c r="F604" s="87" t="s">
        <v>637</v>
      </c>
      <c r="G604" s="74" t="s">
        <v>351</v>
      </c>
      <c r="H604" s="75">
        <f>IF(G604="","",VLOOKUP(G604,mah,2,0))</f>
        <v>7</v>
      </c>
      <c r="I604" s="74">
        <v>1402</v>
      </c>
      <c r="J604" s="74"/>
      <c r="K604" s="76">
        <v>50000000</v>
      </c>
      <c r="L604" s="271" t="s">
        <v>1655</v>
      </c>
    </row>
    <row r="605" spans="1:12" ht="27.75" customHeight="1">
      <c r="A605" s="67"/>
      <c r="B605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605" s="199" t="s">
        <v>71</v>
      </c>
      <c r="D605" s="199" t="s">
        <v>371</v>
      </c>
      <c r="E605" s="274" t="s">
        <v>1467</v>
      </c>
      <c r="F605" s="87" t="s">
        <v>570</v>
      </c>
      <c r="G605" s="74" t="s">
        <v>346</v>
      </c>
      <c r="H605" s="75">
        <f t="shared" si="38"/>
        <v>5</v>
      </c>
      <c r="I605" s="74">
        <v>1402</v>
      </c>
      <c r="J605" s="74"/>
      <c r="K605" s="76">
        <v>10000000</v>
      </c>
      <c r="L605" s="271" t="s">
        <v>1489</v>
      </c>
    </row>
    <row r="606" spans="1:12" ht="27" customHeight="1">
      <c r="A606" s="67"/>
      <c r="B606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606" s="199" t="s">
        <v>71</v>
      </c>
      <c r="D606" s="199" t="s">
        <v>371</v>
      </c>
      <c r="E606" s="274" t="s">
        <v>1467</v>
      </c>
      <c r="F606" s="87" t="s">
        <v>570</v>
      </c>
      <c r="G606" s="74" t="s">
        <v>348</v>
      </c>
      <c r="H606" s="75">
        <f t="shared" ref="H606" si="39">IF(G606="","",VLOOKUP(G606,mah,2,0))</f>
        <v>6</v>
      </c>
      <c r="I606" s="74">
        <v>1402</v>
      </c>
      <c r="J606" s="74"/>
      <c r="K606" s="76">
        <v>10000000</v>
      </c>
      <c r="L606" s="271" t="s">
        <v>1489</v>
      </c>
    </row>
    <row r="607" spans="1:12" ht="15.75" customHeight="1">
      <c r="A607" s="67"/>
      <c r="B607" s="73">
        <f>SUMIFS('لیست واریزی کل خیرین'!B:B,'لیست واریزی کل خیرین'!D:D,Table1[[#This Row],[نام]],'لیست واریزی کل خیرین'!E:E,Table1[[#This Row],[نام خانوادگی]])</f>
        <v>22</v>
      </c>
      <c r="C607" s="199" t="s">
        <v>387</v>
      </c>
      <c r="D607" s="199" t="s">
        <v>388</v>
      </c>
      <c r="E607" s="274" t="s">
        <v>1467</v>
      </c>
      <c r="F607" s="87" t="s">
        <v>480</v>
      </c>
      <c r="G607" s="74" t="s">
        <v>348</v>
      </c>
      <c r="H607" s="75">
        <f t="shared" si="38"/>
        <v>6</v>
      </c>
      <c r="I607" s="74">
        <v>1402</v>
      </c>
      <c r="J607" s="74"/>
      <c r="K607" s="76">
        <v>2000000</v>
      </c>
      <c r="L607" s="271" t="s">
        <v>1490</v>
      </c>
    </row>
    <row r="608" spans="1:12" ht="15.75" customHeight="1">
      <c r="A608" s="67"/>
      <c r="B608" s="73">
        <f>SUMIFS('لیست واریزی کل خیرین'!B:B,'لیست واریزی کل خیرین'!D:D,Table1[[#This Row],[نام]],'لیست واریزی کل خیرین'!E:E,Table1[[#This Row],[نام خانوادگی]])</f>
        <v>22</v>
      </c>
      <c r="C608" s="199" t="s">
        <v>387</v>
      </c>
      <c r="D608" s="199" t="s">
        <v>388</v>
      </c>
      <c r="E608" s="274" t="s">
        <v>1467</v>
      </c>
      <c r="F608" s="87" t="s">
        <v>480</v>
      </c>
      <c r="G608" s="74" t="s">
        <v>343</v>
      </c>
      <c r="H608" s="75">
        <f>IF(G608="","",VLOOKUP(G608,mah,2,0))</f>
        <v>4</v>
      </c>
      <c r="I608" s="74">
        <v>1402</v>
      </c>
      <c r="J608" s="74"/>
      <c r="K608" s="76">
        <v>2000000</v>
      </c>
      <c r="L608" s="271" t="s">
        <v>1490</v>
      </c>
    </row>
    <row r="609" spans="1:13" ht="15.75" customHeight="1">
      <c r="A609" s="67"/>
      <c r="B609" s="73">
        <f>SUMIFS('لیست واریزی کل خیرین'!B:B,'لیست واریزی کل خیرین'!D:D,Table1[[#This Row],[نام]],'لیست واریزی کل خیرین'!E:E,Table1[[#This Row],[نام خانوادگی]])</f>
        <v>22</v>
      </c>
      <c r="C609" s="199" t="s">
        <v>387</v>
      </c>
      <c r="D609" s="199" t="s">
        <v>388</v>
      </c>
      <c r="E609" s="274" t="s">
        <v>1467</v>
      </c>
      <c r="F609" s="87" t="s">
        <v>480</v>
      </c>
      <c r="G609" s="74" t="s">
        <v>346</v>
      </c>
      <c r="H609" s="75">
        <f>IF(G609="","",VLOOKUP(G609,mah,2,0))</f>
        <v>5</v>
      </c>
      <c r="I609" s="74">
        <v>1402</v>
      </c>
      <c r="J609" s="74"/>
      <c r="K609" s="76">
        <v>2000000</v>
      </c>
      <c r="L609" s="271" t="s">
        <v>1490</v>
      </c>
    </row>
    <row r="610" spans="1:13" ht="15.75" customHeight="1">
      <c r="A610" s="67"/>
      <c r="B610" s="73">
        <f>SUMIFS('لیست واریزی کل خیرین'!B:B,'لیست واریزی کل خیرین'!D:D,Table1[[#This Row],[نام]],'لیست واریزی کل خیرین'!E:E,Table1[[#This Row],[نام خانوادگی]])</f>
        <v>120</v>
      </c>
      <c r="C610" s="216" t="s">
        <v>1470</v>
      </c>
      <c r="D610" s="216" t="s">
        <v>1471</v>
      </c>
      <c r="E610" s="274" t="s">
        <v>1468</v>
      </c>
      <c r="F610" s="87" t="s">
        <v>1469</v>
      </c>
      <c r="G610" s="74" t="s">
        <v>351</v>
      </c>
      <c r="H610" s="75">
        <f t="shared" ref="H610:H644" si="40">IF(G610="","",VLOOKUP(G610,mah,2,0))</f>
        <v>7</v>
      </c>
      <c r="I610" s="74">
        <v>1402</v>
      </c>
      <c r="J610" s="74"/>
      <c r="K610" s="76">
        <v>2000000</v>
      </c>
      <c r="L610" s="209"/>
    </row>
    <row r="611" spans="1:13" ht="15.75" customHeight="1">
      <c r="A611" s="67"/>
      <c r="B611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611" s="199" t="s">
        <v>358</v>
      </c>
      <c r="D611" s="199" t="s">
        <v>359</v>
      </c>
      <c r="E611" s="274" t="s">
        <v>1472</v>
      </c>
      <c r="F611" s="87" t="s">
        <v>440</v>
      </c>
      <c r="G611" s="74" t="s">
        <v>351</v>
      </c>
      <c r="H611" s="75">
        <f t="shared" si="40"/>
        <v>7</v>
      </c>
      <c r="I611" s="74">
        <v>1402</v>
      </c>
      <c r="J611" s="74"/>
      <c r="K611" s="76">
        <v>30000000</v>
      </c>
      <c r="L611" s="78" t="s">
        <v>1555</v>
      </c>
    </row>
    <row r="612" spans="1:13" ht="15.75" customHeight="1">
      <c r="A612" s="67"/>
      <c r="B612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612" s="199" t="s">
        <v>340</v>
      </c>
      <c r="D612" s="199" t="s">
        <v>341</v>
      </c>
      <c r="E612" s="274" t="s">
        <v>1472</v>
      </c>
      <c r="F612" s="87" t="s">
        <v>1093</v>
      </c>
      <c r="G612" s="74" t="s">
        <v>351</v>
      </c>
      <c r="H612" s="75">
        <f t="shared" si="40"/>
        <v>7</v>
      </c>
      <c r="I612" s="74">
        <v>1402</v>
      </c>
      <c r="J612" s="74"/>
      <c r="K612" s="76">
        <v>2000000</v>
      </c>
      <c r="L612" s="209"/>
    </row>
    <row r="613" spans="1:13" ht="15.75" customHeight="1">
      <c r="A613" s="67"/>
      <c r="B613" s="73">
        <f>SUMIFS('لیست واریزی کل خیرین'!B:B,'لیست واریزی کل خیرین'!D:D,Table1[[#This Row],[نام]],'لیست واریزی کل خیرین'!E:E,Table1[[#This Row],[نام خانوادگی]])</f>
        <v>63</v>
      </c>
      <c r="C613" s="199" t="s">
        <v>391</v>
      </c>
      <c r="D613" s="199" t="s">
        <v>392</v>
      </c>
      <c r="E613" s="274" t="s">
        <v>1473</v>
      </c>
      <c r="F613" s="87"/>
      <c r="G613" s="74" t="s">
        <v>351</v>
      </c>
      <c r="H613" s="75">
        <f t="shared" si="40"/>
        <v>7</v>
      </c>
      <c r="I613" s="74">
        <v>1402</v>
      </c>
      <c r="J613" s="74"/>
      <c r="K613" s="76">
        <v>5646626</v>
      </c>
      <c r="L613" s="209"/>
    </row>
    <row r="614" spans="1:13" ht="15.75" customHeight="1">
      <c r="A614" s="67"/>
      <c r="B614" s="73">
        <f>SUMIFS('لیست واریزی کل خیرین'!B:B,'لیست واریزی کل خیرین'!D:D,Table1[[#This Row],[نام]],'لیست واریزی کل خیرین'!E:E,Table1[[#This Row],[نام خانوادگی]])</f>
        <v>121</v>
      </c>
      <c r="C614" s="199" t="s">
        <v>1474</v>
      </c>
      <c r="D614" s="199" t="s">
        <v>1475</v>
      </c>
      <c r="E614" s="274" t="s">
        <v>1473</v>
      </c>
      <c r="F614" s="87" t="s">
        <v>1477</v>
      </c>
      <c r="G614" s="74" t="s">
        <v>351</v>
      </c>
      <c r="H614" s="75">
        <f t="shared" si="40"/>
        <v>7</v>
      </c>
      <c r="I614" s="74">
        <v>1402</v>
      </c>
      <c r="J614" s="74"/>
      <c r="K614" s="76">
        <v>2000000</v>
      </c>
      <c r="L614" s="209"/>
    </row>
    <row r="615" spans="1:13" ht="15.75" customHeight="1">
      <c r="A615" s="67"/>
      <c r="B615" s="73">
        <f>SUMIFS('لیست واریزی کل خیرین'!B:B,'لیست واریزی کل خیرین'!D:D,Table1[[#This Row],[نام]],'لیست واریزی کل خیرین'!E:E,Table1[[#This Row],[نام خانوادگی]])</f>
        <v>24</v>
      </c>
      <c r="C615" s="21" t="s">
        <v>398</v>
      </c>
      <c r="D615" s="21" t="s">
        <v>399</v>
      </c>
      <c r="E615" s="274" t="s">
        <v>1476</v>
      </c>
      <c r="F615" s="87" t="s">
        <v>558</v>
      </c>
      <c r="G615" s="74" t="s">
        <v>351</v>
      </c>
      <c r="H615" s="75">
        <f t="shared" si="40"/>
        <v>7</v>
      </c>
      <c r="I615" s="74">
        <v>1402</v>
      </c>
      <c r="J615" s="74"/>
      <c r="K615" s="76">
        <v>5000000</v>
      </c>
      <c r="L615" s="209"/>
    </row>
    <row r="616" spans="1:13" ht="15.75" customHeight="1">
      <c r="A616" s="67"/>
      <c r="B616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616" s="21" t="s">
        <v>366</v>
      </c>
      <c r="D616" s="21" t="s">
        <v>385</v>
      </c>
      <c r="E616" s="274" t="s">
        <v>1476</v>
      </c>
      <c r="F616" s="87" t="s">
        <v>1479</v>
      </c>
      <c r="G616" s="74" t="s">
        <v>343</v>
      </c>
      <c r="H616" s="75">
        <f t="shared" si="40"/>
        <v>4</v>
      </c>
      <c r="I616" s="74">
        <v>1402</v>
      </c>
      <c r="J616" s="74"/>
      <c r="K616" s="76">
        <v>5000000</v>
      </c>
      <c r="L616" s="209"/>
    </row>
    <row r="617" spans="1:13" ht="15.75" customHeight="1">
      <c r="A617" s="67"/>
      <c r="B617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617" s="21" t="s">
        <v>366</v>
      </c>
      <c r="D617" s="21" t="s">
        <v>385</v>
      </c>
      <c r="E617" s="274" t="s">
        <v>1476</v>
      </c>
      <c r="F617" s="87" t="s">
        <v>1479</v>
      </c>
      <c r="G617" s="74" t="s">
        <v>346</v>
      </c>
      <c r="H617" s="75">
        <f t="shared" si="40"/>
        <v>5</v>
      </c>
      <c r="I617" s="74">
        <v>1402</v>
      </c>
      <c r="J617" s="74"/>
      <c r="K617" s="76">
        <v>5000000</v>
      </c>
      <c r="L617" s="209"/>
    </row>
    <row r="618" spans="1:13" ht="15.75" customHeight="1">
      <c r="A618" s="67"/>
      <c r="B618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618" s="21" t="s">
        <v>366</v>
      </c>
      <c r="D618" s="21" t="s">
        <v>385</v>
      </c>
      <c r="E618" s="274" t="s">
        <v>1476</v>
      </c>
      <c r="F618" s="87" t="s">
        <v>1479</v>
      </c>
      <c r="G618" s="74" t="s">
        <v>348</v>
      </c>
      <c r="H618" s="75">
        <f t="shared" si="40"/>
        <v>6</v>
      </c>
      <c r="I618" s="74">
        <v>1402</v>
      </c>
      <c r="J618" s="74"/>
      <c r="K618" s="76">
        <v>5000000</v>
      </c>
      <c r="L618" s="209"/>
    </row>
    <row r="619" spans="1:13" ht="15.75" customHeight="1">
      <c r="A619" s="67"/>
      <c r="B619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619" s="21" t="s">
        <v>366</v>
      </c>
      <c r="D619" s="21" t="s">
        <v>385</v>
      </c>
      <c r="E619" s="274" t="s">
        <v>1476</v>
      </c>
      <c r="F619" s="87" t="s">
        <v>1479</v>
      </c>
      <c r="G619" s="74" t="s">
        <v>351</v>
      </c>
      <c r="H619" s="75">
        <f t="shared" si="40"/>
        <v>7</v>
      </c>
      <c r="I619" s="74">
        <v>1402</v>
      </c>
      <c r="J619" s="74"/>
      <c r="K619" s="76">
        <v>5000000</v>
      </c>
      <c r="L619" s="209"/>
    </row>
    <row r="620" spans="1:13" ht="15.75" customHeight="1">
      <c r="A620" s="67"/>
      <c r="B620" s="73">
        <f>SUMIFS('لیست واریزی کل خیرین'!B:B,'لیست واریزی کل خیرین'!D:D,Table1[[#This Row],[نام]],'لیست واریزی کل خیرین'!E:E,Table1[[#This Row],[نام خانوادگی]])</f>
        <v>11</v>
      </c>
      <c r="C620" s="21" t="s">
        <v>363</v>
      </c>
      <c r="D620" s="21" t="s">
        <v>364</v>
      </c>
      <c r="E620" s="274" t="s">
        <v>1478</v>
      </c>
      <c r="F620" s="87" t="s">
        <v>442</v>
      </c>
      <c r="G620" s="74" t="s">
        <v>351</v>
      </c>
      <c r="H620" s="75">
        <f t="shared" si="40"/>
        <v>7</v>
      </c>
      <c r="I620" s="74">
        <v>1402</v>
      </c>
      <c r="J620" s="74"/>
      <c r="K620" s="76">
        <v>50000000</v>
      </c>
      <c r="L620" s="209"/>
    </row>
    <row r="621" spans="1:13" ht="15.75" customHeight="1">
      <c r="A621" s="67"/>
      <c r="B621" s="73">
        <f>SUMIFS('لیست واریزی کل خیرین'!B:B,'لیست واریزی کل خیرین'!D:D,Table1[[#This Row],[نام]],'لیست واریزی کل خیرین'!E:E,Table1[[#This Row],[نام خانوادگی]])</f>
        <v>8</v>
      </c>
      <c r="C621" s="199" t="s">
        <v>352</v>
      </c>
      <c r="D621" s="199" t="s">
        <v>353</v>
      </c>
      <c r="E621" s="274" t="s">
        <v>1480</v>
      </c>
      <c r="F621" s="87" t="s">
        <v>1466</v>
      </c>
      <c r="G621" s="74" t="s">
        <v>351</v>
      </c>
      <c r="H621" s="75">
        <f t="shared" si="40"/>
        <v>7</v>
      </c>
      <c r="I621" s="74">
        <v>1402</v>
      </c>
      <c r="J621" s="74"/>
      <c r="K621" s="76">
        <v>10000000</v>
      </c>
      <c r="L621" s="209"/>
    </row>
    <row r="622" spans="1:13" ht="15.75" customHeight="1">
      <c r="A622" s="67"/>
      <c r="B622" s="73">
        <f>SUMIFS('لیست واریزی کل خیرین'!B:B,'لیست واریزی کل خیرین'!D:D,Table1[[#This Row],[نام]],'لیست واریزی کل خیرین'!E:E,Table1[[#This Row],[نام خانوادگی]])</f>
        <v>3</v>
      </c>
      <c r="C622" s="21" t="s">
        <v>328</v>
      </c>
      <c r="D622" s="21" t="s">
        <v>329</v>
      </c>
      <c r="E622" s="274" t="s">
        <v>1482</v>
      </c>
      <c r="F622" s="87" t="s">
        <v>1481</v>
      </c>
      <c r="G622" s="74" t="s">
        <v>351</v>
      </c>
      <c r="H622" s="75">
        <f t="shared" si="40"/>
        <v>7</v>
      </c>
      <c r="I622" s="74">
        <v>1402</v>
      </c>
      <c r="J622" s="74"/>
      <c r="K622" s="76">
        <v>30000000</v>
      </c>
      <c r="L622" s="209"/>
    </row>
    <row r="623" spans="1:13" ht="15.75" customHeight="1">
      <c r="A623" s="67"/>
      <c r="B623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23" s="21" t="s">
        <v>328</v>
      </c>
      <c r="D623" s="21" t="s">
        <v>329</v>
      </c>
      <c r="E623" s="274" t="s">
        <v>1482</v>
      </c>
      <c r="F623" s="87" t="s">
        <v>1481</v>
      </c>
      <c r="G623" s="21" t="s">
        <v>348</v>
      </c>
      <c r="H623" s="22">
        <f t="shared" ref="H623:H635" si="41">IF(G623="","",VLOOKUP(G623,mah,2,0))</f>
        <v>6</v>
      </c>
      <c r="I623" s="74">
        <v>1402</v>
      </c>
      <c r="J623" s="21"/>
      <c r="K623" s="23">
        <v>30000000</v>
      </c>
      <c r="L623" s="78"/>
      <c r="M623" s="302"/>
    </row>
    <row r="624" spans="1:13" ht="15.75" customHeight="1">
      <c r="A624" s="67"/>
      <c r="B624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24" s="21" t="s">
        <v>328</v>
      </c>
      <c r="D624" s="21" t="s">
        <v>329</v>
      </c>
      <c r="E624" s="274" t="s">
        <v>1482</v>
      </c>
      <c r="F624" s="87" t="s">
        <v>1481</v>
      </c>
      <c r="G624" s="21" t="s">
        <v>346</v>
      </c>
      <c r="H624" s="22">
        <f t="shared" si="41"/>
        <v>5</v>
      </c>
      <c r="I624" s="74">
        <v>1402</v>
      </c>
      <c r="J624" s="21"/>
      <c r="K624" s="23">
        <v>30000000</v>
      </c>
      <c r="L624" s="78"/>
      <c r="M624" s="302"/>
    </row>
    <row r="625" spans="1:13" ht="15.75" customHeight="1">
      <c r="A625" s="67"/>
      <c r="B625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25" s="21" t="s">
        <v>328</v>
      </c>
      <c r="D625" s="21" t="s">
        <v>329</v>
      </c>
      <c r="E625" s="274" t="s">
        <v>1482</v>
      </c>
      <c r="F625" s="87" t="s">
        <v>1481</v>
      </c>
      <c r="G625" s="21" t="s">
        <v>343</v>
      </c>
      <c r="H625" s="22">
        <f t="shared" si="41"/>
        <v>4</v>
      </c>
      <c r="I625" s="74">
        <v>1402</v>
      </c>
      <c r="J625" s="21"/>
      <c r="K625" s="23">
        <v>30000000</v>
      </c>
      <c r="L625" s="78"/>
      <c r="M625" s="302"/>
    </row>
    <row r="626" spans="1:13" ht="15.75" customHeight="1">
      <c r="A626" s="67"/>
      <c r="B626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26" s="21" t="s">
        <v>328</v>
      </c>
      <c r="D626" s="21" t="s">
        <v>329</v>
      </c>
      <c r="E626" s="274" t="s">
        <v>1482</v>
      </c>
      <c r="F626" s="87" t="s">
        <v>1481</v>
      </c>
      <c r="G626" s="21" t="s">
        <v>331</v>
      </c>
      <c r="H626" s="22">
        <f t="shared" si="41"/>
        <v>3</v>
      </c>
      <c r="I626" s="74">
        <v>1402</v>
      </c>
      <c r="J626" s="21"/>
      <c r="K626" s="23">
        <v>30000000</v>
      </c>
      <c r="L626" s="78"/>
      <c r="M626" s="302"/>
    </row>
    <row r="627" spans="1:13" ht="15.75" customHeight="1">
      <c r="A627" s="67"/>
      <c r="B627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27" s="21" t="s">
        <v>328</v>
      </c>
      <c r="D627" s="21" t="s">
        <v>329</v>
      </c>
      <c r="E627" s="274" t="s">
        <v>1482</v>
      </c>
      <c r="F627" s="87" t="s">
        <v>1481</v>
      </c>
      <c r="G627" s="21" t="s">
        <v>337</v>
      </c>
      <c r="H627" s="22">
        <f t="shared" si="41"/>
        <v>2</v>
      </c>
      <c r="I627" s="74">
        <v>1402</v>
      </c>
      <c r="J627" s="21"/>
      <c r="K627" s="23">
        <v>30000000</v>
      </c>
      <c r="L627" s="78"/>
      <c r="M627" s="302"/>
    </row>
    <row r="628" spans="1:13" ht="15.75" customHeight="1">
      <c r="A628" s="67"/>
      <c r="B628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28" s="21" t="s">
        <v>328</v>
      </c>
      <c r="D628" s="21" t="s">
        <v>329</v>
      </c>
      <c r="E628" s="274" t="s">
        <v>1482</v>
      </c>
      <c r="F628" s="87" t="s">
        <v>1481</v>
      </c>
      <c r="G628" s="21" t="s">
        <v>332</v>
      </c>
      <c r="H628" s="22">
        <f t="shared" si="41"/>
        <v>1</v>
      </c>
      <c r="I628" s="74">
        <v>1402</v>
      </c>
      <c r="J628" s="21"/>
      <c r="K628" s="23">
        <v>30000000</v>
      </c>
      <c r="L628" s="78"/>
      <c r="M628" s="302"/>
    </row>
    <row r="629" spans="1:13" ht="15.75" customHeight="1">
      <c r="A629" s="67"/>
      <c r="B629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29" s="21" t="s">
        <v>328</v>
      </c>
      <c r="D629" s="21" t="s">
        <v>329</v>
      </c>
      <c r="E629" s="274" t="s">
        <v>1482</v>
      </c>
      <c r="F629" s="87" t="s">
        <v>1481</v>
      </c>
      <c r="G629" s="21" t="s">
        <v>368</v>
      </c>
      <c r="H629" s="22">
        <f t="shared" si="41"/>
        <v>12</v>
      </c>
      <c r="I629" s="21">
        <v>1401</v>
      </c>
      <c r="J629" s="21"/>
      <c r="K629" s="23">
        <v>30000000</v>
      </c>
      <c r="L629" s="78"/>
      <c r="M629" s="302"/>
    </row>
    <row r="630" spans="1:13" ht="15.75" customHeight="1">
      <c r="A630" s="67"/>
      <c r="B630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30" s="21" t="s">
        <v>328</v>
      </c>
      <c r="D630" s="21" t="s">
        <v>329</v>
      </c>
      <c r="E630" s="274" t="s">
        <v>1482</v>
      </c>
      <c r="F630" s="87" t="s">
        <v>1481</v>
      </c>
      <c r="G630" s="21" t="s">
        <v>365</v>
      </c>
      <c r="H630" s="22">
        <f t="shared" si="41"/>
        <v>11</v>
      </c>
      <c r="I630" s="21">
        <v>1401</v>
      </c>
      <c r="J630" s="21"/>
      <c r="K630" s="23">
        <v>30000000</v>
      </c>
      <c r="L630" s="78"/>
      <c r="M630" s="302"/>
    </row>
    <row r="631" spans="1:13" ht="15.75" customHeight="1">
      <c r="A631" s="67"/>
      <c r="B631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31" s="21" t="s">
        <v>328</v>
      </c>
      <c r="D631" s="21" t="s">
        <v>329</v>
      </c>
      <c r="E631" s="274" t="s">
        <v>1482</v>
      </c>
      <c r="F631" s="87" t="s">
        <v>1481</v>
      </c>
      <c r="G631" s="21" t="s">
        <v>362</v>
      </c>
      <c r="H631" s="22">
        <f t="shared" si="41"/>
        <v>10</v>
      </c>
      <c r="I631" s="21">
        <v>1401</v>
      </c>
      <c r="J631" s="21"/>
      <c r="K631" s="23">
        <v>30000000</v>
      </c>
      <c r="L631" s="78"/>
      <c r="M631" s="302"/>
    </row>
    <row r="632" spans="1:13" ht="15.75" customHeight="1">
      <c r="A632" s="67"/>
      <c r="B632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32" s="21" t="s">
        <v>328</v>
      </c>
      <c r="D632" s="21" t="s">
        <v>329</v>
      </c>
      <c r="E632" s="274" t="s">
        <v>1482</v>
      </c>
      <c r="F632" s="87" t="s">
        <v>1481</v>
      </c>
      <c r="G632" s="21" t="s">
        <v>357</v>
      </c>
      <c r="H632" s="22">
        <f t="shared" si="41"/>
        <v>9</v>
      </c>
      <c r="I632" s="21">
        <v>1401</v>
      </c>
      <c r="J632" s="21"/>
      <c r="K632" s="23">
        <v>30000000</v>
      </c>
      <c r="L632" s="78"/>
      <c r="M632" s="302"/>
    </row>
    <row r="633" spans="1:13" ht="15.75" customHeight="1">
      <c r="A633" s="67"/>
      <c r="B633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33" s="21" t="s">
        <v>328</v>
      </c>
      <c r="D633" s="21" t="s">
        <v>329</v>
      </c>
      <c r="E633" s="274" t="s">
        <v>1482</v>
      </c>
      <c r="F633" s="87" t="s">
        <v>1481</v>
      </c>
      <c r="G633" s="21" t="s">
        <v>354</v>
      </c>
      <c r="H633" s="22">
        <f t="shared" si="41"/>
        <v>8</v>
      </c>
      <c r="I633" s="21">
        <v>1401</v>
      </c>
      <c r="J633" s="21"/>
      <c r="K633" s="23">
        <v>30000000</v>
      </c>
      <c r="L633" s="78"/>
      <c r="M633" s="302"/>
    </row>
    <row r="634" spans="1:13" ht="15.75" customHeight="1">
      <c r="A634" s="67"/>
      <c r="B634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34" s="21" t="s">
        <v>328</v>
      </c>
      <c r="D634" s="21" t="s">
        <v>329</v>
      </c>
      <c r="E634" s="274" t="s">
        <v>1482</v>
      </c>
      <c r="F634" s="87" t="s">
        <v>1481</v>
      </c>
      <c r="G634" s="21" t="s">
        <v>351</v>
      </c>
      <c r="H634" s="22">
        <f t="shared" si="41"/>
        <v>7</v>
      </c>
      <c r="I634" s="21">
        <v>1401</v>
      </c>
      <c r="J634" s="21"/>
      <c r="K634" s="23">
        <v>30000000</v>
      </c>
      <c r="L634" s="78"/>
      <c r="M634" s="302"/>
    </row>
    <row r="635" spans="1:13" ht="15.75" customHeight="1">
      <c r="A635" s="67"/>
      <c r="B635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35" s="21" t="s">
        <v>328</v>
      </c>
      <c r="D635" s="21" t="s">
        <v>329</v>
      </c>
      <c r="E635" s="274" t="s">
        <v>1482</v>
      </c>
      <c r="F635" s="87" t="s">
        <v>1481</v>
      </c>
      <c r="G635" s="21" t="s">
        <v>348</v>
      </c>
      <c r="H635" s="22">
        <f t="shared" si="41"/>
        <v>6</v>
      </c>
      <c r="I635" s="21">
        <v>1401</v>
      </c>
      <c r="J635" s="21"/>
      <c r="K635" s="23">
        <v>30000000</v>
      </c>
      <c r="L635" s="78"/>
      <c r="M635" s="302"/>
    </row>
    <row r="636" spans="1:13" ht="15.75" customHeight="1">
      <c r="A636" s="67"/>
      <c r="B636" s="17">
        <f>SUMIFS('لیست واریزی کل خیرین'!B:B,'لیست واریزی کل خیرین'!D:D,Table1[[#This Row],[نام]],'لیست واریزی کل خیرین'!E:E,Table1[[#This Row],[نام خانوادگی]])</f>
        <v>3</v>
      </c>
      <c r="C636" s="21" t="s">
        <v>328</v>
      </c>
      <c r="D636" s="21" t="s">
        <v>329</v>
      </c>
      <c r="E636" s="274" t="s">
        <v>1482</v>
      </c>
      <c r="F636" s="87" t="s">
        <v>1481</v>
      </c>
      <c r="G636" s="21" t="s">
        <v>354</v>
      </c>
      <c r="H636" s="22">
        <v>8</v>
      </c>
      <c r="I636" s="21">
        <v>1402</v>
      </c>
      <c r="J636" s="21"/>
      <c r="K636" s="23">
        <v>580000000</v>
      </c>
      <c r="L636" s="78"/>
      <c r="M636" s="302"/>
    </row>
    <row r="637" spans="1:13" ht="15.75" customHeight="1">
      <c r="A637" s="67"/>
      <c r="B637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637" s="199" t="s">
        <v>355</v>
      </c>
      <c r="D637" s="199" t="s">
        <v>356</v>
      </c>
      <c r="E637" s="274" t="s">
        <v>1483</v>
      </c>
      <c r="F637" s="87" t="s">
        <v>464</v>
      </c>
      <c r="G637" s="74" t="s">
        <v>351</v>
      </c>
      <c r="H637" s="75">
        <f t="shared" si="40"/>
        <v>7</v>
      </c>
      <c r="I637" s="74">
        <v>1402</v>
      </c>
      <c r="J637" s="74"/>
      <c r="K637" s="76">
        <v>20000000</v>
      </c>
      <c r="L637" s="209"/>
    </row>
    <row r="638" spans="1:13" ht="27" customHeight="1">
      <c r="A638" s="67"/>
      <c r="B638" s="73">
        <f>SUMIFS('لیست واریزی کل خیرین'!B:B,'لیست واریزی کل خیرین'!D:D,Table1[[#This Row],[نام]],'لیست واریزی کل خیرین'!E:E,Table1[[#This Row],[نام خانوادگی]])</f>
        <v>16</v>
      </c>
      <c r="C638" s="21" t="s">
        <v>366</v>
      </c>
      <c r="D638" s="21" t="s">
        <v>374</v>
      </c>
      <c r="E638" s="274" t="s">
        <v>1484</v>
      </c>
      <c r="F638" s="87" t="s">
        <v>1485</v>
      </c>
      <c r="G638" s="74" t="s">
        <v>343</v>
      </c>
      <c r="H638" s="75">
        <f t="shared" si="40"/>
        <v>4</v>
      </c>
      <c r="I638" s="74">
        <v>1402</v>
      </c>
      <c r="J638" s="74"/>
      <c r="K638" s="76">
        <v>2000000</v>
      </c>
      <c r="L638" s="271" t="s">
        <v>1488</v>
      </c>
    </row>
    <row r="639" spans="1:13" ht="26.25" customHeight="1">
      <c r="A639" s="67"/>
      <c r="B639" s="73">
        <f>SUMIFS('لیست واریزی کل خیرین'!B:B,'لیست واریزی کل خیرین'!D:D,Table1[[#This Row],[نام]],'لیست واریزی کل خیرین'!E:E,Table1[[#This Row],[نام خانوادگی]])</f>
        <v>16</v>
      </c>
      <c r="C639" s="21" t="s">
        <v>366</v>
      </c>
      <c r="D639" s="21" t="s">
        <v>374</v>
      </c>
      <c r="E639" s="274" t="s">
        <v>1484</v>
      </c>
      <c r="F639" s="87" t="s">
        <v>1485</v>
      </c>
      <c r="G639" s="74" t="s">
        <v>346</v>
      </c>
      <c r="H639" s="75">
        <f>IF(G639="","",VLOOKUP(G639,mah,2,0))</f>
        <v>5</v>
      </c>
      <c r="I639" s="74">
        <v>1402</v>
      </c>
      <c r="J639" s="74"/>
      <c r="K639" s="76">
        <v>3000000</v>
      </c>
      <c r="L639" s="271" t="s">
        <v>1488</v>
      </c>
    </row>
    <row r="640" spans="1:13" ht="28.5" customHeight="1">
      <c r="A640" s="67"/>
      <c r="B640" s="73">
        <f>SUMIFS('لیست واریزی کل خیرین'!B:B,'لیست واریزی کل خیرین'!D:D,Table1[[#This Row],[نام]],'لیست واریزی کل خیرین'!E:E,Table1[[#This Row],[نام خانوادگی]])</f>
        <v>16</v>
      </c>
      <c r="C640" s="21" t="s">
        <v>366</v>
      </c>
      <c r="D640" s="21" t="s">
        <v>374</v>
      </c>
      <c r="E640" s="274" t="s">
        <v>1484</v>
      </c>
      <c r="F640" s="87" t="s">
        <v>1485</v>
      </c>
      <c r="G640" s="74" t="s">
        <v>348</v>
      </c>
      <c r="H640" s="75">
        <f>IF(G640="","",VLOOKUP(G640,mah,2,0))</f>
        <v>6</v>
      </c>
      <c r="I640" s="74">
        <v>1402</v>
      </c>
      <c r="J640" s="74"/>
      <c r="K640" s="76">
        <v>3000000</v>
      </c>
      <c r="L640" s="271" t="s">
        <v>1488</v>
      </c>
    </row>
    <row r="641" spans="1:12" ht="33.75" customHeight="1">
      <c r="A641" s="67"/>
      <c r="B641" s="73">
        <f>SUMIFS('لیست واریزی کل خیرین'!B:B,'لیست واریزی کل خیرین'!D:D,Table1[[#This Row],[نام]],'لیست واریزی کل خیرین'!E:E,Table1[[#This Row],[نام خانوادگی]])</f>
        <v>16</v>
      </c>
      <c r="C641" s="21" t="s">
        <v>366</v>
      </c>
      <c r="D641" s="21" t="s">
        <v>374</v>
      </c>
      <c r="E641" s="274" t="s">
        <v>1484</v>
      </c>
      <c r="F641" s="87" t="s">
        <v>1485</v>
      </c>
      <c r="G641" s="74" t="s">
        <v>351</v>
      </c>
      <c r="H641" s="75">
        <f>IF(G641="","",VLOOKUP(G641,mah,2,0))</f>
        <v>7</v>
      </c>
      <c r="I641" s="74">
        <v>1402</v>
      </c>
      <c r="J641" s="74"/>
      <c r="K641" s="76">
        <v>2000000</v>
      </c>
      <c r="L641" s="271" t="s">
        <v>1488</v>
      </c>
    </row>
    <row r="642" spans="1:12" ht="15.75" customHeight="1">
      <c r="A642" s="67"/>
      <c r="B642" s="73">
        <f>SUMIFS('لیست واریزی کل خیرین'!B:B,'لیست واریزی کل خیرین'!D:D,Table1[[#This Row],[نام]],'لیست واریزی کل خیرین'!E:E,Table1[[#This Row],[نام خانوادگی]])</f>
        <v>62</v>
      </c>
      <c r="C642" s="21" t="s">
        <v>616</v>
      </c>
      <c r="D642" s="21" t="s">
        <v>574</v>
      </c>
      <c r="E642" s="274" t="s">
        <v>1484</v>
      </c>
      <c r="F642" s="87" t="s">
        <v>1379</v>
      </c>
      <c r="G642" s="74" t="s">
        <v>351</v>
      </c>
      <c r="H642" s="75">
        <f t="shared" si="40"/>
        <v>7</v>
      </c>
      <c r="I642" s="74">
        <v>1402</v>
      </c>
      <c r="J642" s="74"/>
      <c r="K642" s="76">
        <v>10000000</v>
      </c>
      <c r="L642" s="209"/>
    </row>
    <row r="643" spans="1:12" ht="15.75" customHeight="1">
      <c r="A643" s="67"/>
      <c r="B643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643" s="199" t="s">
        <v>358</v>
      </c>
      <c r="D643" s="199" t="s">
        <v>359</v>
      </c>
      <c r="E643" s="274" t="s">
        <v>1486</v>
      </c>
      <c r="F643" s="87" t="s">
        <v>637</v>
      </c>
      <c r="G643" s="74" t="s">
        <v>351</v>
      </c>
      <c r="H643" s="75">
        <f t="shared" si="40"/>
        <v>7</v>
      </c>
      <c r="I643" s="74">
        <v>1402</v>
      </c>
      <c r="J643" s="74"/>
      <c r="K643" s="76">
        <v>100000000</v>
      </c>
      <c r="L643" s="209"/>
    </row>
    <row r="644" spans="1:12" ht="15.75" customHeight="1">
      <c r="A644" s="67"/>
      <c r="B644" s="73">
        <f>SUMIFS('لیست واریزی کل خیرین'!B:B,'لیست واریزی کل خیرین'!D:D,Table1[[#This Row],[نام]],'لیست واریزی کل خیرین'!E:E,Table1[[#This Row],[نام خانوادگی]])</f>
        <v>103</v>
      </c>
      <c r="C644" s="199" t="s">
        <v>1344</v>
      </c>
      <c r="D644" s="199" t="s">
        <v>1345</v>
      </c>
      <c r="E644" s="274" t="s">
        <v>1487</v>
      </c>
      <c r="F644" s="87" t="s">
        <v>1346</v>
      </c>
      <c r="G644" s="74" t="s">
        <v>351</v>
      </c>
      <c r="H644" s="75">
        <f t="shared" si="40"/>
        <v>7</v>
      </c>
      <c r="I644" s="74">
        <v>1402</v>
      </c>
      <c r="J644" s="74"/>
      <c r="K644" s="76">
        <v>5000000</v>
      </c>
      <c r="L644" s="209"/>
    </row>
    <row r="645" spans="1:12" ht="15.75" customHeight="1">
      <c r="A645" s="67"/>
      <c r="B645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645" s="199" t="s">
        <v>344</v>
      </c>
      <c r="D645" s="199" t="s">
        <v>345</v>
      </c>
      <c r="E645" s="274" t="s">
        <v>1556</v>
      </c>
      <c r="F645" s="87" t="s">
        <v>669</v>
      </c>
      <c r="G645" s="74" t="s">
        <v>351</v>
      </c>
      <c r="H645" s="75">
        <f t="shared" ref="H645:H649" si="42">IF(G645="","",VLOOKUP(G645,mah,2,0))</f>
        <v>7</v>
      </c>
      <c r="I645" s="74">
        <v>1402</v>
      </c>
      <c r="J645" s="74"/>
      <c r="K645" s="76">
        <v>5000000</v>
      </c>
      <c r="L645" s="209" t="s">
        <v>1654</v>
      </c>
    </row>
    <row r="646" spans="1:12" ht="15.75" customHeight="1">
      <c r="A646" s="67"/>
      <c r="B646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646" s="199" t="s">
        <v>344</v>
      </c>
      <c r="D646" s="199" t="s">
        <v>345</v>
      </c>
      <c r="E646" s="274" t="s">
        <v>1556</v>
      </c>
      <c r="F646" s="87" t="s">
        <v>669</v>
      </c>
      <c r="G646" s="74" t="s">
        <v>354</v>
      </c>
      <c r="H646" s="75">
        <f>IF(G646="","",VLOOKUP(G646,mah,2,0))</f>
        <v>8</v>
      </c>
      <c r="I646" s="74">
        <v>1402</v>
      </c>
      <c r="J646" s="74"/>
      <c r="K646" s="76">
        <v>5000000</v>
      </c>
      <c r="L646" s="209" t="s">
        <v>1654</v>
      </c>
    </row>
    <row r="647" spans="1:12" ht="15.75" customHeight="1">
      <c r="A647" s="67"/>
      <c r="B647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647" s="199" t="s">
        <v>344</v>
      </c>
      <c r="D647" s="199" t="s">
        <v>345</v>
      </c>
      <c r="E647" s="274" t="s">
        <v>1556</v>
      </c>
      <c r="F647" s="87" t="s">
        <v>669</v>
      </c>
      <c r="G647" s="74" t="s">
        <v>357</v>
      </c>
      <c r="H647" s="75">
        <f>IF(G647="","",VLOOKUP(G647,mah,2,0))</f>
        <v>9</v>
      </c>
      <c r="I647" s="74">
        <v>1402</v>
      </c>
      <c r="J647" s="74"/>
      <c r="K647" s="76">
        <v>5000000</v>
      </c>
      <c r="L647" s="209" t="s">
        <v>1654</v>
      </c>
    </row>
    <row r="648" spans="1:12" ht="15.75" customHeight="1">
      <c r="A648" s="67"/>
      <c r="B648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648" s="21" t="s">
        <v>349</v>
      </c>
      <c r="D648" s="21" t="s">
        <v>350</v>
      </c>
      <c r="E648" s="274" t="s">
        <v>1556</v>
      </c>
      <c r="F648" s="87" t="s">
        <v>683</v>
      </c>
      <c r="G648" s="74" t="s">
        <v>351</v>
      </c>
      <c r="H648" s="75">
        <f t="shared" si="42"/>
        <v>7</v>
      </c>
      <c r="I648" s="74">
        <v>1402</v>
      </c>
      <c r="J648" s="74"/>
      <c r="K648" s="76">
        <v>50000000</v>
      </c>
      <c r="L648" s="209"/>
    </row>
    <row r="649" spans="1:12" ht="15.75" customHeight="1">
      <c r="A649" s="67"/>
      <c r="B649" s="73">
        <f>SUMIFS('لیست واریزی کل خیرین'!B:B,'لیست واریزی کل خیرین'!D:D,Table1[[#This Row],[نام]],'لیست واریزی کل خیرین'!E:E,Table1[[#This Row],[نام خانوادگی]])</f>
        <v>35</v>
      </c>
      <c r="C649" s="21" t="s">
        <v>465</v>
      </c>
      <c r="D649" s="21" t="s">
        <v>466</v>
      </c>
      <c r="E649" s="274" t="s">
        <v>1556</v>
      </c>
      <c r="F649" s="87" t="s">
        <v>467</v>
      </c>
      <c r="G649" s="74" t="s">
        <v>351</v>
      </c>
      <c r="H649" s="75">
        <f t="shared" si="42"/>
        <v>7</v>
      </c>
      <c r="I649" s="74">
        <v>1402</v>
      </c>
      <c r="J649" s="74"/>
      <c r="K649" s="76">
        <v>4000000</v>
      </c>
      <c r="L649" s="209"/>
    </row>
    <row r="650" spans="1:12" ht="15.75" customHeight="1">
      <c r="A650" s="67"/>
      <c r="B650" s="73">
        <f>SUMIFS('لیست واریزی کل خیرین'!B:B,'لیست واریزی کل خیرین'!D:D,Table1[[#This Row],[نام]],'لیست واریزی کل خیرین'!E:E,Table1[[#This Row],[نام خانوادگی]])</f>
        <v>61</v>
      </c>
      <c r="C650" s="199" t="s">
        <v>571</v>
      </c>
      <c r="D650" s="199" t="s">
        <v>572</v>
      </c>
      <c r="E650" s="274" t="s">
        <v>1556</v>
      </c>
      <c r="F650" s="87" t="s">
        <v>573</v>
      </c>
      <c r="G650" s="74" t="s">
        <v>351</v>
      </c>
      <c r="H650" s="75">
        <f t="shared" ref="H650:H683" si="43">IF(G650="","",VLOOKUP(G650,mah,2,0))</f>
        <v>7</v>
      </c>
      <c r="I650" s="74">
        <v>1402</v>
      </c>
      <c r="J650" s="74"/>
      <c r="K650" s="76">
        <v>5000000</v>
      </c>
      <c r="L650" s="209"/>
    </row>
    <row r="651" spans="1:12" ht="15.75" customHeight="1">
      <c r="A651" s="67"/>
      <c r="B651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651" s="21" t="s">
        <v>366</v>
      </c>
      <c r="D651" s="21" t="s">
        <v>382</v>
      </c>
      <c r="E651" s="274" t="s">
        <v>1557</v>
      </c>
      <c r="F651" s="87" t="s">
        <v>536</v>
      </c>
      <c r="G651" s="74" t="s">
        <v>351</v>
      </c>
      <c r="H651" s="75">
        <f t="shared" si="43"/>
        <v>7</v>
      </c>
      <c r="I651" s="74">
        <v>1402</v>
      </c>
      <c r="J651" s="74"/>
      <c r="K651" s="76">
        <v>20000000</v>
      </c>
      <c r="L651" s="209"/>
    </row>
    <row r="652" spans="1:12" ht="15.75" customHeight="1">
      <c r="A652" s="67"/>
      <c r="B652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652" s="199" t="s">
        <v>71</v>
      </c>
      <c r="D652" s="199" t="s">
        <v>371</v>
      </c>
      <c r="E652" s="274" t="s">
        <v>1557</v>
      </c>
      <c r="F652" s="87" t="s">
        <v>470</v>
      </c>
      <c r="G652" s="74" t="s">
        <v>351</v>
      </c>
      <c r="H652" s="75">
        <f t="shared" si="43"/>
        <v>7</v>
      </c>
      <c r="I652" s="74">
        <v>1402</v>
      </c>
      <c r="J652" s="74"/>
      <c r="K652" s="76">
        <v>10000000</v>
      </c>
      <c r="L652" s="209"/>
    </row>
    <row r="653" spans="1:12" ht="15.75" customHeight="1">
      <c r="A653" s="67"/>
      <c r="B653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653" s="199" t="s">
        <v>340</v>
      </c>
      <c r="D653" s="199" t="s">
        <v>341</v>
      </c>
      <c r="E653" s="274" t="s">
        <v>1558</v>
      </c>
      <c r="F653" s="87" t="s">
        <v>1093</v>
      </c>
      <c r="G653" s="74" t="s">
        <v>354</v>
      </c>
      <c r="H653" s="75">
        <f t="shared" si="43"/>
        <v>8</v>
      </c>
      <c r="I653" s="74">
        <v>1402</v>
      </c>
      <c r="J653" s="74"/>
      <c r="K653" s="76">
        <v>2000000</v>
      </c>
      <c r="L653" s="209"/>
    </row>
    <row r="654" spans="1:12" ht="15.75" customHeight="1">
      <c r="A654" s="67"/>
      <c r="B654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654" s="199"/>
      <c r="D654" s="199"/>
      <c r="E654" s="274" t="s">
        <v>1559</v>
      </c>
      <c r="F654" s="87" t="s">
        <v>637</v>
      </c>
      <c r="G654" s="74" t="s">
        <v>354</v>
      </c>
      <c r="H654" s="75">
        <f t="shared" si="43"/>
        <v>8</v>
      </c>
      <c r="I654" s="74">
        <v>1402</v>
      </c>
      <c r="J654" s="74"/>
      <c r="K654" s="76">
        <v>50000000</v>
      </c>
      <c r="L654" s="209"/>
    </row>
    <row r="655" spans="1:12" ht="15.75" customHeight="1">
      <c r="A655" s="67"/>
      <c r="B655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655" s="199"/>
      <c r="D655" s="199"/>
      <c r="E655" s="274" t="s">
        <v>1560</v>
      </c>
      <c r="F655" s="87" t="s">
        <v>1561</v>
      </c>
      <c r="G655" s="74" t="s">
        <v>354</v>
      </c>
      <c r="H655" s="75">
        <f t="shared" si="43"/>
        <v>8</v>
      </c>
      <c r="I655" s="74">
        <v>1402</v>
      </c>
      <c r="J655" s="74"/>
      <c r="K655" s="76">
        <v>10000000</v>
      </c>
      <c r="L655" s="209"/>
    </row>
    <row r="656" spans="1:12" ht="15.75" customHeight="1">
      <c r="A656" s="67"/>
      <c r="B656" s="73">
        <f>SUMIFS('لیست واریزی کل خیرین'!B:B,'لیست واریزی کل خیرین'!D:D,Table1[[#This Row],[نام]],'لیست واریزی کل خیرین'!E:E,Table1[[#This Row],[نام خانوادگی]])</f>
        <v>63</v>
      </c>
      <c r="C656" s="199" t="s">
        <v>391</v>
      </c>
      <c r="D656" s="199" t="s">
        <v>392</v>
      </c>
      <c r="E656" s="274" t="s">
        <v>1562</v>
      </c>
      <c r="F656" s="87" t="s">
        <v>1563</v>
      </c>
      <c r="G656" s="74" t="s">
        <v>354</v>
      </c>
      <c r="H656" s="75">
        <f t="shared" si="43"/>
        <v>8</v>
      </c>
      <c r="I656" s="74">
        <v>1402</v>
      </c>
      <c r="J656" s="74"/>
      <c r="K656" s="76">
        <v>12201354</v>
      </c>
      <c r="L656" s="209"/>
    </row>
    <row r="657" spans="1:12" ht="15.75" customHeight="1">
      <c r="A657" s="67"/>
      <c r="B657" s="73">
        <f>SUMIFS('لیست واریزی کل خیرین'!B:B,'لیست واریزی کل خیرین'!D:D,Table1[[#This Row],[نام]],'لیست واریزی کل خیرین'!E:E,Table1[[#This Row],[نام خانوادگی]])</f>
        <v>40</v>
      </c>
      <c r="C657" s="21" t="s">
        <v>363</v>
      </c>
      <c r="D657" s="21" t="s">
        <v>402</v>
      </c>
      <c r="E657" s="274" t="s">
        <v>1562</v>
      </c>
      <c r="F657" s="87" t="s">
        <v>438</v>
      </c>
      <c r="G657" s="74" t="s">
        <v>354</v>
      </c>
      <c r="H657" s="75">
        <f t="shared" si="43"/>
        <v>8</v>
      </c>
      <c r="I657" s="74">
        <v>1402</v>
      </c>
      <c r="J657" s="74"/>
      <c r="K657" s="76">
        <v>50000000</v>
      </c>
      <c r="L657" s="209"/>
    </row>
    <row r="658" spans="1:12" ht="15.75" customHeight="1">
      <c r="A658" s="67"/>
      <c r="B658" s="73">
        <f>SUMIFS('لیست واریزی کل خیرین'!B:B,'لیست واریزی کل خیرین'!D:D,Table1[[#This Row],[نام]],'لیست واریزی کل خیرین'!E:E,Table1[[#This Row],[نام خانوادگی]])</f>
        <v>24</v>
      </c>
      <c r="C658" s="21" t="s">
        <v>398</v>
      </c>
      <c r="D658" s="21" t="s">
        <v>399</v>
      </c>
      <c r="E658" s="274" t="s">
        <v>1564</v>
      </c>
      <c r="F658" s="87" t="s">
        <v>558</v>
      </c>
      <c r="G658" s="74" t="s">
        <v>354</v>
      </c>
      <c r="H658" s="75">
        <f t="shared" si="43"/>
        <v>8</v>
      </c>
      <c r="I658" s="74">
        <v>1402</v>
      </c>
      <c r="J658" s="74"/>
      <c r="K658" s="76">
        <v>5000000</v>
      </c>
      <c r="L658" s="209"/>
    </row>
    <row r="659" spans="1:12" ht="15.75" customHeight="1">
      <c r="A659" s="67"/>
      <c r="B659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659" s="199" t="s">
        <v>358</v>
      </c>
      <c r="D659" s="199" t="s">
        <v>359</v>
      </c>
      <c r="E659" s="274" t="s">
        <v>1564</v>
      </c>
      <c r="F659" s="87" t="s">
        <v>637</v>
      </c>
      <c r="G659" s="74" t="s">
        <v>354</v>
      </c>
      <c r="H659" s="75">
        <f t="shared" si="43"/>
        <v>8</v>
      </c>
      <c r="I659" s="74">
        <v>1402</v>
      </c>
      <c r="J659" s="74"/>
      <c r="K659" s="76">
        <v>200000000</v>
      </c>
      <c r="L659" s="209"/>
    </row>
    <row r="660" spans="1:12" ht="15.75" customHeight="1">
      <c r="A660" s="67"/>
      <c r="B660" s="73">
        <f>SUMIFS('لیست واریزی کل خیرین'!B:B,'لیست واریزی کل خیرین'!D:D,Table1[[#This Row],[نام]],'لیست واریزی کل خیرین'!E:E,Table1[[#This Row],[نام خانوادگی]])</f>
        <v>11</v>
      </c>
      <c r="C660" s="21" t="s">
        <v>363</v>
      </c>
      <c r="D660" s="21" t="s">
        <v>364</v>
      </c>
      <c r="E660" s="274" t="s">
        <v>1565</v>
      </c>
      <c r="F660" s="87" t="s">
        <v>442</v>
      </c>
      <c r="G660" s="74" t="s">
        <v>354</v>
      </c>
      <c r="H660" s="75">
        <f t="shared" si="43"/>
        <v>8</v>
      </c>
      <c r="I660" s="74">
        <v>1402</v>
      </c>
      <c r="J660" s="74"/>
      <c r="K660" s="76">
        <v>50000000</v>
      </c>
      <c r="L660" s="209"/>
    </row>
    <row r="661" spans="1:12" ht="15.75" customHeight="1">
      <c r="A661" s="67"/>
      <c r="B661" s="73">
        <f>SUMIFS('لیست واریزی کل خیرین'!B:B,'لیست واریزی کل خیرین'!D:D,Table1[[#This Row],[نام]],'لیست واریزی کل خیرین'!E:E,Table1[[#This Row],[نام خانوادگی]])</f>
        <v>69</v>
      </c>
      <c r="C661" s="21" t="s">
        <v>612</v>
      </c>
      <c r="D661" s="21" t="s">
        <v>613</v>
      </c>
      <c r="E661" s="274" t="s">
        <v>1566</v>
      </c>
      <c r="F661" s="87" t="s">
        <v>1567</v>
      </c>
      <c r="G661" s="74" t="s">
        <v>354</v>
      </c>
      <c r="H661" s="75">
        <f t="shared" si="43"/>
        <v>8</v>
      </c>
      <c r="I661" s="74">
        <v>1402</v>
      </c>
      <c r="J661" s="74"/>
      <c r="K661" s="76">
        <v>5000000</v>
      </c>
      <c r="L661" s="209"/>
    </row>
    <row r="662" spans="1:12" ht="15.75" customHeight="1">
      <c r="A662" s="67"/>
      <c r="B662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662" s="21" t="s">
        <v>349</v>
      </c>
      <c r="D662" s="21" t="s">
        <v>350</v>
      </c>
      <c r="E662" s="274" t="s">
        <v>1568</v>
      </c>
      <c r="F662" s="87" t="s">
        <v>448</v>
      </c>
      <c r="G662" s="74" t="s">
        <v>354</v>
      </c>
      <c r="H662" s="75">
        <f t="shared" si="43"/>
        <v>8</v>
      </c>
      <c r="I662" s="74">
        <v>1402</v>
      </c>
      <c r="J662" s="74"/>
      <c r="K662" s="76">
        <v>20000000</v>
      </c>
      <c r="L662" s="209"/>
    </row>
    <row r="663" spans="1:12" ht="15.75" customHeight="1">
      <c r="A663" s="67"/>
      <c r="B663" s="73">
        <f>SUMIFS('لیست واریزی کل خیرین'!B:B,'لیست واریزی کل خیرین'!D:D,Table1[[#This Row],[نام]],'لیست واریزی کل خیرین'!E:E,Table1[[#This Row],[نام خانوادگی]])</f>
        <v>19</v>
      </c>
      <c r="C663" s="21" t="s">
        <v>363</v>
      </c>
      <c r="D663" s="21" t="s">
        <v>380</v>
      </c>
      <c r="E663" s="274" t="s">
        <v>1569</v>
      </c>
      <c r="F663" s="87" t="s">
        <v>637</v>
      </c>
      <c r="G663" s="74" t="s">
        <v>354</v>
      </c>
      <c r="H663" s="75">
        <f t="shared" si="43"/>
        <v>8</v>
      </c>
      <c r="I663" s="74">
        <v>1402</v>
      </c>
      <c r="J663" s="74"/>
      <c r="K663" s="76">
        <v>50000000</v>
      </c>
      <c r="L663" s="209"/>
    </row>
    <row r="664" spans="1:12" ht="15.75" customHeight="1">
      <c r="A664" s="67"/>
      <c r="B664" s="73">
        <f>SUMIFS('لیست واریزی کل خیرین'!B:B,'لیست واریزی کل خیرین'!D:D,Table1[[#This Row],[نام]],'لیست واریزی کل خیرین'!E:E,Table1[[#This Row],[نام خانوادگی]])</f>
        <v>121</v>
      </c>
      <c r="C664" s="199" t="s">
        <v>1474</v>
      </c>
      <c r="D664" s="199" t="s">
        <v>1475</v>
      </c>
      <c r="E664" s="274" t="s">
        <v>1570</v>
      </c>
      <c r="F664" s="87" t="s">
        <v>1477</v>
      </c>
      <c r="G664" s="74" t="s">
        <v>354</v>
      </c>
      <c r="H664" s="75">
        <f t="shared" si="43"/>
        <v>8</v>
      </c>
      <c r="I664" s="74">
        <v>1402</v>
      </c>
      <c r="J664" s="74"/>
      <c r="K664" s="76">
        <v>2000000</v>
      </c>
      <c r="L664" s="209"/>
    </row>
    <row r="665" spans="1:12" ht="15.75" customHeight="1">
      <c r="A665" s="67"/>
      <c r="B665" s="73">
        <f>SUMIFS('لیست واریزی کل خیرین'!B:B,'لیست واریزی کل خیرین'!D:D,Table1[[#This Row],[نام]],'لیست واریزی کل خیرین'!E:E,Table1[[#This Row],[نام خانوادگی]])</f>
        <v>23</v>
      </c>
      <c r="C665" s="21" t="s">
        <v>457</v>
      </c>
      <c r="D665" s="21" t="s">
        <v>390</v>
      </c>
      <c r="E665" s="274" t="s">
        <v>1571</v>
      </c>
      <c r="F665" s="87" t="s">
        <v>1281</v>
      </c>
      <c r="G665" s="74" t="s">
        <v>354</v>
      </c>
      <c r="H665" s="75">
        <f t="shared" si="43"/>
        <v>8</v>
      </c>
      <c r="I665" s="74">
        <v>1402</v>
      </c>
      <c r="J665" s="74"/>
      <c r="K665" s="76">
        <v>50000000</v>
      </c>
      <c r="L665" s="209"/>
    </row>
    <row r="666" spans="1:12" ht="15.75" customHeight="1">
      <c r="A666" s="67"/>
      <c r="B666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666" s="199" t="s">
        <v>355</v>
      </c>
      <c r="D666" s="199" t="s">
        <v>356</v>
      </c>
      <c r="E666" s="274" t="s">
        <v>1572</v>
      </c>
      <c r="F666" s="87" t="s">
        <v>464</v>
      </c>
      <c r="G666" s="74" t="s">
        <v>354</v>
      </c>
      <c r="H666" s="75">
        <f t="shared" si="43"/>
        <v>8</v>
      </c>
      <c r="I666" s="74">
        <v>1402</v>
      </c>
      <c r="J666" s="74"/>
      <c r="K666" s="76">
        <v>20000000</v>
      </c>
      <c r="L666" s="209"/>
    </row>
    <row r="667" spans="1:12" ht="15.75" customHeight="1">
      <c r="A667" s="67"/>
      <c r="B667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667" s="21" t="s">
        <v>412</v>
      </c>
      <c r="D667" s="21" t="s">
        <v>413</v>
      </c>
      <c r="E667" s="274" t="s">
        <v>1573</v>
      </c>
      <c r="F667" s="87" t="s">
        <v>658</v>
      </c>
      <c r="G667" s="74" t="s">
        <v>354</v>
      </c>
      <c r="H667" s="75">
        <f t="shared" si="43"/>
        <v>8</v>
      </c>
      <c r="I667" s="74">
        <v>1402</v>
      </c>
      <c r="J667" s="74"/>
      <c r="K667" s="76">
        <v>5000000</v>
      </c>
      <c r="L667" s="209" t="s">
        <v>1657</v>
      </c>
    </row>
    <row r="668" spans="1:12" ht="15.75" customHeight="1">
      <c r="A668" s="67"/>
      <c r="B668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668" s="21" t="s">
        <v>412</v>
      </c>
      <c r="D668" s="21" t="s">
        <v>413</v>
      </c>
      <c r="E668" s="274" t="s">
        <v>1573</v>
      </c>
      <c r="F668" s="87" t="s">
        <v>658</v>
      </c>
      <c r="G668" s="74" t="s">
        <v>348</v>
      </c>
      <c r="H668" s="75">
        <f>IF(G668="","",VLOOKUP(G668,mah,2,0))</f>
        <v>6</v>
      </c>
      <c r="I668" s="74">
        <v>1402</v>
      </c>
      <c r="J668" s="74"/>
      <c r="K668" s="76">
        <v>5000000</v>
      </c>
      <c r="L668" s="209" t="s">
        <v>1657</v>
      </c>
    </row>
    <row r="669" spans="1:12" ht="15.75" customHeight="1">
      <c r="A669" s="67"/>
      <c r="B669" s="73">
        <f>SUMIFS('لیست واریزی کل خیرین'!B:B,'لیست واریزی کل خیرین'!D:D,Table1[[#This Row],[نام]],'لیست واریزی کل خیرین'!E:E,Table1[[#This Row],[نام خانوادگی]])</f>
        <v>27</v>
      </c>
      <c r="C669" s="21" t="s">
        <v>412</v>
      </c>
      <c r="D669" s="21" t="s">
        <v>413</v>
      </c>
      <c r="E669" s="274" t="s">
        <v>1573</v>
      </c>
      <c r="F669" s="87" t="s">
        <v>658</v>
      </c>
      <c r="G669" s="74" t="s">
        <v>351</v>
      </c>
      <c r="H669" s="75">
        <f>IF(G669="","",VLOOKUP(G669,mah,2,0))</f>
        <v>7</v>
      </c>
      <c r="I669" s="74">
        <v>1402</v>
      </c>
      <c r="J669" s="74"/>
      <c r="K669" s="76">
        <v>5000000</v>
      </c>
      <c r="L669" s="209" t="s">
        <v>1657</v>
      </c>
    </row>
    <row r="670" spans="1:12" ht="15.75" customHeight="1">
      <c r="A670" s="67"/>
      <c r="B670" s="73">
        <f>SUMIFS('لیست واریزی کل خیرین'!B:B,'لیست واریزی کل خیرین'!D:D,Table1[[#This Row],[نام]],'لیست واریزی کل خیرین'!E:E,Table1[[#This Row],[نام خانوادگی]])</f>
        <v>62</v>
      </c>
      <c r="C670" s="21" t="s">
        <v>616</v>
      </c>
      <c r="D670" s="21" t="s">
        <v>574</v>
      </c>
      <c r="E670" s="274" t="s">
        <v>1574</v>
      </c>
      <c r="F670" s="87" t="s">
        <v>1379</v>
      </c>
      <c r="G670" s="74" t="s">
        <v>354</v>
      </c>
      <c r="H670" s="75">
        <f t="shared" si="43"/>
        <v>8</v>
      </c>
      <c r="I670" s="74">
        <v>1402</v>
      </c>
      <c r="J670" s="74"/>
      <c r="K670" s="76">
        <v>10000000</v>
      </c>
      <c r="L670" s="209"/>
    </row>
    <row r="671" spans="1:12" ht="15.75" customHeight="1">
      <c r="A671" s="67"/>
      <c r="B671" s="73">
        <f>SUMIFS('لیست واریزی کل خیرین'!B:B,'لیست واریزی کل خیرین'!D:D,Table1[[#This Row],[نام]],'لیست واریزی کل خیرین'!E:E,Table1[[#This Row],[نام خانوادگی]])</f>
        <v>75</v>
      </c>
      <c r="C671" s="199" t="s">
        <v>645</v>
      </c>
      <c r="D671" s="199" t="s">
        <v>646</v>
      </c>
      <c r="E671" s="274" t="s">
        <v>1575</v>
      </c>
      <c r="F671" s="87" t="s">
        <v>1404</v>
      </c>
      <c r="G671" s="74" t="s">
        <v>354</v>
      </c>
      <c r="H671" s="75">
        <f t="shared" si="43"/>
        <v>8</v>
      </c>
      <c r="I671" s="74">
        <v>1402</v>
      </c>
      <c r="J671" s="74"/>
      <c r="K671" s="76">
        <v>10000000</v>
      </c>
      <c r="L671" s="209"/>
    </row>
    <row r="672" spans="1:12" ht="15.75" customHeight="1">
      <c r="A672" s="67"/>
      <c r="B672" s="73">
        <f>SUMIFS('لیست واریزی کل خیرین'!B:B,'لیست واریزی کل خیرین'!D:D,Table1[[#This Row],[نام]],'لیست واریزی کل خیرین'!E:E,Table1[[#This Row],[نام خانوادگی]])</f>
        <v>88</v>
      </c>
      <c r="C672" s="199" t="s">
        <v>76</v>
      </c>
      <c r="D672" s="199" t="s">
        <v>1265</v>
      </c>
      <c r="E672" s="274" t="s">
        <v>1576</v>
      </c>
      <c r="F672" s="87" t="s">
        <v>1337</v>
      </c>
      <c r="G672" s="74" t="s">
        <v>354</v>
      </c>
      <c r="H672" s="75">
        <f t="shared" si="43"/>
        <v>8</v>
      </c>
      <c r="I672" s="74">
        <v>1402</v>
      </c>
      <c r="J672" s="74"/>
      <c r="K672" s="76">
        <v>9000000</v>
      </c>
      <c r="L672" s="209"/>
    </row>
    <row r="673" spans="1:12" ht="15.75" customHeight="1">
      <c r="A673" s="67"/>
      <c r="B673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673" s="21" t="s">
        <v>349</v>
      </c>
      <c r="D673" s="21" t="s">
        <v>350</v>
      </c>
      <c r="E673" s="274" t="s">
        <v>1576</v>
      </c>
      <c r="F673" s="87" t="s">
        <v>448</v>
      </c>
      <c r="G673" s="74" t="s">
        <v>354</v>
      </c>
      <c r="H673" s="75">
        <f t="shared" si="43"/>
        <v>8</v>
      </c>
      <c r="I673" s="74">
        <v>1402</v>
      </c>
      <c r="J673" s="74"/>
      <c r="K673" s="76">
        <v>50000000</v>
      </c>
      <c r="L673" s="209"/>
    </row>
    <row r="674" spans="1:12" ht="15.75" customHeight="1">
      <c r="A674" s="67"/>
      <c r="B674" s="73">
        <f>SUMIFS('لیست واریزی کل خیرین'!B:B,'لیست واریزی کل خیرین'!D:D,Table1[[#This Row],[نام]],'لیست واریزی کل خیرین'!E:E,Table1[[#This Row],[نام خانوادگی]])</f>
        <v>35</v>
      </c>
      <c r="C674" s="21" t="s">
        <v>465</v>
      </c>
      <c r="D674" s="21" t="s">
        <v>466</v>
      </c>
      <c r="E674" s="274" t="s">
        <v>1577</v>
      </c>
      <c r="F674" s="87" t="s">
        <v>467</v>
      </c>
      <c r="G674" s="74" t="s">
        <v>354</v>
      </c>
      <c r="H674" s="75">
        <f t="shared" si="43"/>
        <v>8</v>
      </c>
      <c r="I674" s="74">
        <v>1402</v>
      </c>
      <c r="J674" s="74"/>
      <c r="K674" s="76">
        <v>4000000</v>
      </c>
      <c r="L674" s="209"/>
    </row>
    <row r="675" spans="1:12" ht="15.75" customHeight="1">
      <c r="A675" s="67"/>
      <c r="B675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675" s="21" t="s">
        <v>366</v>
      </c>
      <c r="D675" s="21" t="s">
        <v>382</v>
      </c>
      <c r="E675" s="274" t="s">
        <v>1578</v>
      </c>
      <c r="F675" s="87" t="s">
        <v>1579</v>
      </c>
      <c r="G675" s="74" t="s">
        <v>354</v>
      </c>
      <c r="H675" s="75">
        <f t="shared" si="43"/>
        <v>8</v>
      </c>
      <c r="I675" s="74">
        <v>1402</v>
      </c>
      <c r="J675" s="74"/>
      <c r="K675" s="76">
        <v>20000000</v>
      </c>
      <c r="L675" s="209"/>
    </row>
    <row r="676" spans="1:12" ht="15.75" customHeight="1">
      <c r="A676" s="67"/>
      <c r="B676" s="73">
        <f>SUMIFS('لیست واریزی کل خیرین'!B:B,'لیست واریزی کل خیرین'!D:D,Table1[[#This Row],[نام]],'لیست واریزی کل خیرین'!E:E,Table1[[#This Row],[نام خانوادگی]])</f>
        <v>123</v>
      </c>
      <c r="C676" s="216" t="s">
        <v>1581</v>
      </c>
      <c r="D676" s="216" t="s">
        <v>1582</v>
      </c>
      <c r="E676" s="274" t="s">
        <v>1578</v>
      </c>
      <c r="F676" s="87" t="s">
        <v>1580</v>
      </c>
      <c r="G676" s="74" t="s">
        <v>354</v>
      </c>
      <c r="H676" s="75">
        <f t="shared" si="43"/>
        <v>8</v>
      </c>
      <c r="I676" s="74">
        <v>1402</v>
      </c>
      <c r="J676" s="74"/>
      <c r="K676" s="76">
        <v>20000000</v>
      </c>
      <c r="L676" s="209"/>
    </row>
    <row r="677" spans="1:12" ht="15.75" customHeight="1">
      <c r="A677" s="67"/>
      <c r="B677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677" s="199" t="s">
        <v>71</v>
      </c>
      <c r="D677" s="199" t="s">
        <v>371</v>
      </c>
      <c r="E677" s="274" t="s">
        <v>1578</v>
      </c>
      <c r="F677" s="87" t="s">
        <v>570</v>
      </c>
      <c r="G677" s="74" t="s">
        <v>354</v>
      </c>
      <c r="H677" s="75">
        <f t="shared" si="43"/>
        <v>8</v>
      </c>
      <c r="I677" s="74">
        <v>1402</v>
      </c>
      <c r="J677" s="74"/>
      <c r="K677" s="76">
        <v>10000000</v>
      </c>
      <c r="L677" s="209"/>
    </row>
    <row r="678" spans="1:12" ht="15.75" customHeight="1">
      <c r="A678" s="67"/>
      <c r="B678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678" s="199"/>
      <c r="D678" s="199"/>
      <c r="E678" s="274" t="s">
        <v>1583</v>
      </c>
      <c r="F678" s="87" t="s">
        <v>637</v>
      </c>
      <c r="G678" s="74" t="s">
        <v>357</v>
      </c>
      <c r="H678" s="75">
        <f t="shared" si="43"/>
        <v>9</v>
      </c>
      <c r="I678" s="74">
        <v>1402</v>
      </c>
      <c r="J678" s="74"/>
      <c r="K678" s="76">
        <v>200000000</v>
      </c>
      <c r="L678" s="209"/>
    </row>
    <row r="679" spans="1:12" ht="15.75" customHeight="1">
      <c r="A679" s="67"/>
      <c r="B679" s="73">
        <f>SUMIFS('لیست واریزی کل خیرین'!B:B,'لیست واریزی کل خیرین'!D:D,Table1[[#This Row],[نام]],'لیست واریزی کل خیرین'!E:E,Table1[[#This Row],[نام خانوادگی]])</f>
        <v>61</v>
      </c>
      <c r="C679" s="199" t="s">
        <v>571</v>
      </c>
      <c r="D679" s="199" t="s">
        <v>572</v>
      </c>
      <c r="E679" s="274" t="s">
        <v>1583</v>
      </c>
      <c r="F679" s="87" t="s">
        <v>573</v>
      </c>
      <c r="G679" s="74" t="s">
        <v>357</v>
      </c>
      <c r="H679" s="75">
        <f t="shared" si="43"/>
        <v>9</v>
      </c>
      <c r="I679" s="74">
        <v>1402</v>
      </c>
      <c r="J679" s="74"/>
      <c r="K679" s="76">
        <v>5000000</v>
      </c>
      <c r="L679" s="209"/>
    </row>
    <row r="680" spans="1:12" ht="15.75" customHeight="1">
      <c r="A680" s="67"/>
      <c r="B680" s="73">
        <f>SUMIFS('لیست واریزی کل خیرین'!B:B,'لیست واریزی کل خیرین'!D:D,Table1[[#This Row],[نام]],'لیست واریزی کل خیرین'!E:E,Table1[[#This Row],[نام خانوادگی]])</f>
        <v>63</v>
      </c>
      <c r="C680" s="199" t="s">
        <v>391</v>
      </c>
      <c r="D680" s="199" t="s">
        <v>392</v>
      </c>
      <c r="E680" s="274" t="s">
        <v>1584</v>
      </c>
      <c r="F680" s="87" t="s">
        <v>1585</v>
      </c>
      <c r="G680" s="74" t="s">
        <v>357</v>
      </c>
      <c r="H680" s="75">
        <f t="shared" si="43"/>
        <v>9</v>
      </c>
      <c r="I680" s="74">
        <v>1402</v>
      </c>
      <c r="J680" s="74"/>
      <c r="K680" s="76">
        <v>25789018</v>
      </c>
      <c r="L680" s="209"/>
    </row>
    <row r="681" spans="1:12" ht="15.75" customHeight="1">
      <c r="A681" s="67"/>
      <c r="B681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681" s="199" t="s">
        <v>340</v>
      </c>
      <c r="D681" s="199" t="s">
        <v>341</v>
      </c>
      <c r="E681" s="274" t="s">
        <v>1584</v>
      </c>
      <c r="F681" s="87" t="s">
        <v>1229</v>
      </c>
      <c r="G681" s="74" t="s">
        <v>357</v>
      </c>
      <c r="H681" s="75">
        <f t="shared" si="43"/>
        <v>9</v>
      </c>
      <c r="I681" s="74">
        <v>1402</v>
      </c>
      <c r="J681" s="74"/>
      <c r="K681" s="76">
        <v>2000000</v>
      </c>
      <c r="L681" s="209"/>
    </row>
    <row r="682" spans="1:12" ht="15.75" customHeight="1">
      <c r="A682" s="67"/>
      <c r="B682" s="73">
        <f>SUMIFS('لیست واریزی کل خیرین'!B:B,'لیست واریزی کل خیرین'!D:D,Table1[[#This Row],[نام]],'لیست واریزی کل خیرین'!E:E,Table1[[#This Row],[نام خانوادگی]])</f>
        <v>124</v>
      </c>
      <c r="C682" s="216" t="s">
        <v>1587</v>
      </c>
      <c r="D682" s="216" t="s">
        <v>1588</v>
      </c>
      <c r="E682" s="274" t="s">
        <v>1584</v>
      </c>
      <c r="F682" s="87" t="s">
        <v>1589</v>
      </c>
      <c r="G682" s="74" t="s">
        <v>357</v>
      </c>
      <c r="H682" s="75">
        <f t="shared" si="43"/>
        <v>9</v>
      </c>
      <c r="I682" s="74">
        <v>1402</v>
      </c>
      <c r="J682" s="74"/>
      <c r="K682" s="76">
        <v>50000000</v>
      </c>
      <c r="L682" s="209"/>
    </row>
    <row r="683" spans="1:12" ht="15.75" customHeight="1">
      <c r="A683" s="67"/>
      <c r="B683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683" s="199"/>
      <c r="D683" s="199"/>
      <c r="E683" s="274" t="s">
        <v>1586</v>
      </c>
      <c r="F683" s="87" t="s">
        <v>1590</v>
      </c>
      <c r="G683" s="74" t="s">
        <v>357</v>
      </c>
      <c r="H683" s="75">
        <f t="shared" si="43"/>
        <v>9</v>
      </c>
      <c r="I683" s="74">
        <v>1402</v>
      </c>
      <c r="J683" s="74"/>
      <c r="K683" s="76">
        <v>10000000</v>
      </c>
      <c r="L683" s="209"/>
    </row>
    <row r="684" spans="1:12" ht="15.75" customHeight="1">
      <c r="A684" s="67"/>
      <c r="B684" s="73">
        <f>SUMIFS('لیست واریزی کل خیرین'!B:B,'لیست واریزی کل خیرین'!D:D,Table1[[#This Row],[نام]],'لیست واریزی کل خیرین'!E:E,Table1[[#This Row],[نام خانوادگی]])</f>
        <v>103</v>
      </c>
      <c r="C684" s="298" t="s">
        <v>1344</v>
      </c>
      <c r="D684" s="216" t="s">
        <v>1345</v>
      </c>
      <c r="E684" s="274" t="s">
        <v>1591</v>
      </c>
      <c r="F684" s="87" t="s">
        <v>1589</v>
      </c>
      <c r="G684" s="74" t="s">
        <v>357</v>
      </c>
      <c r="H684" s="75">
        <f t="shared" ref="H684:H708" si="44">IF(G684="","",VLOOKUP(G684,mah,2,0))</f>
        <v>9</v>
      </c>
      <c r="I684" s="74">
        <v>1402</v>
      </c>
      <c r="J684" s="74"/>
      <c r="K684" s="76">
        <v>6000000</v>
      </c>
      <c r="L684" s="209"/>
    </row>
    <row r="685" spans="1:12" ht="15.75" customHeight="1">
      <c r="A685" s="67"/>
      <c r="B685" s="73">
        <f>SUMIFS('لیست واریزی کل خیرین'!B:B,'لیست واریزی کل خیرین'!D:D,Table1[[#This Row],[نام]],'لیست واریزی کل خیرین'!E:E,Table1[[#This Row],[نام خانوادگی]])</f>
        <v>11</v>
      </c>
      <c r="C685" s="21" t="s">
        <v>363</v>
      </c>
      <c r="D685" s="21" t="s">
        <v>364</v>
      </c>
      <c r="E685" s="274" t="s">
        <v>1591</v>
      </c>
      <c r="F685" s="87" t="s">
        <v>442</v>
      </c>
      <c r="G685" s="74" t="s">
        <v>357</v>
      </c>
      <c r="H685" s="75">
        <f t="shared" si="44"/>
        <v>9</v>
      </c>
      <c r="I685" s="74">
        <v>1402</v>
      </c>
      <c r="J685" s="74"/>
      <c r="K685" s="76">
        <v>50000000</v>
      </c>
      <c r="L685" s="209"/>
    </row>
    <row r="686" spans="1:12" ht="15.75" customHeight="1">
      <c r="A686" s="67"/>
      <c r="B686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686" s="199" t="s">
        <v>358</v>
      </c>
      <c r="D686" s="199" t="s">
        <v>359</v>
      </c>
      <c r="E686" s="274" t="s">
        <v>1591</v>
      </c>
      <c r="F686" s="87" t="s">
        <v>1589</v>
      </c>
      <c r="G686" s="74" t="s">
        <v>357</v>
      </c>
      <c r="H686" s="75">
        <f t="shared" si="44"/>
        <v>9</v>
      </c>
      <c r="I686" s="74">
        <v>1402</v>
      </c>
      <c r="J686" s="74"/>
      <c r="K686" s="76">
        <v>100000000</v>
      </c>
      <c r="L686" s="209"/>
    </row>
    <row r="687" spans="1:12" ht="15.75" customHeight="1">
      <c r="A687" s="67"/>
      <c r="B687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687" s="199"/>
      <c r="D687" s="199"/>
      <c r="E687" s="274" t="s">
        <v>1592</v>
      </c>
      <c r="F687" s="87" t="s">
        <v>1593</v>
      </c>
      <c r="G687" s="74" t="s">
        <v>357</v>
      </c>
      <c r="H687" s="75">
        <f t="shared" si="44"/>
        <v>9</v>
      </c>
      <c r="I687" s="74">
        <v>1402</v>
      </c>
      <c r="J687" s="74"/>
      <c r="K687" s="76">
        <v>50000000</v>
      </c>
      <c r="L687" s="209"/>
    </row>
    <row r="688" spans="1:12" ht="15.75" customHeight="1">
      <c r="A688" s="67"/>
      <c r="B688" s="73">
        <f>SUMIFS('لیست واریزی کل خیرین'!B:B,'لیست واریزی کل خیرین'!D:D,Table1[[#This Row],[نام]],'لیست واریزی کل خیرین'!E:E,Table1[[#This Row],[نام خانوادگی]])</f>
        <v>19</v>
      </c>
      <c r="C688" s="21" t="s">
        <v>363</v>
      </c>
      <c r="D688" s="21" t="s">
        <v>380</v>
      </c>
      <c r="E688" s="274" t="s">
        <v>1594</v>
      </c>
      <c r="F688" s="87" t="s">
        <v>1589</v>
      </c>
      <c r="G688" s="74" t="s">
        <v>357</v>
      </c>
      <c r="H688" s="75">
        <f t="shared" si="44"/>
        <v>9</v>
      </c>
      <c r="I688" s="74">
        <v>1402</v>
      </c>
      <c r="J688" s="74"/>
      <c r="K688" s="76">
        <v>50000000</v>
      </c>
      <c r="L688" s="209"/>
    </row>
    <row r="689" spans="1:12" ht="15.75" customHeight="1">
      <c r="A689" s="67"/>
      <c r="B689" s="73">
        <f>SUMIFS('لیست واریزی کل خیرین'!B:B,'لیست واریزی کل خیرین'!D:D,Table1[[#This Row],[نام]],'لیست واریزی کل خیرین'!E:E,Table1[[#This Row],[نام خانوادگی]])</f>
        <v>12</v>
      </c>
      <c r="C689" s="21" t="s">
        <v>366</v>
      </c>
      <c r="D689" s="36" t="s">
        <v>367</v>
      </c>
      <c r="E689" s="274" t="s">
        <v>1595</v>
      </c>
      <c r="F689" s="87" t="s">
        <v>664</v>
      </c>
      <c r="G689" s="74" t="s">
        <v>357</v>
      </c>
      <c r="H689" s="75">
        <f t="shared" si="44"/>
        <v>9</v>
      </c>
      <c r="I689" s="74">
        <v>1402</v>
      </c>
      <c r="J689" s="74"/>
      <c r="K689" s="76">
        <v>30000000</v>
      </c>
      <c r="L689" s="209"/>
    </row>
    <row r="690" spans="1:12" ht="15.75" customHeight="1">
      <c r="A690" s="67"/>
      <c r="B690" s="73">
        <f>SUMIFS('لیست واریزی کل خیرین'!B:B,'لیست واریزی کل خیرین'!D:D,Table1[[#This Row],[نام]],'لیست واریزی کل خیرین'!E:E,Table1[[#This Row],[نام خانوادگی]])</f>
        <v>121</v>
      </c>
      <c r="C690" s="299" t="s">
        <v>1474</v>
      </c>
      <c r="D690" s="199" t="s">
        <v>1475</v>
      </c>
      <c r="E690" s="274" t="s">
        <v>1596</v>
      </c>
      <c r="F690" s="87" t="s">
        <v>1477</v>
      </c>
      <c r="G690" s="74" t="s">
        <v>357</v>
      </c>
      <c r="H690" s="75">
        <f t="shared" si="44"/>
        <v>9</v>
      </c>
      <c r="I690" s="74">
        <v>1402</v>
      </c>
      <c r="J690" s="74"/>
      <c r="K690" s="76">
        <v>1000000</v>
      </c>
      <c r="L690" s="209"/>
    </row>
    <row r="691" spans="1:12" ht="15.75" customHeight="1">
      <c r="A691" s="67"/>
      <c r="B691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691" s="199" t="s">
        <v>355</v>
      </c>
      <c r="D691" s="199" t="s">
        <v>356</v>
      </c>
      <c r="E691" s="274" t="s">
        <v>1596</v>
      </c>
      <c r="F691" s="87" t="s">
        <v>464</v>
      </c>
      <c r="G691" s="74" t="s">
        <v>357</v>
      </c>
      <c r="H691" s="75">
        <f t="shared" si="44"/>
        <v>9</v>
      </c>
      <c r="I691" s="74">
        <v>1402</v>
      </c>
      <c r="J691" s="74"/>
      <c r="K691" s="76">
        <v>20000000</v>
      </c>
      <c r="L691" s="209"/>
    </row>
    <row r="692" spans="1:12" ht="15.75" customHeight="1">
      <c r="A692" s="67"/>
      <c r="B692" s="73">
        <f>SUMIFS('لیست واریزی کل خیرین'!B:B,'لیست واریزی کل خیرین'!D:D,Table1[[#This Row],[نام]],'لیست واریزی کل خیرین'!E:E,Table1[[#This Row],[نام خانوادگی]])</f>
        <v>62</v>
      </c>
      <c r="C692" s="21" t="s">
        <v>616</v>
      </c>
      <c r="D692" s="21" t="s">
        <v>574</v>
      </c>
      <c r="E692" s="274" t="s">
        <v>1597</v>
      </c>
      <c r="F692" s="87" t="s">
        <v>1379</v>
      </c>
      <c r="G692" s="74" t="s">
        <v>357</v>
      </c>
      <c r="H692" s="75">
        <f t="shared" si="44"/>
        <v>9</v>
      </c>
      <c r="I692" s="74">
        <v>1402</v>
      </c>
      <c r="J692" s="74"/>
      <c r="K692" s="76">
        <v>10000000</v>
      </c>
      <c r="L692" s="209"/>
    </row>
    <row r="693" spans="1:12" ht="15.75" customHeight="1">
      <c r="A693" s="67"/>
      <c r="B693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693" s="199" t="s">
        <v>358</v>
      </c>
      <c r="D693" s="199" t="s">
        <v>359</v>
      </c>
      <c r="E693" s="274" t="s">
        <v>1598</v>
      </c>
      <c r="F693" s="87" t="s">
        <v>1589</v>
      </c>
      <c r="G693" s="74" t="s">
        <v>357</v>
      </c>
      <c r="H693" s="75">
        <f t="shared" si="44"/>
        <v>9</v>
      </c>
      <c r="I693" s="74">
        <v>1402</v>
      </c>
      <c r="J693" s="74"/>
      <c r="K693" s="76">
        <v>100000000</v>
      </c>
      <c r="L693" s="209"/>
    </row>
    <row r="694" spans="1:12" ht="15.75" customHeight="1">
      <c r="A694" s="67"/>
      <c r="B694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694" s="199" t="s">
        <v>71</v>
      </c>
      <c r="D694" s="199" t="s">
        <v>371</v>
      </c>
      <c r="E694" s="274" t="s">
        <v>1599</v>
      </c>
      <c r="F694" s="87" t="s">
        <v>570</v>
      </c>
      <c r="G694" s="74" t="s">
        <v>357</v>
      </c>
      <c r="H694" s="75">
        <f t="shared" si="44"/>
        <v>9</v>
      </c>
      <c r="I694" s="74">
        <v>1402</v>
      </c>
      <c r="J694" s="74"/>
      <c r="K694" s="76">
        <v>10000000</v>
      </c>
      <c r="L694" s="209"/>
    </row>
    <row r="695" spans="1:12" ht="15.75" customHeight="1">
      <c r="A695" s="67"/>
      <c r="B695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695" s="21" t="s">
        <v>366</v>
      </c>
      <c r="D695" s="21" t="s">
        <v>382</v>
      </c>
      <c r="E695" s="274" t="s">
        <v>1600</v>
      </c>
      <c r="F695" s="87" t="s">
        <v>1601</v>
      </c>
      <c r="G695" s="74" t="s">
        <v>357</v>
      </c>
      <c r="H695" s="75">
        <f t="shared" si="44"/>
        <v>9</v>
      </c>
      <c r="I695" s="74">
        <v>1402</v>
      </c>
      <c r="J695" s="74"/>
      <c r="K695" s="76">
        <v>20000000</v>
      </c>
      <c r="L695" s="209"/>
    </row>
    <row r="696" spans="1:12" ht="15.75" customHeight="1">
      <c r="A696" s="67"/>
      <c r="B696" s="73">
        <f>SUMIFS('لیست واریزی کل خیرین'!B:B,'لیست واریزی کل خیرین'!D:D,Table1[[#This Row],[نام]],'لیست واریزی کل خیرین'!E:E,Table1[[#This Row],[نام خانوادگی]])</f>
        <v>35</v>
      </c>
      <c r="C696" s="21" t="s">
        <v>465</v>
      </c>
      <c r="D696" s="21" t="s">
        <v>466</v>
      </c>
      <c r="E696" s="274" t="s">
        <v>1600</v>
      </c>
      <c r="F696" s="87" t="s">
        <v>467</v>
      </c>
      <c r="G696" s="74" t="s">
        <v>357</v>
      </c>
      <c r="H696" s="75">
        <f t="shared" si="44"/>
        <v>9</v>
      </c>
      <c r="I696" s="74">
        <v>1402</v>
      </c>
      <c r="J696" s="74"/>
      <c r="K696" s="76">
        <v>4000000</v>
      </c>
      <c r="L696" s="209"/>
    </row>
    <row r="697" spans="1:12" ht="15.75" customHeight="1">
      <c r="A697" s="67"/>
      <c r="B697" s="73">
        <f>SUMIFS('لیست واریزی کل خیرین'!B:B,'لیست واریزی کل خیرین'!D:D,Table1[[#This Row],[نام]],'لیست واریزی کل خیرین'!E:E,Table1[[#This Row],[نام خانوادگی]])</f>
        <v>75</v>
      </c>
      <c r="C697" s="199" t="s">
        <v>645</v>
      </c>
      <c r="D697" s="199" t="s">
        <v>646</v>
      </c>
      <c r="E697" s="274" t="s">
        <v>1621</v>
      </c>
      <c r="F697" s="87" t="s">
        <v>1404</v>
      </c>
      <c r="G697" s="74" t="s">
        <v>362</v>
      </c>
      <c r="H697" s="75">
        <f t="shared" si="44"/>
        <v>10</v>
      </c>
      <c r="I697" s="74">
        <v>1402</v>
      </c>
      <c r="J697" s="74"/>
      <c r="K697" s="76">
        <v>5000000</v>
      </c>
      <c r="L697" s="209"/>
    </row>
    <row r="698" spans="1:12" ht="15.75" customHeight="1">
      <c r="A698" s="67"/>
      <c r="B698" s="73">
        <f>SUMIFS('لیست واریزی کل خیرین'!B:B,'لیست واریزی کل خیرین'!D:D,Table1[[#This Row],[نام]],'لیست واریزی کل خیرین'!E:E,Table1[[#This Row],[نام خانوادگی]])</f>
        <v>74</v>
      </c>
      <c r="C698" s="199" t="s">
        <v>640</v>
      </c>
      <c r="D698" s="199" t="s">
        <v>641</v>
      </c>
      <c r="E698" s="274" t="s">
        <v>1621</v>
      </c>
      <c r="F698" s="87" t="s">
        <v>643</v>
      </c>
      <c r="G698" s="74" t="s">
        <v>362</v>
      </c>
      <c r="H698" s="75">
        <f t="shared" si="44"/>
        <v>10</v>
      </c>
      <c r="I698" s="74">
        <v>1402</v>
      </c>
      <c r="J698" s="74"/>
      <c r="K698" s="76">
        <v>5000000</v>
      </c>
      <c r="L698" s="209"/>
    </row>
    <row r="699" spans="1:12" ht="15.75" customHeight="1">
      <c r="A699" s="67"/>
      <c r="B699" s="73">
        <f>SUMIFS('لیست واریزی کل خیرین'!B:B,'لیست واریزی کل خیرین'!D:D,Table1[[#This Row],[نام]],'لیست واریزی کل خیرین'!E:E,Table1[[#This Row],[نام خانوادگی]])</f>
        <v>88</v>
      </c>
      <c r="C699" s="199" t="s">
        <v>76</v>
      </c>
      <c r="D699" s="199" t="s">
        <v>1265</v>
      </c>
      <c r="E699" s="274" t="s">
        <v>1621</v>
      </c>
      <c r="F699" s="87" t="s">
        <v>1337</v>
      </c>
      <c r="G699" s="74" t="s">
        <v>362</v>
      </c>
      <c r="H699" s="75">
        <f t="shared" si="44"/>
        <v>10</v>
      </c>
      <c r="I699" s="74">
        <v>1402</v>
      </c>
      <c r="J699" s="74"/>
      <c r="K699" s="76">
        <v>3000000</v>
      </c>
      <c r="L699" s="209"/>
    </row>
    <row r="700" spans="1:12" ht="15.75" customHeight="1">
      <c r="A700" s="67"/>
      <c r="B700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700" s="21" t="s">
        <v>349</v>
      </c>
      <c r="D700" s="21" t="s">
        <v>350</v>
      </c>
      <c r="E700" s="274" t="s">
        <v>1622</v>
      </c>
      <c r="F700" s="87" t="s">
        <v>683</v>
      </c>
      <c r="G700" s="74" t="s">
        <v>362</v>
      </c>
      <c r="H700" s="75">
        <f t="shared" si="44"/>
        <v>10</v>
      </c>
      <c r="I700" s="74">
        <v>1402</v>
      </c>
      <c r="J700" s="74"/>
      <c r="K700" s="76">
        <v>50000000</v>
      </c>
      <c r="L700" s="209"/>
    </row>
    <row r="701" spans="1:12" ht="15.75" customHeight="1">
      <c r="A701" s="67"/>
      <c r="B701" s="73">
        <f>SUMIFS('لیست واریزی کل خیرین'!B:B,'لیست واریزی کل خیرین'!D:D,Table1[[#This Row],[نام]],'لیست واریزی کل خیرین'!E:E,Table1[[#This Row],[نام خانوادگی]])</f>
        <v>40</v>
      </c>
      <c r="C701" s="21" t="s">
        <v>363</v>
      </c>
      <c r="D701" s="21" t="s">
        <v>402</v>
      </c>
      <c r="E701" s="274" t="s">
        <v>1614</v>
      </c>
      <c r="F701" s="87" t="s">
        <v>637</v>
      </c>
      <c r="G701" s="74" t="s">
        <v>362</v>
      </c>
      <c r="H701" s="75">
        <f t="shared" si="44"/>
        <v>10</v>
      </c>
      <c r="I701" s="74">
        <v>1402</v>
      </c>
      <c r="J701" s="74"/>
      <c r="K701" s="76">
        <v>50000000</v>
      </c>
      <c r="L701" s="209"/>
    </row>
    <row r="702" spans="1:12" ht="15.75" customHeight="1">
      <c r="A702" s="67"/>
      <c r="B702" s="73">
        <f>SUMIFS('لیست واریزی کل خیرین'!B:B,'لیست واریزی کل خیرین'!D:D,Table1[[#This Row],[نام]],'لیست واریزی کل خیرین'!E:E,Table1[[#This Row],[نام خانوادگی]])</f>
        <v>40</v>
      </c>
      <c r="C702" s="21" t="s">
        <v>363</v>
      </c>
      <c r="D702" s="21" t="s">
        <v>402</v>
      </c>
      <c r="E702" s="274" t="s">
        <v>1614</v>
      </c>
      <c r="F702" s="87" t="s">
        <v>637</v>
      </c>
      <c r="G702" s="74" t="s">
        <v>362</v>
      </c>
      <c r="H702" s="75">
        <f t="shared" si="44"/>
        <v>10</v>
      </c>
      <c r="I702" s="74">
        <v>1402</v>
      </c>
      <c r="J702" s="74"/>
      <c r="K702" s="76">
        <v>50000000</v>
      </c>
      <c r="L702" s="209"/>
    </row>
    <row r="703" spans="1:12" ht="15.75" customHeight="1">
      <c r="A703" s="67"/>
      <c r="B703" s="73">
        <f>SUMIFS('لیست واریزی کل خیرین'!B:B,'لیست واریزی کل خیرین'!D:D,Table1[[#This Row],[نام]],'لیست واریزی کل خیرین'!E:E,Table1[[#This Row],[نام خانوادگی]])</f>
        <v>63</v>
      </c>
      <c r="C703" s="199" t="s">
        <v>391</v>
      </c>
      <c r="D703" s="199" t="s">
        <v>392</v>
      </c>
      <c r="E703" s="274" t="s">
        <v>1623</v>
      </c>
      <c r="F703" s="87"/>
      <c r="G703" s="74" t="s">
        <v>362</v>
      </c>
      <c r="H703" s="75">
        <f t="shared" si="44"/>
        <v>10</v>
      </c>
      <c r="I703" s="74">
        <v>1402</v>
      </c>
      <c r="J703" s="74"/>
      <c r="K703" s="76">
        <v>31010028</v>
      </c>
      <c r="L703" s="209"/>
    </row>
    <row r="704" spans="1:12" ht="15.75" customHeight="1">
      <c r="A704" s="67"/>
      <c r="B704" s="73">
        <f>SUMIFS('لیست واریزی کل خیرین'!B:B,'لیست واریزی کل خیرین'!D:D,Table1[[#This Row],[نام]],'لیست واریزی کل خیرین'!E:E,Table1[[#This Row],[نام خانوادگی]])</f>
        <v>121</v>
      </c>
      <c r="C704" s="299" t="s">
        <v>1474</v>
      </c>
      <c r="D704" s="199" t="s">
        <v>1475</v>
      </c>
      <c r="E704" s="274" t="s">
        <v>1624</v>
      </c>
      <c r="F704" s="87" t="s">
        <v>1477</v>
      </c>
      <c r="G704" s="74" t="s">
        <v>362</v>
      </c>
      <c r="H704" s="75">
        <f t="shared" si="44"/>
        <v>10</v>
      </c>
      <c r="I704" s="74">
        <v>1402</v>
      </c>
      <c r="J704" s="74"/>
      <c r="K704" s="76">
        <v>1000000</v>
      </c>
      <c r="L704" s="209"/>
    </row>
    <row r="705" spans="1:12" ht="15.75" customHeight="1">
      <c r="A705" s="67"/>
      <c r="B705" s="73">
        <f>SUMIFS('لیست واریزی کل خیرین'!B:B,'لیست واریزی کل خیرین'!D:D,Table1[[#This Row],[نام]],'لیست واریزی کل خیرین'!E:E,Table1[[#This Row],[نام خانوادگی]])</f>
        <v>24</v>
      </c>
      <c r="C705" s="21" t="s">
        <v>398</v>
      </c>
      <c r="D705" s="21" t="s">
        <v>399</v>
      </c>
      <c r="E705" s="274" t="s">
        <v>1615</v>
      </c>
      <c r="F705" s="87" t="s">
        <v>558</v>
      </c>
      <c r="G705" s="74" t="s">
        <v>362</v>
      </c>
      <c r="H705" s="75">
        <f t="shared" si="44"/>
        <v>10</v>
      </c>
      <c r="I705" s="74">
        <v>1402</v>
      </c>
      <c r="J705" s="74"/>
      <c r="K705" s="76">
        <v>5000000</v>
      </c>
      <c r="L705" s="209"/>
    </row>
    <row r="706" spans="1:12" ht="15.75" customHeight="1">
      <c r="A706" s="67"/>
      <c r="B706" s="73">
        <f>SUMIFS('لیست واریزی کل خیرین'!B:B,'لیست واریزی کل خیرین'!D:D,Table1[[#This Row],[نام]],'لیست واریزی کل خیرین'!E:E,Table1[[#This Row],[نام خانوادگی]])</f>
        <v>123</v>
      </c>
      <c r="C706" s="199" t="s">
        <v>1581</v>
      </c>
      <c r="D706" s="199" t="s">
        <v>1582</v>
      </c>
      <c r="E706" s="274" t="s">
        <v>1616</v>
      </c>
      <c r="F706" s="87" t="s">
        <v>1580</v>
      </c>
      <c r="G706" s="74" t="s">
        <v>362</v>
      </c>
      <c r="H706" s="75">
        <f t="shared" si="44"/>
        <v>10</v>
      </c>
      <c r="I706" s="74">
        <v>1402</v>
      </c>
      <c r="J706" s="74"/>
      <c r="K706" s="76">
        <v>20000000</v>
      </c>
      <c r="L706" s="209"/>
    </row>
    <row r="707" spans="1:12" ht="15.75" customHeight="1">
      <c r="A707" s="67"/>
      <c r="B707" s="73">
        <f>SUMIFS('لیست واریزی کل خیرین'!B:B,'لیست واریزی کل خیرین'!D:D,Table1[[#This Row],[نام]],'لیست واریزی کل خیرین'!E:E,Table1[[#This Row],[نام خانوادگی]])</f>
        <v>48</v>
      </c>
      <c r="C707" s="21" t="s">
        <v>363</v>
      </c>
      <c r="D707" s="21" t="s">
        <v>415</v>
      </c>
      <c r="E707" s="274" t="s">
        <v>1625</v>
      </c>
      <c r="F707" s="87" t="s">
        <v>1626</v>
      </c>
      <c r="G707" s="74" t="s">
        <v>362</v>
      </c>
      <c r="H707" s="75">
        <f t="shared" si="44"/>
        <v>10</v>
      </c>
      <c r="I707" s="74">
        <v>1402</v>
      </c>
      <c r="J707" s="74"/>
      <c r="K707" s="76">
        <v>80000000</v>
      </c>
      <c r="L707" s="209"/>
    </row>
    <row r="708" spans="1:12" ht="15.75" customHeight="1">
      <c r="A708" s="67"/>
      <c r="B708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708" s="199" t="s">
        <v>340</v>
      </c>
      <c r="D708" s="199" t="s">
        <v>341</v>
      </c>
      <c r="E708" s="274" t="s">
        <v>1627</v>
      </c>
      <c r="F708" s="87" t="s">
        <v>1093</v>
      </c>
      <c r="G708" s="74" t="s">
        <v>362</v>
      </c>
      <c r="H708" s="75">
        <f t="shared" si="44"/>
        <v>10</v>
      </c>
      <c r="I708" s="74">
        <v>1402</v>
      </c>
      <c r="J708" s="74"/>
      <c r="K708" s="76">
        <v>2000000</v>
      </c>
      <c r="L708" s="209"/>
    </row>
    <row r="709" spans="1:12" ht="15.75" customHeight="1">
      <c r="A709" s="67"/>
      <c r="B709" s="73">
        <f>SUMIFS('لیست واریزی کل خیرین'!B:B,'لیست واریزی کل خیرین'!D:D,Table1[[#This Row],[نام]],'لیست واریزی کل خیرین'!E:E,Table1[[#This Row],[نام خانوادگی]])</f>
        <v>19</v>
      </c>
      <c r="C709" s="21" t="s">
        <v>363</v>
      </c>
      <c r="D709" s="21" t="s">
        <v>380</v>
      </c>
      <c r="E709" s="274" t="s">
        <v>1628</v>
      </c>
      <c r="F709" s="87" t="s">
        <v>637</v>
      </c>
      <c r="G709" s="74" t="s">
        <v>362</v>
      </c>
      <c r="H709" s="75">
        <f t="shared" ref="H709:H720" si="45">IF(G709="","",VLOOKUP(G709,mah,2,0))</f>
        <v>10</v>
      </c>
      <c r="I709" s="74">
        <v>1402</v>
      </c>
      <c r="J709" s="74"/>
      <c r="K709" s="76">
        <v>50000000</v>
      </c>
      <c r="L709" s="209"/>
    </row>
    <row r="710" spans="1:12" ht="15.75" customHeight="1">
      <c r="A710" s="67"/>
      <c r="B710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710" s="199" t="s">
        <v>358</v>
      </c>
      <c r="D710" s="199" t="s">
        <v>359</v>
      </c>
      <c r="E710" s="274" t="s">
        <v>1617</v>
      </c>
      <c r="F710" s="87" t="s">
        <v>1629</v>
      </c>
      <c r="G710" s="74" t="s">
        <v>362</v>
      </c>
      <c r="H710" s="75">
        <f t="shared" si="45"/>
        <v>10</v>
      </c>
      <c r="I710" s="74">
        <v>1402</v>
      </c>
      <c r="J710" s="74"/>
      <c r="K710" s="76">
        <v>5000000</v>
      </c>
      <c r="L710" s="209"/>
    </row>
    <row r="711" spans="1:12" ht="15.75" customHeight="1">
      <c r="A711" s="67"/>
      <c r="B711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711" s="199" t="s">
        <v>344</v>
      </c>
      <c r="D711" s="199" t="s">
        <v>345</v>
      </c>
      <c r="E711" s="274" t="s">
        <v>1617</v>
      </c>
      <c r="F711" s="87" t="s">
        <v>669</v>
      </c>
      <c r="G711" s="74" t="s">
        <v>362</v>
      </c>
      <c r="H711" s="75">
        <f t="shared" si="45"/>
        <v>10</v>
      </c>
      <c r="I711" s="74">
        <v>1402</v>
      </c>
      <c r="J711" s="74"/>
      <c r="K711" s="76">
        <v>5000000</v>
      </c>
      <c r="L711" s="209" t="s">
        <v>1653</v>
      </c>
    </row>
    <row r="712" spans="1:12" ht="15.75" customHeight="1">
      <c r="A712" s="67"/>
      <c r="B712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712" s="199" t="s">
        <v>344</v>
      </c>
      <c r="D712" s="199" t="s">
        <v>345</v>
      </c>
      <c r="E712" s="274" t="s">
        <v>1617</v>
      </c>
      <c r="F712" s="87" t="s">
        <v>669</v>
      </c>
      <c r="G712" s="74" t="s">
        <v>365</v>
      </c>
      <c r="H712" s="75">
        <f>IF(G712="","",VLOOKUP(G712,mah,2,0))</f>
        <v>11</v>
      </c>
      <c r="I712" s="74">
        <v>1402</v>
      </c>
      <c r="J712" s="74"/>
      <c r="K712" s="76">
        <v>5000000</v>
      </c>
      <c r="L712" s="209" t="s">
        <v>1653</v>
      </c>
    </row>
    <row r="713" spans="1:12" ht="15.75" customHeight="1">
      <c r="A713" s="67"/>
      <c r="B713" s="73">
        <f>SUMIFS('لیست واریزی کل خیرین'!B:B,'لیست واریزی کل خیرین'!D:D,Table1[[#This Row],[نام]],'لیست واریزی کل خیرین'!E:E,Table1[[#This Row],[نام خانوادگی]])</f>
        <v>5</v>
      </c>
      <c r="C713" s="199" t="s">
        <v>344</v>
      </c>
      <c r="D713" s="199" t="s">
        <v>345</v>
      </c>
      <c r="E713" s="274" t="s">
        <v>1617</v>
      </c>
      <c r="F713" s="87" t="s">
        <v>669</v>
      </c>
      <c r="G713" s="74" t="s">
        <v>368</v>
      </c>
      <c r="H713" s="75">
        <f>IF(G713="","",VLOOKUP(G713,mah,2,0))</f>
        <v>12</v>
      </c>
      <c r="I713" s="74">
        <v>1402</v>
      </c>
      <c r="J713" s="74"/>
      <c r="K713" s="76">
        <v>5000000</v>
      </c>
      <c r="L713" s="209" t="s">
        <v>1653</v>
      </c>
    </row>
    <row r="714" spans="1:12" ht="15.75" customHeight="1">
      <c r="A714" s="67"/>
      <c r="B714" s="73">
        <f>SUMIFS('لیست واریزی کل خیرین'!B:B,'لیست واریزی کل خیرین'!D:D,Table1[[#This Row],[نام]],'لیست واریزی کل خیرین'!E:E,Table1[[#This Row],[نام خانوادگی]])</f>
        <v>11</v>
      </c>
      <c r="C714" s="21" t="s">
        <v>363</v>
      </c>
      <c r="D714" s="21" t="s">
        <v>364</v>
      </c>
      <c r="E714" s="274" t="s">
        <v>1630</v>
      </c>
      <c r="F714" s="87" t="s">
        <v>1631</v>
      </c>
      <c r="G714" s="74" t="s">
        <v>362</v>
      </c>
      <c r="H714" s="75">
        <f t="shared" si="45"/>
        <v>10</v>
      </c>
      <c r="I714" s="74">
        <v>1402</v>
      </c>
      <c r="J714" s="74"/>
      <c r="K714" s="76">
        <v>50000000</v>
      </c>
      <c r="L714" s="209"/>
    </row>
    <row r="715" spans="1:12" ht="15.75" customHeight="1">
      <c r="A715" s="67"/>
      <c r="B715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715" s="199" t="s">
        <v>355</v>
      </c>
      <c r="D715" s="199" t="s">
        <v>356</v>
      </c>
      <c r="E715" s="274" t="s">
        <v>1632</v>
      </c>
      <c r="F715" s="87" t="s">
        <v>464</v>
      </c>
      <c r="G715" s="74" t="s">
        <v>362</v>
      </c>
      <c r="H715" s="75">
        <f t="shared" si="45"/>
        <v>10</v>
      </c>
      <c r="I715" s="74">
        <v>1402</v>
      </c>
      <c r="J715" s="74"/>
      <c r="K715" s="76">
        <v>40000000</v>
      </c>
      <c r="L715" s="209"/>
    </row>
    <row r="716" spans="1:12" ht="15.75" customHeight="1">
      <c r="A716" s="67"/>
      <c r="B716" s="73">
        <f>SUMIFS('لیست واریزی کل خیرین'!B:B,'لیست واریزی کل خیرین'!D:D,Table1[[#This Row],[نام]],'لیست واریزی کل خیرین'!E:E,Table1[[#This Row],[نام خانوادگی]])</f>
        <v>62</v>
      </c>
      <c r="C716" s="21" t="s">
        <v>616</v>
      </c>
      <c r="D716" s="21" t="s">
        <v>574</v>
      </c>
      <c r="E716" s="274" t="s">
        <v>1633</v>
      </c>
      <c r="F716" s="87" t="s">
        <v>1379</v>
      </c>
      <c r="G716" s="74" t="s">
        <v>362</v>
      </c>
      <c r="H716" s="75">
        <f t="shared" si="45"/>
        <v>10</v>
      </c>
      <c r="I716" s="74">
        <v>1402</v>
      </c>
      <c r="J716" s="74"/>
      <c r="K716" s="76">
        <v>10000000</v>
      </c>
      <c r="L716" s="209"/>
    </row>
    <row r="717" spans="1:12" ht="15.75" customHeight="1">
      <c r="A717" s="67"/>
      <c r="B717" s="73">
        <f>SUMIFS('لیست واریزی کل خیرین'!B:B,'لیست واریزی کل خیرین'!D:D,Table1[[#This Row],[نام]],'لیست واریزی کل خیرین'!E:E,Table1[[#This Row],[نام خانوادگی]])</f>
        <v>71</v>
      </c>
      <c r="C717" s="21" t="s">
        <v>363</v>
      </c>
      <c r="D717" s="21" t="s">
        <v>618</v>
      </c>
      <c r="E717" s="274" t="s">
        <v>1634</v>
      </c>
      <c r="F717" s="87" t="s">
        <v>1404</v>
      </c>
      <c r="G717" s="74" t="s">
        <v>362</v>
      </c>
      <c r="H717" s="75">
        <f t="shared" si="45"/>
        <v>10</v>
      </c>
      <c r="I717" s="74">
        <v>1402</v>
      </c>
      <c r="J717" s="74"/>
      <c r="K717" s="76">
        <v>10000000</v>
      </c>
      <c r="L717" s="209"/>
    </row>
    <row r="718" spans="1:12" ht="15.75" customHeight="1">
      <c r="A718" s="67"/>
      <c r="B718" s="73">
        <f>SUMIFS('لیست واریزی کل خیرین'!B:B,'لیست واریزی کل خیرین'!D:D,Table1[[#This Row],[نام]],'لیست واریزی کل خیرین'!E:E,Table1[[#This Row],[نام خانوادگی]])</f>
        <v>29</v>
      </c>
      <c r="C718" s="21" t="s">
        <v>418</v>
      </c>
      <c r="D718" s="21" t="s">
        <v>419</v>
      </c>
      <c r="E718" s="274" t="s">
        <v>1635</v>
      </c>
      <c r="F718" s="87" t="s">
        <v>1636</v>
      </c>
      <c r="G718" s="74" t="s">
        <v>362</v>
      </c>
      <c r="H718" s="75">
        <f t="shared" si="45"/>
        <v>10</v>
      </c>
      <c r="I718" s="74">
        <v>1402</v>
      </c>
      <c r="J718" s="74"/>
      <c r="K718" s="76">
        <v>1500000</v>
      </c>
      <c r="L718" s="209"/>
    </row>
    <row r="719" spans="1:12" ht="15.75" customHeight="1">
      <c r="A719" s="67"/>
      <c r="B719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719" s="199" t="s">
        <v>358</v>
      </c>
      <c r="D719" s="199" t="s">
        <v>359</v>
      </c>
      <c r="E719" s="274" t="s">
        <v>1637</v>
      </c>
      <c r="F719" s="87" t="s">
        <v>440</v>
      </c>
      <c r="G719" s="74" t="s">
        <v>362</v>
      </c>
      <c r="H719" s="75">
        <f t="shared" si="45"/>
        <v>10</v>
      </c>
      <c r="I719" s="74">
        <v>1402</v>
      </c>
      <c r="J719" s="74"/>
      <c r="K719" s="76">
        <v>5000000</v>
      </c>
      <c r="L719" s="209"/>
    </row>
    <row r="720" spans="1:12" ht="15.75" customHeight="1">
      <c r="A720" s="67"/>
      <c r="B720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720" s="199" t="s">
        <v>71</v>
      </c>
      <c r="D720" s="199" t="s">
        <v>371</v>
      </c>
      <c r="E720" s="274" t="s">
        <v>1638</v>
      </c>
      <c r="F720" s="87" t="s">
        <v>570</v>
      </c>
      <c r="G720" s="74" t="s">
        <v>362</v>
      </c>
      <c r="H720" s="75">
        <f t="shared" si="45"/>
        <v>10</v>
      </c>
      <c r="I720" s="74">
        <v>1402</v>
      </c>
      <c r="J720" s="74"/>
      <c r="K720" s="76">
        <v>10000000</v>
      </c>
      <c r="L720" s="209"/>
    </row>
    <row r="721" spans="1:12" ht="15.75" customHeight="1">
      <c r="A721" s="67"/>
      <c r="B721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721" s="21" t="s">
        <v>349</v>
      </c>
      <c r="D721" s="21" t="s">
        <v>350</v>
      </c>
      <c r="E721" s="274" t="s">
        <v>1638</v>
      </c>
      <c r="F721" s="87" t="s">
        <v>448</v>
      </c>
      <c r="G721" s="74" t="s">
        <v>362</v>
      </c>
      <c r="H721" s="75">
        <f t="shared" ref="H721:H725" si="46">IF(G721="","",VLOOKUP(G721,mah,2,0))</f>
        <v>10</v>
      </c>
      <c r="I721" s="74">
        <v>1402</v>
      </c>
      <c r="J721" s="74"/>
      <c r="K721" s="76">
        <v>50000000</v>
      </c>
      <c r="L721" s="209"/>
    </row>
    <row r="722" spans="1:12" ht="15.75" customHeight="1">
      <c r="A722" s="67"/>
      <c r="B722" s="73">
        <f>SUMIFS('لیست واریزی کل خیرین'!B:B,'لیست واریزی کل خیرین'!D:D,Table1[[#This Row],[نام]],'لیست واریزی کل خیرین'!E:E,Table1[[#This Row],[نام خانوادگی]])</f>
        <v>50</v>
      </c>
      <c r="C722" s="21" t="s">
        <v>372</v>
      </c>
      <c r="D722" s="21" t="s">
        <v>533</v>
      </c>
      <c r="E722" s="274" t="s">
        <v>1638</v>
      </c>
      <c r="F722" s="87" t="s">
        <v>1220</v>
      </c>
      <c r="G722" s="74" t="s">
        <v>362</v>
      </c>
      <c r="H722" s="75">
        <f t="shared" si="46"/>
        <v>10</v>
      </c>
      <c r="I722" s="74">
        <v>1402</v>
      </c>
      <c r="J722" s="74"/>
      <c r="K722" s="76">
        <v>10000000</v>
      </c>
      <c r="L722" s="209"/>
    </row>
    <row r="723" spans="1:12" ht="15.75" customHeight="1">
      <c r="A723" s="67"/>
      <c r="B723" s="73">
        <f>SUMIFS('لیست واریزی کل خیرین'!B:B,'لیست واریزی کل خیرین'!D:D,Table1[[#This Row],[نام]],'لیست واریزی کل خیرین'!E:E,Table1[[#This Row],[نام خانوادگی]])</f>
        <v>35</v>
      </c>
      <c r="C723" s="21" t="s">
        <v>465</v>
      </c>
      <c r="D723" s="21" t="s">
        <v>466</v>
      </c>
      <c r="E723" s="274" t="s">
        <v>1638</v>
      </c>
      <c r="F723" s="87" t="s">
        <v>467</v>
      </c>
      <c r="G723" s="74" t="s">
        <v>362</v>
      </c>
      <c r="H723" s="75">
        <f t="shared" si="46"/>
        <v>10</v>
      </c>
      <c r="I723" s="74">
        <v>1402</v>
      </c>
      <c r="J723" s="74"/>
      <c r="K723" s="76">
        <v>5000000</v>
      </c>
      <c r="L723" s="209"/>
    </row>
    <row r="724" spans="1:12" ht="15.75" customHeight="1">
      <c r="A724" s="67"/>
      <c r="B724" s="73">
        <f>SUMIFS('لیست واریزی کل خیرین'!B:B,'لیست واریزی کل خیرین'!D:D,Table1[[#This Row],[نام]],'لیست واریزی کل خیرین'!E:E,Table1[[#This Row],[نام خانوادگی]])</f>
        <v>125</v>
      </c>
      <c r="C724" s="216" t="s">
        <v>1639</v>
      </c>
      <c r="D724" s="216" t="s">
        <v>1640</v>
      </c>
      <c r="E724" s="274" t="s">
        <v>1638</v>
      </c>
      <c r="F724" s="87" t="s">
        <v>1641</v>
      </c>
      <c r="G724" s="74" t="s">
        <v>362</v>
      </c>
      <c r="H724" s="75">
        <f t="shared" si="46"/>
        <v>10</v>
      </c>
      <c r="I724" s="74">
        <v>1402</v>
      </c>
      <c r="J724" s="74"/>
      <c r="K724" s="76">
        <v>5000000</v>
      </c>
      <c r="L724" s="209"/>
    </row>
    <row r="725" spans="1:12" ht="15.75" customHeight="1">
      <c r="A725" s="67"/>
      <c r="B725" s="73">
        <f>SUMIFS('لیست واریزی کل خیرین'!B:B,'لیست واریزی کل خیرین'!D:D,Table1[[#This Row],[نام]],'لیست واریزی کل خیرین'!E:E,Table1[[#This Row],[نام خانوادگی]])</f>
        <v>61</v>
      </c>
      <c r="C725" s="199" t="s">
        <v>571</v>
      </c>
      <c r="D725" s="199" t="s">
        <v>572</v>
      </c>
      <c r="E725" s="274" t="s">
        <v>1642</v>
      </c>
      <c r="F725" s="87" t="s">
        <v>573</v>
      </c>
      <c r="G725" s="74" t="s">
        <v>365</v>
      </c>
      <c r="H725" s="75">
        <f t="shared" si="46"/>
        <v>11</v>
      </c>
      <c r="I725" s="74">
        <v>1402</v>
      </c>
      <c r="J725" s="74"/>
      <c r="K725" s="76">
        <v>5000000</v>
      </c>
      <c r="L725" s="209"/>
    </row>
    <row r="726" spans="1:12" ht="15.75" customHeight="1">
      <c r="A726" s="67"/>
      <c r="B726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726" s="199" t="s">
        <v>358</v>
      </c>
      <c r="D726" s="199" t="s">
        <v>359</v>
      </c>
      <c r="E726" s="274" t="s">
        <v>1643</v>
      </c>
      <c r="F726" s="87" t="s">
        <v>440</v>
      </c>
      <c r="G726" s="74" t="s">
        <v>365</v>
      </c>
      <c r="H726" s="75">
        <f t="shared" ref="H726:H737" si="47">IF(G726="","",VLOOKUP(G726,mah,2,0))</f>
        <v>11</v>
      </c>
      <c r="I726" s="74">
        <v>1402</v>
      </c>
      <c r="J726" s="74"/>
      <c r="K726" s="76">
        <v>3000000</v>
      </c>
      <c r="L726" s="209"/>
    </row>
    <row r="727" spans="1:12" ht="15.75" customHeight="1">
      <c r="A727" s="67"/>
      <c r="B727" s="73">
        <f>SUMIFS('لیست واریزی کل خیرین'!B:B,'لیست واریزی کل خیرین'!D:D,Table1[[#This Row],[نام]],'لیست واریزی کل خیرین'!E:E,Table1[[#This Row],[نام خانوادگی]])</f>
        <v>63</v>
      </c>
      <c r="C727" s="199" t="s">
        <v>391</v>
      </c>
      <c r="D727" s="199" t="s">
        <v>392</v>
      </c>
      <c r="E727" s="274" t="s">
        <v>1644</v>
      </c>
      <c r="F727" s="87"/>
      <c r="G727" s="74" t="s">
        <v>365</v>
      </c>
      <c r="H727" s="75">
        <f t="shared" si="47"/>
        <v>11</v>
      </c>
      <c r="I727" s="74">
        <v>1402</v>
      </c>
      <c r="J727" s="74"/>
      <c r="K727" s="76">
        <v>33191770</v>
      </c>
      <c r="L727" s="209"/>
    </row>
    <row r="728" spans="1:12" ht="15.75" customHeight="1">
      <c r="A728" s="67"/>
      <c r="B728" s="73">
        <f>SUMIFS('لیست واریزی کل خیرین'!B:B,'لیست واریزی کل خیرین'!D:D,Table1[[#This Row],[نام]],'لیست واریزی کل خیرین'!E:E,Table1[[#This Row],[نام خانوادگی]])</f>
        <v>10</v>
      </c>
      <c r="C728" s="199" t="s">
        <v>358</v>
      </c>
      <c r="D728" s="199" t="s">
        <v>359</v>
      </c>
      <c r="E728" s="274" t="s">
        <v>1644</v>
      </c>
      <c r="F728" s="87" t="s">
        <v>637</v>
      </c>
      <c r="G728" s="74" t="s">
        <v>365</v>
      </c>
      <c r="H728" s="75">
        <f t="shared" si="47"/>
        <v>11</v>
      </c>
      <c r="I728" s="74">
        <v>1402</v>
      </c>
      <c r="J728" s="74"/>
      <c r="K728" s="76">
        <v>175000000</v>
      </c>
      <c r="L728" s="209"/>
    </row>
    <row r="729" spans="1:12" ht="15.75" customHeight="1">
      <c r="A729" s="67"/>
      <c r="B729" s="73">
        <f>SUMIFS('لیست واریزی کل خیرین'!B:B,'لیست واریزی کل خیرین'!D:D,Table1[[#This Row],[نام]],'لیست واریزی کل خیرین'!E:E,Table1[[#This Row],[نام خانوادگی]])</f>
        <v>40</v>
      </c>
      <c r="C729" s="199" t="s">
        <v>363</v>
      </c>
      <c r="D729" s="199" t="s">
        <v>402</v>
      </c>
      <c r="E729" s="274" t="s">
        <v>1644</v>
      </c>
      <c r="F729" s="87" t="s">
        <v>637</v>
      </c>
      <c r="G729" s="74" t="s">
        <v>365</v>
      </c>
      <c r="H729" s="75">
        <f t="shared" si="47"/>
        <v>11</v>
      </c>
      <c r="I729" s="74">
        <v>1402</v>
      </c>
      <c r="J729" s="74"/>
      <c r="K729" s="76">
        <v>50000000</v>
      </c>
      <c r="L729" s="209"/>
    </row>
    <row r="730" spans="1:12" ht="15.75" customHeight="1">
      <c r="A730" s="67"/>
      <c r="B730" s="73">
        <f>SUMIFS('لیست واریزی کل خیرین'!B:B,'لیست واریزی کل خیرین'!D:D,Table1[[#This Row],[نام]],'لیست واریزی کل خیرین'!E:E,Table1[[#This Row],[نام خانوادگی]])</f>
        <v>40</v>
      </c>
      <c r="C730" s="199" t="s">
        <v>363</v>
      </c>
      <c r="D730" s="199" t="s">
        <v>402</v>
      </c>
      <c r="E730" s="274" t="s">
        <v>1644</v>
      </c>
      <c r="F730" s="87" t="s">
        <v>637</v>
      </c>
      <c r="G730" s="74" t="s">
        <v>365</v>
      </c>
      <c r="H730" s="75">
        <f t="shared" ref="H730" si="48">IF(G730="","",VLOOKUP(G730,mah,2,0))</f>
        <v>11</v>
      </c>
      <c r="I730" s="74">
        <v>1402</v>
      </c>
      <c r="J730" s="74"/>
      <c r="K730" s="76">
        <v>50000000</v>
      </c>
      <c r="L730" s="209"/>
    </row>
    <row r="731" spans="1:12" ht="15.75" customHeight="1">
      <c r="A731" s="67"/>
      <c r="B731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731" s="21" t="s">
        <v>366</v>
      </c>
      <c r="D731" s="21" t="s">
        <v>385</v>
      </c>
      <c r="E731" s="274" t="s">
        <v>1645</v>
      </c>
      <c r="F731" s="87" t="s">
        <v>488</v>
      </c>
      <c r="G731" s="74" t="s">
        <v>365</v>
      </c>
      <c r="H731" s="75">
        <f t="shared" si="47"/>
        <v>11</v>
      </c>
      <c r="I731" s="74">
        <v>1402</v>
      </c>
      <c r="J731" s="74"/>
      <c r="K731" s="76">
        <v>5000000</v>
      </c>
      <c r="L731" s="209" t="s">
        <v>1656</v>
      </c>
    </row>
    <row r="732" spans="1:12" ht="15.75" customHeight="1">
      <c r="A732" s="67"/>
      <c r="B732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732" s="21" t="s">
        <v>366</v>
      </c>
      <c r="D732" s="21" t="s">
        <v>385</v>
      </c>
      <c r="E732" s="274" t="s">
        <v>1645</v>
      </c>
      <c r="F732" s="87" t="s">
        <v>488</v>
      </c>
      <c r="G732" s="74" t="s">
        <v>354</v>
      </c>
      <c r="H732" s="75">
        <f>IF(G732="","",VLOOKUP(G732,mah,2,0))</f>
        <v>8</v>
      </c>
      <c r="I732" s="74">
        <v>1402</v>
      </c>
      <c r="J732" s="74"/>
      <c r="K732" s="76">
        <v>5000000</v>
      </c>
      <c r="L732" s="209" t="s">
        <v>1656</v>
      </c>
    </row>
    <row r="733" spans="1:12" ht="15.75" customHeight="1">
      <c r="A733" s="67"/>
      <c r="B733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733" s="21" t="s">
        <v>366</v>
      </c>
      <c r="D733" s="21" t="s">
        <v>385</v>
      </c>
      <c r="E733" s="274" t="s">
        <v>1645</v>
      </c>
      <c r="F733" s="87" t="s">
        <v>488</v>
      </c>
      <c r="G733" s="74" t="s">
        <v>357</v>
      </c>
      <c r="H733" s="75">
        <f>IF(G733="","",VLOOKUP(G733,mah,2,0))</f>
        <v>9</v>
      </c>
      <c r="I733" s="74">
        <v>1402</v>
      </c>
      <c r="J733" s="74"/>
      <c r="K733" s="76">
        <v>5000000</v>
      </c>
      <c r="L733" s="209" t="s">
        <v>1656</v>
      </c>
    </row>
    <row r="734" spans="1:12" ht="15.75" customHeight="1">
      <c r="A734" s="67"/>
      <c r="B734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734" s="21" t="s">
        <v>366</v>
      </c>
      <c r="D734" s="21" t="s">
        <v>385</v>
      </c>
      <c r="E734" s="274" t="s">
        <v>1645</v>
      </c>
      <c r="F734" s="87" t="s">
        <v>488</v>
      </c>
      <c r="G734" s="74" t="s">
        <v>362</v>
      </c>
      <c r="H734" s="75">
        <f>IF(G734="","",VLOOKUP(G734,mah,2,0))</f>
        <v>10</v>
      </c>
      <c r="I734" s="74">
        <v>1402</v>
      </c>
      <c r="J734" s="74"/>
      <c r="K734" s="76">
        <v>5000000</v>
      </c>
      <c r="L734" s="209" t="s">
        <v>1656</v>
      </c>
    </row>
    <row r="735" spans="1:12" ht="15.75" customHeight="1">
      <c r="A735" s="67"/>
      <c r="B735" s="73">
        <f>SUMIFS('لیست واریزی کل خیرین'!B:B,'لیست واریزی کل خیرین'!D:D,Table1[[#This Row],[نام]],'لیست واریزی کل خیرین'!E:E,Table1[[#This Row],[نام خانوادگی]])</f>
        <v>21</v>
      </c>
      <c r="C735" s="21" t="s">
        <v>366</v>
      </c>
      <c r="D735" s="21" t="s">
        <v>385</v>
      </c>
      <c r="E735" s="274" t="s">
        <v>1645</v>
      </c>
      <c r="F735" s="87" t="s">
        <v>488</v>
      </c>
      <c r="G735" s="74" t="s">
        <v>368</v>
      </c>
      <c r="H735" s="75">
        <f>IF(G735="","",VLOOKUP(G735,mah,2,0))</f>
        <v>12</v>
      </c>
      <c r="I735" s="74">
        <v>1402</v>
      </c>
      <c r="J735" s="74"/>
      <c r="K735" s="76">
        <v>5000000</v>
      </c>
      <c r="L735" s="209" t="s">
        <v>1656</v>
      </c>
    </row>
    <row r="736" spans="1:12" ht="15.75" customHeight="1">
      <c r="A736" s="67"/>
      <c r="B736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736" s="199" t="s">
        <v>340</v>
      </c>
      <c r="D736" s="199" t="s">
        <v>341</v>
      </c>
      <c r="E736" s="274" t="s">
        <v>1646</v>
      </c>
      <c r="F736" s="87" t="s">
        <v>1093</v>
      </c>
      <c r="G736" s="74" t="s">
        <v>365</v>
      </c>
      <c r="H736" s="75">
        <f t="shared" si="47"/>
        <v>11</v>
      </c>
      <c r="I736" s="74">
        <v>1402</v>
      </c>
      <c r="J736" s="74"/>
      <c r="K736" s="76">
        <v>2000000</v>
      </c>
      <c r="L736" s="209"/>
    </row>
    <row r="737" spans="1:12" ht="15.75" customHeight="1">
      <c r="A737" s="67"/>
      <c r="B737" s="73">
        <f>SUMIFS('لیست واریزی کل خیرین'!B:B,'لیست واریزی کل خیرین'!D:D,Table1[[#This Row],[نام]],'لیست واریزی کل خیرین'!E:E,Table1[[#This Row],[نام خانوادگی]])</f>
        <v>123</v>
      </c>
      <c r="C737" s="199" t="s">
        <v>1581</v>
      </c>
      <c r="D737" s="199" t="s">
        <v>1582</v>
      </c>
      <c r="E737" s="274" t="s">
        <v>1647</v>
      </c>
      <c r="F737" s="87" t="s">
        <v>1580</v>
      </c>
      <c r="G737" s="74" t="s">
        <v>365</v>
      </c>
      <c r="H737" s="75">
        <f t="shared" si="47"/>
        <v>11</v>
      </c>
      <c r="I737" s="74">
        <v>1402</v>
      </c>
      <c r="J737" s="74"/>
      <c r="K737" s="76">
        <v>20000000</v>
      </c>
      <c r="L737" s="209"/>
    </row>
    <row r="738" spans="1:12" ht="15.75" customHeight="1">
      <c r="A738" s="67"/>
      <c r="B738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38" s="199" t="s">
        <v>805</v>
      </c>
      <c r="D738" s="199" t="s">
        <v>1689</v>
      </c>
      <c r="E738" s="274" t="s">
        <v>1647</v>
      </c>
      <c r="F738" s="87" t="s">
        <v>1651</v>
      </c>
      <c r="G738" s="74" t="s">
        <v>365</v>
      </c>
      <c r="H738" s="75">
        <f t="shared" ref="H738" si="49">IF(G738="","",VLOOKUP(G738,mah,2,0))</f>
        <v>11</v>
      </c>
      <c r="I738" s="74">
        <v>1402</v>
      </c>
      <c r="J738" s="74"/>
      <c r="K738" s="76">
        <v>10000000</v>
      </c>
      <c r="L738" s="209"/>
    </row>
    <row r="739" spans="1:12" ht="15.75" customHeight="1">
      <c r="A739" s="67"/>
      <c r="B739" s="73">
        <f>SUMIFS('لیست واریزی کل خیرین'!B:B,'لیست واریزی کل خیرین'!D:D,Table1[[#This Row],[نام]],'لیست واریزی کل خیرین'!E:E,Table1[[#This Row],[نام خانوادگی]])</f>
        <v>19</v>
      </c>
      <c r="C739" s="21" t="s">
        <v>363</v>
      </c>
      <c r="D739" s="21" t="s">
        <v>380</v>
      </c>
      <c r="E739" s="274" t="s">
        <v>1648</v>
      </c>
      <c r="F739" s="87" t="s">
        <v>637</v>
      </c>
      <c r="G739" s="74" t="s">
        <v>365</v>
      </c>
      <c r="H739" s="75">
        <f t="shared" ref="H739" si="50">IF(G739="","",VLOOKUP(G739,mah,2,0))</f>
        <v>11</v>
      </c>
      <c r="I739" s="74">
        <v>1402</v>
      </c>
      <c r="J739" s="74"/>
      <c r="K739" s="76">
        <v>50000000</v>
      </c>
      <c r="L739" s="209"/>
    </row>
    <row r="740" spans="1:12" ht="15.75" customHeight="1">
      <c r="A740" s="67"/>
      <c r="B740" s="73">
        <f>SUMIFS('لیست واریزی کل خیرین'!B:B,'لیست واریزی کل خیرین'!D:D,Table1[[#This Row],[نام]],'لیست واریزی کل خیرین'!E:E,Table1[[#This Row],[نام خانوادگی]])</f>
        <v>48</v>
      </c>
      <c r="C740" s="21" t="s">
        <v>363</v>
      </c>
      <c r="D740" s="21" t="s">
        <v>415</v>
      </c>
      <c r="E740" s="274" t="s">
        <v>1649</v>
      </c>
      <c r="F740" s="87" t="s">
        <v>637</v>
      </c>
      <c r="G740" s="74" t="s">
        <v>365</v>
      </c>
      <c r="H740" s="75">
        <f t="shared" ref="H740:H743" si="51">IF(G740="","",VLOOKUP(G740,mah,2,0))</f>
        <v>11</v>
      </c>
      <c r="I740" s="74">
        <v>1402</v>
      </c>
      <c r="J740" s="74"/>
      <c r="K740" s="76">
        <v>50000000</v>
      </c>
      <c r="L740" s="209"/>
    </row>
    <row r="741" spans="1:12" ht="15.75" customHeight="1">
      <c r="A741" s="67"/>
      <c r="B741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741" s="199" t="s">
        <v>355</v>
      </c>
      <c r="D741" s="199" t="s">
        <v>356</v>
      </c>
      <c r="E741" s="274" t="s">
        <v>1650</v>
      </c>
      <c r="F741" s="87" t="s">
        <v>464</v>
      </c>
      <c r="G741" s="74" t="s">
        <v>365</v>
      </c>
      <c r="H741" s="75">
        <f t="shared" si="51"/>
        <v>11</v>
      </c>
      <c r="I741" s="74">
        <v>1402</v>
      </c>
      <c r="J741" s="74"/>
      <c r="K741" s="76">
        <v>20000000</v>
      </c>
      <c r="L741" s="209"/>
    </row>
    <row r="742" spans="1:12" ht="15.75" customHeight="1">
      <c r="A742" s="67"/>
      <c r="B742" s="73">
        <f>SUMIFS('لیست واریزی کل خیرین'!B:B,'لیست واریزی کل خیرین'!D:D,Table1[[#This Row],[نام]],'لیست واریزی کل خیرین'!E:E,Table1[[#This Row],[نام خانوادگی]])</f>
        <v>62</v>
      </c>
      <c r="C742" s="21" t="s">
        <v>616</v>
      </c>
      <c r="D742" s="21" t="s">
        <v>574</v>
      </c>
      <c r="E742" s="274" t="s">
        <v>1652</v>
      </c>
      <c r="F742" s="87" t="s">
        <v>1379</v>
      </c>
      <c r="G742" s="74" t="s">
        <v>365</v>
      </c>
      <c r="H742" s="75">
        <f t="shared" si="51"/>
        <v>11</v>
      </c>
      <c r="I742" s="74">
        <v>1402</v>
      </c>
      <c r="J742" s="74"/>
      <c r="K742" s="76">
        <v>10000000</v>
      </c>
      <c r="L742" s="209"/>
    </row>
    <row r="743" spans="1:12" ht="15.75" customHeight="1">
      <c r="A743" s="67"/>
      <c r="B743" s="73">
        <f>SUMIFS('لیست واریزی کل خیرین'!B:B,'لیست واریزی کل خیرین'!D:D,Table1[[#This Row],[نام]],'لیست واریزی کل خیرین'!E:E,Table1[[#This Row],[نام خانوادگی]])</f>
        <v>14</v>
      </c>
      <c r="C743" s="199" t="s">
        <v>71</v>
      </c>
      <c r="D743" s="199" t="s">
        <v>371</v>
      </c>
      <c r="E743" s="274" t="s">
        <v>1690</v>
      </c>
      <c r="F743" s="87" t="s">
        <v>570</v>
      </c>
      <c r="G743" s="74" t="s">
        <v>365</v>
      </c>
      <c r="H743" s="75">
        <f t="shared" si="51"/>
        <v>11</v>
      </c>
      <c r="I743" s="74">
        <v>1402</v>
      </c>
      <c r="J743" s="74"/>
      <c r="K743" s="76">
        <v>10000000</v>
      </c>
      <c r="L743" s="209"/>
    </row>
    <row r="744" spans="1:12" ht="15.5" customHeight="1">
      <c r="A744" s="67"/>
      <c r="B744" s="73">
        <f>SUMIFS('لیست واریزی کل خیرین'!B:B,'لیست واریزی کل خیرین'!D:D,Table1[[#This Row],[نام]],'لیست واریزی کل خیرین'!E:E,Table1[[#This Row],[نام خانوادگی]])</f>
        <v>126</v>
      </c>
      <c r="C744" s="216" t="s">
        <v>1694</v>
      </c>
      <c r="D744" s="216" t="s">
        <v>1695</v>
      </c>
      <c r="E744" s="274" t="s">
        <v>1693</v>
      </c>
      <c r="F744" s="87" t="s">
        <v>1691</v>
      </c>
      <c r="G744" s="74" t="s">
        <v>365</v>
      </c>
      <c r="H744" s="75">
        <f t="shared" ref="H744:H745" si="52">IF(G744="","",VLOOKUP(G744,mah,2,0))</f>
        <v>11</v>
      </c>
      <c r="I744" s="74">
        <v>1402</v>
      </c>
      <c r="J744" s="74"/>
      <c r="K744" s="76">
        <v>100000000</v>
      </c>
      <c r="L744" s="209"/>
    </row>
    <row r="745" spans="1:12" ht="15.5" customHeight="1">
      <c r="A745" s="67"/>
      <c r="B745" s="73">
        <f>SUMIFS('لیست واریزی کل خیرین'!B:B,'لیست واریزی کل خیرین'!D:D,Table1[[#This Row],[نام]],'لیست واریزی کل خیرین'!E:E,Table1[[#This Row],[نام خانوادگی]])</f>
        <v>126</v>
      </c>
      <c r="C745" s="216" t="s">
        <v>1694</v>
      </c>
      <c r="D745" s="216" t="s">
        <v>1695</v>
      </c>
      <c r="E745" s="274" t="s">
        <v>1693</v>
      </c>
      <c r="F745" s="87" t="s">
        <v>1692</v>
      </c>
      <c r="G745" s="74" t="s">
        <v>365</v>
      </c>
      <c r="H745" s="75">
        <f t="shared" si="52"/>
        <v>11</v>
      </c>
      <c r="I745" s="74">
        <v>1402</v>
      </c>
      <c r="J745" s="74"/>
      <c r="K745" s="76">
        <v>100000000</v>
      </c>
      <c r="L745" s="209"/>
    </row>
    <row r="746" spans="1:12" ht="15.5" customHeight="1">
      <c r="A746" s="67"/>
      <c r="B746" s="73">
        <f>SUMIFS('لیست واریزی کل خیرین'!B:B,'لیست واریزی کل خیرین'!D:D,Table1[[#This Row],[نام]],'لیست واریزی کل خیرین'!E:E,Table1[[#This Row],[نام خانوادگی]])</f>
        <v>24</v>
      </c>
      <c r="C746" s="21" t="s">
        <v>398</v>
      </c>
      <c r="D746" s="21" t="s">
        <v>399</v>
      </c>
      <c r="E746" s="274" t="s">
        <v>1696</v>
      </c>
      <c r="F746" s="87" t="s">
        <v>558</v>
      </c>
      <c r="G746" s="74" t="s">
        <v>365</v>
      </c>
      <c r="H746" s="75">
        <f t="shared" ref="H746:H751" si="53">IF(G746="","",VLOOKUP(G746,mah,2,0))</f>
        <v>11</v>
      </c>
      <c r="I746" s="74">
        <v>1402</v>
      </c>
      <c r="J746" s="74"/>
      <c r="K746" s="76">
        <v>5000000</v>
      </c>
      <c r="L746" s="209"/>
    </row>
    <row r="747" spans="1:12" ht="15.5" customHeight="1">
      <c r="A747" s="67"/>
      <c r="B747" s="73">
        <f>SUMIFS('لیست واریزی کل خیرین'!B:B,'لیست واریزی کل خیرین'!D:D,Table1[[#This Row],[نام]],'لیست واریزی کل خیرین'!E:E,Table1[[#This Row],[نام خانوادگی]])</f>
        <v>74</v>
      </c>
      <c r="C747" s="199" t="s">
        <v>640</v>
      </c>
      <c r="D747" s="199" t="s">
        <v>641</v>
      </c>
      <c r="E747" s="274" t="s">
        <v>1697</v>
      </c>
      <c r="F747" s="87" t="s">
        <v>643</v>
      </c>
      <c r="G747" s="74" t="s">
        <v>365</v>
      </c>
      <c r="H747" s="75">
        <f t="shared" si="53"/>
        <v>11</v>
      </c>
      <c r="I747" s="74">
        <v>1402</v>
      </c>
      <c r="J747" s="74"/>
      <c r="K747" s="76">
        <v>5000000</v>
      </c>
      <c r="L747" s="209"/>
    </row>
    <row r="748" spans="1:12" ht="15.5" customHeight="1">
      <c r="A748" s="67"/>
      <c r="B748" s="73">
        <f>SUMIFS('لیست واریزی کل خیرین'!B:B,'لیست واریزی کل خیرین'!D:D,Table1[[#This Row],[نام]],'لیست واریزی کل خیرین'!E:E,Table1[[#This Row],[نام خانوادگی]])</f>
        <v>35</v>
      </c>
      <c r="C748" s="21" t="s">
        <v>465</v>
      </c>
      <c r="D748" s="21" t="s">
        <v>466</v>
      </c>
      <c r="E748" s="274" t="s">
        <v>1698</v>
      </c>
      <c r="F748" s="87" t="s">
        <v>467</v>
      </c>
      <c r="G748" s="74" t="s">
        <v>365</v>
      </c>
      <c r="H748" s="75">
        <f t="shared" si="53"/>
        <v>11</v>
      </c>
      <c r="I748" s="74">
        <v>1402</v>
      </c>
      <c r="J748" s="74"/>
      <c r="K748" s="76">
        <v>4000000</v>
      </c>
      <c r="L748" s="209"/>
    </row>
    <row r="749" spans="1:12" ht="15.5" customHeight="1">
      <c r="A749" s="67"/>
      <c r="B749" s="73">
        <f>SUMIFS('لیست واریزی کل خیرین'!B:B,'لیست واریزی کل خیرین'!D:D,Table1[[#This Row],[نام]],'لیست واریزی کل خیرین'!E:E,Table1[[#This Row],[نام خانوادگی]])</f>
        <v>20</v>
      </c>
      <c r="C749" s="21" t="s">
        <v>366</v>
      </c>
      <c r="D749" s="21" t="s">
        <v>382</v>
      </c>
      <c r="E749" s="274" t="s">
        <v>1699</v>
      </c>
      <c r="F749" s="87" t="s">
        <v>1601</v>
      </c>
      <c r="G749" s="74" t="s">
        <v>365</v>
      </c>
      <c r="H749" s="75">
        <f t="shared" si="53"/>
        <v>11</v>
      </c>
      <c r="I749" s="74">
        <v>1402</v>
      </c>
      <c r="J749" s="74"/>
      <c r="K749" s="76">
        <v>20000000</v>
      </c>
      <c r="L749" s="209"/>
    </row>
    <row r="750" spans="1:12" ht="15.5" customHeight="1">
      <c r="A750" s="67"/>
      <c r="B750" s="73">
        <f>SUMIFS('لیست واریزی کل خیرین'!B:B,'لیست واریزی کل خیرین'!D:D,Table1[[#This Row],[نام]],'لیست واریزی کل خیرین'!E:E,Table1[[#This Row],[نام خانوادگی]])</f>
        <v>127</v>
      </c>
      <c r="C750" s="216" t="s">
        <v>1702</v>
      </c>
      <c r="D750" s="216" t="s">
        <v>1703</v>
      </c>
      <c r="E750" s="274" t="s">
        <v>1700</v>
      </c>
      <c r="F750" s="87" t="s">
        <v>1701</v>
      </c>
      <c r="G750" s="74" t="s">
        <v>368</v>
      </c>
      <c r="H750" s="75">
        <f t="shared" si="53"/>
        <v>12</v>
      </c>
      <c r="I750" s="74">
        <v>1402</v>
      </c>
      <c r="J750" s="74"/>
      <c r="K750" s="76">
        <v>100000000</v>
      </c>
      <c r="L750" s="209"/>
    </row>
    <row r="751" spans="1:12" ht="15.5" customHeight="1">
      <c r="A751" s="67"/>
      <c r="B751" s="73">
        <f>SUMIFS('لیست واریزی کل خیرین'!B:B,'لیست واریزی کل خیرین'!D:D,Table1[[#This Row],[نام]],'لیست واریزی کل خیرین'!E:E,Table1[[#This Row],[نام خانوادگی]])</f>
        <v>124</v>
      </c>
      <c r="C751" s="199" t="s">
        <v>1587</v>
      </c>
      <c r="D751" s="199" t="s">
        <v>1588</v>
      </c>
      <c r="E751" s="274" t="s">
        <v>1704</v>
      </c>
      <c r="F751" s="87" t="s">
        <v>637</v>
      </c>
      <c r="G751" s="74" t="s">
        <v>368</v>
      </c>
      <c r="H751" s="75">
        <f t="shared" si="53"/>
        <v>12</v>
      </c>
      <c r="I751" s="74">
        <v>1402</v>
      </c>
      <c r="J751" s="74"/>
      <c r="K751" s="76">
        <v>50000000</v>
      </c>
      <c r="L751" s="209"/>
    </row>
    <row r="752" spans="1:12" ht="15.75" customHeight="1">
      <c r="A752" s="67"/>
      <c r="B752" s="73">
        <f>SUMIFS('لیست واریزی کل خیرین'!B:B,'لیست واریزی کل خیرین'!D:D,Table1[[#This Row],[نام]],'لیست واریزی کل خیرین'!E:E,Table1[[#This Row],[نام خانوادگی]])</f>
        <v>124</v>
      </c>
      <c r="C752" s="199" t="s">
        <v>1587</v>
      </c>
      <c r="D752" s="199" t="s">
        <v>1588</v>
      </c>
      <c r="E752" s="274" t="s">
        <v>1704</v>
      </c>
      <c r="F752" s="87" t="s">
        <v>637</v>
      </c>
      <c r="G752" s="74" t="s">
        <v>368</v>
      </c>
      <c r="H752" s="75">
        <f t="shared" ref="H752" si="54">IF(G752="","",VLOOKUP(G752,mah,2,0))</f>
        <v>12</v>
      </c>
      <c r="I752" s="74">
        <v>1402</v>
      </c>
      <c r="J752" s="74"/>
      <c r="K752" s="76">
        <v>50000000</v>
      </c>
      <c r="L752" s="209"/>
    </row>
    <row r="753" spans="1:12" ht="15.75" customHeight="1">
      <c r="A753" s="67"/>
      <c r="B753" s="73">
        <f>SUMIFS('لیست واریزی کل خیرین'!B:B,'لیست واریزی کل خیرین'!D:D,Table1[[#This Row],[نام]],'لیست واریزی کل خیرین'!E:E,Table1[[#This Row],[نام خانوادگی]])</f>
        <v>123</v>
      </c>
      <c r="C753" s="199" t="s">
        <v>1581</v>
      </c>
      <c r="D753" s="199" t="s">
        <v>1582</v>
      </c>
      <c r="E753" s="274" t="s">
        <v>1705</v>
      </c>
      <c r="F753" s="87" t="s">
        <v>1580</v>
      </c>
      <c r="G753" s="74" t="s">
        <v>368</v>
      </c>
      <c r="H753" s="75">
        <f t="shared" ref="H753:H768" si="55">IF(G753="","",VLOOKUP(G753,mah,2,0))</f>
        <v>12</v>
      </c>
      <c r="I753" s="74">
        <v>1402</v>
      </c>
      <c r="J753" s="74"/>
      <c r="K753" s="76">
        <v>20000000</v>
      </c>
      <c r="L753" s="209"/>
    </row>
    <row r="754" spans="1:12" ht="15.75" customHeight="1">
      <c r="A754" s="67" t="s">
        <v>1659</v>
      </c>
      <c r="B754" s="73">
        <f>SUMIFS('لیست واریزی کل خیرین'!B:B,'لیست واریزی کل خیرین'!D:D,Table1[[#This Row],[نام]],'لیست واریزی کل خیرین'!E:E,Table1[[#This Row],[نام خانوادگی]])</f>
        <v>63</v>
      </c>
      <c r="C754" s="199" t="s">
        <v>391</v>
      </c>
      <c r="D754" s="199" t="s">
        <v>392</v>
      </c>
      <c r="E754" s="274" t="s">
        <v>1706</v>
      </c>
      <c r="F754" s="87"/>
      <c r="G754" s="74" t="s">
        <v>368</v>
      </c>
      <c r="H754" s="75">
        <f t="shared" si="55"/>
        <v>12</v>
      </c>
      <c r="I754" s="74">
        <v>1402</v>
      </c>
      <c r="J754" s="74"/>
      <c r="K754" s="76">
        <v>34404827</v>
      </c>
      <c r="L754" s="209"/>
    </row>
    <row r="755" spans="1:12" ht="15.75" customHeight="1">
      <c r="A755" s="67"/>
      <c r="B755" s="73">
        <f>SUMIFS('لیست واریزی کل خیرین'!B:B,'لیست واریزی کل خیرین'!D:D,Table1[[#This Row],[نام]],'لیست واریزی کل خیرین'!E:E,Table1[[#This Row],[نام خانوادگی]])</f>
        <v>107</v>
      </c>
      <c r="C755" s="298" t="s">
        <v>1408</v>
      </c>
      <c r="D755" s="216" t="s">
        <v>1409</v>
      </c>
      <c r="E755" s="274" t="s">
        <v>1707</v>
      </c>
      <c r="F755" s="87" t="s">
        <v>1708</v>
      </c>
      <c r="G755" s="74" t="s">
        <v>368</v>
      </c>
      <c r="H755" s="75">
        <f t="shared" si="55"/>
        <v>12</v>
      </c>
      <c r="I755" s="74">
        <v>1402</v>
      </c>
      <c r="J755" s="74"/>
      <c r="K755" s="76">
        <v>40000000</v>
      </c>
      <c r="L755" s="209"/>
    </row>
    <row r="756" spans="1:12" ht="15.75" customHeight="1">
      <c r="A756" s="67"/>
      <c r="B756" s="73">
        <f>SUMIFS('لیست واریزی کل خیرین'!B:B,'لیست واریزی کل خیرین'!D:D,Table1[[#This Row],[نام]],'لیست واریزی کل خیرین'!E:E,Table1[[#This Row],[نام خانوادگی]])</f>
        <v>4</v>
      </c>
      <c r="C756" s="199" t="s">
        <v>340</v>
      </c>
      <c r="D756" s="199" t="s">
        <v>341</v>
      </c>
      <c r="E756" s="274" t="s">
        <v>1709</v>
      </c>
      <c r="F756" s="87" t="s">
        <v>1093</v>
      </c>
      <c r="G756" s="74" t="s">
        <v>368</v>
      </c>
      <c r="H756" s="75">
        <f t="shared" si="55"/>
        <v>12</v>
      </c>
      <c r="I756" s="74">
        <v>1402</v>
      </c>
      <c r="J756" s="74"/>
      <c r="K756" s="76">
        <v>2000000</v>
      </c>
      <c r="L756" s="209"/>
    </row>
    <row r="757" spans="1:12" ht="15.75" customHeight="1">
      <c r="A757" s="67"/>
      <c r="B757" s="73">
        <f>SUMIFS('لیست واریزی کل خیرین'!B:B,'لیست واریزی کل خیرین'!D:D,Table1[[#This Row],[نام]],'لیست واریزی کل خیرین'!E:E,Table1[[#This Row],[نام خانوادگی]])</f>
        <v>50</v>
      </c>
      <c r="C757" s="21" t="s">
        <v>372</v>
      </c>
      <c r="D757" s="21" t="s">
        <v>533</v>
      </c>
      <c r="E757" s="274" t="s">
        <v>1710</v>
      </c>
      <c r="F757" s="87" t="s">
        <v>1220</v>
      </c>
      <c r="G757" s="74" t="s">
        <v>368</v>
      </c>
      <c r="H757" s="75">
        <f t="shared" si="55"/>
        <v>12</v>
      </c>
      <c r="I757" s="74">
        <v>1402</v>
      </c>
      <c r="J757" s="74"/>
      <c r="K757" s="76">
        <v>5000000</v>
      </c>
      <c r="L757" s="209"/>
    </row>
    <row r="758" spans="1:12" ht="15.75" customHeight="1">
      <c r="A758" s="67"/>
      <c r="B758" s="73">
        <f>SUMIFS('لیست واریزی کل خیرین'!B:B,'لیست واریزی کل خیرین'!D:D,Table1[[#This Row],[نام]],'لیست واریزی کل خیرین'!E:E,Table1[[#This Row],[نام خانوادگی]])</f>
        <v>7</v>
      </c>
      <c r="C758" s="21" t="s">
        <v>349</v>
      </c>
      <c r="D758" s="21" t="s">
        <v>350</v>
      </c>
      <c r="E758" s="274" t="s">
        <v>1711</v>
      </c>
      <c r="F758" s="87" t="s">
        <v>448</v>
      </c>
      <c r="G758" s="74" t="s">
        <v>368</v>
      </c>
      <c r="H758" s="75">
        <f t="shared" si="55"/>
        <v>12</v>
      </c>
      <c r="I758" s="74">
        <v>1402</v>
      </c>
      <c r="J758" s="74"/>
      <c r="K758" s="76">
        <v>50000000</v>
      </c>
      <c r="L758" s="209"/>
    </row>
    <row r="759" spans="1:12" ht="15.75" customHeight="1">
      <c r="A759" s="67"/>
      <c r="B759" s="73">
        <f>SUMIFS('لیست واریزی کل خیرین'!B:B,'لیست واریزی کل خیرین'!D:D,Table1[[#This Row],[نام]],'لیست واریزی کل خیرین'!E:E,Table1[[#This Row],[نام خانوادگی]])</f>
        <v>18</v>
      </c>
      <c r="C759" s="21" t="s">
        <v>378</v>
      </c>
      <c r="D759" s="21" t="s">
        <v>379</v>
      </c>
      <c r="E759" s="274" t="s">
        <v>1712</v>
      </c>
      <c r="F759" s="87" t="s">
        <v>637</v>
      </c>
      <c r="G759" s="74" t="s">
        <v>368</v>
      </c>
      <c r="H759" s="75">
        <f t="shared" si="55"/>
        <v>12</v>
      </c>
      <c r="I759" s="74">
        <v>1402</v>
      </c>
      <c r="J759" s="74"/>
      <c r="K759" s="76">
        <v>50000000</v>
      </c>
      <c r="L759" s="209"/>
    </row>
    <row r="760" spans="1:12" ht="15.75" customHeight="1">
      <c r="A760" s="67"/>
      <c r="B760" s="73">
        <f>SUMIFS('لیست واریزی کل خیرین'!B:B,'لیست واریزی کل خیرین'!D:D,Table1[[#This Row],[نام]],'لیست واریزی کل خیرین'!E:E,Table1[[#This Row],[نام خانوادگی]])</f>
        <v>12</v>
      </c>
      <c r="C760" s="21" t="s">
        <v>366</v>
      </c>
      <c r="D760" s="36" t="s">
        <v>367</v>
      </c>
      <c r="E760" s="274" t="s">
        <v>1713</v>
      </c>
      <c r="F760" s="87" t="s">
        <v>664</v>
      </c>
      <c r="G760" s="74" t="s">
        <v>368</v>
      </c>
      <c r="H760" s="75">
        <f t="shared" si="55"/>
        <v>12</v>
      </c>
      <c r="I760" s="74">
        <v>1402</v>
      </c>
      <c r="J760" s="74"/>
      <c r="K760" s="76">
        <v>50000000</v>
      </c>
      <c r="L760" s="209"/>
    </row>
    <row r="761" spans="1:12" ht="15.75" customHeight="1">
      <c r="A761" s="67"/>
      <c r="B761" s="73">
        <f>SUMIFS('لیست واریزی کل خیرین'!B:B,'لیست واریزی کل خیرین'!D:D,Table1[[#This Row],[نام]],'لیست واریزی کل خیرین'!E:E,Table1[[#This Row],[نام خانوادگی]])</f>
        <v>19</v>
      </c>
      <c r="C761" s="21" t="s">
        <v>363</v>
      </c>
      <c r="D761" s="21" t="s">
        <v>380</v>
      </c>
      <c r="E761" s="274" t="s">
        <v>1714</v>
      </c>
      <c r="F761" s="87" t="s">
        <v>637</v>
      </c>
      <c r="G761" s="74" t="s">
        <v>368</v>
      </c>
      <c r="H761" s="75">
        <f t="shared" si="55"/>
        <v>12</v>
      </c>
      <c r="I761" s="74">
        <v>1402</v>
      </c>
      <c r="J761" s="74"/>
      <c r="K761" s="76">
        <v>50000000</v>
      </c>
      <c r="L761" s="209"/>
    </row>
    <row r="762" spans="1:12" ht="15.75" customHeight="1">
      <c r="A762" s="67"/>
      <c r="B762" s="73">
        <f>SUMIFS('لیست واریزی کل خیرین'!B:B,'لیست واریزی کل خیرین'!D:D,Table1[[#This Row],[نام]],'لیست واریزی کل خیرین'!E:E,Table1[[#This Row],[نام خانوادگی]])</f>
        <v>128</v>
      </c>
      <c r="C762" s="216" t="s">
        <v>1316</v>
      </c>
      <c r="D762" s="216" t="s">
        <v>1715</v>
      </c>
      <c r="E762" s="274" t="s">
        <v>1716</v>
      </c>
      <c r="F762" s="87" t="s">
        <v>637</v>
      </c>
      <c r="G762" s="74" t="s">
        <v>368</v>
      </c>
      <c r="H762" s="75">
        <f t="shared" si="55"/>
        <v>12</v>
      </c>
      <c r="I762" s="74">
        <v>1402</v>
      </c>
      <c r="J762" s="74"/>
      <c r="K762" s="76">
        <v>120000000</v>
      </c>
      <c r="L762" s="209"/>
    </row>
    <row r="763" spans="1:12" ht="15.75" customHeight="1">
      <c r="A763" s="67"/>
      <c r="B763" s="73">
        <f>SUMIFS('لیست واریزی کل خیرین'!B:B,'لیست واریزی کل خیرین'!D:D,Table1[[#This Row],[نام]],'لیست واریزی کل خیرین'!E:E,Table1[[#This Row],[نام خانوادگی]])</f>
        <v>128</v>
      </c>
      <c r="C763" s="216" t="s">
        <v>1316</v>
      </c>
      <c r="D763" s="216" t="s">
        <v>1715</v>
      </c>
      <c r="E763" s="274" t="s">
        <v>1716</v>
      </c>
      <c r="F763" s="87" t="s">
        <v>637</v>
      </c>
      <c r="G763" s="74" t="s">
        <v>368</v>
      </c>
      <c r="H763" s="75">
        <f t="shared" ref="H763" si="56">IF(G763="","",VLOOKUP(G763,mah,2,0))</f>
        <v>12</v>
      </c>
      <c r="I763" s="74">
        <v>1402</v>
      </c>
      <c r="J763" s="74"/>
      <c r="K763" s="76">
        <v>120000000</v>
      </c>
      <c r="L763" s="209"/>
    </row>
    <row r="764" spans="1:12" ht="15.75" customHeight="1">
      <c r="A764" s="67"/>
      <c r="B764" s="73">
        <f>SUMIFS('لیست واریزی کل خیرین'!B:B,'لیست واریزی کل خیرین'!D:D,Table1[[#This Row],[نام]],'لیست واریزی کل خیرین'!E:E,Table1[[#This Row],[نام خانوادگی]])</f>
        <v>9</v>
      </c>
      <c r="C764" s="21" t="s">
        <v>355</v>
      </c>
      <c r="D764" s="21" t="s">
        <v>356</v>
      </c>
      <c r="E764" s="274" t="s">
        <v>1717</v>
      </c>
      <c r="F764" s="87" t="s">
        <v>464</v>
      </c>
      <c r="G764" s="74" t="s">
        <v>368</v>
      </c>
      <c r="H764" s="75">
        <f t="shared" si="55"/>
        <v>12</v>
      </c>
      <c r="I764" s="74">
        <v>1402</v>
      </c>
      <c r="J764" s="74"/>
      <c r="K764" s="76">
        <v>20000000</v>
      </c>
      <c r="L764" s="209"/>
    </row>
    <row r="765" spans="1:12" ht="15.75" customHeight="1">
      <c r="A765" s="67"/>
      <c r="B765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765" s="21" t="s">
        <v>76</v>
      </c>
      <c r="D765" s="21" t="s">
        <v>347</v>
      </c>
      <c r="E765" s="74"/>
      <c r="F765" s="87"/>
      <c r="G765" s="74" t="s">
        <v>368</v>
      </c>
      <c r="H765" s="75">
        <f t="shared" si="55"/>
        <v>12</v>
      </c>
      <c r="I765" s="74">
        <v>1402</v>
      </c>
      <c r="J765" s="74"/>
      <c r="K765" s="76">
        <v>5000000</v>
      </c>
      <c r="L765" s="209" t="s">
        <v>1719</v>
      </c>
    </row>
    <row r="766" spans="1:12" ht="15.75" customHeight="1">
      <c r="A766" s="67"/>
      <c r="B766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766" s="21" t="s">
        <v>76</v>
      </c>
      <c r="D766" s="21" t="s">
        <v>347</v>
      </c>
      <c r="E766" s="74"/>
      <c r="F766" s="87"/>
      <c r="G766" s="74" t="s">
        <v>365</v>
      </c>
      <c r="H766" s="75">
        <f t="shared" si="55"/>
        <v>11</v>
      </c>
      <c r="I766" s="74">
        <v>1402</v>
      </c>
      <c r="J766" s="74"/>
      <c r="K766" s="76">
        <v>5000000</v>
      </c>
      <c r="L766" s="209" t="s">
        <v>1719</v>
      </c>
    </row>
    <row r="767" spans="1:12" ht="15.75" customHeight="1">
      <c r="A767" s="67"/>
      <c r="B767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767" s="21" t="s">
        <v>76</v>
      </c>
      <c r="D767" s="21" t="s">
        <v>347</v>
      </c>
      <c r="E767" s="74"/>
      <c r="F767" s="87"/>
      <c r="G767" s="74" t="s">
        <v>362</v>
      </c>
      <c r="H767" s="75">
        <f t="shared" si="55"/>
        <v>10</v>
      </c>
      <c r="I767" s="74">
        <v>1402</v>
      </c>
      <c r="J767" s="74"/>
      <c r="K767" s="76">
        <v>5000000</v>
      </c>
      <c r="L767" s="209" t="s">
        <v>1719</v>
      </c>
    </row>
    <row r="768" spans="1:12" ht="15.75" customHeight="1">
      <c r="A768" s="67"/>
      <c r="B768" s="73">
        <f>SUMIFS('لیست واریزی کل خیرین'!B:B,'لیست واریزی کل خیرین'!D:D,Table1[[#This Row],[نام]],'لیست واریزی کل خیرین'!E:E,Table1[[#This Row],[نام خانوادگی]])</f>
        <v>6</v>
      </c>
      <c r="C768" s="21" t="s">
        <v>76</v>
      </c>
      <c r="D768" s="21" t="s">
        <v>347</v>
      </c>
      <c r="E768" s="74"/>
      <c r="F768" s="87"/>
      <c r="G768" s="74" t="s">
        <v>357</v>
      </c>
      <c r="H768" s="75">
        <f t="shared" si="55"/>
        <v>9</v>
      </c>
      <c r="I768" s="74">
        <v>1402</v>
      </c>
      <c r="J768" s="74"/>
      <c r="K768" s="76">
        <v>5000000</v>
      </c>
      <c r="L768" s="209" t="s">
        <v>1719</v>
      </c>
    </row>
    <row r="769" spans="1:12" ht="15.75" customHeight="1">
      <c r="A769" s="67"/>
      <c r="B769" s="73">
        <f>SUMIFS('لیست واریزی کل خیرین'!B:B,'لیست واریزی کل خیرین'!D:D,Table1[[#This Row],[نام]],'لیست واریزی کل خیرین'!E:E,Table1[[#This Row],[نام خانوادگی]])</f>
        <v>1</v>
      </c>
      <c r="C769" s="21" t="s">
        <v>338</v>
      </c>
      <c r="D769" s="21" t="s">
        <v>339</v>
      </c>
      <c r="E769" s="74"/>
      <c r="F769" s="87"/>
      <c r="G769" s="74" t="s">
        <v>346</v>
      </c>
      <c r="H769" s="75">
        <f t="shared" ref="H769:H772" si="57">IF(G769="","",VLOOKUP(G769,mah,2,0))</f>
        <v>5</v>
      </c>
      <c r="I769" s="74">
        <v>1402</v>
      </c>
      <c r="J769" s="74"/>
      <c r="K769" s="76">
        <v>10000000</v>
      </c>
      <c r="L769" s="209" t="s">
        <v>1720</v>
      </c>
    </row>
    <row r="770" spans="1:12" ht="15.75" customHeight="1">
      <c r="A770" s="67"/>
      <c r="B770" s="73">
        <f>SUMIFS('لیست واریزی کل خیرین'!B:B,'لیست واریزی کل خیرین'!D:D,Table1[[#This Row],[نام]],'لیست واریزی کل خیرین'!E:E,Table1[[#This Row],[نام خانوادگی]])</f>
        <v>1</v>
      </c>
      <c r="C770" s="21" t="s">
        <v>338</v>
      </c>
      <c r="D770" s="21" t="s">
        <v>339</v>
      </c>
      <c r="E770" s="74"/>
      <c r="F770" s="87"/>
      <c r="G770" s="74" t="s">
        <v>348</v>
      </c>
      <c r="H770" s="75">
        <f t="shared" si="57"/>
        <v>6</v>
      </c>
      <c r="I770" s="74">
        <v>1402</v>
      </c>
      <c r="J770" s="74"/>
      <c r="K770" s="76">
        <v>10000000</v>
      </c>
      <c r="L770" s="209" t="s">
        <v>1720</v>
      </c>
    </row>
    <row r="771" spans="1:12" ht="15.75" customHeight="1">
      <c r="A771" s="67"/>
      <c r="B771" s="73">
        <f>SUMIFS('لیست واریزی کل خیرین'!B:B,'لیست واریزی کل خیرین'!D:D,Table1[[#This Row],[نام]],'لیست واریزی کل خیرین'!E:E,Table1[[#This Row],[نام خانوادگی]])</f>
        <v>1</v>
      </c>
      <c r="C771" s="21" t="s">
        <v>338</v>
      </c>
      <c r="D771" s="21" t="s">
        <v>339</v>
      </c>
      <c r="E771" s="74"/>
      <c r="F771" s="87"/>
      <c r="G771" s="74" t="s">
        <v>351</v>
      </c>
      <c r="H771" s="75">
        <f t="shared" si="57"/>
        <v>7</v>
      </c>
      <c r="I771" s="74">
        <v>1402</v>
      </c>
      <c r="J771" s="74"/>
      <c r="K771" s="76">
        <v>10000000</v>
      </c>
      <c r="L771" s="209" t="s">
        <v>1720</v>
      </c>
    </row>
    <row r="772" spans="1:12" ht="15.75" customHeight="1">
      <c r="A772" s="67"/>
      <c r="B772" s="73">
        <f>SUMIFS('لیست واریزی کل خیرین'!B:B,'لیست واریزی کل خیرین'!D:D,Table1[[#This Row],[نام]],'لیست واریزی کل خیرین'!E:E,Table1[[#This Row],[نام خانوادگی]])</f>
        <v>1</v>
      </c>
      <c r="C772" s="21" t="s">
        <v>338</v>
      </c>
      <c r="D772" s="21" t="s">
        <v>339</v>
      </c>
      <c r="E772" s="74"/>
      <c r="F772" s="87"/>
      <c r="G772" s="74" t="s">
        <v>354</v>
      </c>
      <c r="H772" s="75">
        <f t="shared" si="57"/>
        <v>8</v>
      </c>
      <c r="I772" s="74">
        <v>1402</v>
      </c>
      <c r="J772" s="74"/>
      <c r="K772" s="76">
        <v>10000000</v>
      </c>
      <c r="L772" s="209" t="s">
        <v>1720</v>
      </c>
    </row>
    <row r="773" spans="1:12" ht="15.75" customHeight="1">
      <c r="A773" s="67"/>
      <c r="B773" s="73">
        <f>SUMIFS('لیست واریزی کل خیرین'!B:B,'لیست واریزی کل خیرین'!D:D,Table1[[#This Row],[نام]],'لیست واریزی کل خیرین'!E:E,Table1[[#This Row],[نام خانوادگی]])</f>
        <v>1</v>
      </c>
      <c r="C773" s="21" t="s">
        <v>338</v>
      </c>
      <c r="D773" s="21" t="s">
        <v>339</v>
      </c>
      <c r="E773" s="74"/>
      <c r="F773" s="87"/>
      <c r="G773" s="74" t="s">
        <v>357</v>
      </c>
      <c r="H773" s="75">
        <f t="shared" ref="H773:H776" si="58">IF(G773="","",VLOOKUP(G773,mah,2,0))</f>
        <v>9</v>
      </c>
      <c r="I773" s="74">
        <v>1402</v>
      </c>
      <c r="J773" s="74"/>
      <c r="K773" s="76">
        <v>10000000</v>
      </c>
      <c r="L773" s="209" t="s">
        <v>1720</v>
      </c>
    </row>
    <row r="774" spans="1:12" ht="15.75" customHeight="1">
      <c r="A774" s="67"/>
      <c r="B774" s="73">
        <f>SUMIFS('لیست واریزی کل خیرین'!B:B,'لیست واریزی کل خیرین'!D:D,Table1[[#This Row],[نام]],'لیست واریزی کل خیرین'!E:E,Table1[[#This Row],[نام خانوادگی]])</f>
        <v>1</v>
      </c>
      <c r="C774" s="21" t="s">
        <v>338</v>
      </c>
      <c r="D774" s="21" t="s">
        <v>339</v>
      </c>
      <c r="E774" s="74"/>
      <c r="F774" s="87"/>
      <c r="G774" s="74" t="s">
        <v>362</v>
      </c>
      <c r="H774" s="75">
        <f t="shared" si="58"/>
        <v>10</v>
      </c>
      <c r="I774" s="74">
        <v>1402</v>
      </c>
      <c r="J774" s="74"/>
      <c r="K774" s="76">
        <v>10000000</v>
      </c>
      <c r="L774" s="209" t="s">
        <v>1720</v>
      </c>
    </row>
    <row r="775" spans="1:12" ht="15.75" customHeight="1">
      <c r="A775" s="67"/>
      <c r="B775" s="73">
        <f>SUMIFS('لیست واریزی کل خیرین'!B:B,'لیست واریزی کل خیرین'!D:D,Table1[[#This Row],[نام]],'لیست واریزی کل خیرین'!E:E,Table1[[#This Row],[نام خانوادگی]])</f>
        <v>1</v>
      </c>
      <c r="C775" s="21" t="s">
        <v>338</v>
      </c>
      <c r="D775" s="21" t="s">
        <v>339</v>
      </c>
      <c r="E775" s="74"/>
      <c r="F775" s="87"/>
      <c r="G775" s="74" t="s">
        <v>365</v>
      </c>
      <c r="H775" s="75">
        <f t="shared" si="58"/>
        <v>11</v>
      </c>
      <c r="I775" s="74">
        <v>1402</v>
      </c>
      <c r="J775" s="74"/>
      <c r="K775" s="76">
        <v>10000000</v>
      </c>
      <c r="L775" s="209" t="s">
        <v>1720</v>
      </c>
    </row>
    <row r="776" spans="1:12" ht="15.75" customHeight="1">
      <c r="A776" s="67"/>
      <c r="B776" s="73">
        <f>SUMIFS('لیست واریزی کل خیرین'!B:B,'لیست واریزی کل خیرین'!D:D,Table1[[#This Row],[نام]],'لیست واریزی کل خیرین'!E:E,Table1[[#This Row],[نام خانوادگی]])</f>
        <v>1</v>
      </c>
      <c r="C776" s="21" t="s">
        <v>338</v>
      </c>
      <c r="D776" s="21" t="s">
        <v>339</v>
      </c>
      <c r="E776" s="74"/>
      <c r="F776" s="87"/>
      <c r="G776" s="74" t="s">
        <v>368</v>
      </c>
      <c r="H776" s="75">
        <f t="shared" si="58"/>
        <v>12</v>
      </c>
      <c r="I776" s="74">
        <v>1402</v>
      </c>
      <c r="J776" s="74"/>
      <c r="K776" s="76">
        <v>10000000</v>
      </c>
      <c r="L776" s="209" t="s">
        <v>1720</v>
      </c>
    </row>
    <row r="777" spans="1:12" ht="15.75" customHeight="1">
      <c r="A777" s="67"/>
      <c r="B777" s="73">
        <f>SUMIFS('لیست واریزی کل خیرین'!B:B,'لیست واریزی کل خیرین'!D:D,Table1[[#This Row],[نام]],'لیست واریزی کل خیرین'!E:E,Table1[[#This Row],[نام خانوادگی]])</f>
        <v>48</v>
      </c>
      <c r="C777" s="21" t="s">
        <v>363</v>
      </c>
      <c r="D777" s="21" t="s">
        <v>415</v>
      </c>
      <c r="E777" s="274" t="s">
        <v>1721</v>
      </c>
      <c r="F777" s="87"/>
      <c r="G777" s="74" t="s">
        <v>368</v>
      </c>
      <c r="H777" s="75">
        <f t="shared" ref="H777:H778" si="59">IF(G777="","",VLOOKUP(G777,mah,2,0))</f>
        <v>12</v>
      </c>
      <c r="I777" s="74">
        <v>1402</v>
      </c>
      <c r="J777" s="74"/>
      <c r="K777" s="76">
        <v>40000000</v>
      </c>
      <c r="L777" s="209"/>
    </row>
    <row r="778" spans="1:12" ht="15.75" customHeight="1">
      <c r="A778" s="67"/>
      <c r="B778" s="73">
        <f>SUMIFS('لیست واریزی کل خیرین'!B:B,'لیست واریزی کل خیرین'!D:D,Table1[[#This Row],[نام]],'لیست واریزی کل خیرین'!E:E,Table1[[#This Row],[نام خانوادگی]])</f>
        <v>74</v>
      </c>
      <c r="C778" s="199" t="s">
        <v>640</v>
      </c>
      <c r="D778" s="199" t="s">
        <v>641</v>
      </c>
      <c r="E778" s="274" t="s">
        <v>1722</v>
      </c>
      <c r="F778" s="87"/>
      <c r="G778" s="74" t="s">
        <v>368</v>
      </c>
      <c r="H778" s="75">
        <f t="shared" si="59"/>
        <v>12</v>
      </c>
      <c r="I778" s="74">
        <v>1402</v>
      </c>
      <c r="J778" s="74"/>
      <c r="K778" s="76">
        <v>5000000</v>
      </c>
      <c r="L778" s="209"/>
    </row>
    <row r="779" spans="1:12" ht="15.75" customHeight="1">
      <c r="A779" s="67"/>
      <c r="B779" s="73">
        <f>SUMIFS('لیست واریزی کل خیرین'!B:B,'لیست واریزی کل خیرین'!D:D,Table1[[#This Row],[نام]],'لیست واریزی کل خیرین'!E:E,Table1[[#This Row],[نام خانوادگی]])</f>
        <v>61</v>
      </c>
      <c r="C779" s="21" t="s">
        <v>571</v>
      </c>
      <c r="D779" s="21" t="s">
        <v>572</v>
      </c>
      <c r="E779" s="274" t="s">
        <v>1724</v>
      </c>
      <c r="F779" s="87"/>
      <c r="G779" s="74" t="s">
        <v>368</v>
      </c>
      <c r="H779" s="75">
        <f t="shared" ref="H779" si="60">IF(G779="","",VLOOKUP(G779,mah,2,0))</f>
        <v>12</v>
      </c>
      <c r="I779" s="74">
        <v>1402</v>
      </c>
      <c r="J779" s="74"/>
      <c r="K779" s="76">
        <v>10000000</v>
      </c>
      <c r="L779" s="209"/>
    </row>
    <row r="780" spans="1:12" ht="15.75" customHeight="1">
      <c r="A780" s="67"/>
      <c r="B780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80" s="199"/>
      <c r="D780" s="199"/>
      <c r="E780" s="74"/>
      <c r="F780" s="87"/>
      <c r="G780" s="74"/>
      <c r="H780" s="75" t="str">
        <f>IF(G780="","",VLOOKUP(G780,mah,2,0))</f>
        <v/>
      </c>
      <c r="I780" s="74"/>
      <c r="J780" s="74"/>
      <c r="K780" s="76"/>
      <c r="L780" s="209"/>
    </row>
    <row r="781" spans="1:12" ht="15.75" customHeight="1">
      <c r="A781" s="67"/>
      <c r="B781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81" s="199"/>
      <c r="D781" s="199"/>
      <c r="E781" s="74"/>
      <c r="F781" s="87"/>
      <c r="G781" s="74"/>
      <c r="H781" s="75" t="str">
        <f t="shared" ref="H781:H788" si="61">IF(G781="","",VLOOKUP(G781,mah,2,0))</f>
        <v/>
      </c>
      <c r="I781" s="74"/>
      <c r="J781" s="74"/>
      <c r="K781" s="76"/>
      <c r="L781" s="209"/>
    </row>
    <row r="782" spans="1:12" ht="15.75" customHeight="1">
      <c r="A782" s="67"/>
      <c r="B782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82" s="199"/>
      <c r="D782" s="199"/>
      <c r="E782" s="74"/>
      <c r="F782" s="87"/>
      <c r="G782" s="74"/>
      <c r="H782" s="75" t="str">
        <f t="shared" si="61"/>
        <v/>
      </c>
      <c r="I782" s="74"/>
      <c r="J782" s="74"/>
      <c r="K782" s="76"/>
      <c r="L782" s="209"/>
    </row>
    <row r="783" spans="1:12" ht="15.75" customHeight="1">
      <c r="A783" s="67"/>
      <c r="B783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83" s="199"/>
      <c r="D783" s="199"/>
      <c r="E783" s="74"/>
      <c r="F783" s="87"/>
      <c r="G783" s="74"/>
      <c r="H783" s="75" t="str">
        <f t="shared" si="61"/>
        <v/>
      </c>
      <c r="I783" s="74"/>
      <c r="J783" s="74"/>
      <c r="K783" s="76"/>
      <c r="L783" s="209"/>
    </row>
    <row r="784" spans="1:12" ht="15.75" customHeight="1">
      <c r="A784" s="67"/>
      <c r="B784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84" s="199"/>
      <c r="D784" s="199"/>
      <c r="E784" s="74"/>
      <c r="F784" s="87"/>
      <c r="G784" s="74"/>
      <c r="H784" s="75" t="str">
        <f t="shared" si="61"/>
        <v/>
      </c>
      <c r="I784" s="74"/>
      <c r="J784" s="74"/>
      <c r="K784" s="76"/>
      <c r="L784" s="209"/>
    </row>
    <row r="785" spans="1:12" ht="15.75" customHeight="1">
      <c r="A785" s="67"/>
      <c r="B785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85" s="199"/>
      <c r="D785" s="199"/>
      <c r="E785" s="74"/>
      <c r="F785" s="87"/>
      <c r="G785" s="74"/>
      <c r="H785" s="75" t="str">
        <f t="shared" si="61"/>
        <v/>
      </c>
      <c r="I785" s="74"/>
      <c r="J785" s="74"/>
      <c r="K785" s="76"/>
      <c r="L785" s="209"/>
    </row>
    <row r="786" spans="1:12" ht="15.75" customHeight="1">
      <c r="A786" s="67"/>
      <c r="B786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86" s="199"/>
      <c r="D786" s="199"/>
      <c r="E786" s="74"/>
      <c r="F786" s="87"/>
      <c r="G786" s="74"/>
      <c r="H786" s="75" t="str">
        <f t="shared" si="61"/>
        <v/>
      </c>
      <c r="I786" s="74"/>
      <c r="J786" s="74"/>
      <c r="K786" s="76"/>
      <c r="L786" s="209"/>
    </row>
    <row r="787" spans="1:12" ht="15.75" customHeight="1">
      <c r="A787" s="67"/>
      <c r="B787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87" s="199"/>
      <c r="D787" s="199"/>
      <c r="E787" s="74"/>
      <c r="F787" s="87"/>
      <c r="G787" s="74"/>
      <c r="H787" s="75" t="str">
        <f t="shared" si="61"/>
        <v/>
      </c>
      <c r="I787" s="74"/>
      <c r="J787" s="74"/>
      <c r="K787" s="76"/>
      <c r="L787" s="209"/>
    </row>
    <row r="788" spans="1:12" ht="15.75" customHeight="1">
      <c r="A788" s="67"/>
      <c r="B788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88" s="199"/>
      <c r="D788" s="199"/>
      <c r="E788" s="74"/>
      <c r="F788" s="87"/>
      <c r="G788" s="74"/>
      <c r="H788" s="75" t="str">
        <f t="shared" si="61"/>
        <v/>
      </c>
      <c r="I788" s="74"/>
      <c r="J788" s="74"/>
      <c r="K788" s="76"/>
      <c r="L788" s="209"/>
    </row>
    <row r="789" spans="1:12" ht="15.75" customHeight="1">
      <c r="A789" s="67"/>
      <c r="B789" s="73">
        <f>SUMIFS('لیست واریزی کل خیرین'!B:B,'لیست واریزی کل خیرین'!D:D,Table1[[#This Row],[نام]],'لیست واریزی کل خیرین'!E:E,Table1[[#This Row],[نام خانوادگی]])</f>
        <v>0</v>
      </c>
      <c r="C789" s="274"/>
      <c r="D789" s="274"/>
      <c r="E789" s="274"/>
      <c r="F789" s="287"/>
      <c r="G789" s="274"/>
      <c r="H789" s="75" t="str">
        <f t="shared" ref="H789" si="62">IF(G789="","",VLOOKUP(G789,mah,2,0))</f>
        <v/>
      </c>
      <c r="I789" s="74">
        <v>1402</v>
      </c>
      <c r="J789" s="274"/>
      <c r="K789" s="285"/>
      <c r="L789" s="209"/>
    </row>
    <row r="790" spans="1:12" ht="15.75" customHeight="1">
      <c r="A790" s="67"/>
      <c r="B790" s="17">
        <f>SUMIFS('لیست واریزی کل خیرین'!B:B,'لیست واریزی کل خیرین'!D:D,Table1[[#This Row],[نام]],'لیست واریزی کل خیرین'!E:E,Table1[[#This Row],[نام خانوادگی]])</f>
        <v>0</v>
      </c>
      <c r="C790" s="274"/>
      <c r="D790" s="274"/>
      <c r="E790" s="274"/>
      <c r="F790" s="287"/>
      <c r="G790" s="274"/>
      <c r="H790" s="22" t="str">
        <f t="shared" si="8"/>
        <v/>
      </c>
      <c r="I790" s="74">
        <v>1402</v>
      </c>
      <c r="J790" s="274"/>
      <c r="K790" s="285"/>
      <c r="L790" s="78"/>
    </row>
    <row r="791" spans="1:12" ht="15.75" customHeight="1">
      <c r="A791" s="241"/>
      <c r="B791" s="242"/>
      <c r="C791" s="243"/>
      <c r="D791" s="243"/>
      <c r="E791" s="244"/>
      <c r="F791" s="245"/>
      <c r="G791" s="246"/>
      <c r="H791" s="247"/>
      <c r="I791" s="246"/>
      <c r="J791" s="246"/>
      <c r="K791" s="248"/>
      <c r="L791" s="249"/>
    </row>
    <row r="792" spans="1:12" ht="15.75" customHeight="1">
      <c r="A792" s="31"/>
      <c r="B792" s="226"/>
      <c r="C792" s="227" t="s">
        <v>314</v>
      </c>
      <c r="D792" s="228"/>
      <c r="E792" s="225"/>
      <c r="F792" s="88"/>
      <c r="G792" s="32"/>
      <c r="H792" s="32"/>
      <c r="I792" s="32"/>
      <c r="J792" s="32"/>
      <c r="K792" s="240">
        <f>SUM(K2:K791)</f>
        <v>15963274053</v>
      </c>
      <c r="L792" s="32"/>
    </row>
    <row r="793" spans="1:12" ht="15.75" customHeight="1">
      <c r="C793" s="13"/>
      <c r="D793" s="13"/>
      <c r="F793" s="89"/>
    </row>
    <row r="794" spans="1:12" ht="15.75" customHeight="1">
      <c r="C794" s="13"/>
      <c r="D794" s="13"/>
      <c r="F794" s="89"/>
      <c r="K794">
        <v>3552502358</v>
      </c>
    </row>
    <row r="795" spans="1:12" ht="15.75" customHeight="1">
      <c r="C795" s="13"/>
      <c r="D795" s="13"/>
      <c r="F795" s="89"/>
      <c r="K795" s="58">
        <f>K794-K792</f>
        <v>-12410771695</v>
      </c>
    </row>
    <row r="796" spans="1:12" ht="15.75" customHeight="1">
      <c r="C796" s="13"/>
      <c r="D796" s="13"/>
      <c r="F796" s="89"/>
      <c r="K796">
        <v>37024214</v>
      </c>
    </row>
    <row r="797" spans="1:12" ht="15.75" customHeight="1">
      <c r="C797" s="13"/>
      <c r="D797" s="13"/>
      <c r="F797" s="89"/>
      <c r="K797" s="39">
        <f>K795-K796</f>
        <v>-12447795909</v>
      </c>
    </row>
    <row r="798" spans="1:12" ht="15.75" customHeight="1">
      <c r="C798" s="13"/>
      <c r="D798" s="13"/>
      <c r="F798" s="89"/>
    </row>
    <row r="799" spans="1:12" ht="15.75" customHeight="1">
      <c r="C799" s="13"/>
      <c r="D799" s="13"/>
      <c r="F799" s="89"/>
    </row>
    <row r="800" spans="1:12" ht="15.75" customHeight="1">
      <c r="C800" s="13"/>
      <c r="D800" s="13"/>
      <c r="F800" s="89"/>
    </row>
    <row r="801" spans="3:6" ht="15.75" customHeight="1">
      <c r="C801" s="13"/>
      <c r="D801" s="13"/>
      <c r="F801" s="89"/>
    </row>
    <row r="802" spans="3:6" ht="15.75" customHeight="1">
      <c r="C802" s="13"/>
      <c r="D802" s="13"/>
      <c r="F802" s="89"/>
    </row>
    <row r="803" spans="3:6" ht="15.75" customHeight="1">
      <c r="C803" s="13"/>
      <c r="D803" s="13"/>
      <c r="F803" s="89"/>
    </row>
    <row r="804" spans="3:6" ht="15.75" customHeight="1">
      <c r="C804" s="13"/>
      <c r="D804" s="13"/>
      <c r="F804" s="89"/>
    </row>
    <row r="805" spans="3:6" ht="15.75" customHeight="1">
      <c r="C805" s="13"/>
      <c r="D805" s="13"/>
      <c r="F805" s="89"/>
    </row>
    <row r="806" spans="3:6" ht="15.75" customHeight="1">
      <c r="C806" s="13"/>
      <c r="D806" s="13"/>
      <c r="F806" s="89"/>
    </row>
    <row r="807" spans="3:6" ht="15.75" customHeight="1">
      <c r="C807" s="13"/>
      <c r="D807" s="13"/>
      <c r="F807" s="89"/>
    </row>
    <row r="808" spans="3:6" ht="15.75" customHeight="1">
      <c r="C808" s="13"/>
      <c r="D808" s="13"/>
      <c r="F808" s="89"/>
    </row>
    <row r="809" spans="3:6" ht="15.75" customHeight="1">
      <c r="C809" s="13"/>
      <c r="D809" s="13"/>
      <c r="F809" s="89"/>
    </row>
    <row r="810" spans="3:6" ht="15.75" customHeight="1">
      <c r="C810" s="13"/>
      <c r="D810" s="13"/>
      <c r="F810" s="89"/>
    </row>
    <row r="811" spans="3:6" ht="15.75" customHeight="1">
      <c r="C811" s="13"/>
      <c r="D811" s="13"/>
      <c r="F811" s="89"/>
    </row>
    <row r="812" spans="3:6" ht="15.75" customHeight="1">
      <c r="C812" s="13"/>
      <c r="D812" s="13"/>
      <c r="F812" s="89"/>
    </row>
    <row r="813" spans="3:6" ht="15.75" customHeight="1">
      <c r="C813" s="13"/>
      <c r="D813" s="13"/>
      <c r="F813" s="89"/>
    </row>
    <row r="814" spans="3:6" ht="15.75" customHeight="1">
      <c r="C814" s="13"/>
      <c r="D814" s="13"/>
      <c r="F814" s="89"/>
    </row>
    <row r="815" spans="3:6" ht="15.75" customHeight="1">
      <c r="C815" s="13"/>
      <c r="D815" s="13"/>
      <c r="F815" s="89"/>
    </row>
    <row r="816" spans="3:6" ht="15.75" customHeight="1">
      <c r="C816" s="13"/>
      <c r="D816" s="13"/>
      <c r="F816" s="89"/>
    </row>
    <row r="817" spans="3:6" ht="15.75" customHeight="1">
      <c r="C817" s="13"/>
      <c r="D817" s="13"/>
      <c r="F817" s="89"/>
    </row>
    <row r="818" spans="3:6" ht="15.75" customHeight="1">
      <c r="C818" s="13"/>
      <c r="D818" s="13"/>
      <c r="F818" s="89"/>
    </row>
    <row r="819" spans="3:6" ht="15.75" customHeight="1">
      <c r="C819" s="13"/>
      <c r="D819" s="13"/>
      <c r="F819" s="89"/>
    </row>
    <row r="820" spans="3:6" ht="15.75" customHeight="1">
      <c r="C820" s="13"/>
      <c r="D820" s="13"/>
      <c r="F820" s="89"/>
    </row>
    <row r="821" spans="3:6" ht="15.75" customHeight="1">
      <c r="C821" s="13"/>
      <c r="D821" s="13"/>
      <c r="F821" s="89"/>
    </row>
    <row r="822" spans="3:6" ht="15.75" customHeight="1">
      <c r="C822" s="13"/>
      <c r="D822" s="13"/>
      <c r="F822" s="89"/>
    </row>
    <row r="823" spans="3:6" ht="15.75" customHeight="1">
      <c r="C823" s="13"/>
      <c r="D823" s="13"/>
      <c r="F823" s="89"/>
    </row>
    <row r="824" spans="3:6" ht="15.75" customHeight="1">
      <c r="C824" s="13"/>
      <c r="D824" s="13"/>
      <c r="F824" s="89"/>
    </row>
    <row r="825" spans="3:6" ht="15.75" customHeight="1">
      <c r="C825" s="13"/>
      <c r="D825" s="13"/>
      <c r="F825" s="89"/>
    </row>
    <row r="826" spans="3:6" ht="15.75" customHeight="1">
      <c r="C826" s="13"/>
      <c r="D826" s="13"/>
      <c r="F826" s="89"/>
    </row>
    <row r="827" spans="3:6" ht="15.75" customHeight="1">
      <c r="C827" s="13"/>
      <c r="D827" s="13"/>
      <c r="F827" s="89"/>
    </row>
    <row r="828" spans="3:6" ht="15.75" customHeight="1">
      <c r="C828" s="13"/>
      <c r="D828" s="13"/>
      <c r="F828" s="89"/>
    </row>
    <row r="829" spans="3:6" ht="15.75" customHeight="1">
      <c r="C829" s="13"/>
      <c r="D829" s="13"/>
      <c r="F829" s="89"/>
    </row>
    <row r="830" spans="3:6" ht="15.75" customHeight="1">
      <c r="C830" s="13"/>
      <c r="D830" s="13"/>
      <c r="F830" s="89"/>
    </row>
    <row r="831" spans="3:6" ht="15.75" customHeight="1">
      <c r="C831" s="13"/>
      <c r="D831" s="13"/>
      <c r="F831" s="89"/>
    </row>
    <row r="832" spans="3:6" ht="15.75" customHeight="1">
      <c r="C832" s="13"/>
      <c r="D832" s="13"/>
      <c r="F832" s="89"/>
    </row>
    <row r="833" spans="3:6" ht="15.75" customHeight="1">
      <c r="C833" s="13"/>
      <c r="D833" s="13"/>
      <c r="F833" s="89"/>
    </row>
    <row r="834" spans="3:6" ht="15.75" customHeight="1">
      <c r="C834" s="13"/>
      <c r="D834" s="13"/>
      <c r="F834" s="89"/>
    </row>
    <row r="835" spans="3:6" ht="15.75" customHeight="1">
      <c r="C835" s="13"/>
      <c r="D835" s="13"/>
      <c r="F835" s="89"/>
    </row>
    <row r="836" spans="3:6" ht="15.75" customHeight="1">
      <c r="C836" s="13"/>
      <c r="D836" s="13"/>
      <c r="F836" s="89"/>
    </row>
    <row r="837" spans="3:6" ht="15.75" customHeight="1">
      <c r="C837" s="13"/>
      <c r="D837" s="13"/>
      <c r="F837" s="89"/>
    </row>
    <row r="838" spans="3:6" ht="15.75" customHeight="1">
      <c r="C838" s="13"/>
      <c r="D838" s="13"/>
      <c r="F838" s="89"/>
    </row>
    <row r="839" spans="3:6" ht="15.75" customHeight="1">
      <c r="C839" s="13"/>
      <c r="D839" s="13"/>
      <c r="F839" s="89"/>
    </row>
    <row r="840" spans="3:6" ht="15.75" customHeight="1">
      <c r="C840" s="13"/>
      <c r="D840" s="13"/>
      <c r="F840" s="89"/>
    </row>
    <row r="841" spans="3:6" ht="15.75" customHeight="1">
      <c r="C841" s="13"/>
      <c r="D841" s="13"/>
      <c r="F841" s="89"/>
    </row>
    <row r="842" spans="3:6" ht="15.75" customHeight="1">
      <c r="C842" s="13"/>
      <c r="D842" s="13"/>
      <c r="F842" s="89"/>
    </row>
    <row r="843" spans="3:6" ht="15.75" customHeight="1">
      <c r="C843" s="13"/>
      <c r="D843" s="13"/>
      <c r="F843" s="89"/>
    </row>
    <row r="844" spans="3:6" ht="15.75" customHeight="1">
      <c r="C844" s="13"/>
      <c r="D844" s="13"/>
      <c r="F844" s="89"/>
    </row>
    <row r="845" spans="3:6" ht="15.75" customHeight="1">
      <c r="C845" s="13"/>
      <c r="D845" s="13"/>
      <c r="F845" s="89"/>
    </row>
    <row r="846" spans="3:6" ht="15.75" customHeight="1">
      <c r="C846" s="13"/>
      <c r="D846" s="13"/>
      <c r="F846" s="89"/>
    </row>
    <row r="847" spans="3:6" ht="15.75" customHeight="1">
      <c r="C847" s="13"/>
      <c r="D847" s="13"/>
      <c r="F847" s="89"/>
    </row>
    <row r="848" spans="3:6" ht="15.75" customHeight="1">
      <c r="C848" s="13"/>
      <c r="D848" s="13"/>
      <c r="F848" s="89"/>
    </row>
    <row r="849" spans="3:6" ht="15.75" customHeight="1">
      <c r="C849" s="13"/>
      <c r="D849" s="13"/>
      <c r="F849" s="89"/>
    </row>
    <row r="850" spans="3:6" ht="15.75" customHeight="1">
      <c r="C850" s="13"/>
      <c r="D850" s="13"/>
      <c r="F850" s="89"/>
    </row>
    <row r="851" spans="3:6" ht="15.75" customHeight="1">
      <c r="C851" s="13"/>
      <c r="D851" s="13"/>
      <c r="F851" s="89"/>
    </row>
    <row r="852" spans="3:6" ht="15.75" customHeight="1">
      <c r="C852" s="13"/>
      <c r="D852" s="13"/>
      <c r="F852" s="89"/>
    </row>
    <row r="853" spans="3:6" ht="15.75" customHeight="1">
      <c r="C853" s="13"/>
      <c r="D853" s="13"/>
      <c r="F853" s="89"/>
    </row>
    <row r="854" spans="3:6" ht="15.75" customHeight="1">
      <c r="C854" s="13"/>
      <c r="D854" s="13"/>
      <c r="F854" s="89"/>
    </row>
    <row r="855" spans="3:6" ht="15.75" customHeight="1">
      <c r="C855" s="13"/>
      <c r="D855" s="13"/>
      <c r="F855" s="89"/>
    </row>
    <row r="856" spans="3:6" ht="15.75" customHeight="1">
      <c r="C856" s="13"/>
      <c r="D856" s="13"/>
      <c r="F856" s="89"/>
    </row>
    <row r="857" spans="3:6" ht="15.75" customHeight="1">
      <c r="C857" s="13"/>
      <c r="D857" s="13"/>
      <c r="F857" s="89"/>
    </row>
    <row r="858" spans="3:6" ht="15.75" customHeight="1">
      <c r="C858" s="13"/>
      <c r="D858" s="13"/>
      <c r="F858" s="89"/>
    </row>
    <row r="859" spans="3:6" ht="15.75" customHeight="1">
      <c r="C859" s="13"/>
      <c r="D859" s="13"/>
      <c r="F859" s="89"/>
    </row>
    <row r="860" spans="3:6" ht="15.75" customHeight="1">
      <c r="C860" s="13"/>
      <c r="D860" s="13"/>
      <c r="F860" s="89"/>
    </row>
    <row r="861" spans="3:6" ht="15.75" customHeight="1">
      <c r="C861" s="13"/>
      <c r="D861" s="13"/>
      <c r="F861" s="89"/>
    </row>
    <row r="862" spans="3:6" ht="15.75" customHeight="1">
      <c r="C862" s="13"/>
      <c r="D862" s="13"/>
      <c r="F862" s="89"/>
    </row>
    <row r="863" spans="3:6" ht="15.75" customHeight="1">
      <c r="C863" s="13"/>
      <c r="D863" s="13"/>
      <c r="F863" s="89"/>
    </row>
    <row r="864" spans="3:6" ht="15.75" customHeight="1">
      <c r="C864" s="13"/>
      <c r="D864" s="13"/>
      <c r="F864" s="89"/>
    </row>
    <row r="865" spans="3:6" ht="15.75" customHeight="1">
      <c r="C865" s="13"/>
      <c r="D865" s="13"/>
      <c r="F865" s="89"/>
    </row>
    <row r="866" spans="3:6" ht="15.75" customHeight="1">
      <c r="C866" s="13"/>
      <c r="D866" s="13"/>
      <c r="F866" s="89"/>
    </row>
    <row r="867" spans="3:6" ht="15.75" customHeight="1">
      <c r="C867" s="13"/>
      <c r="D867" s="13"/>
      <c r="F867" s="89"/>
    </row>
    <row r="868" spans="3:6" ht="15.75" customHeight="1">
      <c r="C868" s="13"/>
      <c r="D868" s="13"/>
      <c r="F868" s="89"/>
    </row>
    <row r="869" spans="3:6" ht="15.75" customHeight="1">
      <c r="C869" s="13"/>
      <c r="D869" s="13"/>
      <c r="F869" s="89"/>
    </row>
    <row r="870" spans="3:6" ht="15.75" customHeight="1">
      <c r="C870" s="13"/>
      <c r="D870" s="13"/>
      <c r="F870" s="89"/>
    </row>
    <row r="871" spans="3:6" ht="15.75" customHeight="1">
      <c r="C871" s="13"/>
      <c r="D871" s="13"/>
      <c r="F871" s="89"/>
    </row>
    <row r="872" spans="3:6" ht="15.75" customHeight="1">
      <c r="C872" s="13"/>
      <c r="D872" s="13"/>
      <c r="F872" s="89"/>
    </row>
    <row r="873" spans="3:6" ht="15.75" customHeight="1">
      <c r="C873" s="13"/>
      <c r="D873" s="13"/>
      <c r="F873" s="89"/>
    </row>
    <row r="874" spans="3:6" ht="15.75" customHeight="1">
      <c r="C874" s="13"/>
      <c r="D874" s="13"/>
      <c r="F874" s="89"/>
    </row>
    <row r="875" spans="3:6" ht="15.75" customHeight="1">
      <c r="C875" s="13"/>
      <c r="D875" s="13"/>
      <c r="F875" s="89"/>
    </row>
    <row r="876" spans="3:6" ht="15.75" customHeight="1">
      <c r="C876" s="13"/>
      <c r="D876" s="13"/>
      <c r="F876" s="89"/>
    </row>
    <row r="877" spans="3:6" ht="15.75" customHeight="1">
      <c r="C877" s="13"/>
      <c r="D877" s="13"/>
      <c r="F877" s="89"/>
    </row>
    <row r="878" spans="3:6" ht="15.75" customHeight="1">
      <c r="C878" s="13"/>
      <c r="D878" s="13"/>
      <c r="F878" s="89"/>
    </row>
    <row r="879" spans="3:6" ht="15.75" customHeight="1">
      <c r="C879" s="13"/>
      <c r="D879" s="13"/>
      <c r="F879" s="89"/>
    </row>
    <row r="880" spans="3:6" ht="15.75" customHeight="1">
      <c r="C880" s="13"/>
      <c r="D880" s="13"/>
      <c r="F880" s="89"/>
    </row>
    <row r="881" spans="3:6" ht="15.75" customHeight="1">
      <c r="C881" s="13"/>
      <c r="D881" s="13"/>
      <c r="F881" s="89"/>
    </row>
    <row r="882" spans="3:6" ht="15.75" customHeight="1">
      <c r="C882" s="13"/>
      <c r="D882" s="13"/>
      <c r="F882" s="89"/>
    </row>
    <row r="883" spans="3:6" ht="15.75" customHeight="1">
      <c r="C883" s="13"/>
      <c r="D883" s="13"/>
      <c r="F883" s="89"/>
    </row>
    <row r="884" spans="3:6" ht="15.75" customHeight="1">
      <c r="C884" s="13"/>
      <c r="D884" s="13"/>
      <c r="F884" s="89"/>
    </row>
    <row r="885" spans="3:6" ht="15.75" customHeight="1">
      <c r="C885" s="13"/>
      <c r="D885" s="13"/>
      <c r="F885" s="89"/>
    </row>
    <row r="886" spans="3:6" ht="15.75" customHeight="1">
      <c r="C886" s="13"/>
      <c r="D886" s="13"/>
      <c r="F886" s="89"/>
    </row>
    <row r="887" spans="3:6" ht="15.75" customHeight="1">
      <c r="C887" s="13"/>
      <c r="D887" s="13"/>
      <c r="F887" s="89"/>
    </row>
    <row r="888" spans="3:6" ht="15.75" customHeight="1">
      <c r="C888" s="13"/>
      <c r="D888" s="13"/>
      <c r="F888" s="89"/>
    </row>
    <row r="889" spans="3:6" ht="15.75" customHeight="1">
      <c r="C889" s="13"/>
      <c r="D889" s="13"/>
      <c r="F889" s="89"/>
    </row>
    <row r="890" spans="3:6" ht="15.75" customHeight="1">
      <c r="C890" s="13"/>
      <c r="D890" s="13"/>
      <c r="F890" s="89"/>
    </row>
    <row r="891" spans="3:6" ht="15.75" customHeight="1">
      <c r="C891" s="13"/>
      <c r="D891" s="13"/>
      <c r="F891" s="89"/>
    </row>
    <row r="892" spans="3:6" ht="15.75" customHeight="1">
      <c r="C892" s="13"/>
      <c r="D892" s="13"/>
      <c r="F892" s="89"/>
    </row>
    <row r="893" spans="3:6" ht="15.75" customHeight="1">
      <c r="C893" s="13"/>
      <c r="D893" s="13"/>
      <c r="F893" s="89"/>
    </row>
    <row r="894" spans="3:6" ht="15.75" customHeight="1">
      <c r="C894" s="13"/>
      <c r="D894" s="13"/>
      <c r="F894" s="89"/>
    </row>
    <row r="895" spans="3:6" ht="15.75" customHeight="1">
      <c r="C895" s="13"/>
      <c r="D895" s="13"/>
      <c r="F895" s="89"/>
    </row>
    <row r="896" spans="3:6" ht="15.75" customHeight="1">
      <c r="C896" s="13"/>
      <c r="D896" s="13"/>
      <c r="F896" s="89"/>
    </row>
    <row r="897" spans="3:6" ht="15.75" customHeight="1">
      <c r="C897" s="13"/>
      <c r="D897" s="13"/>
      <c r="F897" s="89"/>
    </row>
    <row r="898" spans="3:6" ht="15.75" customHeight="1">
      <c r="C898" s="13"/>
      <c r="D898" s="13"/>
      <c r="F898" s="89"/>
    </row>
    <row r="899" spans="3:6" ht="15.75" customHeight="1">
      <c r="C899" s="13"/>
      <c r="D899" s="13"/>
      <c r="F899" s="89"/>
    </row>
    <row r="900" spans="3:6" ht="15.75" customHeight="1">
      <c r="C900" s="13"/>
      <c r="D900" s="13"/>
      <c r="F900" s="89"/>
    </row>
    <row r="901" spans="3:6" ht="15.75" customHeight="1">
      <c r="C901" s="13"/>
      <c r="D901" s="13"/>
      <c r="F901" s="89"/>
    </row>
    <row r="902" spans="3:6" ht="15.75" customHeight="1">
      <c r="C902" s="13"/>
      <c r="D902" s="13"/>
      <c r="F902" s="89"/>
    </row>
    <row r="903" spans="3:6" ht="15.75" customHeight="1">
      <c r="C903" s="13"/>
      <c r="D903" s="13"/>
      <c r="F903" s="89"/>
    </row>
    <row r="904" spans="3:6" ht="15.75" customHeight="1">
      <c r="C904" s="13"/>
      <c r="D904" s="13"/>
      <c r="F904" s="89"/>
    </row>
    <row r="905" spans="3:6" ht="15.75" customHeight="1">
      <c r="C905" s="13"/>
      <c r="D905" s="13"/>
      <c r="F905" s="89"/>
    </row>
    <row r="906" spans="3:6" ht="15.75" customHeight="1">
      <c r="C906" s="13"/>
      <c r="D906" s="13"/>
      <c r="F906" s="89"/>
    </row>
    <row r="907" spans="3:6" ht="15.75" customHeight="1">
      <c r="C907" s="13"/>
      <c r="D907" s="13"/>
      <c r="F907" s="89"/>
    </row>
    <row r="908" spans="3:6" ht="15.75" customHeight="1">
      <c r="C908" s="13"/>
      <c r="D908" s="13"/>
      <c r="F908" s="89"/>
    </row>
    <row r="909" spans="3:6" ht="15.75" customHeight="1">
      <c r="C909" s="13"/>
      <c r="D909" s="13"/>
      <c r="F909" s="89"/>
    </row>
    <row r="910" spans="3:6" ht="15.75" customHeight="1">
      <c r="C910" s="13"/>
      <c r="D910" s="13"/>
      <c r="F910" s="89"/>
    </row>
    <row r="911" spans="3:6" ht="15.75" customHeight="1">
      <c r="C911" s="13"/>
      <c r="D911" s="13"/>
      <c r="F911" s="89"/>
    </row>
    <row r="912" spans="3:6" ht="15.75" customHeight="1">
      <c r="C912" s="13"/>
      <c r="D912" s="13"/>
      <c r="F912" s="89"/>
    </row>
    <row r="913" spans="3:6" ht="15.75" customHeight="1">
      <c r="C913" s="13"/>
      <c r="D913" s="13"/>
      <c r="F913" s="89"/>
    </row>
    <row r="914" spans="3:6" ht="15.75" customHeight="1">
      <c r="C914" s="13"/>
      <c r="D914" s="13"/>
      <c r="F914" s="89"/>
    </row>
    <row r="915" spans="3:6" ht="15.75" customHeight="1">
      <c r="C915" s="13"/>
      <c r="D915" s="13"/>
      <c r="F915" s="89"/>
    </row>
    <row r="916" spans="3:6" ht="15.75" customHeight="1">
      <c r="C916" s="13"/>
      <c r="D916" s="13"/>
      <c r="F916" s="89"/>
    </row>
    <row r="917" spans="3:6" ht="15.75" customHeight="1">
      <c r="C917" s="13"/>
      <c r="D917" s="13"/>
      <c r="F917" s="89"/>
    </row>
    <row r="918" spans="3:6" ht="15.75" customHeight="1">
      <c r="C918" s="13"/>
      <c r="D918" s="13"/>
      <c r="F918" s="89"/>
    </row>
    <row r="919" spans="3:6" ht="15.75" customHeight="1">
      <c r="C919" s="13"/>
      <c r="D919" s="13"/>
      <c r="F919" s="89"/>
    </row>
    <row r="920" spans="3:6" ht="15.75" customHeight="1">
      <c r="C920" s="13"/>
      <c r="D920" s="13"/>
      <c r="F920" s="89"/>
    </row>
    <row r="921" spans="3:6" ht="15.75" customHeight="1">
      <c r="C921" s="13"/>
      <c r="D921" s="13"/>
      <c r="F921" s="89"/>
    </row>
    <row r="922" spans="3:6" ht="15.75" customHeight="1">
      <c r="C922" s="13"/>
      <c r="D922" s="13"/>
      <c r="F922" s="89"/>
    </row>
    <row r="923" spans="3:6" ht="15.75" customHeight="1">
      <c r="C923" s="13"/>
      <c r="D923" s="13"/>
      <c r="F923" s="89"/>
    </row>
    <row r="924" spans="3:6" ht="15.75" customHeight="1">
      <c r="C924" s="13"/>
      <c r="D924" s="13"/>
      <c r="F924" s="89"/>
    </row>
    <row r="925" spans="3:6" ht="15.75" customHeight="1">
      <c r="C925" s="13"/>
      <c r="D925" s="13"/>
      <c r="F925" s="89"/>
    </row>
    <row r="926" spans="3:6" ht="15.75" customHeight="1">
      <c r="C926" s="13"/>
      <c r="D926" s="13"/>
      <c r="F926" s="89"/>
    </row>
    <row r="927" spans="3:6" ht="15.75" customHeight="1">
      <c r="C927" s="13"/>
      <c r="D927" s="13"/>
      <c r="F927" s="89"/>
    </row>
    <row r="928" spans="3:6" ht="15.75" customHeight="1">
      <c r="C928" s="13"/>
      <c r="D928" s="13"/>
      <c r="F928" s="89"/>
    </row>
    <row r="929" spans="3:6" ht="15.75" customHeight="1">
      <c r="C929" s="13"/>
      <c r="D929" s="13"/>
      <c r="F929" s="89"/>
    </row>
    <row r="930" spans="3:6" ht="15.75" customHeight="1">
      <c r="C930" s="13"/>
      <c r="D930" s="13"/>
      <c r="F930" s="89"/>
    </row>
    <row r="931" spans="3:6" ht="15.75" customHeight="1">
      <c r="C931" s="13"/>
      <c r="D931" s="13"/>
      <c r="F931" s="89"/>
    </row>
    <row r="932" spans="3:6" ht="15.75" customHeight="1">
      <c r="C932" s="13"/>
      <c r="D932" s="13"/>
      <c r="F932" s="89"/>
    </row>
    <row r="933" spans="3:6" ht="15.75" customHeight="1">
      <c r="C933" s="13"/>
      <c r="D933" s="13"/>
      <c r="F933" s="89"/>
    </row>
    <row r="934" spans="3:6" ht="15.75" customHeight="1">
      <c r="C934" s="13"/>
      <c r="D934" s="13"/>
      <c r="F934" s="89"/>
    </row>
    <row r="935" spans="3:6" ht="15.75" customHeight="1">
      <c r="C935" s="13"/>
      <c r="D935" s="13"/>
      <c r="F935" s="89"/>
    </row>
    <row r="936" spans="3:6" ht="15.75" customHeight="1">
      <c r="C936" s="13"/>
      <c r="D936" s="13"/>
      <c r="F936" s="89"/>
    </row>
    <row r="937" spans="3:6" ht="15.75" customHeight="1">
      <c r="C937" s="13"/>
      <c r="D937" s="13"/>
      <c r="F937" s="89"/>
    </row>
    <row r="938" spans="3:6" ht="15.75" customHeight="1">
      <c r="C938" s="13"/>
      <c r="D938" s="13"/>
      <c r="F938" s="89"/>
    </row>
    <row r="939" spans="3:6" ht="15.75" customHeight="1">
      <c r="C939" s="13"/>
      <c r="D939" s="13"/>
      <c r="F939" s="89"/>
    </row>
    <row r="940" spans="3:6" ht="15.75" customHeight="1">
      <c r="C940" s="13"/>
      <c r="D940" s="13"/>
      <c r="F940" s="89"/>
    </row>
    <row r="941" spans="3:6" ht="15.75" customHeight="1">
      <c r="C941" s="13"/>
      <c r="D941" s="13"/>
      <c r="F941" s="89"/>
    </row>
    <row r="942" spans="3:6" ht="15.75" customHeight="1">
      <c r="C942" s="13"/>
      <c r="D942" s="13"/>
      <c r="F942" s="89"/>
    </row>
    <row r="943" spans="3:6" ht="15.75" customHeight="1">
      <c r="C943" s="13"/>
      <c r="D943" s="13"/>
      <c r="F943" s="89"/>
    </row>
    <row r="944" spans="3:6" ht="15.75" customHeight="1">
      <c r="C944" s="13"/>
      <c r="D944" s="13"/>
      <c r="F944" s="89"/>
    </row>
    <row r="945" spans="3:6" ht="15.75" customHeight="1">
      <c r="C945" s="13"/>
      <c r="D945" s="13"/>
      <c r="F945" s="89"/>
    </row>
    <row r="946" spans="3:6" ht="15.75" customHeight="1">
      <c r="C946" s="13"/>
      <c r="D946" s="13"/>
      <c r="F946" s="89"/>
    </row>
    <row r="947" spans="3:6" ht="15.75" customHeight="1">
      <c r="C947" s="13"/>
      <c r="D947" s="13"/>
      <c r="F947" s="89"/>
    </row>
    <row r="948" spans="3:6" ht="15.75" customHeight="1">
      <c r="C948" s="13"/>
      <c r="D948" s="13"/>
      <c r="F948" s="89"/>
    </row>
    <row r="949" spans="3:6" ht="15.75" customHeight="1">
      <c r="C949" s="13"/>
      <c r="D949" s="13"/>
      <c r="F949" s="89"/>
    </row>
    <row r="950" spans="3:6" ht="15.75" customHeight="1">
      <c r="C950" s="13"/>
      <c r="D950" s="13"/>
      <c r="F950" s="89"/>
    </row>
    <row r="951" spans="3:6" ht="15.75" customHeight="1">
      <c r="C951" s="13"/>
      <c r="D951" s="13"/>
      <c r="F951" s="89"/>
    </row>
    <row r="952" spans="3:6" ht="15.75" customHeight="1">
      <c r="C952" s="13"/>
      <c r="D952" s="13"/>
      <c r="F952" s="89"/>
    </row>
    <row r="953" spans="3:6" ht="15.75" customHeight="1">
      <c r="C953" s="13"/>
      <c r="D953" s="13"/>
      <c r="F953" s="89"/>
    </row>
    <row r="954" spans="3:6" ht="15.75" customHeight="1">
      <c r="C954" s="13"/>
      <c r="D954" s="13"/>
      <c r="F954" s="89"/>
    </row>
    <row r="955" spans="3:6" ht="15.75" customHeight="1">
      <c r="C955" s="13"/>
      <c r="D955" s="13"/>
      <c r="F955" s="89"/>
    </row>
    <row r="956" spans="3:6" ht="15.75" customHeight="1">
      <c r="C956" s="13"/>
      <c r="D956" s="13"/>
      <c r="F956" s="89"/>
    </row>
    <row r="957" spans="3:6" ht="15.75" customHeight="1">
      <c r="C957" s="13"/>
      <c r="D957" s="13"/>
      <c r="F957" s="89"/>
    </row>
    <row r="958" spans="3:6" ht="15.75" customHeight="1">
      <c r="C958" s="13"/>
      <c r="D958" s="13"/>
      <c r="F958" s="89"/>
    </row>
    <row r="959" spans="3:6" ht="15.75" customHeight="1">
      <c r="C959" s="13"/>
      <c r="D959" s="13"/>
      <c r="F959" s="89"/>
    </row>
    <row r="960" spans="3:6" ht="15.75" customHeight="1">
      <c r="C960" s="13"/>
      <c r="D960" s="13"/>
      <c r="F960" s="89"/>
    </row>
    <row r="961" spans="3:6" ht="15.75" customHeight="1">
      <c r="C961" s="13"/>
      <c r="D961" s="13"/>
      <c r="F961" s="89"/>
    </row>
    <row r="962" spans="3:6" ht="15.75" customHeight="1">
      <c r="C962" s="13"/>
      <c r="D962" s="13"/>
      <c r="F962" s="89"/>
    </row>
    <row r="963" spans="3:6" ht="15.75" customHeight="1">
      <c r="C963" s="13"/>
      <c r="D963" s="13"/>
      <c r="F963" s="89"/>
    </row>
    <row r="964" spans="3:6" ht="15.75" customHeight="1">
      <c r="C964" s="13"/>
      <c r="D964" s="13"/>
      <c r="F964" s="89"/>
    </row>
    <row r="965" spans="3:6" ht="15.75" customHeight="1">
      <c r="C965" s="13"/>
      <c r="D965" s="13"/>
      <c r="F965" s="89"/>
    </row>
    <row r="966" spans="3:6" ht="15.75" customHeight="1">
      <c r="C966" s="13"/>
      <c r="D966" s="13"/>
      <c r="F966" s="89"/>
    </row>
    <row r="967" spans="3:6" ht="15.75" customHeight="1">
      <c r="C967" s="13"/>
      <c r="D967" s="13"/>
      <c r="F967" s="89"/>
    </row>
    <row r="968" spans="3:6" ht="15.75" customHeight="1">
      <c r="C968" s="13"/>
      <c r="D968" s="13"/>
      <c r="F968" s="89"/>
    </row>
    <row r="969" spans="3:6" ht="15.75" customHeight="1">
      <c r="C969" s="13"/>
      <c r="D969" s="13"/>
      <c r="F969" s="89"/>
    </row>
    <row r="970" spans="3:6" ht="15.75" customHeight="1">
      <c r="C970" s="13"/>
      <c r="D970" s="13"/>
      <c r="F970" s="89"/>
    </row>
    <row r="971" spans="3:6" ht="15.75" customHeight="1">
      <c r="C971" s="13"/>
      <c r="D971" s="13"/>
      <c r="F971" s="89"/>
    </row>
    <row r="972" spans="3:6" ht="15.75" customHeight="1">
      <c r="C972" s="13"/>
      <c r="D972" s="13"/>
      <c r="F972" s="89"/>
    </row>
    <row r="973" spans="3:6" ht="15.75" customHeight="1">
      <c r="C973" s="13"/>
      <c r="D973" s="13"/>
      <c r="F973" s="89"/>
    </row>
    <row r="974" spans="3:6" ht="15.75" customHeight="1">
      <c r="C974" s="13"/>
      <c r="D974" s="13"/>
      <c r="F974" s="89"/>
    </row>
    <row r="975" spans="3:6" ht="15.75" customHeight="1">
      <c r="C975" s="13"/>
      <c r="D975" s="13"/>
      <c r="F975" s="89"/>
    </row>
    <row r="976" spans="3:6" ht="15.75" customHeight="1">
      <c r="C976" s="13"/>
      <c r="D976" s="13"/>
      <c r="F976" s="89"/>
    </row>
    <row r="977" spans="3:6" ht="15.75" customHeight="1">
      <c r="C977" s="13"/>
      <c r="D977" s="13"/>
      <c r="F977" s="89"/>
    </row>
    <row r="978" spans="3:6" ht="15.75" customHeight="1">
      <c r="C978" s="13"/>
      <c r="D978" s="13"/>
      <c r="F978" s="89"/>
    </row>
    <row r="979" spans="3:6" ht="15.75" customHeight="1">
      <c r="C979" s="13"/>
      <c r="D979" s="13"/>
      <c r="F979" s="89"/>
    </row>
    <row r="980" spans="3:6" ht="15.75" customHeight="1">
      <c r="C980" s="13"/>
      <c r="D980" s="13"/>
      <c r="F980" s="89"/>
    </row>
    <row r="981" spans="3:6" ht="15.75" customHeight="1">
      <c r="C981" s="13"/>
      <c r="D981" s="13"/>
      <c r="F981" s="89"/>
    </row>
    <row r="982" spans="3:6" ht="15.75" customHeight="1">
      <c r="C982" s="13"/>
      <c r="D982" s="13"/>
      <c r="F982" s="89"/>
    </row>
    <row r="983" spans="3:6" ht="15.75" customHeight="1">
      <c r="C983" s="13"/>
      <c r="D983" s="13"/>
      <c r="F983" s="89"/>
    </row>
    <row r="984" spans="3:6" ht="15.75" customHeight="1">
      <c r="C984" s="13"/>
      <c r="D984" s="13"/>
      <c r="F984" s="89"/>
    </row>
    <row r="985" spans="3:6" ht="15.75" customHeight="1">
      <c r="C985" s="13"/>
      <c r="D985" s="13"/>
      <c r="F985" s="89"/>
    </row>
    <row r="986" spans="3:6" ht="15.75" customHeight="1">
      <c r="C986" s="13"/>
      <c r="D986" s="13"/>
      <c r="F986" s="89"/>
    </row>
    <row r="987" spans="3:6" ht="15.75" customHeight="1">
      <c r="C987" s="13"/>
      <c r="D987" s="13"/>
      <c r="F987" s="89"/>
    </row>
    <row r="988" spans="3:6" ht="15.75" customHeight="1">
      <c r="C988" s="13"/>
      <c r="D988" s="13"/>
      <c r="F988" s="89"/>
    </row>
    <row r="989" spans="3:6" ht="15.75" customHeight="1">
      <c r="C989" s="13"/>
      <c r="D989" s="13"/>
      <c r="F989" s="89"/>
    </row>
    <row r="990" spans="3:6" ht="15.75" customHeight="1">
      <c r="C990" s="13"/>
      <c r="D990" s="13"/>
      <c r="F990" s="89"/>
    </row>
    <row r="991" spans="3:6" ht="15.75" customHeight="1">
      <c r="C991" s="13"/>
      <c r="D991" s="13"/>
      <c r="F991" s="89"/>
    </row>
    <row r="992" spans="3:6" ht="15.75" customHeight="1">
      <c r="C992" s="13"/>
      <c r="D992" s="13"/>
      <c r="F992" s="89"/>
    </row>
    <row r="993" spans="3:4" ht="15.75" customHeight="1">
      <c r="C993" s="33"/>
      <c r="D993" s="33"/>
    </row>
    <row r="994" spans="3:4" ht="15.75" customHeight="1">
      <c r="C994" s="33"/>
      <c r="D994" s="33"/>
    </row>
    <row r="995" spans="3:4" ht="15.75" customHeight="1">
      <c r="C995" s="33"/>
      <c r="D995" s="33"/>
    </row>
    <row r="996" spans="3:4" ht="15.75" customHeight="1">
      <c r="C996" s="33"/>
      <c r="D996" s="33"/>
    </row>
    <row r="997" spans="3:4" ht="15.75" customHeight="1">
      <c r="C997" s="33"/>
      <c r="D997" s="33"/>
    </row>
    <row r="998" spans="3:4" ht="15.75" customHeight="1">
      <c r="C998" s="33"/>
      <c r="D998" s="33"/>
    </row>
    <row r="999" spans="3:4" ht="15.75" customHeight="1">
      <c r="C999" s="33"/>
      <c r="D999" s="33"/>
    </row>
    <row r="1000" spans="3:4" ht="15.75" customHeight="1">
      <c r="C1000" s="33"/>
      <c r="D1000" s="33"/>
    </row>
    <row r="1001" spans="3:4" ht="15.75" customHeight="1">
      <c r="C1001" s="33"/>
      <c r="D1001" s="33"/>
    </row>
    <row r="1002" spans="3:4" ht="15.75" customHeight="1">
      <c r="C1002" s="33"/>
      <c r="D1002" s="33"/>
    </row>
    <row r="1003" spans="3:4" ht="15.75" customHeight="1">
      <c r="C1003" s="33"/>
      <c r="D1003" s="33"/>
    </row>
    <row r="1004" spans="3:4" ht="15.75" customHeight="1">
      <c r="C1004" s="33"/>
      <c r="D1004" s="33"/>
    </row>
    <row r="1005" spans="3:4" ht="15.75" customHeight="1">
      <c r="C1005" s="33"/>
      <c r="D1005" s="33"/>
    </row>
    <row r="1006" spans="3:4" ht="15.75" customHeight="1">
      <c r="C1006" s="33"/>
      <c r="D1006" s="33"/>
    </row>
    <row r="1007" spans="3:4" ht="15.75" customHeight="1">
      <c r="C1007" s="33"/>
      <c r="D1007" s="33"/>
    </row>
    <row r="1008" spans="3:4" ht="15.75" customHeight="1">
      <c r="C1008" s="33"/>
      <c r="D1008" s="33"/>
    </row>
    <row r="1009" spans="3:4" ht="15.75" customHeight="1">
      <c r="C1009" s="33"/>
      <c r="D1009" s="33"/>
    </row>
    <row r="1010" spans="3:4" ht="15.75" customHeight="1">
      <c r="C1010" s="33"/>
      <c r="D1010" s="33"/>
    </row>
    <row r="1011" spans="3:4" ht="15.75" customHeight="1">
      <c r="C1011" s="33"/>
      <c r="D1011" s="33"/>
    </row>
    <row r="1012" spans="3:4" ht="15.75" customHeight="1">
      <c r="C1012" s="33"/>
      <c r="D1012" s="33"/>
    </row>
    <row r="1013" spans="3:4" ht="15.75" customHeight="1">
      <c r="C1013" s="33"/>
      <c r="D1013" s="33"/>
    </row>
    <row r="1014" spans="3:4" ht="15.75" customHeight="1">
      <c r="C1014" s="33"/>
      <c r="D1014" s="33"/>
    </row>
    <row r="1015" spans="3:4" ht="15.75" customHeight="1">
      <c r="C1015" s="33"/>
      <c r="D1015" s="33"/>
    </row>
    <row r="1016" spans="3:4" ht="15.75" customHeight="1">
      <c r="C1016" s="33"/>
      <c r="D1016" s="33"/>
    </row>
    <row r="1017" spans="3:4" ht="15.75" customHeight="1">
      <c r="C1017" s="33"/>
      <c r="D1017" s="33"/>
    </row>
    <row r="1018" spans="3:4" ht="15.75" customHeight="1">
      <c r="C1018" s="33"/>
      <c r="D1018" s="33"/>
    </row>
    <row r="1019" spans="3:4" ht="15.75" customHeight="1">
      <c r="C1019" s="33"/>
      <c r="D1019" s="33"/>
    </row>
    <row r="1020" spans="3:4" ht="15.75" customHeight="1">
      <c r="C1020" s="33"/>
      <c r="D1020" s="33"/>
    </row>
    <row r="1021" spans="3:4" ht="15.75" customHeight="1">
      <c r="C1021" s="33"/>
      <c r="D1021" s="33"/>
    </row>
    <row r="1022" spans="3:4" ht="15.75" customHeight="1">
      <c r="C1022" s="33"/>
      <c r="D1022" s="33"/>
    </row>
    <row r="1023" spans="3:4" ht="15.75" customHeight="1">
      <c r="C1023" s="33"/>
      <c r="D1023" s="33"/>
    </row>
    <row r="1024" spans="3:4" ht="15.75" customHeight="1">
      <c r="C1024" s="33"/>
      <c r="D1024" s="33"/>
    </row>
    <row r="1025" spans="3:4" ht="15.75" customHeight="1">
      <c r="C1025" s="33"/>
      <c r="D1025" s="33"/>
    </row>
    <row r="1026" spans="3:4" ht="15.75" customHeight="1">
      <c r="C1026" s="33"/>
      <c r="D1026" s="33"/>
    </row>
    <row r="1027" spans="3:4" ht="15.75" customHeight="1">
      <c r="C1027" s="33"/>
      <c r="D1027" s="33"/>
    </row>
    <row r="1028" spans="3:4" ht="15.75" customHeight="1">
      <c r="C1028" s="33"/>
      <c r="D1028" s="33"/>
    </row>
    <row r="1029" spans="3:4" ht="15.75" customHeight="1">
      <c r="C1029" s="33"/>
      <c r="D1029" s="33"/>
    </row>
    <row r="1030" spans="3:4" ht="15.75" customHeight="1">
      <c r="C1030" s="33"/>
      <c r="D1030" s="33"/>
    </row>
    <row r="1031" spans="3:4" ht="15.75" customHeight="1">
      <c r="C1031" s="33"/>
      <c r="D1031" s="33"/>
    </row>
    <row r="1032" spans="3:4" ht="15.75" customHeight="1">
      <c r="C1032" s="33"/>
      <c r="D1032" s="33"/>
    </row>
    <row r="1033" spans="3:4" ht="15.75" customHeight="1">
      <c r="C1033" s="33"/>
      <c r="D1033" s="33"/>
    </row>
    <row r="1034" spans="3:4" ht="15.75" customHeight="1">
      <c r="C1034" s="33"/>
      <c r="D1034" s="33"/>
    </row>
    <row r="1035" spans="3:4" ht="15.75" customHeight="1">
      <c r="C1035" s="33"/>
      <c r="D1035" s="33"/>
    </row>
    <row r="1036" spans="3:4" ht="15.75" customHeight="1">
      <c r="C1036" s="33"/>
      <c r="D1036" s="33"/>
    </row>
    <row r="1037" spans="3:4" ht="15.75" customHeight="1">
      <c r="C1037" s="33"/>
      <c r="D1037" s="33"/>
    </row>
    <row r="1038" spans="3:4" ht="15.75" customHeight="1">
      <c r="C1038" s="33"/>
      <c r="D1038" s="33"/>
    </row>
    <row r="1039" spans="3:4" ht="15.75" customHeight="1">
      <c r="C1039" s="33"/>
      <c r="D1039" s="33"/>
    </row>
    <row r="1040" spans="3:4" ht="15.75" customHeight="1">
      <c r="C1040" s="33"/>
      <c r="D1040" s="33"/>
    </row>
    <row r="1041" spans="3:4" ht="15.75" customHeight="1">
      <c r="C1041" s="33"/>
      <c r="D1041" s="33"/>
    </row>
    <row r="1042" spans="3:4" ht="15.75" customHeight="1">
      <c r="C1042" s="33"/>
      <c r="D1042" s="33"/>
    </row>
    <row r="1043" spans="3:4" ht="15.75" customHeight="1">
      <c r="C1043" s="33"/>
      <c r="D1043" s="33"/>
    </row>
    <row r="1044" spans="3:4" ht="15.75" customHeight="1">
      <c r="C1044" s="33"/>
      <c r="D1044" s="33"/>
    </row>
    <row r="1045" spans="3:4" ht="15.75" customHeight="1">
      <c r="C1045" s="33"/>
      <c r="D1045" s="33"/>
    </row>
    <row r="1046" spans="3:4" ht="15.75" customHeight="1">
      <c r="C1046" s="33"/>
      <c r="D1046" s="33"/>
    </row>
    <row r="1047" spans="3:4" ht="15.75" customHeight="1">
      <c r="C1047" s="33"/>
      <c r="D1047" s="33"/>
    </row>
    <row r="1048" spans="3:4" ht="15.75" customHeight="1">
      <c r="C1048" s="33"/>
      <c r="D1048" s="33"/>
    </row>
    <row r="1049" spans="3:4" ht="15.75" customHeight="1">
      <c r="C1049" s="33"/>
      <c r="D1049" s="33"/>
    </row>
    <row r="1050" spans="3:4" ht="15.75" customHeight="1">
      <c r="C1050" s="33"/>
      <c r="D1050" s="33"/>
    </row>
    <row r="1051" spans="3:4" ht="15.75" customHeight="1">
      <c r="C1051" s="33"/>
      <c r="D1051" s="33"/>
    </row>
    <row r="1052" spans="3:4" ht="15.75" customHeight="1">
      <c r="C1052" s="33"/>
      <c r="D1052" s="33"/>
    </row>
    <row r="1053" spans="3:4" ht="15.75" customHeight="1">
      <c r="C1053" s="33"/>
      <c r="D1053" s="33"/>
    </row>
    <row r="1054" spans="3:4" ht="15.75" customHeight="1">
      <c r="C1054" s="33"/>
      <c r="D1054" s="33"/>
    </row>
    <row r="1055" spans="3:4" ht="15.75" customHeight="1">
      <c r="C1055" s="33"/>
      <c r="D1055" s="33"/>
    </row>
    <row r="1056" spans="3:4" ht="15.75" customHeight="1">
      <c r="C1056" s="33"/>
      <c r="D1056" s="33"/>
    </row>
    <row r="1057" spans="3:4" ht="15.75" customHeight="1">
      <c r="C1057" s="33"/>
      <c r="D1057" s="33"/>
    </row>
    <row r="1058" spans="3:4" ht="15.75" customHeight="1">
      <c r="C1058" s="33"/>
      <c r="D1058" s="33"/>
    </row>
    <row r="1059" spans="3:4" ht="15.75" customHeight="1">
      <c r="C1059" s="33"/>
      <c r="D1059" s="33"/>
    </row>
    <row r="1060" spans="3:4" ht="15.75" customHeight="1">
      <c r="C1060" s="33"/>
      <c r="D1060" s="33"/>
    </row>
    <row r="1061" spans="3:4" ht="15.75" customHeight="1">
      <c r="C1061" s="33"/>
      <c r="D1061" s="33"/>
    </row>
    <row r="1062" spans="3:4" ht="15.75" customHeight="1">
      <c r="C1062" s="33"/>
      <c r="D1062" s="33"/>
    </row>
    <row r="1063" spans="3:4" ht="15.75" customHeight="1">
      <c r="C1063" s="33"/>
      <c r="D1063" s="33"/>
    </row>
    <row r="1064" spans="3:4" ht="15.75" customHeight="1">
      <c r="C1064" s="33"/>
      <c r="D1064" s="33"/>
    </row>
    <row r="1065" spans="3:4" ht="15.75" customHeight="1">
      <c r="C1065" s="33"/>
      <c r="D1065" s="33"/>
    </row>
    <row r="1066" spans="3:4" ht="15.75" customHeight="1">
      <c r="C1066" s="33"/>
      <c r="D1066" s="33"/>
    </row>
    <row r="1067" spans="3:4" ht="15.75" customHeight="1">
      <c r="C1067" s="33"/>
      <c r="D1067" s="33"/>
    </row>
    <row r="1068" spans="3:4" ht="15.75" customHeight="1">
      <c r="C1068" s="33"/>
      <c r="D1068" s="33"/>
    </row>
    <row r="1069" spans="3:4" ht="15.75" customHeight="1">
      <c r="C1069" s="33"/>
      <c r="D1069" s="33"/>
    </row>
    <row r="1070" spans="3:4" ht="15.75" customHeight="1">
      <c r="C1070" s="33"/>
      <c r="D1070" s="33"/>
    </row>
    <row r="1071" spans="3:4" ht="15.75" customHeight="1">
      <c r="C1071" s="33"/>
      <c r="D1071" s="33"/>
    </row>
    <row r="1072" spans="3:4" ht="15.75" customHeight="1">
      <c r="C1072" s="33"/>
      <c r="D1072" s="33"/>
    </row>
    <row r="1073" spans="3:4" ht="15.75" customHeight="1">
      <c r="C1073" s="33"/>
      <c r="D1073" s="33"/>
    </row>
    <row r="1074" spans="3:4" ht="15.75" customHeight="1">
      <c r="C1074" s="33"/>
      <c r="D1074" s="33"/>
    </row>
    <row r="1075" spans="3:4" ht="15.75" customHeight="1">
      <c r="C1075" s="33"/>
      <c r="D1075" s="33"/>
    </row>
    <row r="1076" spans="3:4" ht="15.75" customHeight="1">
      <c r="C1076" s="33"/>
      <c r="D1076" s="33"/>
    </row>
    <row r="1077" spans="3:4" ht="15.75" customHeight="1">
      <c r="C1077" s="33"/>
      <c r="D1077" s="33"/>
    </row>
    <row r="1078" spans="3:4" ht="15.75" customHeight="1">
      <c r="C1078" s="33"/>
      <c r="D1078" s="33"/>
    </row>
    <row r="1079" spans="3:4" ht="15.75" customHeight="1">
      <c r="C1079" s="33"/>
      <c r="D1079" s="33"/>
    </row>
    <row r="1080" spans="3:4" ht="15.75" customHeight="1">
      <c r="C1080" s="33"/>
      <c r="D1080" s="33"/>
    </row>
    <row r="1081" spans="3:4" ht="15.75" customHeight="1">
      <c r="C1081" s="33"/>
      <c r="D1081" s="33"/>
    </row>
    <row r="1082" spans="3:4" ht="15.75" customHeight="1">
      <c r="C1082" s="33"/>
      <c r="D1082" s="33"/>
    </row>
    <row r="1083" spans="3:4" ht="15.75" customHeight="1">
      <c r="C1083" s="33"/>
      <c r="D1083" s="33"/>
    </row>
    <row r="1084" spans="3:4" ht="15.75" customHeight="1">
      <c r="C1084" s="33"/>
      <c r="D1084" s="33"/>
    </row>
    <row r="1085" spans="3:4" ht="15.75" customHeight="1">
      <c r="C1085" s="33"/>
      <c r="D1085" s="33"/>
    </row>
    <row r="1086" spans="3:4" ht="15.75" customHeight="1">
      <c r="C1086" s="33"/>
      <c r="D1086" s="33"/>
    </row>
    <row r="1087" spans="3:4" ht="15.75" customHeight="1">
      <c r="C1087" s="33"/>
      <c r="D1087" s="33"/>
    </row>
    <row r="1088" spans="3:4" ht="15.75" customHeight="1">
      <c r="C1088" s="33"/>
      <c r="D1088" s="33"/>
    </row>
    <row r="1089" spans="3:4" ht="15.75" customHeight="1">
      <c r="C1089" s="33"/>
      <c r="D1089" s="33"/>
    </row>
    <row r="1090" spans="3:4" ht="15.75" customHeight="1">
      <c r="C1090" s="33"/>
      <c r="D1090" s="33"/>
    </row>
    <row r="1091" spans="3:4" ht="15.75" customHeight="1">
      <c r="C1091" s="33"/>
      <c r="D1091" s="33"/>
    </row>
    <row r="1092" spans="3:4" ht="15.75" customHeight="1">
      <c r="C1092" s="33"/>
      <c r="D1092" s="33"/>
    </row>
    <row r="1093" spans="3:4" ht="15.75" customHeight="1">
      <c r="C1093" s="33"/>
      <c r="D1093" s="33"/>
    </row>
    <row r="1094" spans="3:4" ht="15.75" customHeight="1">
      <c r="C1094" s="33"/>
      <c r="D1094" s="33"/>
    </row>
    <row r="1095" spans="3:4" ht="15.75" customHeight="1">
      <c r="C1095" s="33"/>
      <c r="D1095" s="33"/>
    </row>
    <row r="1096" spans="3:4" ht="15.75" customHeight="1">
      <c r="C1096" s="33"/>
      <c r="D1096" s="33"/>
    </row>
    <row r="1097" spans="3:4" ht="15.75" customHeight="1">
      <c r="C1097" s="33"/>
      <c r="D1097" s="33"/>
    </row>
    <row r="1098" spans="3:4" ht="15.75" customHeight="1">
      <c r="C1098" s="33"/>
      <c r="D1098" s="33"/>
    </row>
    <row r="1099" spans="3:4" ht="15.75" customHeight="1">
      <c r="C1099" s="33"/>
      <c r="D1099" s="33"/>
    </row>
    <row r="1100" spans="3:4" ht="15.75" customHeight="1">
      <c r="C1100" s="33"/>
      <c r="D1100" s="33"/>
    </row>
    <row r="1101" spans="3:4" ht="15.75" customHeight="1">
      <c r="C1101" s="33"/>
      <c r="D1101" s="33"/>
    </row>
    <row r="1102" spans="3:4" ht="15.75" customHeight="1">
      <c r="C1102" s="33"/>
      <c r="D1102" s="33"/>
    </row>
    <row r="1103" spans="3:4" ht="15.75" customHeight="1">
      <c r="C1103" s="33"/>
      <c r="D1103" s="33"/>
    </row>
    <row r="1104" spans="3:4" ht="15.75" customHeight="1">
      <c r="C1104" s="33"/>
      <c r="D1104" s="33"/>
    </row>
    <row r="1105" spans="3:4" ht="15.75" customHeight="1">
      <c r="C1105" s="33"/>
      <c r="D1105" s="33"/>
    </row>
    <row r="1106" spans="3:4" ht="15.75" customHeight="1">
      <c r="C1106" s="33"/>
      <c r="D1106" s="33"/>
    </row>
    <row r="1107" spans="3:4" ht="15.75" customHeight="1">
      <c r="C1107" s="33"/>
      <c r="D1107" s="33"/>
    </row>
    <row r="1108" spans="3:4" ht="15.75" customHeight="1">
      <c r="C1108" s="33"/>
      <c r="D1108" s="33"/>
    </row>
    <row r="1109" spans="3:4" ht="15.75" customHeight="1">
      <c r="C1109" s="33"/>
      <c r="D1109" s="33"/>
    </row>
    <row r="1110" spans="3:4" ht="15.75" customHeight="1">
      <c r="C1110" s="33"/>
      <c r="D1110" s="33"/>
    </row>
    <row r="1111" spans="3:4" ht="15.75" customHeight="1">
      <c r="C1111" s="33"/>
      <c r="D1111" s="33"/>
    </row>
    <row r="1112" spans="3:4" ht="15.75" customHeight="1">
      <c r="C1112" s="33"/>
      <c r="D1112" s="33"/>
    </row>
    <row r="1113" spans="3:4" ht="15.75" customHeight="1">
      <c r="C1113" s="33"/>
      <c r="D1113" s="33"/>
    </row>
    <row r="1114" spans="3:4" ht="15.75" customHeight="1">
      <c r="C1114" s="33"/>
      <c r="D1114" s="33"/>
    </row>
    <row r="1115" spans="3:4" ht="15.75" customHeight="1">
      <c r="C1115" s="33"/>
      <c r="D1115" s="33"/>
    </row>
    <row r="1116" spans="3:4" ht="15.75" customHeight="1">
      <c r="C1116" s="33"/>
      <c r="D1116" s="33"/>
    </row>
    <row r="1117" spans="3:4" ht="15.75" customHeight="1">
      <c r="C1117" s="33"/>
      <c r="D1117" s="33"/>
    </row>
    <row r="1118" spans="3:4" ht="15.75" customHeight="1">
      <c r="C1118" s="33"/>
      <c r="D1118" s="33"/>
    </row>
    <row r="1119" spans="3:4" ht="15.75" customHeight="1">
      <c r="C1119" s="33"/>
      <c r="D1119" s="33"/>
    </row>
    <row r="1120" spans="3:4" ht="15.75" customHeight="1">
      <c r="C1120" s="33"/>
      <c r="D1120" s="33"/>
    </row>
    <row r="1121" spans="3:4" ht="15.75" customHeight="1">
      <c r="C1121" s="33"/>
      <c r="D1121" s="33"/>
    </row>
    <row r="1122" spans="3:4" ht="15.75" customHeight="1">
      <c r="C1122" s="33"/>
      <c r="D1122" s="33"/>
    </row>
    <row r="1123" spans="3:4" ht="15.75" customHeight="1">
      <c r="C1123" s="33"/>
      <c r="D1123" s="33"/>
    </row>
    <row r="1124" spans="3:4" ht="15.75" customHeight="1">
      <c r="C1124" s="33"/>
      <c r="D1124" s="33"/>
    </row>
    <row r="1125" spans="3:4" ht="15.75" customHeight="1">
      <c r="C1125" s="33"/>
      <c r="D1125" s="33"/>
    </row>
    <row r="1126" spans="3:4" ht="15.75" customHeight="1">
      <c r="C1126" s="33"/>
      <c r="D1126" s="33"/>
    </row>
    <row r="1127" spans="3:4" ht="15.75" customHeight="1">
      <c r="C1127" s="33"/>
      <c r="D1127" s="33"/>
    </row>
    <row r="1128" spans="3:4" ht="15.75" customHeight="1">
      <c r="C1128" s="33"/>
      <c r="D1128" s="33"/>
    </row>
    <row r="1129" spans="3:4" ht="15.75" customHeight="1">
      <c r="C1129" s="33"/>
      <c r="D1129" s="33"/>
    </row>
    <row r="1130" spans="3:4" ht="15.75" customHeight="1">
      <c r="C1130" s="33"/>
      <c r="D1130" s="33"/>
    </row>
    <row r="1131" spans="3:4" ht="15.75" customHeight="1">
      <c r="C1131" s="33"/>
      <c r="D1131" s="33"/>
    </row>
    <row r="1132" spans="3:4" ht="15.75" customHeight="1">
      <c r="C1132" s="33"/>
      <c r="D1132" s="33"/>
    </row>
    <row r="1133" spans="3:4" ht="15.75" customHeight="1">
      <c r="C1133" s="33"/>
      <c r="D1133" s="33"/>
    </row>
    <row r="1134" spans="3:4" ht="15.75" customHeight="1">
      <c r="C1134" s="33"/>
      <c r="D1134" s="33"/>
    </row>
    <row r="1135" spans="3:4" ht="15.75" customHeight="1">
      <c r="C1135" s="33"/>
      <c r="D1135" s="33"/>
    </row>
    <row r="1136" spans="3:4" ht="15.75" customHeight="1">
      <c r="C1136" s="33"/>
      <c r="D1136" s="33"/>
    </row>
    <row r="1137" spans="3:4" ht="15.75" customHeight="1">
      <c r="C1137" s="33"/>
      <c r="D1137" s="33"/>
    </row>
    <row r="1138" spans="3:4" ht="15.75" customHeight="1">
      <c r="C1138" s="33"/>
      <c r="D1138" s="33"/>
    </row>
    <row r="1139" spans="3:4" ht="15.75" customHeight="1">
      <c r="C1139" s="33"/>
      <c r="D1139" s="33"/>
    </row>
    <row r="1140" spans="3:4" ht="15.75" customHeight="1">
      <c r="C1140" s="33"/>
      <c r="D1140" s="33"/>
    </row>
    <row r="1141" spans="3:4" ht="15.75" customHeight="1">
      <c r="C1141" s="33"/>
      <c r="D1141" s="33"/>
    </row>
    <row r="1142" spans="3:4" ht="15.75" customHeight="1">
      <c r="C1142" s="33"/>
      <c r="D1142" s="33"/>
    </row>
    <row r="1143" spans="3:4" ht="15.75" customHeight="1">
      <c r="C1143" s="33"/>
      <c r="D1143" s="33"/>
    </row>
    <row r="1144" spans="3:4" ht="15.75" customHeight="1">
      <c r="C1144" s="33"/>
      <c r="D1144" s="33"/>
    </row>
    <row r="1145" spans="3:4" ht="15.75" customHeight="1">
      <c r="C1145" s="33"/>
      <c r="D1145" s="33"/>
    </row>
    <row r="1146" spans="3:4" ht="15.75" customHeight="1">
      <c r="C1146" s="33"/>
      <c r="D1146" s="33"/>
    </row>
    <row r="1147" spans="3:4" ht="15.75" customHeight="1">
      <c r="C1147" s="33"/>
      <c r="D1147" s="33"/>
    </row>
    <row r="1148" spans="3:4" ht="15.75" customHeight="1">
      <c r="C1148" s="33"/>
      <c r="D1148" s="33"/>
    </row>
    <row r="1149" spans="3:4" ht="15.75" customHeight="1">
      <c r="C1149" s="33"/>
      <c r="D1149" s="33"/>
    </row>
    <row r="1150" spans="3:4" ht="15.75" customHeight="1">
      <c r="C1150" s="33"/>
      <c r="D1150" s="33"/>
    </row>
    <row r="1151" spans="3:4" ht="15.75" customHeight="1">
      <c r="C1151" s="33"/>
      <c r="D1151" s="33"/>
    </row>
    <row r="1152" spans="3:4" ht="15.75" customHeight="1">
      <c r="C1152" s="33"/>
      <c r="D1152" s="33"/>
    </row>
    <row r="1153" spans="3:4" ht="15.75" customHeight="1">
      <c r="C1153" s="33"/>
      <c r="D1153" s="33"/>
    </row>
    <row r="1154" spans="3:4" ht="15.75" customHeight="1">
      <c r="C1154" s="33"/>
      <c r="D1154" s="33"/>
    </row>
    <row r="1155" spans="3:4" ht="15.75" customHeight="1">
      <c r="C1155" s="33"/>
      <c r="D1155" s="33"/>
    </row>
    <row r="1156" spans="3:4" ht="15.75" customHeight="1">
      <c r="C1156" s="33"/>
      <c r="D1156" s="33"/>
    </row>
    <row r="1157" spans="3:4" ht="15.75" customHeight="1">
      <c r="C1157" s="33"/>
      <c r="D1157" s="33"/>
    </row>
    <row r="1158" spans="3:4" ht="15.75" customHeight="1">
      <c r="C1158" s="33"/>
      <c r="D1158" s="33"/>
    </row>
    <row r="1159" spans="3:4" ht="15.75" customHeight="1">
      <c r="C1159" s="33"/>
      <c r="D1159" s="33"/>
    </row>
    <row r="1160" spans="3:4" ht="15.75" customHeight="1">
      <c r="C1160" s="33"/>
      <c r="D1160" s="33"/>
    </row>
    <row r="1161" spans="3:4" ht="15.75" customHeight="1">
      <c r="C1161" s="33"/>
      <c r="D1161" s="33"/>
    </row>
    <row r="1162" spans="3:4" ht="15.75" customHeight="1">
      <c r="C1162" s="33"/>
      <c r="D1162" s="33"/>
    </row>
    <row r="1163" spans="3:4" ht="15.75" customHeight="1">
      <c r="C1163" s="33"/>
      <c r="D1163" s="33"/>
    </row>
    <row r="1164" spans="3:4" ht="15.75" customHeight="1">
      <c r="C1164" s="33"/>
      <c r="D1164" s="33"/>
    </row>
    <row r="1165" spans="3:4" ht="15.75" customHeight="1">
      <c r="C1165" s="33"/>
      <c r="D1165" s="33"/>
    </row>
    <row r="1166" spans="3:4" ht="15.75" customHeight="1">
      <c r="C1166" s="33"/>
      <c r="D1166" s="33"/>
    </row>
    <row r="1167" spans="3:4" ht="15.75" customHeight="1">
      <c r="C1167" s="33"/>
      <c r="D1167" s="33"/>
    </row>
    <row r="1168" spans="3:4" ht="15.75" customHeight="1">
      <c r="C1168" s="33"/>
      <c r="D1168" s="33"/>
    </row>
    <row r="1169" spans="3:4" ht="15.75" customHeight="1">
      <c r="C1169" s="33"/>
      <c r="D1169" s="33"/>
    </row>
    <row r="1170" spans="3:4" ht="15.75" customHeight="1">
      <c r="C1170" s="33"/>
      <c r="D1170" s="33"/>
    </row>
    <row r="1171" spans="3:4" ht="15.75" customHeight="1">
      <c r="C1171" s="33"/>
      <c r="D1171" s="33"/>
    </row>
    <row r="1172" spans="3:4" ht="15.75" customHeight="1">
      <c r="C1172" s="33"/>
      <c r="D1172" s="33"/>
    </row>
    <row r="1173" spans="3:4" ht="15.75" customHeight="1">
      <c r="C1173" s="33"/>
      <c r="D1173" s="33"/>
    </row>
    <row r="1174" spans="3:4" ht="15.75" customHeight="1">
      <c r="C1174" s="33"/>
      <c r="D1174" s="33"/>
    </row>
    <row r="1175" spans="3:4" ht="15.75" customHeight="1">
      <c r="C1175" s="33"/>
      <c r="D1175" s="33"/>
    </row>
    <row r="1176" spans="3:4" ht="15.75" customHeight="1">
      <c r="C1176" s="33"/>
      <c r="D1176" s="33"/>
    </row>
    <row r="1177" spans="3:4" ht="15.75" customHeight="1">
      <c r="C1177" s="33"/>
      <c r="D1177" s="33"/>
    </row>
    <row r="1178" spans="3:4" ht="15.75" customHeight="1">
      <c r="C1178" s="33"/>
      <c r="D1178" s="33"/>
    </row>
    <row r="1179" spans="3:4" ht="15.75" customHeight="1">
      <c r="C1179" s="33"/>
      <c r="D1179" s="33"/>
    </row>
    <row r="1180" spans="3:4" ht="15.75" customHeight="1">
      <c r="C1180" s="33"/>
      <c r="D1180" s="33"/>
    </row>
    <row r="1181" spans="3:4" ht="15.75" customHeight="1">
      <c r="C1181" s="33"/>
      <c r="D1181" s="33"/>
    </row>
    <row r="1182" spans="3:4" ht="15.75" customHeight="1">
      <c r="C1182" s="33"/>
      <c r="D1182" s="33"/>
    </row>
    <row r="1183" spans="3:4" ht="15.75" customHeight="1">
      <c r="C1183" s="33"/>
      <c r="D1183" s="33"/>
    </row>
    <row r="1184" spans="3:4" ht="15.75" customHeight="1">
      <c r="C1184" s="33"/>
      <c r="D1184" s="33"/>
    </row>
    <row r="1185" spans="3:4" ht="15.75" customHeight="1">
      <c r="C1185" s="33"/>
      <c r="D1185" s="33"/>
    </row>
    <row r="1186" spans="3:4" ht="15.75" customHeight="1">
      <c r="C1186" s="33"/>
      <c r="D1186" s="33"/>
    </row>
    <row r="1187" spans="3:4" ht="15.75" customHeight="1">
      <c r="C1187" s="33"/>
      <c r="D1187" s="33"/>
    </row>
    <row r="1188" spans="3:4" ht="15.75" customHeight="1">
      <c r="C1188" s="33"/>
      <c r="D1188" s="33"/>
    </row>
    <row r="1189" spans="3:4" ht="15.75" customHeight="1">
      <c r="C1189" s="33"/>
      <c r="D1189" s="33"/>
    </row>
    <row r="1190" spans="3:4" ht="15.75" customHeight="1">
      <c r="C1190" s="33"/>
      <c r="D1190" s="33"/>
    </row>
    <row r="1191" spans="3:4" ht="15.75" customHeight="1">
      <c r="C1191" s="33"/>
      <c r="D1191" s="33"/>
    </row>
    <row r="1192" spans="3:4" ht="15.75" customHeight="1">
      <c r="C1192" s="33"/>
      <c r="D1192" s="33"/>
    </row>
    <row r="1193" spans="3:4" ht="15.75" customHeight="1">
      <c r="C1193" s="33"/>
      <c r="D1193" s="33"/>
    </row>
    <row r="1194" spans="3:4" ht="15.75" customHeight="1">
      <c r="C1194" s="33"/>
      <c r="D1194" s="33"/>
    </row>
    <row r="1195" spans="3:4" ht="15.75" customHeight="1">
      <c r="C1195" s="33"/>
      <c r="D1195" s="33"/>
    </row>
    <row r="1196" spans="3:4" ht="15.75" customHeight="1">
      <c r="C1196" s="33"/>
      <c r="D1196" s="33"/>
    </row>
    <row r="1197" spans="3:4" ht="15.75" customHeight="1">
      <c r="C1197" s="33"/>
      <c r="D1197" s="33"/>
    </row>
    <row r="1198" spans="3:4" ht="15.75" customHeight="1">
      <c r="C1198" s="33"/>
      <c r="D1198" s="33"/>
    </row>
    <row r="1199" spans="3:4" ht="15.75" customHeight="1">
      <c r="C1199" s="33"/>
      <c r="D1199" s="33"/>
    </row>
    <row r="1200" spans="3:4" ht="15.75" customHeight="1">
      <c r="C1200" s="33"/>
      <c r="D1200" s="33"/>
    </row>
    <row r="1201" spans="3:4" ht="15.75" customHeight="1">
      <c r="C1201" s="33"/>
      <c r="D1201" s="33"/>
    </row>
    <row r="1202" spans="3:4" ht="15.75" customHeight="1">
      <c r="C1202" s="33"/>
      <c r="D1202" s="33"/>
    </row>
    <row r="1203" spans="3:4" ht="15.75" customHeight="1">
      <c r="C1203" s="33"/>
      <c r="D1203" s="33"/>
    </row>
    <row r="1204" spans="3:4" ht="15.75" customHeight="1">
      <c r="C1204" s="33"/>
      <c r="D1204" s="33"/>
    </row>
    <row r="1205" spans="3:4" ht="15.75" customHeight="1">
      <c r="C1205" s="33"/>
      <c r="D1205" s="33"/>
    </row>
    <row r="1206" spans="3:4" ht="15.75" customHeight="1">
      <c r="C1206" s="33"/>
      <c r="D1206" s="33"/>
    </row>
    <row r="1207" spans="3:4" ht="15.75" customHeight="1">
      <c r="C1207" s="33"/>
      <c r="D1207" s="33"/>
    </row>
    <row r="1208" spans="3:4" ht="15.75" customHeight="1">
      <c r="C1208" s="33"/>
      <c r="D1208" s="33"/>
    </row>
    <row r="1209" spans="3:4" ht="15.75" customHeight="1">
      <c r="C1209" s="33"/>
      <c r="D1209" s="33"/>
    </row>
    <row r="1210" spans="3:4" ht="15.75" customHeight="1">
      <c r="C1210" s="33"/>
      <c r="D1210" s="33"/>
    </row>
    <row r="1211" spans="3:4" ht="15.75" customHeight="1">
      <c r="C1211" s="33"/>
      <c r="D1211" s="33"/>
    </row>
    <row r="1212" spans="3:4" ht="15.75" customHeight="1">
      <c r="C1212" s="33"/>
      <c r="D1212" s="33"/>
    </row>
    <row r="1213" spans="3:4" ht="15.75" customHeight="1">
      <c r="C1213" s="33"/>
      <c r="D1213" s="33"/>
    </row>
    <row r="1214" spans="3:4" ht="15.75" customHeight="1">
      <c r="C1214" s="33"/>
      <c r="D1214" s="33"/>
    </row>
    <row r="1215" spans="3:4" ht="15.75" customHeight="1">
      <c r="C1215" s="33"/>
      <c r="D1215" s="33"/>
    </row>
    <row r="1216" spans="3:4" ht="15.75" customHeight="1">
      <c r="C1216" s="33"/>
      <c r="D1216" s="33"/>
    </row>
    <row r="1217" spans="3:4" ht="15.75" customHeight="1">
      <c r="C1217" s="33"/>
      <c r="D1217" s="33"/>
    </row>
    <row r="1218" spans="3:4" ht="15.75" customHeight="1">
      <c r="C1218" s="33"/>
      <c r="D1218" s="33"/>
    </row>
    <row r="1219" spans="3:4" ht="15.75" customHeight="1">
      <c r="C1219" s="33"/>
      <c r="D1219" s="33"/>
    </row>
    <row r="1220" spans="3:4" ht="15.75" customHeight="1">
      <c r="C1220" s="33"/>
      <c r="D1220" s="33"/>
    </row>
    <row r="1221" spans="3:4" ht="15.75" customHeight="1">
      <c r="C1221" s="33"/>
      <c r="D1221" s="33"/>
    </row>
    <row r="1222" spans="3:4" ht="15.75" customHeight="1">
      <c r="C1222" s="33"/>
      <c r="D1222" s="33"/>
    </row>
    <row r="1223" spans="3:4" ht="15.75" customHeight="1">
      <c r="C1223" s="33"/>
      <c r="D1223" s="33"/>
    </row>
    <row r="1224" spans="3:4" ht="15.75" customHeight="1">
      <c r="C1224" s="33"/>
      <c r="D1224" s="33"/>
    </row>
    <row r="1225" spans="3:4" ht="15.75" customHeight="1">
      <c r="C1225" s="33"/>
      <c r="D1225" s="33"/>
    </row>
    <row r="1226" spans="3:4" ht="15.75" customHeight="1">
      <c r="C1226" s="33"/>
      <c r="D1226" s="33"/>
    </row>
    <row r="1227" spans="3:4" ht="15.75" customHeight="1">
      <c r="C1227" s="33"/>
      <c r="D1227" s="33"/>
    </row>
    <row r="1228" spans="3:4" ht="15.75" customHeight="1">
      <c r="C1228" s="33"/>
      <c r="D1228" s="33"/>
    </row>
    <row r="1229" spans="3:4" ht="15.75" customHeight="1">
      <c r="C1229" s="33"/>
      <c r="D1229" s="33"/>
    </row>
    <row r="1230" spans="3:4" ht="15.75" customHeight="1">
      <c r="C1230" s="33"/>
      <c r="D1230" s="33"/>
    </row>
    <row r="1231" spans="3:4" ht="15.75" customHeight="1">
      <c r="C1231" s="33"/>
      <c r="D1231" s="33"/>
    </row>
    <row r="1232" spans="3:4" ht="15.75" customHeight="1">
      <c r="C1232" s="33"/>
      <c r="D1232" s="33"/>
    </row>
    <row r="1233" spans="3:4" ht="15.75" customHeight="1">
      <c r="C1233" s="33"/>
      <c r="D1233" s="33"/>
    </row>
    <row r="1234" spans="3:4" ht="15.75" customHeight="1">
      <c r="C1234" s="33"/>
      <c r="D1234" s="33"/>
    </row>
    <row r="1235" spans="3:4" ht="15.75" customHeight="1">
      <c r="C1235" s="33"/>
      <c r="D1235" s="33"/>
    </row>
    <row r="1236" spans="3:4" ht="15.75" customHeight="1">
      <c r="C1236" s="33"/>
      <c r="D1236" s="33"/>
    </row>
    <row r="1237" spans="3:4" ht="15.75" customHeight="1">
      <c r="C1237" s="33"/>
      <c r="D1237" s="33"/>
    </row>
    <row r="1238" spans="3:4" ht="15.75" customHeight="1">
      <c r="C1238" s="33"/>
      <c r="D1238" s="33"/>
    </row>
    <row r="1239" spans="3:4" ht="15.75" customHeight="1">
      <c r="C1239" s="33"/>
      <c r="D1239" s="33"/>
    </row>
    <row r="1240" spans="3:4" ht="15.75" customHeight="1">
      <c r="C1240" s="33"/>
      <c r="D1240" s="33"/>
    </row>
    <row r="1241" spans="3:4" ht="15.75" customHeight="1">
      <c r="C1241" s="33"/>
      <c r="D1241" s="33"/>
    </row>
    <row r="1242" spans="3:4" ht="15.75" customHeight="1">
      <c r="C1242" s="33"/>
      <c r="D1242" s="33"/>
    </row>
    <row r="1243" spans="3:4" ht="15.75" customHeight="1">
      <c r="C1243" s="33"/>
      <c r="D1243" s="33"/>
    </row>
    <row r="1244" spans="3:4" ht="15.75" customHeight="1">
      <c r="C1244" s="33"/>
      <c r="D1244" s="33"/>
    </row>
    <row r="1245" spans="3:4" ht="15.75" customHeight="1">
      <c r="C1245" s="33"/>
      <c r="D1245" s="33"/>
    </row>
    <row r="1246" spans="3:4" ht="15.75" customHeight="1">
      <c r="C1246" s="33"/>
      <c r="D1246" s="33"/>
    </row>
    <row r="1247" spans="3:4" ht="15.75" customHeight="1">
      <c r="C1247" s="33"/>
      <c r="D1247" s="33"/>
    </row>
    <row r="1248" spans="3:4" ht="15.75" customHeight="1">
      <c r="C1248" s="33"/>
      <c r="D1248" s="33"/>
    </row>
    <row r="1249" spans="3:4" ht="15.75" customHeight="1">
      <c r="C1249" s="33"/>
      <c r="D1249" s="33"/>
    </row>
    <row r="1250" spans="3:4" ht="15.75" customHeight="1">
      <c r="C1250" s="33"/>
      <c r="D1250" s="33"/>
    </row>
    <row r="1251" spans="3:4" ht="15.75" customHeight="1">
      <c r="C1251" s="33"/>
      <c r="D1251" s="33"/>
    </row>
    <row r="1252" spans="3:4" ht="15.75" customHeight="1">
      <c r="C1252" s="33"/>
      <c r="D1252" s="33"/>
    </row>
    <row r="1253" spans="3:4" ht="15.75" customHeight="1">
      <c r="C1253" s="33"/>
      <c r="D1253" s="33"/>
    </row>
    <row r="1254" spans="3:4" ht="15.75" customHeight="1">
      <c r="C1254" s="33"/>
      <c r="D1254" s="33"/>
    </row>
    <row r="1255" spans="3:4" ht="15.75" customHeight="1">
      <c r="C1255" s="33"/>
      <c r="D1255" s="33"/>
    </row>
    <row r="1256" spans="3:4" ht="15.75" customHeight="1">
      <c r="C1256" s="33"/>
      <c r="D1256" s="33"/>
    </row>
    <row r="1257" spans="3:4" ht="15.75" customHeight="1">
      <c r="C1257" s="33"/>
      <c r="D1257" s="33"/>
    </row>
    <row r="1258" spans="3:4" ht="15.75" customHeight="1">
      <c r="C1258" s="33"/>
      <c r="D1258" s="33"/>
    </row>
    <row r="1259" spans="3:4" ht="15.75" customHeight="1">
      <c r="C1259" s="33"/>
      <c r="D1259" s="33"/>
    </row>
    <row r="1260" spans="3:4" ht="15.75" customHeight="1">
      <c r="C1260" s="33"/>
      <c r="D1260" s="33"/>
    </row>
    <row r="1261" spans="3:4" ht="15.75" customHeight="1">
      <c r="C1261" s="33"/>
      <c r="D1261" s="33"/>
    </row>
    <row r="1262" spans="3:4" ht="15.75" customHeight="1">
      <c r="C1262" s="33"/>
      <c r="D1262" s="33"/>
    </row>
    <row r="1263" spans="3:4" ht="15.75" customHeight="1">
      <c r="C1263" s="33"/>
      <c r="D1263" s="33"/>
    </row>
    <row r="1264" spans="3:4" ht="15.75" customHeight="1">
      <c r="C1264" s="33"/>
      <c r="D1264" s="33"/>
    </row>
    <row r="1265" spans="3:4" ht="15.75" customHeight="1">
      <c r="C1265" s="33"/>
      <c r="D1265" s="33"/>
    </row>
    <row r="1266" spans="3:4" ht="15.75" customHeight="1">
      <c r="C1266" s="33"/>
      <c r="D1266" s="33"/>
    </row>
    <row r="1267" spans="3:4" ht="15.75" customHeight="1">
      <c r="C1267" s="33"/>
      <c r="D1267" s="33"/>
    </row>
    <row r="1268" spans="3:4" ht="15.75" customHeight="1">
      <c r="C1268" s="33"/>
      <c r="D1268" s="33"/>
    </row>
    <row r="1269" spans="3:4" ht="15.75" customHeight="1">
      <c r="C1269" s="33"/>
      <c r="D1269" s="33"/>
    </row>
    <row r="1270" spans="3:4" ht="15.75" customHeight="1">
      <c r="C1270" s="33"/>
      <c r="D1270" s="33"/>
    </row>
    <row r="1271" spans="3:4" ht="15.75" customHeight="1">
      <c r="C1271" s="33"/>
      <c r="D1271" s="33"/>
    </row>
    <row r="1272" spans="3:4" ht="15.75" customHeight="1">
      <c r="C1272" s="33"/>
      <c r="D1272" s="33"/>
    </row>
    <row r="1273" spans="3:4" ht="15.75" customHeight="1">
      <c r="C1273" s="33"/>
      <c r="D1273" s="33"/>
    </row>
    <row r="1274" spans="3:4" ht="15.75" customHeight="1">
      <c r="C1274" s="33"/>
      <c r="D1274" s="33"/>
    </row>
    <row r="1275" spans="3:4" ht="15.75" customHeight="1">
      <c r="C1275" s="33"/>
      <c r="D1275" s="33"/>
    </row>
    <row r="1276" spans="3:4" ht="15.75" customHeight="1">
      <c r="C1276" s="33"/>
      <c r="D1276" s="33"/>
    </row>
    <row r="1277" spans="3:4" ht="15.75" customHeight="1">
      <c r="C1277" s="33"/>
      <c r="D1277" s="33"/>
    </row>
    <row r="1278" spans="3:4" ht="15.75" customHeight="1">
      <c r="C1278" s="33"/>
      <c r="D1278" s="33"/>
    </row>
    <row r="1279" spans="3:4" ht="15.75" customHeight="1">
      <c r="C1279" s="33"/>
      <c r="D1279" s="33"/>
    </row>
    <row r="1280" spans="3:4" ht="15.75" customHeight="1">
      <c r="C1280" s="33"/>
      <c r="D1280" s="33"/>
    </row>
    <row r="1281" spans="3:4" ht="15.75" customHeight="1">
      <c r="C1281" s="33"/>
      <c r="D1281" s="33"/>
    </row>
    <row r="1282" spans="3:4" ht="15.75" customHeight="1">
      <c r="C1282" s="33"/>
      <c r="D1282" s="33"/>
    </row>
    <row r="1283" spans="3:4" ht="15.75" customHeight="1">
      <c r="C1283" s="33"/>
      <c r="D1283" s="33"/>
    </row>
    <row r="1284" spans="3:4" ht="15.75" customHeight="1">
      <c r="C1284" s="33"/>
      <c r="D1284" s="33"/>
    </row>
    <row r="1285" spans="3:4" ht="15.75" customHeight="1">
      <c r="C1285" s="33"/>
      <c r="D1285" s="33"/>
    </row>
    <row r="1286" spans="3:4" ht="15.75" customHeight="1">
      <c r="C1286" s="33"/>
      <c r="D1286" s="33"/>
    </row>
    <row r="1287" spans="3:4" ht="15.75" customHeight="1">
      <c r="C1287" s="33"/>
      <c r="D1287" s="33"/>
    </row>
    <row r="1288" spans="3:4" ht="15.75" customHeight="1">
      <c r="C1288" s="33"/>
      <c r="D1288" s="33"/>
    </row>
    <row r="1289" spans="3:4" ht="15.75" customHeight="1">
      <c r="C1289" s="33"/>
      <c r="D1289" s="33"/>
    </row>
    <row r="1290" spans="3:4" ht="15.75" customHeight="1">
      <c r="C1290" s="33"/>
      <c r="D1290" s="33"/>
    </row>
    <row r="1291" spans="3:4" ht="15.75" customHeight="1">
      <c r="C1291" s="33"/>
      <c r="D1291" s="33"/>
    </row>
    <row r="1292" spans="3:4" ht="15.75" customHeight="1">
      <c r="C1292" s="33"/>
      <c r="D1292" s="33"/>
    </row>
    <row r="1293" spans="3:4" ht="15.75" customHeight="1">
      <c r="C1293" s="33"/>
      <c r="D1293" s="33"/>
    </row>
    <row r="1294" spans="3:4" ht="15.75" customHeight="1">
      <c r="C1294" s="33"/>
      <c r="D1294" s="33"/>
    </row>
    <row r="1295" spans="3:4" ht="15.75" customHeight="1">
      <c r="C1295" s="33"/>
      <c r="D1295" s="33"/>
    </row>
    <row r="1296" spans="3:4" ht="15.75" customHeight="1">
      <c r="C1296" s="33"/>
      <c r="D1296" s="33"/>
    </row>
    <row r="1297" spans="3:4" ht="15.75" customHeight="1">
      <c r="C1297" s="33"/>
      <c r="D1297" s="33"/>
    </row>
    <row r="1298" spans="3:4" ht="15.75" customHeight="1">
      <c r="C1298" s="33"/>
      <c r="D1298" s="33"/>
    </row>
    <row r="1299" spans="3:4" ht="15.75" customHeight="1">
      <c r="C1299" s="33"/>
      <c r="D1299" s="33"/>
    </row>
    <row r="1300" spans="3:4" ht="15.75" customHeight="1">
      <c r="C1300" s="33"/>
      <c r="D1300" s="33"/>
    </row>
    <row r="1301" spans="3:4" ht="15.75" customHeight="1">
      <c r="C1301" s="33"/>
      <c r="D1301" s="33"/>
    </row>
    <row r="1302" spans="3:4" ht="15.75" customHeight="1">
      <c r="C1302" s="33"/>
      <c r="D1302" s="33"/>
    </row>
    <row r="1303" spans="3:4" ht="15.75" customHeight="1">
      <c r="C1303" s="33"/>
      <c r="D1303" s="33"/>
    </row>
    <row r="1304" spans="3:4" ht="15.75" customHeight="1">
      <c r="C1304" s="33"/>
      <c r="D1304" s="33"/>
    </row>
    <row r="1305" spans="3:4" ht="15.75" customHeight="1">
      <c r="C1305" s="33"/>
      <c r="D1305" s="33"/>
    </row>
    <row r="1306" spans="3:4" ht="15.75" customHeight="1">
      <c r="C1306" s="33"/>
      <c r="D1306" s="33"/>
    </row>
    <row r="1307" spans="3:4" ht="15.75" customHeight="1">
      <c r="C1307" s="33"/>
      <c r="D1307" s="33"/>
    </row>
    <row r="1308" spans="3:4" ht="15.75" customHeight="1">
      <c r="C1308" s="33"/>
      <c r="D1308" s="33"/>
    </row>
    <row r="1309" spans="3:4" ht="15.75" customHeight="1">
      <c r="C1309" s="33"/>
      <c r="D1309" s="33"/>
    </row>
    <row r="1310" spans="3:4" ht="15.75" customHeight="1">
      <c r="C1310" s="33"/>
      <c r="D1310" s="33"/>
    </row>
    <row r="1311" spans="3:4" ht="15.75" customHeight="1">
      <c r="C1311" s="33"/>
      <c r="D1311" s="33"/>
    </row>
    <row r="1312" spans="3:4" ht="15.75" customHeight="1">
      <c r="C1312" s="33"/>
      <c r="D1312" s="33"/>
    </row>
    <row r="1313" spans="3:4" ht="15.75" customHeight="1">
      <c r="C1313" s="33"/>
      <c r="D1313" s="33"/>
    </row>
    <row r="1314" spans="3:4" ht="15.75" customHeight="1">
      <c r="C1314" s="33"/>
      <c r="D1314" s="33"/>
    </row>
    <row r="1315" spans="3:4" ht="15.75" customHeight="1">
      <c r="C1315" s="33"/>
      <c r="D1315" s="33"/>
    </row>
    <row r="1316" spans="3:4" ht="15.75" customHeight="1">
      <c r="C1316" s="33"/>
      <c r="D1316" s="33"/>
    </row>
    <row r="1317" spans="3:4" ht="15.75" customHeight="1">
      <c r="C1317" s="33"/>
      <c r="D1317" s="33"/>
    </row>
    <row r="1318" spans="3:4" ht="15.75" customHeight="1">
      <c r="C1318" s="33"/>
      <c r="D1318" s="33"/>
    </row>
    <row r="1319" spans="3:4" ht="15.75" customHeight="1">
      <c r="C1319" s="33"/>
      <c r="D1319" s="33"/>
    </row>
    <row r="1320" spans="3:4" ht="15.75" customHeight="1">
      <c r="C1320" s="33"/>
      <c r="D1320" s="33"/>
    </row>
    <row r="1321" spans="3:4" ht="15.75" customHeight="1">
      <c r="C1321" s="33"/>
      <c r="D1321" s="33"/>
    </row>
    <row r="1322" spans="3:4" ht="15.75" customHeight="1">
      <c r="C1322" s="33"/>
      <c r="D1322" s="33"/>
    </row>
    <row r="1323" spans="3:4" ht="15.75" customHeight="1">
      <c r="C1323" s="33"/>
      <c r="D1323" s="33"/>
    </row>
    <row r="1324" spans="3:4" ht="15.75" customHeight="1">
      <c r="C1324" s="33"/>
      <c r="D1324" s="33"/>
    </row>
    <row r="1325" spans="3:4" ht="15.75" customHeight="1">
      <c r="C1325" s="33"/>
      <c r="D1325" s="33"/>
    </row>
    <row r="1326" spans="3:4" ht="15.75" customHeight="1">
      <c r="C1326" s="33"/>
      <c r="D1326" s="33"/>
    </row>
    <row r="1327" spans="3:4" ht="15.75" customHeight="1">
      <c r="C1327" s="33"/>
      <c r="D1327" s="33"/>
    </row>
    <row r="1328" spans="3:4" ht="15.75" customHeight="1">
      <c r="C1328" s="33"/>
      <c r="D1328" s="33"/>
    </row>
    <row r="1329" spans="3:4" ht="15.75" customHeight="1">
      <c r="C1329" s="33"/>
      <c r="D1329" s="33"/>
    </row>
    <row r="1330" spans="3:4" ht="15.75" customHeight="1">
      <c r="C1330" s="33"/>
      <c r="D1330" s="33"/>
    </row>
    <row r="1331" spans="3:4" ht="15.75" customHeight="1">
      <c r="C1331" s="33"/>
      <c r="D1331" s="33"/>
    </row>
    <row r="1332" spans="3:4" ht="15.75" customHeight="1">
      <c r="C1332" s="33"/>
      <c r="D1332" s="33"/>
    </row>
    <row r="1333" spans="3:4" ht="15.75" customHeight="1">
      <c r="C1333" s="33"/>
      <c r="D1333" s="33"/>
    </row>
    <row r="1334" spans="3:4" ht="15.75" customHeight="1">
      <c r="C1334" s="33"/>
      <c r="D1334" s="33"/>
    </row>
    <row r="1335" spans="3:4" ht="15.75" customHeight="1">
      <c r="C1335" s="33"/>
      <c r="D1335" s="33"/>
    </row>
    <row r="1336" spans="3:4" ht="15.75" customHeight="1">
      <c r="C1336" s="33"/>
      <c r="D1336" s="33"/>
    </row>
    <row r="1337" spans="3:4" ht="15.75" customHeight="1">
      <c r="C1337" s="33"/>
      <c r="D1337" s="33"/>
    </row>
    <row r="1338" spans="3:4" ht="15.75" customHeight="1">
      <c r="C1338" s="33"/>
      <c r="D1338" s="33"/>
    </row>
    <row r="1339" spans="3:4" ht="15.75" customHeight="1">
      <c r="C1339" s="33"/>
      <c r="D1339" s="33"/>
    </row>
    <row r="1340" spans="3:4" ht="15.75" customHeight="1">
      <c r="C1340" s="33"/>
      <c r="D1340" s="33"/>
    </row>
    <row r="1341" spans="3:4" ht="15.75" customHeight="1">
      <c r="C1341" s="33"/>
      <c r="D1341" s="33"/>
    </row>
    <row r="1342" spans="3:4" ht="15.75" customHeight="1">
      <c r="C1342" s="33"/>
      <c r="D1342" s="33"/>
    </row>
    <row r="1343" spans="3:4" ht="15.75" customHeight="1">
      <c r="C1343" s="33"/>
      <c r="D1343" s="33"/>
    </row>
    <row r="1344" spans="3:4" ht="15.75" customHeight="1">
      <c r="C1344" s="33"/>
      <c r="D1344" s="33"/>
    </row>
    <row r="1345" spans="3:4" ht="15.75" customHeight="1">
      <c r="C1345" s="33"/>
      <c r="D1345" s="33"/>
    </row>
    <row r="1346" spans="3:4" ht="15.75" customHeight="1">
      <c r="C1346" s="33"/>
      <c r="D1346" s="33"/>
    </row>
    <row r="1347" spans="3:4" ht="15.75" customHeight="1">
      <c r="C1347" s="33"/>
      <c r="D1347" s="33"/>
    </row>
    <row r="1348" spans="3:4" ht="15.75" customHeight="1">
      <c r="C1348" s="33"/>
      <c r="D1348" s="33"/>
    </row>
    <row r="1349" spans="3:4" ht="15.75" customHeight="1">
      <c r="C1349" s="33"/>
      <c r="D1349" s="33"/>
    </row>
    <row r="1350" spans="3:4" ht="15.75" customHeight="1">
      <c r="C1350" s="33"/>
      <c r="D1350" s="33"/>
    </row>
    <row r="1351" spans="3:4" ht="15.75" customHeight="1">
      <c r="C1351" s="33"/>
      <c r="D1351" s="33"/>
    </row>
    <row r="1352" spans="3:4" ht="15.75" customHeight="1">
      <c r="C1352" s="33"/>
      <c r="D1352" s="33"/>
    </row>
    <row r="1353" spans="3:4" ht="15.75" customHeight="1">
      <c r="C1353" s="33"/>
      <c r="D1353" s="33"/>
    </row>
    <row r="1354" spans="3:4" ht="15.75" customHeight="1">
      <c r="C1354" s="33"/>
      <c r="D1354" s="33"/>
    </row>
    <row r="1355" spans="3:4" ht="15.75" customHeight="1">
      <c r="C1355" s="33"/>
      <c r="D1355" s="33"/>
    </row>
    <row r="1356" spans="3:4" ht="15.75" customHeight="1">
      <c r="C1356" s="33"/>
      <c r="D1356" s="33"/>
    </row>
    <row r="1357" spans="3:4" ht="15.75" customHeight="1">
      <c r="C1357" s="33"/>
      <c r="D1357" s="33"/>
    </row>
    <row r="1358" spans="3:4" ht="15.75" customHeight="1">
      <c r="C1358" s="33"/>
      <c r="D1358" s="33"/>
    </row>
    <row r="1359" spans="3:4" ht="15.75" customHeight="1">
      <c r="C1359" s="33"/>
      <c r="D1359" s="33"/>
    </row>
    <row r="1360" spans="3:4" ht="15.75" customHeight="1">
      <c r="C1360" s="33"/>
      <c r="D1360" s="33"/>
    </row>
    <row r="1361" spans="3:4" ht="15.75" customHeight="1">
      <c r="C1361" s="33"/>
      <c r="D1361" s="33"/>
    </row>
    <row r="1362" spans="3:4" ht="15.75" customHeight="1">
      <c r="C1362" s="33"/>
      <c r="D1362" s="33"/>
    </row>
    <row r="1363" spans="3:4" ht="15.75" customHeight="1">
      <c r="C1363" s="33"/>
      <c r="D1363" s="33"/>
    </row>
    <row r="1364" spans="3:4" ht="15.75" customHeight="1">
      <c r="C1364" s="33"/>
      <c r="D1364" s="33"/>
    </row>
    <row r="1365" spans="3:4" ht="15.75" customHeight="1">
      <c r="C1365" s="33"/>
      <c r="D1365" s="33"/>
    </row>
    <row r="1366" spans="3:4" ht="15.75" customHeight="1">
      <c r="C1366" s="33"/>
      <c r="D1366" s="33"/>
    </row>
    <row r="1367" spans="3:4" ht="15.75" customHeight="1">
      <c r="C1367" s="33"/>
      <c r="D1367" s="33"/>
    </row>
    <row r="1368" spans="3:4" ht="15.75" customHeight="1">
      <c r="C1368" s="33"/>
      <c r="D1368" s="33"/>
    </row>
    <row r="1369" spans="3:4" ht="15.75" customHeight="1">
      <c r="C1369" s="33"/>
      <c r="D1369" s="33"/>
    </row>
    <row r="1370" spans="3:4" ht="15.75" customHeight="1">
      <c r="C1370" s="33"/>
      <c r="D1370" s="33"/>
    </row>
    <row r="1371" spans="3:4" ht="15.75" customHeight="1">
      <c r="C1371" s="33"/>
      <c r="D1371" s="33"/>
    </row>
    <row r="1372" spans="3:4" ht="15.75" customHeight="1">
      <c r="C1372" s="33"/>
      <c r="D1372" s="33"/>
    </row>
    <row r="1373" spans="3:4" ht="15.75" customHeight="1">
      <c r="C1373" s="33"/>
      <c r="D1373" s="33"/>
    </row>
    <row r="1374" spans="3:4" ht="15.75" customHeight="1">
      <c r="C1374" s="33"/>
      <c r="D1374" s="33"/>
    </row>
    <row r="1375" spans="3:4" ht="15.75" customHeight="1">
      <c r="C1375" s="33"/>
      <c r="D1375" s="33"/>
    </row>
    <row r="1376" spans="3:4" ht="15.75" customHeight="1">
      <c r="C1376" s="33"/>
      <c r="D1376" s="33"/>
    </row>
    <row r="1377" spans="3:4" ht="15.75" customHeight="1">
      <c r="C1377" s="33"/>
      <c r="D1377" s="33"/>
    </row>
    <row r="1378" spans="3:4" ht="15.75" customHeight="1">
      <c r="C1378" s="33"/>
      <c r="D1378" s="33"/>
    </row>
    <row r="1379" spans="3:4" ht="15.75" customHeight="1">
      <c r="C1379" s="33"/>
      <c r="D1379" s="33"/>
    </row>
    <row r="1380" spans="3:4" ht="15.75" customHeight="1">
      <c r="C1380" s="33"/>
      <c r="D1380" s="33"/>
    </row>
    <row r="1381" spans="3:4" ht="15.75" customHeight="1">
      <c r="C1381" s="33"/>
      <c r="D1381" s="33"/>
    </row>
    <row r="1382" spans="3:4" ht="15.75" customHeight="1">
      <c r="C1382" s="33"/>
      <c r="D1382" s="33"/>
    </row>
    <row r="1383" spans="3:4" ht="15.75" customHeight="1">
      <c r="C1383" s="33"/>
      <c r="D1383" s="33"/>
    </row>
    <row r="1384" spans="3:4" ht="15.75" customHeight="1">
      <c r="C1384" s="33"/>
      <c r="D1384" s="33"/>
    </row>
    <row r="1385" spans="3:4" ht="15.75" customHeight="1">
      <c r="C1385" s="33"/>
      <c r="D1385" s="33"/>
    </row>
    <row r="1386" spans="3:4" ht="15.75" customHeight="1">
      <c r="C1386" s="33"/>
      <c r="D1386" s="33"/>
    </row>
    <row r="1387" spans="3:4" ht="15.75" customHeight="1">
      <c r="C1387" s="33"/>
      <c r="D1387" s="33"/>
    </row>
    <row r="1388" spans="3:4" ht="15.75" customHeight="1">
      <c r="C1388" s="33"/>
      <c r="D1388" s="33"/>
    </row>
    <row r="1389" spans="3:4" ht="15.75" customHeight="1">
      <c r="C1389" s="33"/>
      <c r="D1389" s="33"/>
    </row>
    <row r="1390" spans="3:4" ht="15.75" customHeight="1">
      <c r="C1390" s="33"/>
      <c r="D1390" s="33"/>
    </row>
    <row r="1391" spans="3:4" ht="15.75" customHeight="1">
      <c r="C1391" s="33"/>
      <c r="D1391" s="33"/>
    </row>
    <row r="1392" spans="3:4" ht="15.75" customHeight="1">
      <c r="C1392" s="33"/>
      <c r="D1392" s="33"/>
    </row>
    <row r="1393" spans="3:4" ht="15.75" customHeight="1">
      <c r="C1393" s="33"/>
      <c r="D1393" s="33"/>
    </row>
    <row r="1394" spans="3:4" ht="15.75" customHeight="1">
      <c r="C1394" s="33"/>
      <c r="D1394" s="33"/>
    </row>
    <row r="1395" spans="3:4" ht="15.75" customHeight="1">
      <c r="C1395" s="33"/>
      <c r="D1395" s="33"/>
    </row>
    <row r="1396" spans="3:4" ht="15.75" customHeight="1">
      <c r="C1396" s="33"/>
      <c r="D1396" s="33"/>
    </row>
    <row r="1397" spans="3:4" ht="15.75" customHeight="1">
      <c r="C1397" s="33"/>
      <c r="D1397" s="33"/>
    </row>
    <row r="1398" spans="3:4" ht="15.75" customHeight="1">
      <c r="C1398" s="33"/>
      <c r="D1398" s="33"/>
    </row>
    <row r="1399" spans="3:4" ht="15.75" customHeight="1">
      <c r="C1399" s="33"/>
      <c r="D1399" s="33"/>
    </row>
    <row r="1400" spans="3:4" ht="15.75" customHeight="1">
      <c r="C1400" s="33"/>
      <c r="D1400" s="33"/>
    </row>
    <row r="1401" spans="3:4" ht="15.75" customHeight="1">
      <c r="C1401" s="33"/>
      <c r="D1401" s="33"/>
    </row>
    <row r="1402" spans="3:4" ht="15.75" customHeight="1">
      <c r="C1402" s="33"/>
      <c r="D1402" s="33"/>
    </row>
    <row r="1403" spans="3:4" ht="15.75" customHeight="1">
      <c r="C1403" s="33"/>
      <c r="D1403" s="33"/>
    </row>
    <row r="1404" spans="3:4" ht="15" customHeight="1">
      <c r="C1404" s="33"/>
      <c r="D1404" s="33"/>
    </row>
    <row r="1405" spans="3:4" ht="15" customHeight="1">
      <c r="C1405" s="33"/>
      <c r="D1405" s="33"/>
    </row>
    <row r="1406" spans="3:4" ht="15" customHeight="1">
      <c r="C1406" s="33"/>
      <c r="D1406" s="33"/>
    </row>
    <row r="1407" spans="3:4" ht="15" customHeight="1">
      <c r="C1407" s="33"/>
      <c r="D1407" s="33"/>
    </row>
    <row r="1408" spans="3:4" ht="15" customHeight="1">
      <c r="C1408" s="33"/>
      <c r="D1408" s="33"/>
    </row>
    <row r="1409" spans="3:4" ht="15" customHeight="1">
      <c r="C1409" s="33"/>
      <c r="D1409" s="33"/>
    </row>
    <row r="1410" spans="3:4" ht="15" customHeight="1">
      <c r="C1410" s="33"/>
      <c r="D1410" s="33"/>
    </row>
    <row r="1411" spans="3:4" ht="15" customHeight="1">
      <c r="C1411" s="33"/>
      <c r="D1411" s="33"/>
    </row>
    <row r="1412" spans="3:4" ht="15" customHeight="1">
      <c r="C1412" s="33"/>
      <c r="D1412" s="33"/>
    </row>
    <row r="1413" spans="3:4" ht="15" customHeight="1">
      <c r="C1413" s="33"/>
      <c r="D1413" s="33"/>
    </row>
    <row r="1414" spans="3:4" ht="15" customHeight="1">
      <c r="C1414" s="33"/>
      <c r="D1414" s="33"/>
    </row>
    <row r="1415" spans="3:4" ht="15" customHeight="1">
      <c r="C1415" s="33"/>
      <c r="D1415" s="33"/>
    </row>
    <row r="1416" spans="3:4" ht="15" customHeight="1">
      <c r="C1416" s="33"/>
      <c r="D1416" s="33"/>
    </row>
    <row r="1417" spans="3:4" ht="15" customHeight="1">
      <c r="C1417" s="33"/>
      <c r="D1417" s="33"/>
    </row>
    <row r="1418" spans="3:4" ht="15" customHeight="1">
      <c r="C1418" s="33"/>
      <c r="D1418" s="33"/>
    </row>
    <row r="1419" spans="3:4" ht="15" customHeight="1">
      <c r="C1419" s="33"/>
      <c r="D1419" s="33"/>
    </row>
    <row r="1420" spans="3:4" ht="15" customHeight="1">
      <c r="C1420" s="33"/>
      <c r="D1420" s="33"/>
    </row>
    <row r="1421" spans="3:4" ht="15" customHeight="1">
      <c r="C1421" s="33"/>
      <c r="D1421" s="33"/>
    </row>
    <row r="1422" spans="3:4" ht="15" customHeight="1">
      <c r="C1422" s="33"/>
      <c r="D1422" s="33"/>
    </row>
    <row r="1423" spans="3:4" ht="15" customHeight="1">
      <c r="C1423" s="33"/>
      <c r="D1423" s="33"/>
    </row>
    <row r="1424" spans="3:4" ht="15" customHeight="1">
      <c r="C1424" s="33"/>
      <c r="D1424" s="33"/>
    </row>
    <row r="1425" spans="3:4" ht="15" customHeight="1">
      <c r="C1425" s="33"/>
      <c r="D1425" s="33"/>
    </row>
    <row r="1426" spans="3:4" ht="15" customHeight="1">
      <c r="C1426" s="33"/>
      <c r="D1426" s="33"/>
    </row>
    <row r="1427" spans="3:4" ht="15" customHeight="1">
      <c r="C1427" s="33"/>
      <c r="D1427" s="33"/>
    </row>
    <row r="1428" spans="3:4" ht="15" customHeight="1">
      <c r="C1428" s="33"/>
      <c r="D1428" s="33"/>
    </row>
    <row r="1429" spans="3:4" ht="15" customHeight="1">
      <c r="C1429" s="33"/>
      <c r="D1429" s="33"/>
    </row>
    <row r="1430" spans="3:4" ht="15" customHeight="1">
      <c r="C1430" s="33"/>
      <c r="D1430" s="33"/>
    </row>
    <row r="1431" spans="3:4" ht="15" customHeight="1">
      <c r="C1431" s="33"/>
      <c r="D1431" s="33"/>
    </row>
    <row r="1432" spans="3:4" ht="15" customHeight="1">
      <c r="C1432" s="33"/>
      <c r="D1432" s="33"/>
    </row>
    <row r="1433" spans="3:4" ht="15" customHeight="1">
      <c r="C1433" s="33"/>
      <c r="D1433" s="33"/>
    </row>
    <row r="1434" spans="3:4" ht="15" customHeight="1">
      <c r="C1434" s="33"/>
      <c r="D1434" s="33"/>
    </row>
    <row r="1435" spans="3:4" ht="15" customHeight="1">
      <c r="C1435" s="33"/>
      <c r="D1435" s="33"/>
    </row>
    <row r="1436" spans="3:4" ht="15" customHeight="1">
      <c r="C1436" s="33"/>
      <c r="D1436" s="33"/>
    </row>
    <row r="1437" spans="3:4" ht="15" customHeight="1">
      <c r="C1437" s="33"/>
      <c r="D1437" s="33"/>
    </row>
    <row r="1438" spans="3:4" ht="15" customHeight="1">
      <c r="C1438" s="33"/>
      <c r="D1438" s="33"/>
    </row>
    <row r="1439" spans="3:4" ht="15" customHeight="1">
      <c r="C1439" s="33"/>
      <c r="D1439" s="33"/>
    </row>
    <row r="1440" spans="3:4" ht="15" customHeight="1">
      <c r="C1440" s="33"/>
      <c r="D1440" s="33"/>
    </row>
    <row r="1441" spans="3:4" ht="15" customHeight="1">
      <c r="C1441" s="33"/>
      <c r="D1441" s="33"/>
    </row>
    <row r="1442" spans="3:4" ht="15" customHeight="1">
      <c r="C1442" s="33"/>
      <c r="D1442" s="33"/>
    </row>
    <row r="1443" spans="3:4" ht="15" customHeight="1">
      <c r="C1443" s="33"/>
      <c r="D1443" s="33"/>
    </row>
    <row r="1444" spans="3:4" ht="15" customHeight="1">
      <c r="C1444" s="33"/>
      <c r="D1444" s="33"/>
    </row>
    <row r="1445" spans="3:4" ht="15" customHeight="1">
      <c r="C1445" s="33"/>
      <c r="D1445" s="33"/>
    </row>
    <row r="1446" spans="3:4" ht="15" customHeight="1">
      <c r="C1446" s="33"/>
      <c r="D1446" s="33"/>
    </row>
    <row r="1447" spans="3:4" ht="15" customHeight="1">
      <c r="C1447" s="33"/>
      <c r="D1447" s="33"/>
    </row>
    <row r="1448" spans="3:4" ht="15" customHeight="1">
      <c r="C1448" s="33"/>
      <c r="D1448" s="33"/>
    </row>
    <row r="1449" spans="3:4" ht="15" customHeight="1">
      <c r="C1449" s="33"/>
      <c r="D1449" s="33"/>
    </row>
    <row r="1450" spans="3:4" ht="15" customHeight="1">
      <c r="C1450" s="33"/>
      <c r="D1450" s="33"/>
    </row>
    <row r="1451" spans="3:4" ht="15" customHeight="1">
      <c r="C1451" s="33"/>
      <c r="D1451" s="33"/>
    </row>
    <row r="1452" spans="3:4" ht="15" customHeight="1">
      <c r="C1452" s="33"/>
      <c r="D1452" s="33"/>
    </row>
    <row r="1453" spans="3:4" ht="15" customHeight="1">
      <c r="C1453" s="33"/>
      <c r="D1453" s="33"/>
    </row>
    <row r="1454" spans="3:4" ht="15" customHeight="1">
      <c r="C1454" s="33"/>
      <c r="D1454" s="33"/>
    </row>
    <row r="1455" spans="3:4" ht="15" customHeight="1">
      <c r="C1455" s="33"/>
      <c r="D1455" s="33"/>
    </row>
    <row r="1456" spans="3:4" ht="15" customHeight="1">
      <c r="C1456" s="33"/>
      <c r="D1456" s="33"/>
    </row>
    <row r="1457" spans="3:4" ht="15" customHeight="1">
      <c r="C1457" s="33"/>
      <c r="D1457" s="33"/>
    </row>
    <row r="1458" spans="3:4" ht="15" customHeight="1">
      <c r="C1458" s="33"/>
      <c r="D1458" s="33"/>
    </row>
    <row r="1459" spans="3:4" ht="15" customHeight="1">
      <c r="C1459" s="33"/>
      <c r="D1459" s="33"/>
    </row>
    <row r="1460" spans="3:4" ht="15" customHeight="1">
      <c r="C1460" s="33"/>
      <c r="D1460" s="33"/>
    </row>
    <row r="1461" spans="3:4" ht="15" customHeight="1">
      <c r="C1461" s="33"/>
      <c r="D1461" s="33"/>
    </row>
    <row r="1462" spans="3:4" ht="15" customHeight="1">
      <c r="C1462" s="33"/>
      <c r="D1462" s="33"/>
    </row>
    <row r="1463" spans="3:4" ht="15" customHeight="1">
      <c r="C1463" s="33"/>
      <c r="D1463" s="33"/>
    </row>
    <row r="1464" spans="3:4" ht="15" customHeight="1">
      <c r="C1464" s="33"/>
      <c r="D1464" s="33"/>
    </row>
    <row r="1465" spans="3:4" ht="15" customHeight="1">
      <c r="C1465" s="33"/>
      <c r="D1465" s="33"/>
    </row>
    <row r="1466" spans="3:4" ht="15" customHeight="1">
      <c r="C1466" s="33"/>
      <c r="D1466" s="33"/>
    </row>
    <row r="1467" spans="3:4" ht="15" customHeight="1">
      <c r="C1467" s="33"/>
      <c r="D1467" s="33"/>
    </row>
    <row r="1468" spans="3:4" ht="15" customHeight="1">
      <c r="C1468" s="33"/>
      <c r="D1468" s="33"/>
    </row>
    <row r="1469" spans="3:4" ht="15" customHeight="1">
      <c r="C1469" s="33"/>
      <c r="D1469" s="33"/>
    </row>
    <row r="1470" spans="3:4" ht="15" customHeight="1">
      <c r="C1470" s="33"/>
      <c r="D1470" s="33"/>
    </row>
    <row r="1471" spans="3:4" ht="15" customHeight="1">
      <c r="C1471" s="33"/>
      <c r="D1471" s="33"/>
    </row>
    <row r="1472" spans="3:4" ht="15" customHeight="1">
      <c r="C1472" s="33"/>
      <c r="D1472" s="33"/>
    </row>
    <row r="1473" spans="3:4" ht="15" customHeight="1">
      <c r="C1473" s="33"/>
      <c r="D1473" s="33"/>
    </row>
    <row r="1474" spans="3:4" ht="15" customHeight="1">
      <c r="C1474" s="33"/>
      <c r="D1474" s="33"/>
    </row>
    <row r="1475" spans="3:4" ht="15" customHeight="1">
      <c r="C1475" s="33"/>
      <c r="D1475" s="33"/>
    </row>
    <row r="1476" spans="3:4" ht="15" customHeight="1">
      <c r="C1476" s="33"/>
      <c r="D1476" s="33"/>
    </row>
    <row r="1477" spans="3:4" ht="15" customHeight="1">
      <c r="C1477" s="33"/>
      <c r="D1477" s="33"/>
    </row>
    <row r="1478" spans="3:4" ht="15" customHeight="1">
      <c r="C1478" s="33"/>
      <c r="D1478" s="33"/>
    </row>
    <row r="1479" spans="3:4" ht="15" customHeight="1">
      <c r="C1479" s="33"/>
      <c r="D1479" s="33"/>
    </row>
    <row r="1480" spans="3:4" ht="15" customHeight="1">
      <c r="C1480" s="33"/>
      <c r="D1480" s="33"/>
    </row>
    <row r="1481" spans="3:4" ht="15" customHeight="1">
      <c r="C1481" s="33"/>
      <c r="D1481" s="33"/>
    </row>
    <row r="1482" spans="3:4" ht="15" customHeight="1">
      <c r="C1482" s="33"/>
      <c r="D1482" s="33"/>
    </row>
    <row r="1483" spans="3:4" ht="15" customHeight="1">
      <c r="C1483" s="33"/>
      <c r="D1483" s="33"/>
    </row>
    <row r="1484" spans="3:4" ht="15" customHeight="1">
      <c r="C1484" s="33"/>
      <c r="D1484" s="33"/>
    </row>
    <row r="1485" spans="3:4" ht="15" customHeight="1">
      <c r="C1485" s="33"/>
      <c r="D1485" s="33"/>
    </row>
    <row r="1486" spans="3:4" ht="15" customHeight="1">
      <c r="C1486" s="33"/>
      <c r="D1486" s="33"/>
    </row>
    <row r="1487" spans="3:4" ht="15" customHeight="1">
      <c r="C1487" s="33"/>
      <c r="D1487" s="33"/>
    </row>
    <row r="1488" spans="3:4" ht="15" customHeight="1">
      <c r="C1488" s="33"/>
      <c r="D1488" s="33"/>
    </row>
    <row r="1489" spans="3:4" ht="15" customHeight="1">
      <c r="C1489" s="33"/>
      <c r="D1489" s="33"/>
    </row>
    <row r="1490" spans="3:4" ht="15" customHeight="1">
      <c r="C1490" s="33"/>
      <c r="D1490" s="33"/>
    </row>
    <row r="1491" spans="3:4" ht="15" customHeight="1">
      <c r="C1491" s="33"/>
      <c r="D1491" s="33"/>
    </row>
    <row r="1492" spans="3:4" ht="15" customHeight="1">
      <c r="C1492" s="33"/>
      <c r="D1492" s="33"/>
    </row>
    <row r="1493" spans="3:4" ht="15" customHeight="1">
      <c r="C1493" s="33"/>
      <c r="D1493" s="33"/>
    </row>
    <row r="1494" spans="3:4" ht="15" customHeight="1">
      <c r="C1494" s="33"/>
      <c r="D1494" s="33"/>
    </row>
    <row r="1495" spans="3:4" ht="15" customHeight="1">
      <c r="C1495" s="33"/>
      <c r="D1495" s="33"/>
    </row>
    <row r="1496" spans="3:4" ht="15" customHeight="1">
      <c r="C1496" s="33"/>
      <c r="D1496" s="33"/>
    </row>
    <row r="1497" spans="3:4" ht="15" customHeight="1">
      <c r="C1497" s="33"/>
      <c r="D1497" s="33"/>
    </row>
    <row r="1498" spans="3:4" ht="15" customHeight="1">
      <c r="C1498" s="33"/>
      <c r="D1498" s="33"/>
    </row>
    <row r="1499" spans="3:4" ht="15" customHeight="1">
      <c r="C1499" s="33"/>
      <c r="D1499" s="33"/>
    </row>
    <row r="1500" spans="3:4" ht="15" customHeight="1">
      <c r="C1500" s="33"/>
      <c r="D1500" s="33"/>
    </row>
    <row r="1501" spans="3:4" ht="15" customHeight="1">
      <c r="C1501" s="33"/>
      <c r="D1501" s="33"/>
    </row>
    <row r="1502" spans="3:4" ht="15" customHeight="1">
      <c r="C1502" s="33"/>
      <c r="D1502" s="33"/>
    </row>
    <row r="1503" spans="3:4" ht="15" customHeight="1">
      <c r="C1503" s="33"/>
      <c r="D1503" s="33"/>
    </row>
    <row r="1504" spans="3:4" ht="15" customHeight="1">
      <c r="C1504" s="33"/>
      <c r="D1504" s="33"/>
    </row>
    <row r="1505" spans="3:4" ht="15" customHeight="1">
      <c r="C1505" s="33"/>
      <c r="D1505" s="33"/>
    </row>
    <row r="1506" spans="3:4" ht="15" customHeight="1">
      <c r="C1506" s="33"/>
      <c r="D1506" s="33"/>
    </row>
    <row r="1507" spans="3:4" ht="15" customHeight="1">
      <c r="C1507" s="33"/>
      <c r="D1507" s="33"/>
    </row>
    <row r="1508" spans="3:4" ht="15" customHeight="1">
      <c r="C1508" s="33"/>
      <c r="D1508" s="33"/>
    </row>
    <row r="1509" spans="3:4" ht="15" customHeight="1">
      <c r="C1509" s="33"/>
      <c r="D1509" s="33"/>
    </row>
    <row r="1510" spans="3:4" ht="15" customHeight="1">
      <c r="C1510" s="33"/>
      <c r="D1510" s="33"/>
    </row>
    <row r="1511" spans="3:4" ht="15" customHeight="1">
      <c r="C1511" s="33"/>
      <c r="D1511" s="33"/>
    </row>
    <row r="1512" spans="3:4" ht="15" customHeight="1">
      <c r="C1512" s="33"/>
      <c r="D1512" s="33"/>
    </row>
    <row r="1513" spans="3:4" ht="15" customHeight="1">
      <c r="C1513" s="33"/>
      <c r="D1513" s="33"/>
    </row>
    <row r="1514" spans="3:4" ht="15" customHeight="1">
      <c r="C1514" s="33"/>
      <c r="D1514" s="33"/>
    </row>
    <row r="1515" spans="3:4" ht="15" customHeight="1">
      <c r="C1515" s="33"/>
      <c r="D1515" s="33"/>
    </row>
    <row r="1516" spans="3:4" ht="15" customHeight="1">
      <c r="C1516" s="33"/>
      <c r="D1516" s="33"/>
    </row>
    <row r="1517" spans="3:4" ht="15" customHeight="1">
      <c r="C1517" s="33"/>
      <c r="D1517" s="33"/>
    </row>
    <row r="1518" spans="3:4" ht="15" customHeight="1">
      <c r="C1518" s="33"/>
      <c r="D1518" s="33"/>
    </row>
    <row r="1519" spans="3:4" ht="15" customHeight="1">
      <c r="C1519" s="33"/>
      <c r="D1519" s="33"/>
    </row>
    <row r="1520" spans="3:4" ht="15" customHeight="1">
      <c r="C1520" s="33"/>
      <c r="D1520" s="33"/>
    </row>
    <row r="1521" spans="3:4" ht="15" customHeight="1">
      <c r="C1521" s="33"/>
      <c r="D1521" s="33"/>
    </row>
    <row r="1522" spans="3:4" ht="15" customHeight="1">
      <c r="C1522" s="33"/>
      <c r="D1522" s="33"/>
    </row>
    <row r="1523" spans="3:4" ht="15" customHeight="1">
      <c r="C1523" s="33"/>
      <c r="D1523" s="33"/>
    </row>
    <row r="1524" spans="3:4" ht="15" customHeight="1">
      <c r="C1524" s="33"/>
      <c r="D1524" s="33"/>
    </row>
    <row r="1525" spans="3:4" ht="15" customHeight="1">
      <c r="C1525" s="33"/>
      <c r="D1525" s="33"/>
    </row>
    <row r="1526" spans="3:4" ht="15" customHeight="1">
      <c r="C1526" s="33"/>
      <c r="D1526" s="33"/>
    </row>
    <row r="1527" spans="3:4" ht="15" customHeight="1">
      <c r="C1527" s="33"/>
      <c r="D1527" s="33"/>
    </row>
    <row r="1528" spans="3:4" ht="15" customHeight="1">
      <c r="C1528" s="33"/>
      <c r="D1528" s="33"/>
    </row>
    <row r="1529" spans="3:4" ht="15" customHeight="1">
      <c r="C1529" s="33"/>
      <c r="D1529" s="33"/>
    </row>
    <row r="1530" spans="3:4" ht="15" customHeight="1">
      <c r="C1530" s="33"/>
      <c r="D1530" s="33"/>
    </row>
    <row r="1531" spans="3:4" ht="15" customHeight="1">
      <c r="C1531" s="33"/>
      <c r="D1531" s="33"/>
    </row>
    <row r="1532" spans="3:4" ht="15" customHeight="1">
      <c r="C1532" s="33"/>
      <c r="D1532" s="33"/>
    </row>
    <row r="1533" spans="3:4" ht="15" customHeight="1">
      <c r="C1533" s="33"/>
      <c r="D1533" s="33"/>
    </row>
    <row r="1534" spans="3:4" ht="15" customHeight="1">
      <c r="C1534" s="33"/>
      <c r="D1534" s="33"/>
    </row>
    <row r="1535" spans="3:4" ht="15" customHeight="1">
      <c r="C1535" s="33"/>
      <c r="D1535" s="33"/>
    </row>
    <row r="1536" spans="3:4" ht="15" customHeight="1">
      <c r="C1536" s="33"/>
      <c r="D1536" s="33"/>
    </row>
    <row r="1537" spans="3:4" ht="15" customHeight="1">
      <c r="C1537" s="33"/>
      <c r="D1537" s="33"/>
    </row>
    <row r="1538" spans="3:4" ht="15" customHeight="1">
      <c r="C1538" s="33"/>
      <c r="D1538" s="33"/>
    </row>
    <row r="1539" spans="3:4" ht="15" customHeight="1">
      <c r="C1539" s="33"/>
      <c r="D1539" s="33"/>
    </row>
    <row r="1540" spans="3:4" ht="15" customHeight="1">
      <c r="C1540" s="33"/>
      <c r="D1540" s="33"/>
    </row>
    <row r="1541" spans="3:4" ht="15" customHeight="1">
      <c r="C1541" s="33"/>
      <c r="D1541" s="33"/>
    </row>
    <row r="1542" spans="3:4" ht="15" customHeight="1">
      <c r="C1542" s="33"/>
      <c r="D1542" s="33"/>
    </row>
    <row r="1543" spans="3:4" ht="15" customHeight="1">
      <c r="C1543" s="33"/>
      <c r="D1543" s="33"/>
    </row>
    <row r="1544" spans="3:4" ht="15" customHeight="1">
      <c r="C1544" s="33"/>
      <c r="D1544" s="33"/>
    </row>
    <row r="1545" spans="3:4" ht="15" customHeight="1">
      <c r="C1545" s="33"/>
      <c r="D1545" s="33"/>
    </row>
    <row r="1546" spans="3:4" ht="15" customHeight="1">
      <c r="C1546" s="33"/>
      <c r="D1546" s="33"/>
    </row>
    <row r="1547" spans="3:4" ht="15" customHeight="1">
      <c r="C1547" s="33"/>
      <c r="D1547" s="33"/>
    </row>
    <row r="1548" spans="3:4" ht="15" customHeight="1">
      <c r="C1548" s="33"/>
      <c r="D1548" s="33"/>
    </row>
    <row r="1549" spans="3:4" ht="15" customHeight="1">
      <c r="C1549" s="33"/>
      <c r="D1549" s="33"/>
    </row>
    <row r="1550" spans="3:4" ht="15" customHeight="1">
      <c r="C1550" s="33"/>
      <c r="D1550" s="33"/>
    </row>
    <row r="1551" spans="3:4" ht="15" customHeight="1">
      <c r="C1551" s="33"/>
      <c r="D1551" s="33"/>
    </row>
    <row r="1552" spans="3:4" ht="15" customHeight="1">
      <c r="C1552" s="33"/>
      <c r="D1552" s="33"/>
    </row>
    <row r="1553" spans="3:4" ht="15" customHeight="1">
      <c r="C1553" s="33"/>
      <c r="D1553" s="33"/>
    </row>
    <row r="1554" spans="3:4" ht="15" customHeight="1">
      <c r="C1554" s="33"/>
      <c r="D1554" s="33"/>
    </row>
    <row r="1555" spans="3:4" ht="15" customHeight="1">
      <c r="C1555" s="33"/>
      <c r="D1555" s="33"/>
    </row>
    <row r="1556" spans="3:4" ht="15" customHeight="1">
      <c r="C1556" s="33"/>
      <c r="D1556" s="33"/>
    </row>
  </sheetData>
  <customSheetViews>
    <customSheetView guid="{4375E1BE-E0CA-47E2-B4BA-7AD66A4660B4}" filter="1" showAutoFilter="1">
      <pageMargins left="0.7" right="0.7" top="0.75" bottom="0.75" header="0.3" footer="0.3"/>
      <autoFilter ref="A3:U253" xr:uid="{68D6724A-A697-B24F-96B4-80D6BCD2EBBC}"/>
      <extLst>
        <ext uri="GoogleSheetsCustomDataVersion1">
          <go:sheetsCustomData xmlns:go="http://customooxmlschemas.google.com/" filterViewId="1945428781"/>
        </ext>
      </extLst>
    </customSheetView>
  </customSheetViews>
  <conditionalFormatting sqref="B2:B400">
    <cfRule type="cellIs" dxfId="1" priority="2" operator="equal">
      <formula>0</formula>
    </cfRule>
  </conditionalFormatting>
  <conditionalFormatting sqref="N183 B401:B791">
    <cfRule type="cellIs" dxfId="0" priority="23" operator="equal">
      <formula>0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2:AG1080"/>
  <sheetViews>
    <sheetView rightToLeft="1" tabSelected="1" zoomScaleNormal="100" workbookViewId="0">
      <pane xSplit="8" ySplit="3" topLeftCell="I79" activePane="bottomRight" state="frozen"/>
      <selection pane="topRight" activeCell="H1" sqref="H1"/>
      <selection pane="bottomLeft" activeCell="A4" sqref="A4"/>
      <selection pane="bottomRight" activeCell="E64" sqref="D64:E64"/>
    </sheetView>
  </sheetViews>
  <sheetFormatPr baseColWidth="10" defaultColWidth="14.5" defaultRowHeight="15" customHeight="1"/>
  <cols>
    <col min="1" max="1" width="4.83203125" customWidth="1"/>
    <col min="2" max="2" width="5.1640625" customWidth="1"/>
    <col min="3" max="3" width="15.6640625" customWidth="1"/>
    <col min="4" max="4" width="13.33203125" customWidth="1"/>
    <col min="5" max="5" width="16.33203125" customWidth="1"/>
    <col min="6" max="8" width="23.33203125" customWidth="1"/>
    <col min="9" max="9" width="8.6640625" customWidth="1"/>
    <col min="10" max="21" width="13.83203125" style="44" customWidth="1"/>
    <col min="22" max="22" width="15" bestFit="1" customWidth="1"/>
  </cols>
  <sheetData>
    <row r="2" spans="2:33" s="230" customFormat="1" ht="25.5" customHeight="1" thickBot="1">
      <c r="F2" s="230">
        <v>1401</v>
      </c>
      <c r="G2" s="230">
        <v>1402</v>
      </c>
      <c r="J2" s="229">
        <v>1401</v>
      </c>
      <c r="K2" s="229">
        <v>1401</v>
      </c>
      <c r="L2" s="229">
        <v>1401</v>
      </c>
      <c r="M2" s="229">
        <v>1401</v>
      </c>
      <c r="N2" s="229">
        <v>1401</v>
      </c>
      <c r="O2" s="229">
        <v>1401</v>
      </c>
      <c r="P2" s="229">
        <v>1401</v>
      </c>
      <c r="Q2" s="229">
        <v>1401</v>
      </c>
      <c r="R2" s="229">
        <v>1401</v>
      </c>
      <c r="S2" s="229">
        <v>1401</v>
      </c>
      <c r="T2" s="229">
        <v>1401</v>
      </c>
      <c r="U2" s="229">
        <v>1401</v>
      </c>
      <c r="V2" s="230">
        <v>1402</v>
      </c>
      <c r="W2" s="230">
        <v>1402</v>
      </c>
      <c r="X2" s="230">
        <v>1402</v>
      </c>
      <c r="Y2" s="230">
        <v>1402</v>
      </c>
      <c r="Z2" s="230">
        <v>1402</v>
      </c>
      <c r="AA2" s="230">
        <v>1402</v>
      </c>
      <c r="AB2" s="230">
        <v>1402</v>
      </c>
      <c r="AC2" s="230">
        <v>1402</v>
      </c>
      <c r="AD2" s="230">
        <v>1402</v>
      </c>
      <c r="AE2" s="230">
        <v>1402</v>
      </c>
      <c r="AF2" s="230">
        <v>1402</v>
      </c>
      <c r="AG2" s="230">
        <v>1402</v>
      </c>
    </row>
    <row r="3" spans="2:33" ht="32.25" customHeight="1" thickTop="1">
      <c r="B3" s="34" t="s">
        <v>213</v>
      </c>
      <c r="C3" s="34"/>
      <c r="D3" s="34" t="s">
        <v>318</v>
      </c>
      <c r="E3" s="34" t="s">
        <v>319</v>
      </c>
      <c r="F3" s="34" t="s">
        <v>1175</v>
      </c>
      <c r="G3" s="34" t="s">
        <v>1176</v>
      </c>
      <c r="H3" s="34" t="s">
        <v>588</v>
      </c>
      <c r="J3" s="41" t="s">
        <v>332</v>
      </c>
      <c r="K3" s="41" t="s">
        <v>337</v>
      </c>
      <c r="L3" s="41" t="s">
        <v>331</v>
      </c>
      <c r="M3" s="41" t="s">
        <v>343</v>
      </c>
      <c r="N3" s="41" t="s">
        <v>346</v>
      </c>
      <c r="O3" s="41" t="s">
        <v>348</v>
      </c>
      <c r="P3" s="41" t="s">
        <v>351</v>
      </c>
      <c r="Q3" s="41" t="s">
        <v>354</v>
      </c>
      <c r="R3" s="41" t="s">
        <v>357</v>
      </c>
      <c r="S3" s="41" t="s">
        <v>362</v>
      </c>
      <c r="T3" s="41" t="s">
        <v>365</v>
      </c>
      <c r="U3" s="41" t="s">
        <v>368</v>
      </c>
      <c r="V3" s="231" t="s">
        <v>332</v>
      </c>
      <c r="W3" s="231" t="s">
        <v>337</v>
      </c>
      <c r="X3" s="231" t="s">
        <v>331</v>
      </c>
      <c r="Y3" s="231" t="s">
        <v>343</v>
      </c>
      <c r="Z3" s="231" t="s">
        <v>346</v>
      </c>
      <c r="AA3" s="231" t="s">
        <v>348</v>
      </c>
      <c r="AB3" s="231" t="s">
        <v>351</v>
      </c>
      <c r="AC3" s="231" t="s">
        <v>354</v>
      </c>
      <c r="AD3" s="231" t="s">
        <v>357</v>
      </c>
      <c r="AE3" s="231" t="s">
        <v>362</v>
      </c>
      <c r="AF3" s="231" t="s">
        <v>365</v>
      </c>
      <c r="AG3" s="231" t="s">
        <v>368</v>
      </c>
    </row>
    <row r="4" spans="2:33">
      <c r="B4" s="17">
        <v>1</v>
      </c>
      <c r="C4" s="17" t="s">
        <v>1552</v>
      </c>
      <c r="D4" s="21" t="s">
        <v>338</v>
      </c>
      <c r="E4" s="21" t="s">
        <v>339</v>
      </c>
      <c r="F4" s="35">
        <f>SUMIFS(Table1[مبلغ واریزی],Table1[ردیف],$B4,Table1[سال],F$2)</f>
        <v>100000000</v>
      </c>
      <c r="G4" s="35">
        <f>SUMIFS(Table1[مبلغ واریزی],Table1[ردیف],$B4,Table1[سال],G$2)</f>
        <v>120000000</v>
      </c>
      <c r="H4" s="35">
        <f>SUMIF('لیست واریزی ماهیانه'!B:B,'لیست واریزی کل خیرین'!$B4,'لیست واریزی ماهیانه'!K:K)</f>
        <v>220000000</v>
      </c>
      <c r="J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10000000</v>
      </c>
      <c r="M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10000000</v>
      </c>
      <c r="N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11169500</v>
      </c>
      <c r="R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28830500</v>
      </c>
      <c r="S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10000000</v>
      </c>
      <c r="AE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10000000</v>
      </c>
      <c r="AG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</v>
      </c>
    </row>
    <row r="5" spans="2:33">
      <c r="B5" s="17">
        <v>2</v>
      </c>
      <c r="C5" s="17" t="s">
        <v>1552</v>
      </c>
      <c r="D5" s="21" t="s">
        <v>333</v>
      </c>
      <c r="E5" s="36" t="s">
        <v>334</v>
      </c>
      <c r="F5" s="35">
        <f>SUMIFS(Table1[مبلغ واریزی],Table1[ردیف],$B5,Table1[سال],F$2)</f>
        <v>250000000</v>
      </c>
      <c r="G5" s="35">
        <f>SUMIFS(Table1[مبلغ واریزی],Table1[ردیف],$B5,Table1[سال],G$2)</f>
        <v>100000000</v>
      </c>
      <c r="H5" s="35">
        <f>SUMIF('لیست واریزی ماهیانه'!B:B,'لیست واریزی کل خیرین'!$B5,'لیست واریزی ماهیانه'!K:K)</f>
        <v>350000000</v>
      </c>
      <c r="J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20000000</v>
      </c>
      <c r="M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20000000</v>
      </c>
      <c r="N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20000000</v>
      </c>
      <c r="P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20000000</v>
      </c>
      <c r="Q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20000000</v>
      </c>
      <c r="R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20000000</v>
      </c>
      <c r="S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20000000</v>
      </c>
      <c r="T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30000000</v>
      </c>
      <c r="U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70000000</v>
      </c>
      <c r="V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20000000</v>
      </c>
      <c r="W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20000000</v>
      </c>
      <c r="X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20000000</v>
      </c>
      <c r="Y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20000000</v>
      </c>
      <c r="Z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20000000</v>
      </c>
      <c r="AA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6" spans="2:33">
      <c r="B6" s="17">
        <v>3</v>
      </c>
      <c r="C6" s="301" t="s">
        <v>1553</v>
      </c>
      <c r="D6" s="21" t="s">
        <v>328</v>
      </c>
      <c r="E6" s="21" t="s">
        <v>329</v>
      </c>
      <c r="F6" s="35">
        <f>SUMIFS(Table1[مبلغ واریزی],Table1[ردیف],$B6,Table1[سال],F$2)</f>
        <v>300000000</v>
      </c>
      <c r="G6" s="35">
        <f>SUMIFS(Table1[مبلغ واریزی],Table1[ردیف],$B6,Table1[سال],G$2)</f>
        <v>790000000</v>
      </c>
      <c r="H6" s="35">
        <f>SUMIF('لیست واریزی ماهیانه'!B:B,'لیست واریزی کل خیرین'!$B6,'لیست واریزی ماهیانه'!K:K)</f>
        <v>1090000000</v>
      </c>
      <c r="J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30000000</v>
      </c>
      <c r="M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30000000</v>
      </c>
      <c r="N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30000000</v>
      </c>
      <c r="O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30000000</v>
      </c>
      <c r="P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30000000</v>
      </c>
      <c r="Q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30000000</v>
      </c>
      <c r="R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30000000</v>
      </c>
      <c r="S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30000000</v>
      </c>
      <c r="T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30000000</v>
      </c>
      <c r="U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30000000</v>
      </c>
      <c r="V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30000000</v>
      </c>
      <c r="W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30000000</v>
      </c>
      <c r="X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30000000</v>
      </c>
      <c r="Y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30000000</v>
      </c>
      <c r="Z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30000000</v>
      </c>
      <c r="AA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30000000</v>
      </c>
      <c r="AB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30000000</v>
      </c>
      <c r="AC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580000000</v>
      </c>
      <c r="AD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7" spans="2:33">
      <c r="B7" s="17">
        <v>4</v>
      </c>
      <c r="C7" s="17"/>
      <c r="D7" s="21" t="s">
        <v>340</v>
      </c>
      <c r="E7" s="21" t="s">
        <v>341</v>
      </c>
      <c r="F7" s="35">
        <f>SUMIFS(Table1[مبلغ واریزی],Table1[ردیف],$B7,Table1[سال],F$2)</f>
        <v>25000000</v>
      </c>
      <c r="G7" s="35">
        <f>SUMIFS(Table1[مبلغ واریزی],Table1[ردیف],$B7,Table1[سال],G$2)</f>
        <v>24000000</v>
      </c>
      <c r="H7" s="35">
        <f>SUMIF('لیست واریزی ماهیانه'!B:B,'لیست واریزی کل خیرین'!$B7,'لیست واریزی ماهیانه'!K:K)</f>
        <v>49000000</v>
      </c>
      <c r="J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2000000</v>
      </c>
      <c r="M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2000000</v>
      </c>
      <c r="N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2000000</v>
      </c>
      <c r="O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</v>
      </c>
      <c r="P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</v>
      </c>
      <c r="Q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</v>
      </c>
      <c r="R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</v>
      </c>
      <c r="S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</v>
      </c>
      <c r="T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2000000</v>
      </c>
      <c r="U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7000000</v>
      </c>
      <c r="V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2000000</v>
      </c>
      <c r="W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</v>
      </c>
      <c r="X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2000000</v>
      </c>
      <c r="Y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2000000</v>
      </c>
      <c r="Z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</v>
      </c>
      <c r="AA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2000000</v>
      </c>
      <c r="AB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</v>
      </c>
      <c r="AC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2000000</v>
      </c>
      <c r="AD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</v>
      </c>
      <c r="AE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2000000</v>
      </c>
      <c r="AF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2000000</v>
      </c>
      <c r="AG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2000000</v>
      </c>
    </row>
    <row r="8" spans="2:33">
      <c r="B8" s="17">
        <v>5</v>
      </c>
      <c r="C8" s="17"/>
      <c r="D8" s="21" t="s">
        <v>344</v>
      </c>
      <c r="E8" s="21" t="s">
        <v>345</v>
      </c>
      <c r="F8" s="35">
        <f>SUMIFS(Table1[مبلغ واریزی],Table1[ردیف],$B8,Table1[سال],F$2)</f>
        <v>50000000</v>
      </c>
      <c r="G8" s="35">
        <f>SUMIFS(Table1[مبلغ واریزی],Table1[ردیف],$B8,Table1[سال],G$2)</f>
        <v>60000000</v>
      </c>
      <c r="H8" s="35">
        <f>SUMIF('لیست واریزی ماهیانه'!B:B,'لیست واریزی کل خیرین'!$B8,'لیست واریزی ماهیانه'!K:K)</f>
        <v>110000000</v>
      </c>
      <c r="I8" s="2" t="s">
        <v>400</v>
      </c>
      <c r="J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5000000</v>
      </c>
      <c r="M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5000000</v>
      </c>
      <c r="N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</row>
    <row r="9" spans="2:33">
      <c r="B9" s="17">
        <v>6</v>
      </c>
      <c r="C9" s="17"/>
      <c r="D9" s="21" t="s">
        <v>76</v>
      </c>
      <c r="E9" s="21" t="s">
        <v>347</v>
      </c>
      <c r="F9" s="35">
        <f>SUMIFS(Table1[مبلغ واریزی],Table1[ردیف],$B9,Table1[سال],F$2)</f>
        <v>42000000</v>
      </c>
      <c r="G9" s="35">
        <f>SUMIFS(Table1[مبلغ واریزی],Table1[ردیف],$B9,Table1[سال],G$2)</f>
        <v>55000000</v>
      </c>
      <c r="H9" s="35">
        <f>SUMIF('لیست واریزی ماهیانه'!B:B,'لیست واریزی کل خیرین'!$B9,'لیست واریزی ماهیانه'!K:K)</f>
        <v>97000000</v>
      </c>
      <c r="J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5000000</v>
      </c>
      <c r="M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5000000</v>
      </c>
      <c r="N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</v>
      </c>
      <c r="Q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</row>
    <row r="10" spans="2:33">
      <c r="B10" s="17">
        <v>7</v>
      </c>
      <c r="C10" s="17"/>
      <c r="D10" s="21" t="s">
        <v>349</v>
      </c>
      <c r="E10" s="21" t="s">
        <v>350</v>
      </c>
      <c r="F10" s="35">
        <f>SUMIFS(Table1[مبلغ واریزی],Table1[ردیف],$B10,Table1[سال],F$2)</f>
        <v>157000000</v>
      </c>
      <c r="G10" s="35">
        <f>SUMIFS(Table1[مبلغ واریزی],Table1[ردیف],$B10,Table1[سال],G$2)</f>
        <v>520000000</v>
      </c>
      <c r="H10" s="35">
        <f>SUMIF('لیست واریزی ماهیانه'!B:B,'لیست واریزی کل خیرین'!$B10,'لیست واریزی ماهیانه'!K:K)</f>
        <v>677000000</v>
      </c>
      <c r="J1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10000000</v>
      </c>
      <c r="M1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5000000</v>
      </c>
      <c r="N1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15000000</v>
      </c>
      <c r="O1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1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17000000</v>
      </c>
      <c r="Q1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1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1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1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1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60000000</v>
      </c>
      <c r="V1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50000000</v>
      </c>
      <c r="X1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50000000</v>
      </c>
      <c r="Y1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50000000</v>
      </c>
      <c r="Z1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50000000</v>
      </c>
      <c r="AA1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50000000</v>
      </c>
      <c r="AB1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50000000</v>
      </c>
      <c r="AC1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70000000</v>
      </c>
      <c r="AD1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100000000</v>
      </c>
      <c r="AF1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50000000</v>
      </c>
    </row>
    <row r="11" spans="2:33">
      <c r="B11" s="17">
        <v>8</v>
      </c>
      <c r="C11" s="17"/>
      <c r="D11" s="21" t="s">
        <v>352</v>
      </c>
      <c r="E11" s="21" t="s">
        <v>353</v>
      </c>
      <c r="F11" s="35">
        <f>SUMIFS(Table1[مبلغ واریزی],Table1[ردیف],$B11,Table1[سال],F$2)</f>
        <v>70000000</v>
      </c>
      <c r="G11" s="35">
        <f>SUMIFS(Table1[مبلغ واریزی],Table1[ردیف],$B11,Table1[سال],G$2)</f>
        <v>40000000</v>
      </c>
      <c r="H11" s="35">
        <f>SUMIF('لیست واریزی ماهیانه'!B:B,'لیست واریزی کل خیرین'!$B11,'لیست واریزی ماهیانه'!K:K)</f>
        <v>110000000</v>
      </c>
      <c r="J1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5000000</v>
      </c>
      <c r="M1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5000000</v>
      </c>
      <c r="N1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1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1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1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1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1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25000000</v>
      </c>
      <c r="T1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1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1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1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1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1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1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1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1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1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2" spans="2:33">
      <c r="B12" s="17">
        <v>9</v>
      </c>
      <c r="C12" s="17"/>
      <c r="D12" s="21" t="s">
        <v>355</v>
      </c>
      <c r="E12" s="21" t="s">
        <v>356</v>
      </c>
      <c r="F12" s="35">
        <f>SUMIFS(Table1[مبلغ واریزی],Table1[ردیف],$B12,Table1[سال],F$2)</f>
        <v>104000000</v>
      </c>
      <c r="G12" s="35">
        <f>SUMIFS(Table1[مبلغ واریزی],Table1[ردیف],$B12,Table1[سال],G$2)</f>
        <v>283000000</v>
      </c>
      <c r="H12" s="35">
        <f>SUMIF('لیست واریزی ماهیانه'!B:B,'لیست واریزی کل خیرین'!$B12,'لیست واریزی ماهیانه'!K:K)</f>
        <v>387000000</v>
      </c>
      <c r="J1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5000000</v>
      </c>
      <c r="M1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5000000</v>
      </c>
      <c r="N1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1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1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20000000</v>
      </c>
      <c r="Q1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1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1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12000000</v>
      </c>
      <c r="T1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12000000</v>
      </c>
      <c r="U1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20000000</v>
      </c>
      <c r="V1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15000000</v>
      </c>
      <c r="W1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20000000</v>
      </c>
      <c r="X1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20000000</v>
      </c>
      <c r="Y1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40000000</v>
      </c>
      <c r="Z1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22000000</v>
      </c>
      <c r="AA1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26000000</v>
      </c>
      <c r="AB1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20000000</v>
      </c>
      <c r="AC1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20000000</v>
      </c>
      <c r="AD1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20000000</v>
      </c>
      <c r="AE1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40000000</v>
      </c>
      <c r="AF1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20000000</v>
      </c>
      <c r="AG1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20000000</v>
      </c>
    </row>
    <row r="13" spans="2:33">
      <c r="B13" s="17">
        <v>10</v>
      </c>
      <c r="C13" s="17"/>
      <c r="D13" s="21" t="s">
        <v>358</v>
      </c>
      <c r="E13" s="21" t="s">
        <v>359</v>
      </c>
      <c r="F13" s="35">
        <f>SUMIFS(Table1[مبلغ واریزی],Table1[ردیف],$B13,Table1[سال],F$2)</f>
        <v>1090000000</v>
      </c>
      <c r="G13" s="35">
        <f>SUMIFS(Table1[مبلغ واریزی],Table1[ردیف],$B13,Table1[سال],G$2)</f>
        <v>1333000000</v>
      </c>
      <c r="H13" s="35">
        <f>SUMIF('لیست واریزی ماهیانه'!B:B,'لیست واریزی کل خیرین'!$B13,'لیست واریزی ماهیانه'!K:K)</f>
        <v>2423000000</v>
      </c>
      <c r="J1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100000000</v>
      </c>
      <c r="M1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100000000</v>
      </c>
      <c r="N1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100000000</v>
      </c>
      <c r="O1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100000000</v>
      </c>
      <c r="P1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120000000</v>
      </c>
      <c r="Q1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100000000</v>
      </c>
      <c r="R1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100000000</v>
      </c>
      <c r="S1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120000000</v>
      </c>
      <c r="T1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100000000</v>
      </c>
      <c r="U1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150000000</v>
      </c>
      <c r="V1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110000000</v>
      </c>
      <c r="W1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100000000</v>
      </c>
      <c r="X1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105000000</v>
      </c>
      <c r="Y1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100000000</v>
      </c>
      <c r="Z1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100000000</v>
      </c>
      <c r="AA1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100000000</v>
      </c>
      <c r="AB1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130000000</v>
      </c>
      <c r="AC1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200000000</v>
      </c>
      <c r="AD1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200000000</v>
      </c>
      <c r="AE1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1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178000000</v>
      </c>
      <c r="AG1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4" spans="2:33">
      <c r="B14" s="17">
        <v>11</v>
      </c>
      <c r="C14" s="17"/>
      <c r="D14" s="21" t="s">
        <v>363</v>
      </c>
      <c r="E14" s="21" t="s">
        <v>364</v>
      </c>
      <c r="F14" s="35">
        <f>SUMIFS(Table1[مبلغ واریزی],Table1[ردیف],$B14,Table1[سال],F$2)</f>
        <v>310000000</v>
      </c>
      <c r="G14" s="35">
        <f>SUMIFS(Table1[مبلغ واریزی],Table1[ردیف],$B14,Table1[سال],G$2)</f>
        <v>410000000</v>
      </c>
      <c r="H14" s="35">
        <f>SUMIF('لیست واریزی ماهیانه'!B:B,'لیست واریزی کل خیرین'!$B14,'لیست واریزی ماهیانه'!K:K)</f>
        <v>720000000</v>
      </c>
      <c r="J1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20000000</v>
      </c>
      <c r="M1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20000000</v>
      </c>
      <c r="N1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30000000</v>
      </c>
      <c r="O1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30000000</v>
      </c>
      <c r="P1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30000000</v>
      </c>
      <c r="Q1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30000000</v>
      </c>
      <c r="R1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30000000</v>
      </c>
      <c r="S1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30000000</v>
      </c>
      <c r="T1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30000000</v>
      </c>
      <c r="U1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60000000</v>
      </c>
      <c r="V1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40000000</v>
      </c>
      <c r="X1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40000000</v>
      </c>
      <c r="Y1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40000000</v>
      </c>
      <c r="Z1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40000000</v>
      </c>
      <c r="AA1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50000000</v>
      </c>
      <c r="AB1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50000000</v>
      </c>
      <c r="AC1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50000000</v>
      </c>
      <c r="AD1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50000000</v>
      </c>
      <c r="AE1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50000000</v>
      </c>
      <c r="AF1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5" spans="2:33">
      <c r="B15" s="17">
        <v>12</v>
      </c>
      <c r="C15" s="17"/>
      <c r="D15" s="21" t="s">
        <v>366</v>
      </c>
      <c r="E15" s="36" t="s">
        <v>367</v>
      </c>
      <c r="F15" s="35">
        <f>SUMIFS(Table1[مبلغ واریزی],Table1[ردیف],$B15,Table1[سال],F$2)</f>
        <v>52000000</v>
      </c>
      <c r="G15" s="35">
        <f>SUMIFS(Table1[مبلغ واریزی],Table1[ردیف],$B15,Table1[سال],G$2)</f>
        <v>197400000</v>
      </c>
      <c r="H15" s="35">
        <f>SUMIF('لیست واریزی ماهیانه'!B:B,'لیست واریزی کل خیرین'!$B15,'لیست واریزی ماهیانه'!K:K)</f>
        <v>249400000</v>
      </c>
      <c r="J1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5000000</v>
      </c>
      <c r="M1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3000000</v>
      </c>
      <c r="N1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3000000</v>
      </c>
      <c r="O1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</v>
      </c>
      <c r="P1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1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1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1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1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1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1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1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1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1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1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37400000</v>
      </c>
      <c r="AA1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30000000</v>
      </c>
      <c r="AB1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30000000</v>
      </c>
      <c r="AE1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5" s="42">
        <v>0</v>
      </c>
    </row>
    <row r="16" spans="2:33">
      <c r="B16" s="17">
        <v>13</v>
      </c>
      <c r="C16" s="17"/>
      <c r="D16" s="21" t="s">
        <v>355</v>
      </c>
      <c r="E16" s="21" t="s">
        <v>369</v>
      </c>
      <c r="F16" s="35">
        <f>SUMIFS(Table1[مبلغ واریزی],Table1[ردیف],$B16,Table1[سال],F$2)</f>
        <v>25000000</v>
      </c>
      <c r="G16" s="35">
        <f>SUMIFS(Table1[مبلغ واریزی],Table1[ردیف],$B16,Table1[سال],G$2)</f>
        <v>49992000</v>
      </c>
      <c r="H16" s="35">
        <f>SUMIF('لیست واریزی ماهیانه'!B:B,'لیست واریزی کل خیرین'!$B16,'لیست واریزی ماهیانه'!K:K)</f>
        <v>74992000</v>
      </c>
      <c r="J1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2500000</v>
      </c>
      <c r="M1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2500000</v>
      </c>
      <c r="N1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2500000</v>
      </c>
      <c r="O1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2500000</v>
      </c>
      <c r="P1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2500000</v>
      </c>
      <c r="Q1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2500000</v>
      </c>
      <c r="R1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2500000</v>
      </c>
      <c r="S1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2500000</v>
      </c>
      <c r="T1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2500000</v>
      </c>
      <c r="U1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2500000</v>
      </c>
      <c r="V1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4166000</v>
      </c>
      <c r="W1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4166000</v>
      </c>
      <c r="X1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4166000</v>
      </c>
      <c r="Y1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4166000</v>
      </c>
      <c r="Z1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4166000</v>
      </c>
      <c r="AA1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4166000</v>
      </c>
      <c r="AB1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4166000</v>
      </c>
      <c r="AC1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4166000</v>
      </c>
      <c r="AD1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4166000</v>
      </c>
      <c r="AE1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4166000</v>
      </c>
      <c r="AF1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4166000</v>
      </c>
      <c r="AG1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4166000</v>
      </c>
    </row>
    <row r="17" spans="2:33">
      <c r="B17" s="17">
        <v>14</v>
      </c>
      <c r="C17" s="17"/>
      <c r="D17" s="21" t="s">
        <v>71</v>
      </c>
      <c r="E17" s="21" t="s">
        <v>371</v>
      </c>
      <c r="F17" s="35">
        <f>SUMIFS(Table1[مبلغ واریزی],Table1[ردیف],$B17,Table1[سال],F$2)</f>
        <v>100000000</v>
      </c>
      <c r="G17" s="35">
        <f>SUMIFS(Table1[مبلغ واریزی],Table1[ردیف],$B17,Table1[سال],G$2)</f>
        <v>110000000</v>
      </c>
      <c r="H17" s="35">
        <f>SUMIF('لیست واریزی ماهیانه'!B:B,'لیست واریزی کل خیرین'!$B17,'لیست واریزی ماهیانه'!K:K)</f>
        <v>210000000</v>
      </c>
      <c r="J1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10000000</v>
      </c>
      <c r="M1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10000000</v>
      </c>
      <c r="N1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1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1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</v>
      </c>
      <c r="Q1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1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1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1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1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1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1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1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1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1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1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1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1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1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10000000</v>
      </c>
      <c r="AE1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1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10000000</v>
      </c>
      <c r="AG1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8" spans="2:33">
      <c r="B18" s="17">
        <v>15</v>
      </c>
      <c r="C18" s="17"/>
      <c r="D18" s="21" t="s">
        <v>372</v>
      </c>
      <c r="E18" s="21" t="s">
        <v>373</v>
      </c>
      <c r="F18" s="35">
        <f>SUMIFS(Table1[مبلغ واریزی],Table1[ردیف],$B18,Table1[سال],F$2)</f>
        <v>140000000</v>
      </c>
      <c r="G18" s="35">
        <f>SUMIFS(Table1[مبلغ واریزی],Table1[ردیف],$B18,Table1[سال],G$2)</f>
        <v>60000000</v>
      </c>
      <c r="H18" s="35">
        <f>SUMIF('لیست واریزی ماهیانه'!B:B,'لیست واریزی کل خیرین'!$B18,'لیست واریزی ماهیانه'!K:K)</f>
        <v>200000000</v>
      </c>
      <c r="J1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10000000</v>
      </c>
      <c r="M1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10000000</v>
      </c>
      <c r="N1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1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1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</v>
      </c>
      <c r="Q1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1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1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1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1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50000000</v>
      </c>
      <c r="V1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1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1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1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1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1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1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9" spans="2:33">
      <c r="B19" s="17">
        <v>16</v>
      </c>
      <c r="C19" s="17"/>
      <c r="D19" s="21" t="s">
        <v>366</v>
      </c>
      <c r="E19" s="21" t="s">
        <v>374</v>
      </c>
      <c r="F19" s="35">
        <f>SUMIFS(Table1[مبلغ واریزی],Table1[ردیف],$B19,Table1[سال],F$2)</f>
        <v>30000000</v>
      </c>
      <c r="G19" s="35">
        <f>SUMIFS(Table1[مبلغ واریزی],Table1[ردیف],$B19,Table1[سال],G$2)</f>
        <v>20000000</v>
      </c>
      <c r="H19" s="35">
        <f>SUMIF('لیست واریزی ماهیانه'!B:B,'لیست واریزی کل خیرین'!$B19,'لیست واریزی ماهیانه'!K:K)</f>
        <v>50000000</v>
      </c>
      <c r="J1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3000000</v>
      </c>
      <c r="M1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3000000</v>
      </c>
      <c r="N1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3000000</v>
      </c>
      <c r="O1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</v>
      </c>
      <c r="P1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1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</v>
      </c>
      <c r="R1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</v>
      </c>
      <c r="S1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3000000</v>
      </c>
      <c r="T1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</v>
      </c>
      <c r="U1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</v>
      </c>
      <c r="V1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</v>
      </c>
      <c r="W1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</v>
      </c>
      <c r="X1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3000000</v>
      </c>
      <c r="Y1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3000000</v>
      </c>
      <c r="Z1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3000000</v>
      </c>
      <c r="AA1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3000000</v>
      </c>
      <c r="AB1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</v>
      </c>
      <c r="AC1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20" spans="2:33">
      <c r="B20" s="17">
        <v>17</v>
      </c>
      <c r="C20" s="17"/>
      <c r="D20" s="21" t="s">
        <v>376</v>
      </c>
      <c r="E20" s="21" t="s">
        <v>377</v>
      </c>
      <c r="F20" s="35">
        <f>SUMIFS(Table1[مبلغ واریزی],Table1[ردیف],$B20,Table1[سال],F$2)</f>
        <v>45000000</v>
      </c>
      <c r="G20" s="35">
        <f>SUMIFS(Table1[مبلغ واریزی],Table1[ردیف],$B20,Table1[سال],G$2)</f>
        <v>0</v>
      </c>
      <c r="H20" s="35">
        <f>SUMIF('لیست واریزی ماهیانه'!B:B,'لیست واریزی کل خیرین'!$B20,'لیست واریزی ماهیانه'!K:K)</f>
        <v>45000000</v>
      </c>
      <c r="J2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2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2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15000000</v>
      </c>
      <c r="M2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15000000</v>
      </c>
      <c r="N2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15000000</v>
      </c>
      <c r="O2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2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2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2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2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2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2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2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2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2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2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2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21" spans="2:33" ht="15.75" customHeight="1">
      <c r="B21" s="17">
        <v>18</v>
      </c>
      <c r="C21" s="301" t="s">
        <v>1553</v>
      </c>
      <c r="D21" s="21" t="s">
        <v>378</v>
      </c>
      <c r="E21" s="21" t="s">
        <v>379</v>
      </c>
      <c r="F21" s="35">
        <f>SUMIFS(Table1[مبلغ واریزی],Table1[ردیف],$B21,Table1[سال],F$2)</f>
        <v>120000000</v>
      </c>
      <c r="G21" s="35">
        <f>SUMIFS(Table1[مبلغ واریزی],Table1[ردیف],$B21,Table1[سال],G$2)</f>
        <v>50000000</v>
      </c>
      <c r="H21" s="35">
        <f>SUMIF('لیست واریزی ماهیانه'!B:B,'لیست واریزی کل خیرین'!$B21,'لیست واریزی ماهیانه'!K:K)</f>
        <v>170000000</v>
      </c>
      <c r="J2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2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2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50000000</v>
      </c>
      <c r="M2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2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40000000</v>
      </c>
      <c r="O2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2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30000000</v>
      </c>
      <c r="Q2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2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2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2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2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2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2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2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2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2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50000000</v>
      </c>
    </row>
    <row r="22" spans="2:33" ht="15.75" customHeight="1">
      <c r="B22" s="17">
        <v>19</v>
      </c>
      <c r="C22" s="17"/>
      <c r="D22" s="21" t="s">
        <v>363</v>
      </c>
      <c r="E22" s="21" t="s">
        <v>380</v>
      </c>
      <c r="F22" s="35">
        <f>SUMIFS(Table1[مبلغ واریزی],Table1[ردیف],$B22,Table1[سال],F$2)</f>
        <v>460000000</v>
      </c>
      <c r="G22" s="35">
        <f>SUMIFS(Table1[مبلغ واریزی],Table1[ردیف],$B22,Table1[سال],G$2)</f>
        <v>350000000</v>
      </c>
      <c r="H22" s="35">
        <f>SUMIF('لیست واریزی ماهیانه'!B:B,'لیست واریزی کل خیرین'!$B22,'لیست واریزی ماهیانه'!K:K)</f>
        <v>810000000</v>
      </c>
      <c r="J2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2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2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20000000</v>
      </c>
      <c r="M2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20000000</v>
      </c>
      <c r="N2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20000000</v>
      </c>
      <c r="O2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20000000</v>
      </c>
      <c r="P2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70000000</v>
      </c>
      <c r="Q2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50000000</v>
      </c>
      <c r="R2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50000000</v>
      </c>
      <c r="S2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100000000</v>
      </c>
      <c r="T2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50000000</v>
      </c>
      <c r="U2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60000000</v>
      </c>
      <c r="V2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2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2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2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2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50000000</v>
      </c>
      <c r="AB2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50000000</v>
      </c>
      <c r="AC2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50000000</v>
      </c>
      <c r="AD2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50000000</v>
      </c>
      <c r="AE2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50000000</v>
      </c>
      <c r="AF2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50000000</v>
      </c>
      <c r="AG2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50000000</v>
      </c>
    </row>
    <row r="23" spans="2:33" ht="15.75" customHeight="1">
      <c r="B23" s="17">
        <v>20</v>
      </c>
      <c r="C23" s="17"/>
      <c r="D23" s="21" t="s">
        <v>366</v>
      </c>
      <c r="E23" s="21" t="s">
        <v>382</v>
      </c>
      <c r="F23" s="35">
        <f>SUMIFS(Table1[مبلغ واریزی],Table1[ردیف],$B23,Table1[سال],F$2)</f>
        <v>170000000</v>
      </c>
      <c r="G23" s="35">
        <f>SUMIFS(Table1[مبلغ واریزی],Table1[ردیف],$B23,Table1[سال],G$2)</f>
        <v>210000000</v>
      </c>
      <c r="H23" s="35">
        <f>SUMIF('لیست واریزی ماهیانه'!B:B,'لیست واریزی کل خیرین'!$B23,'لیست واریزی ماهیانه'!K:K)</f>
        <v>380000000</v>
      </c>
      <c r="J2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2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2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10000000</v>
      </c>
      <c r="M2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10000000</v>
      </c>
      <c r="N2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2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2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30000000</v>
      </c>
      <c r="Q2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20000000</v>
      </c>
      <c r="R2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20000000</v>
      </c>
      <c r="S2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20000000</v>
      </c>
      <c r="T2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20000000</v>
      </c>
      <c r="U2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20000000</v>
      </c>
      <c r="V2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20000000</v>
      </c>
      <c r="W2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20000000</v>
      </c>
      <c r="X2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20000000</v>
      </c>
      <c r="Y2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20000000</v>
      </c>
      <c r="Z2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20000000</v>
      </c>
      <c r="AA2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30000000</v>
      </c>
      <c r="AB2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20000000</v>
      </c>
      <c r="AC2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20000000</v>
      </c>
      <c r="AD2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20000000</v>
      </c>
      <c r="AE2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20000000</v>
      </c>
      <c r="AG2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24" spans="2:33" ht="15.75" customHeight="1">
      <c r="B24" s="17">
        <v>21</v>
      </c>
      <c r="C24" s="17"/>
      <c r="D24" s="21" t="s">
        <v>366</v>
      </c>
      <c r="E24" s="21" t="s">
        <v>385</v>
      </c>
      <c r="F24" s="35">
        <f>SUMIFS(Table1[مبلغ واریزی],Table1[ردیف],$B24,Table1[سال],F$2)</f>
        <v>40000000</v>
      </c>
      <c r="G24" s="35">
        <f>SUMIFS(Table1[مبلغ واریزی],Table1[ردیف],$B24,Table1[سال],G$2)</f>
        <v>55000000</v>
      </c>
      <c r="H24" s="35">
        <f>SUMIF('لیست واریزی ماهیانه'!B:B,'لیست واریزی کل خیرین'!$B24,'لیست واریزی ماهیانه'!K:K)</f>
        <v>95000000</v>
      </c>
      <c r="J2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2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2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5000000</v>
      </c>
      <c r="M2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5000000</v>
      </c>
      <c r="N2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2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2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2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2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2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2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2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2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2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2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2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2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2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2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2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2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2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2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</row>
    <row r="25" spans="2:33" ht="15.75" customHeight="1">
      <c r="B25" s="17">
        <v>22</v>
      </c>
      <c r="C25" s="17"/>
      <c r="D25" s="21" t="s">
        <v>387</v>
      </c>
      <c r="E25" s="21" t="s">
        <v>388</v>
      </c>
      <c r="F25" s="35">
        <f>SUMIFS(Table1[مبلغ واریزی],Table1[ردیف],$B25,Table1[سال],F$2)</f>
        <v>23000000</v>
      </c>
      <c r="G25" s="35">
        <f>SUMIFS(Table1[مبلغ واریزی],Table1[ردیف],$B25,Table1[سال],G$2)</f>
        <v>12000000</v>
      </c>
      <c r="H25" s="35">
        <f>SUMIF('لیست واریزی ماهیانه'!B:B,'لیست واریزی کل خیرین'!$B25,'لیست واریزی ماهیانه'!K:K)</f>
        <v>35000000</v>
      </c>
      <c r="J2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2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2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2000000</v>
      </c>
      <c r="M2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2000000</v>
      </c>
      <c r="N2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2000000</v>
      </c>
      <c r="O2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</v>
      </c>
      <c r="P2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</v>
      </c>
      <c r="Q2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</v>
      </c>
      <c r="R2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</v>
      </c>
      <c r="S2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</v>
      </c>
      <c r="T2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2000000</v>
      </c>
      <c r="U2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2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2000000</v>
      </c>
      <c r="W2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2000000</v>
      </c>
      <c r="X2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2000000</v>
      </c>
      <c r="Y2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2000000</v>
      </c>
      <c r="Z2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</v>
      </c>
      <c r="AA2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2000000</v>
      </c>
      <c r="AB2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26" spans="2:33" ht="15.75" customHeight="1">
      <c r="B26" s="17">
        <v>23</v>
      </c>
      <c r="C26" s="17"/>
      <c r="D26" s="21" t="s">
        <v>457</v>
      </c>
      <c r="E26" s="21" t="s">
        <v>390</v>
      </c>
      <c r="F26" s="35">
        <f>SUMIFS(Table1[مبلغ واریزی],Table1[ردیف],$B26,Table1[سال],F$2)</f>
        <v>100000000</v>
      </c>
      <c r="G26" s="35">
        <f>SUMIFS(Table1[مبلغ واریزی],Table1[ردیف],$B26,Table1[سال],G$2)</f>
        <v>80000000</v>
      </c>
      <c r="H26" s="35">
        <f>SUMIF('لیست واریزی ماهیانه'!B:B,'لیست واریزی کل خیرین'!$B26,'لیست واریزی ماهیانه'!K:K)</f>
        <v>180000000</v>
      </c>
      <c r="J2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2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2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10000000</v>
      </c>
      <c r="M2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10000000</v>
      </c>
      <c r="N2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10000000</v>
      </c>
      <c r="O2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2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</v>
      </c>
      <c r="Q2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2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2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2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2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2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2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2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2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2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2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50000000</v>
      </c>
      <c r="AD2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27" spans="2:33" ht="15.75" customHeight="1">
      <c r="B27" s="17">
        <v>24</v>
      </c>
      <c r="C27" s="17"/>
      <c r="D27" s="21" t="s">
        <v>398</v>
      </c>
      <c r="E27" s="21" t="s">
        <v>399</v>
      </c>
      <c r="F27" s="35">
        <f>SUMIFS(Table1[مبلغ واریزی],Table1[ردیف],$B27,Table1[سال],F$2)</f>
        <v>30000000</v>
      </c>
      <c r="G27" s="35">
        <f>SUMIFS(Table1[مبلغ واریزی],Table1[ردیف],$B27,Table1[سال],G$2)</f>
        <v>35000000</v>
      </c>
      <c r="H27" s="35">
        <f>SUMIF('لیست واریزی ماهیانه'!B:B,'لیست واریزی کل خیرین'!$B27,'لیست واریزی ماهیانه'!K:K)</f>
        <v>65000000</v>
      </c>
      <c r="J2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2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2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5000000</v>
      </c>
      <c r="N2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2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2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2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2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2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2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2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2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2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2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2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2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2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2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2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2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28" spans="2:33" ht="15.75" customHeight="1">
      <c r="B28" s="17">
        <v>25</v>
      </c>
      <c r="C28" s="17"/>
      <c r="D28" s="21" t="s">
        <v>401</v>
      </c>
      <c r="E28" s="21" t="s">
        <v>402</v>
      </c>
      <c r="F28" s="35">
        <f>SUMIFS(Table1[مبلغ واریزی],Table1[ردیف],$B28,Table1[سال],F$2)</f>
        <v>470000000</v>
      </c>
      <c r="G28" s="35">
        <f>SUMIFS(Table1[مبلغ واریزی],Table1[ردیف],$B28,Table1[سال],G$2)</f>
        <v>120000000</v>
      </c>
      <c r="H28" s="35">
        <f>SUMIF('لیست واریزی ماهیانه'!B:B,'لیست واریزی کل خیرین'!$B28,'لیست واریزی ماهیانه'!K:K)</f>
        <v>590000000</v>
      </c>
      <c r="J2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2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2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30000000</v>
      </c>
      <c r="N2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30000000</v>
      </c>
      <c r="O2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30000000</v>
      </c>
      <c r="P2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30000000</v>
      </c>
      <c r="Q2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30000000</v>
      </c>
      <c r="R2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30000000</v>
      </c>
      <c r="S2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30000000</v>
      </c>
      <c r="T2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30000000</v>
      </c>
      <c r="U2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230000000</v>
      </c>
      <c r="V2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30000000</v>
      </c>
      <c r="W2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30000000</v>
      </c>
      <c r="X2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30000000</v>
      </c>
      <c r="Y2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30000000</v>
      </c>
      <c r="Z2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2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29" spans="2:33" ht="15.75" customHeight="1">
      <c r="B29" s="17">
        <v>26</v>
      </c>
      <c r="C29" s="301" t="s">
        <v>1553</v>
      </c>
      <c r="D29" s="21" t="s">
        <v>76</v>
      </c>
      <c r="E29" s="21" t="s">
        <v>403</v>
      </c>
      <c r="F29" s="35">
        <f>SUMIFS(Table1[مبلغ واریزی],Table1[ردیف],$B29,Table1[سال],F$2)</f>
        <v>10000000</v>
      </c>
      <c r="G29" s="35">
        <f>SUMIFS(Table1[مبلغ واریزی],Table1[ردیف],$B29,Table1[سال],G$2)</f>
        <v>0</v>
      </c>
      <c r="H29" s="35">
        <f>SUMIF('لیست واریزی ماهیانه'!B:B,'لیست واریزی کل خیرین'!$B29,'لیست واریزی ماهیانه'!K:K)</f>
        <v>10000000</v>
      </c>
      <c r="J2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2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2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2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10000000</v>
      </c>
      <c r="N2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2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2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2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2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2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2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2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2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2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2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2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2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2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2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2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2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2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2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2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30" spans="2:33" ht="15.75" customHeight="1">
      <c r="B30" s="17">
        <v>27</v>
      </c>
      <c r="C30" s="17"/>
      <c r="D30" s="21" t="s">
        <v>412</v>
      </c>
      <c r="E30" s="21" t="s">
        <v>413</v>
      </c>
      <c r="F30" s="35">
        <f>SUMIFS(Table1[مبلغ واریزی],Table1[ردیف],$B30,Table1[سال],F$2)</f>
        <v>40000000</v>
      </c>
      <c r="G30" s="35">
        <f>SUMIFS(Table1[مبلغ واریزی],Table1[ردیف],$B30,Table1[سال],G$2)</f>
        <v>40000000</v>
      </c>
      <c r="H30" s="35">
        <f>SUMIF('لیست واریزی ماهیانه'!B:B,'لیست واریزی کل خیرین'!$B30,'لیست واریزی ماهیانه'!K:K)</f>
        <v>80000000</v>
      </c>
      <c r="J3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3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3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5000000</v>
      </c>
      <c r="N3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3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3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3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3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3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3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3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3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3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3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3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3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3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3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3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31" spans="2:33" ht="15.75" customHeight="1">
      <c r="B31" s="17">
        <v>28</v>
      </c>
      <c r="C31" s="17"/>
      <c r="D31" s="21" t="s">
        <v>414</v>
      </c>
      <c r="E31" s="21" t="s">
        <v>415</v>
      </c>
      <c r="F31" s="35">
        <f>SUMIFS(Table1[مبلغ واریزی],Table1[ردیف],$B31,Table1[سال],F$2)</f>
        <v>36500000</v>
      </c>
      <c r="G31" s="35">
        <f>SUMIFS(Table1[مبلغ واریزی],Table1[ردیف],$B31,Table1[سال],G$2)</f>
        <v>0</v>
      </c>
      <c r="H31" s="35">
        <f>SUMIF('لیست واریزی ماهیانه'!B:B,'لیست واریزی کل خیرین'!$B31,'لیست واریزی ماهیانه'!K:K)</f>
        <v>36500000</v>
      </c>
      <c r="J3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3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3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10000000</v>
      </c>
      <c r="N3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13000000</v>
      </c>
      <c r="O3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4000000</v>
      </c>
      <c r="P3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3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3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6500000</v>
      </c>
      <c r="S3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32" spans="2:33" ht="15.75" customHeight="1">
      <c r="B32" s="17">
        <v>29</v>
      </c>
      <c r="C32" s="301" t="s">
        <v>1553</v>
      </c>
      <c r="D32" s="21" t="s">
        <v>418</v>
      </c>
      <c r="E32" s="21" t="s">
        <v>419</v>
      </c>
      <c r="F32" s="35">
        <f>SUMIFS(Table1[مبلغ واریزی],Table1[ردیف],$B32,Table1[سال],F$2)</f>
        <v>10000000</v>
      </c>
      <c r="G32" s="35">
        <f>SUMIFS(Table1[مبلغ واریزی],Table1[ردیف],$B32,Table1[سال],G$2)</f>
        <v>1500000</v>
      </c>
      <c r="H32" s="35">
        <f>SUMIF('لیست واریزی ماهیانه'!B:B,'لیست واریزی کل خیرین'!$B32,'لیست واریزی ماهیانه'!K:K)</f>
        <v>11500000</v>
      </c>
      <c r="J3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3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3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10000000</v>
      </c>
      <c r="N3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3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3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3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3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1500000</v>
      </c>
      <c r="AF3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33" spans="2:33" ht="15.75" customHeight="1">
      <c r="B33" s="17">
        <v>30</v>
      </c>
      <c r="C33" s="301" t="s">
        <v>1553</v>
      </c>
      <c r="D33" s="21" t="s">
        <v>421</v>
      </c>
      <c r="E33" s="21" t="s">
        <v>422</v>
      </c>
      <c r="F33" s="35">
        <f>SUMIFS(Table1[مبلغ واریزی],Table1[ردیف],$B33,Table1[سال],F$2)</f>
        <v>10000000</v>
      </c>
      <c r="G33" s="35">
        <f>SUMIFS(Table1[مبلغ واریزی],Table1[ردیف],$B33,Table1[سال],G$2)</f>
        <v>0</v>
      </c>
      <c r="H33" s="35">
        <f>SUMIF('لیست واریزی ماهیانه'!B:B,'لیست واریزی کل خیرین'!$B33,'لیست واریزی ماهیانه'!K:K)</f>
        <v>10000000</v>
      </c>
      <c r="J3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3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3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10000000</v>
      </c>
      <c r="N3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3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3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3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3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34" spans="2:33" ht="15.75" customHeight="1">
      <c r="B34" s="17">
        <v>31</v>
      </c>
      <c r="C34" s="17"/>
      <c r="D34" s="21" t="s">
        <v>425</v>
      </c>
      <c r="E34" s="21" t="s">
        <v>426</v>
      </c>
      <c r="F34" s="35">
        <f>SUMIFS(Table1[مبلغ واریزی],Table1[ردیف],$B34,Table1[سال],F$2)</f>
        <v>5000000</v>
      </c>
      <c r="G34" s="35">
        <f>SUMIFS(Table1[مبلغ واریزی],Table1[ردیف],$B34,Table1[سال],G$2)</f>
        <v>0</v>
      </c>
      <c r="H34" s="35">
        <f>SUMIF('لیست واریزی ماهیانه'!B:B,'لیست واریزی کل خیرین'!$B34,'لیست واریزی ماهیانه'!K:K)</f>
        <v>5000000</v>
      </c>
      <c r="J3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3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3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5000000</v>
      </c>
      <c r="N3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3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3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3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3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3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35" spans="2:33" ht="15.75" customHeight="1">
      <c r="B35" s="17">
        <v>32</v>
      </c>
      <c r="C35" s="17"/>
      <c r="D35" s="21" t="s">
        <v>443</v>
      </c>
      <c r="E35" s="21" t="s">
        <v>444</v>
      </c>
      <c r="F35" s="35">
        <f>SUMIFS(Table1[مبلغ واریزی],Table1[ردیف],$B35,Table1[سال],F$2)</f>
        <v>10000000</v>
      </c>
      <c r="G35" s="35">
        <f>SUMIFS(Table1[مبلغ واریزی],Table1[ردیف],$B35,Table1[سال],G$2)</f>
        <v>0</v>
      </c>
      <c r="H35" s="35">
        <f>SUMIF('لیست واریزی ماهیانه'!B:B,'لیست واریزی کل خیرین'!$B35,'لیست واریزی ماهیانه'!K:K)</f>
        <v>10000000</v>
      </c>
      <c r="J3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3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3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3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3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3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3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3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36" spans="2:33" ht="15.75" customHeight="1">
      <c r="B36" s="17">
        <v>33</v>
      </c>
      <c r="C36" s="301" t="s">
        <v>1553</v>
      </c>
      <c r="D36" s="21" t="s">
        <v>452</v>
      </c>
      <c r="E36" s="21" t="s">
        <v>453</v>
      </c>
      <c r="F36" s="35">
        <f>SUMIFS(Table1[مبلغ واریزی],Table1[ردیف],$B36,Table1[سال],F$2)</f>
        <v>110000000</v>
      </c>
      <c r="G36" s="35">
        <f>SUMIFS(Table1[مبلغ واریزی],Table1[ردیف],$B36,Table1[سال],G$2)</f>
        <v>0</v>
      </c>
      <c r="H36" s="35">
        <f>SUMIF('لیست واریزی ماهیانه'!B:B,'لیست واریزی کل خیرین'!$B36,'لیست واریزی ماهیانه'!K:K)</f>
        <v>110000000</v>
      </c>
      <c r="J3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3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3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20000000</v>
      </c>
      <c r="O3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20000000</v>
      </c>
      <c r="P3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20000000</v>
      </c>
      <c r="Q3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20000000</v>
      </c>
      <c r="R3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3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3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30000000</v>
      </c>
      <c r="V3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37" spans="2:33" ht="15.75" customHeight="1">
      <c r="B37" s="17">
        <v>34</v>
      </c>
      <c r="C37" s="17"/>
      <c r="D37" s="21" t="s">
        <v>457</v>
      </c>
      <c r="E37" s="21" t="s">
        <v>458</v>
      </c>
      <c r="F37" s="35">
        <f>SUMIFS(Table1[مبلغ واریزی],Table1[ردیف],$B37,Table1[سال],F$2)</f>
        <v>35000000</v>
      </c>
      <c r="G37" s="35">
        <f>SUMIFS(Table1[مبلغ واریزی],Table1[ردیف],$B37,Table1[سال],G$2)</f>
        <v>0</v>
      </c>
      <c r="H37" s="35">
        <f>SUMIF('لیست واریزی ماهیانه'!B:B,'لیست واریزی کل خیرین'!$B37,'لیست واریزی ماهیانه'!K:K)</f>
        <v>35000000</v>
      </c>
      <c r="J3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3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3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5000000</v>
      </c>
      <c r="O3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3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3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3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3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3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3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3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38" spans="2:33" ht="15.75" customHeight="1">
      <c r="B38" s="17">
        <v>35</v>
      </c>
      <c r="C38" s="17"/>
      <c r="D38" s="21" t="s">
        <v>465</v>
      </c>
      <c r="E38" s="21" t="s">
        <v>466</v>
      </c>
      <c r="F38" s="35">
        <f>SUMIFS(Table1[مبلغ واریزی],Table1[ردیف],$B38,Table1[سال],F$2)</f>
        <v>25000000</v>
      </c>
      <c r="G38" s="35">
        <f>SUMIFS(Table1[مبلغ واریزی],Table1[ردیف],$B38,Table1[سال],G$2)</f>
        <v>43000000</v>
      </c>
      <c r="H38" s="35">
        <f>SUMIF('لیست واریزی ماهیانه'!B:B,'لیست واریزی کل خیرین'!$B38,'لیست واریزی ماهیانه'!K:K)</f>
        <v>68000000</v>
      </c>
      <c r="J3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3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3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2000000</v>
      </c>
      <c r="O3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</v>
      </c>
      <c r="P3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3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2000000</v>
      </c>
      <c r="R3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2000000</v>
      </c>
      <c r="S3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3000000</v>
      </c>
      <c r="T3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</v>
      </c>
      <c r="U3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8000000</v>
      </c>
      <c r="V3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3000000</v>
      </c>
      <c r="W3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3000000</v>
      </c>
      <c r="X3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4000000</v>
      </c>
      <c r="Y3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4000000</v>
      </c>
      <c r="Z3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4000000</v>
      </c>
      <c r="AA3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4000000</v>
      </c>
      <c r="AB3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4000000</v>
      </c>
      <c r="AC3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4000000</v>
      </c>
      <c r="AD3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4000000</v>
      </c>
      <c r="AE3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3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4000000</v>
      </c>
      <c r="AG3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39" spans="2:33" ht="15.75" customHeight="1">
      <c r="B39" s="17">
        <v>36</v>
      </c>
      <c r="C39" s="301" t="s">
        <v>1553</v>
      </c>
      <c r="D39" s="21" t="s">
        <v>471</v>
      </c>
      <c r="E39" s="21" t="s">
        <v>472</v>
      </c>
      <c r="F39" s="35">
        <f>SUMIFS(Table1[مبلغ واریزی],Table1[ردیف],$B39,Table1[سال],F$2)</f>
        <v>490000000</v>
      </c>
      <c r="G39" s="35">
        <f>SUMIFS(Table1[مبلغ واریزی],Table1[ردیف],$B39,Table1[سال],G$2)</f>
        <v>0</v>
      </c>
      <c r="H39" s="35">
        <f>SUMIF('لیست واریزی ماهیانه'!B:B,'لیست واریزی کل خیرین'!$B39,'لیست واریزی ماهیانه'!K:K)</f>
        <v>490000000</v>
      </c>
      <c r="J3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3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3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3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3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300000000</v>
      </c>
      <c r="O3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70000000</v>
      </c>
      <c r="P3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3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3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3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20000000</v>
      </c>
      <c r="T3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100000000</v>
      </c>
      <c r="U3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3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3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3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3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3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3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3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3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3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3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3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3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40" spans="2:33" ht="15.75" customHeight="1">
      <c r="B40" s="17">
        <v>37</v>
      </c>
      <c r="C40" s="301" t="s">
        <v>1553</v>
      </c>
      <c r="D40" s="21" t="s">
        <v>481</v>
      </c>
      <c r="E40" s="21" t="s">
        <v>482</v>
      </c>
      <c r="F40" s="35">
        <f>SUMIFS(Table1[مبلغ واریزی],Table1[ردیف],$B40,Table1[سال],F$2)</f>
        <v>14000000</v>
      </c>
      <c r="G40" s="35">
        <f>SUMIFS(Table1[مبلغ واریزی],Table1[ردیف],$B40,Table1[سال],G$2)</f>
        <v>0</v>
      </c>
      <c r="H40" s="35">
        <f>SUMIF('لیست واریزی ماهیانه'!B:B,'لیست واریزی کل خیرین'!$B40,'لیست واریزی ماهیانه'!K:K)</f>
        <v>14000000</v>
      </c>
      <c r="J4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</v>
      </c>
      <c r="P4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4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3000000</v>
      </c>
      <c r="R4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4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41" spans="2:33" ht="15.75" customHeight="1">
      <c r="B41" s="17">
        <v>38</v>
      </c>
      <c r="C41" s="301" t="s">
        <v>1553</v>
      </c>
      <c r="D41" s="21" t="s">
        <v>429</v>
      </c>
      <c r="E41" s="21" t="s">
        <v>430</v>
      </c>
      <c r="F41" s="35">
        <f>SUMIFS(Table1[مبلغ واریزی],Table1[ردیف],$B41,Table1[سال],F$2)</f>
        <v>12000000</v>
      </c>
      <c r="G41" s="35">
        <f>SUMIFS(Table1[مبلغ واریزی],Table1[ردیف],$B41,Table1[سال],G$2)</f>
        <v>6000000</v>
      </c>
      <c r="H41" s="35">
        <f>SUMIF('لیست واریزی ماهیانه'!B:B,'لیست واریزی کل خیرین'!$B41,'لیست واریزی ماهیانه'!K:K)</f>
        <v>18000000</v>
      </c>
      <c r="J4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3000000</v>
      </c>
      <c r="N4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3000000</v>
      </c>
      <c r="O4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3000000</v>
      </c>
      <c r="P4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4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4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6000000</v>
      </c>
      <c r="W4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42" spans="2:33" ht="15.75" customHeight="1">
      <c r="B42" s="17">
        <v>39</v>
      </c>
      <c r="C42" s="17"/>
      <c r="D42" s="21" t="s">
        <v>76</v>
      </c>
      <c r="E42" s="21" t="s">
        <v>394</v>
      </c>
      <c r="F42" s="35">
        <f>SUMIFS(Table1[مبلغ واریزی],Table1[ردیف],$B42,Table1[سال],F$2)</f>
        <v>32000000</v>
      </c>
      <c r="G42" s="35">
        <f>SUMIFS(Table1[مبلغ واریزی],Table1[ردیف],$B42,Table1[سال],G$2)</f>
        <v>0</v>
      </c>
      <c r="H42" s="35">
        <f>SUMIF('لیست واریزی ماهیانه'!B:B,'لیست واریزی کل خیرین'!$B42,'لیست واریزی ماهیانه'!K:K)</f>
        <v>32000000</v>
      </c>
      <c r="J4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16000000</v>
      </c>
      <c r="N4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16000000</v>
      </c>
      <c r="O4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4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4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43" spans="2:33" ht="15.75" customHeight="1">
      <c r="B43" s="17">
        <v>40</v>
      </c>
      <c r="C43" s="17"/>
      <c r="D43" s="21" t="s">
        <v>363</v>
      </c>
      <c r="E43" s="21" t="s">
        <v>402</v>
      </c>
      <c r="F43" s="35">
        <f>SUMIFS(Table1[مبلغ واریزی],Table1[ردیف],$B43,Table1[سال],F$2)</f>
        <v>250000000</v>
      </c>
      <c r="G43" s="35">
        <f>SUMIFS(Table1[مبلغ واریزی],Table1[ردیف],$B43,Table1[سال],G$2)</f>
        <v>500000000</v>
      </c>
      <c r="H43" s="35">
        <f>SUMIF('لیست واریزی ماهیانه'!B:B,'لیست واریزی کل خیرین'!$B43,'لیست واریزی ماهیانه'!K:K)</f>
        <v>750000000</v>
      </c>
      <c r="J4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50000000</v>
      </c>
      <c r="P4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50000000</v>
      </c>
      <c r="Q4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50000000</v>
      </c>
      <c r="R4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50000000</v>
      </c>
      <c r="S4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50000000</v>
      </c>
      <c r="T4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50000000</v>
      </c>
      <c r="W4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50000000</v>
      </c>
      <c r="X4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50000000</v>
      </c>
      <c r="Y4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50000000</v>
      </c>
      <c r="Z4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50000000</v>
      </c>
      <c r="AA4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50000000</v>
      </c>
      <c r="AD4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100000000</v>
      </c>
      <c r="AF4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100000000</v>
      </c>
      <c r="AG4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44" spans="2:33" ht="15.75" customHeight="1">
      <c r="B44" s="17">
        <v>41</v>
      </c>
      <c r="C44" s="17"/>
      <c r="D44" s="21" t="s">
        <v>73</v>
      </c>
      <c r="E44" s="21" t="s">
        <v>497</v>
      </c>
      <c r="F44" s="35">
        <f>SUMIFS(Table1[مبلغ واریزی],Table1[ردیف],$B44,Table1[سال],F$2)</f>
        <v>20000000</v>
      </c>
      <c r="G44" s="35">
        <f>SUMIFS(Table1[مبلغ واریزی],Table1[ردیف],$B44,Table1[سال],G$2)</f>
        <v>0</v>
      </c>
      <c r="H44" s="35">
        <f>SUMIF('لیست واریزی ماهیانه'!B:B,'لیست واریزی کل خیرین'!$B44,'لیست واریزی ماهیانه'!K:K)</f>
        <v>20000000</v>
      </c>
      <c r="J4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4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4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4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4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45" spans="2:33" ht="15.75" customHeight="1">
      <c r="B45" s="17">
        <v>42</v>
      </c>
      <c r="C45" s="301" t="s">
        <v>1553</v>
      </c>
      <c r="D45" s="21" t="s">
        <v>499</v>
      </c>
      <c r="E45" s="21" t="s">
        <v>500</v>
      </c>
      <c r="F45" s="35">
        <f>SUMIFS(Table1[مبلغ واریزی],Table1[ردیف],$B45,Table1[سال],F$2)</f>
        <v>51175000</v>
      </c>
      <c r="G45" s="35">
        <f>SUMIFS(Table1[مبلغ واریزی],Table1[ردیف],$B45,Table1[سال],G$2)</f>
        <v>0</v>
      </c>
      <c r="H45" s="35">
        <f>SUMIF('لیست واریزی ماهیانه'!B:B,'لیست واریزی کل خیرین'!$B45,'لیست واریزی ماهیانه'!K:K)</f>
        <v>51175000</v>
      </c>
      <c r="J4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11500000</v>
      </c>
      <c r="P4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12250000</v>
      </c>
      <c r="Q4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13625000</v>
      </c>
      <c r="R4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13800000</v>
      </c>
      <c r="S4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46" spans="2:33" ht="15.75" customHeight="1">
      <c r="B46" s="17">
        <v>43</v>
      </c>
      <c r="C46" s="17"/>
      <c r="D46" s="21" t="s">
        <v>372</v>
      </c>
      <c r="E46" s="21" t="s">
        <v>502</v>
      </c>
      <c r="F46" s="35">
        <f>SUMIFS(Table1[مبلغ واریزی],Table1[ردیف],$B46,Table1[سال],F$2)</f>
        <v>3500000</v>
      </c>
      <c r="G46" s="35">
        <f>SUMIFS(Table1[مبلغ واریزی],Table1[ردیف],$B46,Table1[سال],G$2)</f>
        <v>0</v>
      </c>
      <c r="H46" s="35">
        <f>SUMIF('لیست واریزی ماهیانه'!B:B,'لیست واریزی کل خیرین'!$B46,'لیست واریزی ماهیانه'!K:K)</f>
        <v>3500000</v>
      </c>
      <c r="J4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3500000</v>
      </c>
      <c r="P4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4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47" spans="2:33" ht="15.75" customHeight="1">
      <c r="B47" s="17">
        <v>44</v>
      </c>
      <c r="C47" s="301" t="s">
        <v>1553</v>
      </c>
      <c r="D47" s="21" t="s">
        <v>504</v>
      </c>
      <c r="E47" s="21" t="s">
        <v>505</v>
      </c>
      <c r="F47" s="35">
        <f>SUMIFS(Table1[مبلغ واریزی],Table1[ردیف],$B47,Table1[سال],F$2)</f>
        <v>15000000</v>
      </c>
      <c r="G47" s="35">
        <f>SUMIFS(Table1[مبلغ واریزی],Table1[ردیف],$B47,Table1[سال],G$2)</f>
        <v>19000000</v>
      </c>
      <c r="H47" s="35">
        <f>SUMIF('لیست واریزی ماهیانه'!B:B,'لیست واریزی کل خیرین'!$B47,'لیست واریزی ماهیانه'!K:K)</f>
        <v>34000000</v>
      </c>
      <c r="J4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4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4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4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18000000</v>
      </c>
      <c r="AA4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</v>
      </c>
      <c r="AB4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48" spans="2:33" ht="15.75" customHeight="1">
      <c r="B48" s="17">
        <v>45</v>
      </c>
      <c r="C48" s="17"/>
      <c r="D48" s="21" t="s">
        <v>372</v>
      </c>
      <c r="E48" s="21" t="s">
        <v>506</v>
      </c>
      <c r="F48" s="35">
        <f>SUMIFS(Table1[مبلغ واریزی],Table1[ردیف],$B48,Table1[سال],F$2)</f>
        <v>20000000</v>
      </c>
      <c r="G48" s="35">
        <f>SUMIFS(Table1[مبلغ واریزی],Table1[ردیف],$B48,Table1[سال],G$2)</f>
        <v>0</v>
      </c>
      <c r="H48" s="35">
        <f>SUMIF('لیست واریزی ماهیانه'!B:B,'لیست واریزی کل خیرین'!$B48,'لیست واریزی ماهیانه'!K:K)</f>
        <v>20000000</v>
      </c>
      <c r="J4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20000000</v>
      </c>
      <c r="P4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4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49" spans="2:33" ht="15.75" customHeight="1">
      <c r="B49" s="17">
        <v>46</v>
      </c>
      <c r="C49" s="301" t="s">
        <v>1553</v>
      </c>
      <c r="D49" s="21" t="s">
        <v>510</v>
      </c>
      <c r="E49" s="21" t="s">
        <v>511</v>
      </c>
      <c r="F49" s="35">
        <f>SUMIFS(Table1[مبلغ واریزی],Table1[ردیف],$B49,Table1[سال],F$2)</f>
        <v>5000000</v>
      </c>
      <c r="G49" s="35">
        <f>SUMIFS(Table1[مبلغ واریزی],Table1[ردیف],$B49,Table1[سال],G$2)</f>
        <v>0</v>
      </c>
      <c r="H49" s="35">
        <f>SUMIF('لیست واریزی ماهیانه'!B:B,'لیست واریزی کل خیرین'!$B49,'لیست واریزی ماهیانه'!K:K)</f>
        <v>5000000</v>
      </c>
      <c r="J4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4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4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4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4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4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4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4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4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4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4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4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4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4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4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4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4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4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4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4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4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4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4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4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50" spans="2:33" ht="15.75" customHeight="1">
      <c r="B50" s="17">
        <v>47</v>
      </c>
      <c r="C50" s="17"/>
      <c r="D50" s="21" t="s">
        <v>363</v>
      </c>
      <c r="E50" s="21" t="s">
        <v>514</v>
      </c>
      <c r="F50" s="35">
        <f>SUMIFS(Table1[مبلغ واریزی],Table1[ردیف],$B50,Table1[سال],F$2)</f>
        <v>15000000</v>
      </c>
      <c r="G50" s="35">
        <f>SUMIFS(Table1[مبلغ واریزی],Table1[ردیف],$B50,Table1[سال],G$2)</f>
        <v>0</v>
      </c>
      <c r="H50" s="35">
        <f>SUMIF('لیست واریزی ماهیانه'!B:B,'لیست واریزی کل خیرین'!$B50,'لیست واریزی ماهیانه'!K:K)</f>
        <v>15000000</v>
      </c>
      <c r="J5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5000000</v>
      </c>
      <c r="P5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5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5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5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51" spans="2:33" ht="15.75" customHeight="1">
      <c r="B51" s="17">
        <v>48</v>
      </c>
      <c r="C51" s="17"/>
      <c r="D51" s="21" t="s">
        <v>363</v>
      </c>
      <c r="E51" s="21" t="s">
        <v>415</v>
      </c>
      <c r="F51" s="35">
        <f>SUMIFS(Table1[مبلغ واریزی],Table1[ردیف],$B51,Table1[سال],F$2)</f>
        <v>260000000</v>
      </c>
      <c r="G51" s="35">
        <f>SUMIFS(Table1[مبلغ واریزی],Table1[ردیف],$B51,Table1[سال],G$2)</f>
        <v>290000000</v>
      </c>
      <c r="H51" s="35">
        <f>SUMIF('لیست واریزی ماهیانه'!B:B,'لیست واریزی کل خیرین'!$B51,'لیست واریزی ماهیانه'!K:K)</f>
        <v>550000000</v>
      </c>
      <c r="J5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40000000</v>
      </c>
      <c r="Q5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40000000</v>
      </c>
      <c r="R5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40000000</v>
      </c>
      <c r="S5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40000000</v>
      </c>
      <c r="T5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40000000</v>
      </c>
      <c r="U5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60000000</v>
      </c>
      <c r="V5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40000000</v>
      </c>
      <c r="W5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40000000</v>
      </c>
      <c r="X5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40000000</v>
      </c>
      <c r="AA5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80000000</v>
      </c>
      <c r="AF5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50000000</v>
      </c>
      <c r="AG5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40000000</v>
      </c>
    </row>
    <row r="52" spans="2:33" ht="15.75" customHeight="1">
      <c r="B52" s="17">
        <v>49</v>
      </c>
      <c r="C52" s="17"/>
      <c r="D52" s="21" t="s">
        <v>527</v>
      </c>
      <c r="E52" s="21" t="s">
        <v>528</v>
      </c>
      <c r="F52" s="35">
        <f>SUMIFS(Table1[مبلغ واریزی],Table1[ردیف],$B52,Table1[سال],F$2)</f>
        <v>5000000</v>
      </c>
      <c r="G52" s="35">
        <f>SUMIFS(Table1[مبلغ واریزی],Table1[ردیف],$B52,Table1[سال],G$2)</f>
        <v>0</v>
      </c>
      <c r="H52" s="35">
        <f>SUMIF('لیست واریزی ماهیانه'!B:B,'لیست واریزی کل خیرین'!$B52,'لیست واریزی ماهیانه'!K:K)</f>
        <v>5000000</v>
      </c>
      <c r="J5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5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5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53" spans="2:33" ht="15.75" customHeight="1">
      <c r="B53" s="17">
        <v>50</v>
      </c>
      <c r="C53" s="17"/>
      <c r="D53" s="21" t="s">
        <v>372</v>
      </c>
      <c r="E53" s="21" t="s">
        <v>533</v>
      </c>
      <c r="F53" s="35">
        <f>SUMIFS(Table1[مبلغ واریزی],Table1[ردیف],$B53,Table1[سال],F$2)</f>
        <v>10000000</v>
      </c>
      <c r="G53" s="35">
        <f>SUMIFS(Table1[مبلغ واریزی],Table1[ردیف],$B53,Table1[سال],G$2)</f>
        <v>25000000</v>
      </c>
      <c r="H53" s="35">
        <f>SUMIF('لیست واریزی ماهیانه'!B:B,'لیست واریزی کل خیرین'!$B53,'لیست واریزی ماهیانه'!K:K)</f>
        <v>35000000</v>
      </c>
      <c r="J5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10000000</v>
      </c>
      <c r="Q5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5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5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5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</row>
    <row r="54" spans="2:33" ht="15.75" customHeight="1">
      <c r="B54" s="17">
        <v>51</v>
      </c>
      <c r="C54" s="301" t="s">
        <v>1553</v>
      </c>
      <c r="D54" s="21" t="s">
        <v>539</v>
      </c>
      <c r="E54" s="21" t="s">
        <v>359</v>
      </c>
      <c r="F54" s="35">
        <f>SUMIFS(Table1[مبلغ واریزی],Table1[ردیف],$B54,Table1[سال],F$2)</f>
        <v>5000000</v>
      </c>
      <c r="G54" s="35">
        <f>SUMIFS(Table1[مبلغ واریزی],Table1[ردیف],$B54,Table1[سال],G$2)</f>
        <v>0</v>
      </c>
      <c r="H54" s="35">
        <f>SUMIF('لیست واریزی ماهیانه'!B:B,'لیست واریزی کل خیرین'!$B54,'لیست واریزی ماهیانه'!K:K)</f>
        <v>5000000</v>
      </c>
      <c r="J5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5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5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55" spans="2:33" ht="15.75" customHeight="1">
      <c r="B55" s="17">
        <v>52</v>
      </c>
      <c r="C55" s="301" t="s">
        <v>1553</v>
      </c>
      <c r="D55" s="21" t="s">
        <v>540</v>
      </c>
      <c r="E55" s="21" t="s">
        <v>541</v>
      </c>
      <c r="F55" s="35">
        <f>SUMIFS(Table1[مبلغ واریزی],Table1[ردیف],$B55,Table1[سال],F$2)</f>
        <v>4000000</v>
      </c>
      <c r="G55" s="35">
        <f>SUMIFS(Table1[مبلغ واریزی],Table1[ردیف],$B55,Table1[سال],G$2)</f>
        <v>0</v>
      </c>
      <c r="H55" s="35">
        <f>SUMIF('لیست واریزی ماهیانه'!B:B,'لیست واریزی کل خیرین'!$B55,'لیست واریزی ماهیانه'!K:K)</f>
        <v>4000000</v>
      </c>
      <c r="J5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4000000</v>
      </c>
      <c r="Q5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5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56" spans="2:33" ht="18" customHeight="1">
      <c r="B56" s="17">
        <v>53</v>
      </c>
      <c r="C56" s="301" t="s">
        <v>1553</v>
      </c>
      <c r="D56" s="21" t="s">
        <v>543</v>
      </c>
      <c r="E56" s="21" t="s">
        <v>544</v>
      </c>
      <c r="F56" s="35">
        <f>SUMIFS(Table1[مبلغ واریزی],Table1[ردیف],$B56,Table1[سال],F$2)</f>
        <v>3000000</v>
      </c>
      <c r="G56" s="35">
        <f>SUMIFS(Table1[مبلغ واریزی],Table1[ردیف],$B56,Table1[سال],G$2)</f>
        <v>0</v>
      </c>
      <c r="H56" s="35">
        <f>SUMIF('لیست واریزی ماهیانه'!B:B,'لیست واریزی کل خیرین'!$B56,'لیست واریزی ماهیانه'!K:K)</f>
        <v>3000000</v>
      </c>
      <c r="J5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5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5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57" spans="2:33" ht="18" customHeight="1">
      <c r="B57" s="17">
        <v>54</v>
      </c>
      <c r="C57" s="301" t="s">
        <v>1553</v>
      </c>
      <c r="D57" s="21" t="s">
        <v>421</v>
      </c>
      <c r="E57" s="21" t="s">
        <v>545</v>
      </c>
      <c r="F57" s="35">
        <f>SUMIFS(Table1[مبلغ واریزی],Table1[ردیف],$B57,Table1[سال],F$2)</f>
        <v>1000000</v>
      </c>
      <c r="G57" s="35">
        <f>SUMIFS(Table1[مبلغ واریزی],Table1[ردیف],$B57,Table1[سال],G$2)</f>
        <v>0</v>
      </c>
      <c r="H57" s="35">
        <f>SUMIF('لیست واریزی ماهیانه'!B:B,'لیست واریزی کل خیرین'!$B57,'لیست واریزی ماهیانه'!K:K)</f>
        <v>1000000</v>
      </c>
      <c r="J5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1000000</v>
      </c>
      <c r="Q5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5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58" spans="2:33" ht="18" customHeight="1">
      <c r="B58" s="17">
        <v>55</v>
      </c>
      <c r="C58" s="301" t="s">
        <v>1553</v>
      </c>
      <c r="D58" s="21" t="s">
        <v>418</v>
      </c>
      <c r="E58" s="21" t="s">
        <v>1095</v>
      </c>
      <c r="F58" s="35">
        <f>SUMIFS(Table1[مبلغ واریزی],Table1[ردیف],$B58,Table1[سال],F$2)</f>
        <v>11000000</v>
      </c>
      <c r="G58" s="35">
        <f>SUMIFS(Table1[مبلغ واریزی],Table1[ردیف],$B58,Table1[سال],G$2)</f>
        <v>5000000</v>
      </c>
      <c r="H58" s="35">
        <f>SUMIF('لیست واریزی ماهیانه'!B:B,'لیست واریزی کل خیرین'!$B58,'لیست واریزی ماهیانه'!K:K)</f>
        <v>16000000</v>
      </c>
      <c r="J5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5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5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5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6000000</v>
      </c>
      <c r="V5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5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59" spans="2:33" ht="18" customHeight="1">
      <c r="B59" s="17">
        <v>56</v>
      </c>
      <c r="C59" s="17"/>
      <c r="D59" s="21" t="s">
        <v>519</v>
      </c>
      <c r="E59" s="21" t="s">
        <v>520</v>
      </c>
      <c r="F59" s="35">
        <f>SUMIFS(Table1[مبلغ واریزی],Table1[ردیف],$B59,Table1[سال],F$2)</f>
        <v>15000000</v>
      </c>
      <c r="G59" s="35">
        <f>SUMIFS(Table1[مبلغ واریزی],Table1[ردیف],$B59,Table1[سال],G$2)</f>
        <v>0</v>
      </c>
      <c r="H59" s="35">
        <f>SUMIF('لیست واریزی ماهیانه'!B:B,'لیست واریزی کل خیرین'!$B59,'لیست واریزی ماهیانه'!K:K)</f>
        <v>15000000</v>
      </c>
      <c r="J5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5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5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5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5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5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10000000</v>
      </c>
      <c r="P5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5000000</v>
      </c>
      <c r="Q5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5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5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5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5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5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5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5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5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5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5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5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5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5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5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5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5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60" spans="2:33" ht="18" customHeight="1">
      <c r="B60" s="17">
        <v>57</v>
      </c>
      <c r="C60" s="301" t="s">
        <v>1553</v>
      </c>
      <c r="D60" s="21" t="s">
        <v>76</v>
      </c>
      <c r="E60" s="21" t="s">
        <v>547</v>
      </c>
      <c r="F60" s="35">
        <f>SUMIFS(Table1[مبلغ واریزی],Table1[ردیف],$B60,Table1[سال],F$2)</f>
        <v>3000000</v>
      </c>
      <c r="G60" s="35">
        <f>SUMIFS(Table1[مبلغ واریزی],Table1[ردیف],$B60,Table1[سال],G$2)</f>
        <v>0</v>
      </c>
      <c r="H60" s="35">
        <f>SUMIF('لیست واریزی ماهیانه'!B:B,'لیست واریزی کل خیرین'!$B60,'لیست واریزی ماهیانه'!K:K)</f>
        <v>3000000</v>
      </c>
      <c r="J6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3000000</v>
      </c>
      <c r="Q6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61" spans="2:33" ht="18" customHeight="1">
      <c r="B61" s="17">
        <v>58</v>
      </c>
      <c r="C61" s="301" t="s">
        <v>1553</v>
      </c>
      <c r="D61" s="21" t="s">
        <v>1376</v>
      </c>
      <c r="E61" s="21" t="s">
        <v>1377</v>
      </c>
      <c r="F61" s="35">
        <f>SUMIFS(Table1[مبلغ واریزی],Table1[ردیف],$B61,Table1[سال],F$2)</f>
        <v>0</v>
      </c>
      <c r="G61" s="35">
        <f>SUMIFS(Table1[مبلغ واریزی],Table1[ردیف],$B61,Table1[سال],G$2)</f>
        <v>2000000</v>
      </c>
      <c r="H61" s="35">
        <f>SUMIF('لیست واریزی ماهیانه'!B:B,'لیست واریزی کل خیرین'!$B61,'لیست واریزی ماهیانه'!K:K)</f>
        <v>2000000</v>
      </c>
      <c r="J6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</v>
      </c>
      <c r="AA6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62" spans="2:33" ht="20.25" customHeight="1">
      <c r="B62" s="17">
        <v>59</v>
      </c>
      <c r="C62" s="301" t="s">
        <v>1553</v>
      </c>
      <c r="D62" s="21" t="s">
        <v>564</v>
      </c>
      <c r="E62" s="21" t="s">
        <v>565</v>
      </c>
      <c r="F62" s="35">
        <f>SUMIFS(Table1[مبلغ واریزی],Table1[ردیف],$B62,Table1[سال],F$2)</f>
        <v>8000000</v>
      </c>
      <c r="G62" s="35">
        <f>SUMIFS(Table1[مبلغ واریزی],Table1[ردیف],$B62,Table1[سال],G$2)</f>
        <v>0</v>
      </c>
      <c r="H62" s="35">
        <f>SUMIF('لیست واریزی ماهیانه'!B:B,'لیست واریزی کل خیرین'!$B62,'لیست واریزی ماهیانه'!K:K)</f>
        <v>8000000</v>
      </c>
      <c r="J6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6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</v>
      </c>
      <c r="V6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63" spans="2:33" ht="20.25" customHeight="1">
      <c r="B63" s="17">
        <v>60</v>
      </c>
      <c r="C63" s="17"/>
      <c r="D63" s="21" t="s">
        <v>519</v>
      </c>
      <c r="E63" s="21" t="s">
        <v>567</v>
      </c>
      <c r="F63" s="35">
        <f>SUMIFS(Table1[مبلغ واریزی],Table1[ردیف],$B63,Table1[سال],F$2)</f>
        <v>130000000</v>
      </c>
      <c r="G63" s="35">
        <f>SUMIFS(Table1[مبلغ واریزی],Table1[ردیف],$B63,Table1[سال],G$2)</f>
        <v>0</v>
      </c>
      <c r="H63" s="35">
        <f>SUMIF('لیست واریزی ماهیانه'!B:B,'لیست واریزی کل خیرین'!$B63,'لیست واریزی ماهیانه'!K:K)</f>
        <v>130000000</v>
      </c>
      <c r="J6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40000000</v>
      </c>
      <c r="R6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6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15000000</v>
      </c>
      <c r="T6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35000000</v>
      </c>
      <c r="U6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30000000</v>
      </c>
      <c r="V6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64" spans="2:33" ht="20.25" customHeight="1">
      <c r="B64" s="17">
        <v>61</v>
      </c>
      <c r="C64" s="17"/>
      <c r="D64" s="21" t="s">
        <v>571</v>
      </c>
      <c r="E64" s="21" t="s">
        <v>572</v>
      </c>
      <c r="F64" s="35">
        <f>SUMIFS(Table1[مبلغ واریزی],Table1[ردیف],$B64,Table1[سال],F$2)</f>
        <v>8000000</v>
      </c>
      <c r="G64" s="35">
        <f>SUMIFS(Table1[مبلغ واریزی],Table1[ردیف],$B64,Table1[سال],G$2)</f>
        <v>30000000</v>
      </c>
      <c r="H64" s="35">
        <f>SUMIF('لیست واریزی ماهیانه'!B:B,'لیست واریزی کل خیرین'!$B64,'لیست واریزی ماهیانه'!K:K)</f>
        <v>38000000</v>
      </c>
      <c r="J6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5000000</v>
      </c>
      <c r="R6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3000000</v>
      </c>
      <c r="S6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6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6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</v>
      </c>
      <c r="AE6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6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</v>
      </c>
    </row>
    <row r="65" spans="2:33" ht="25.5" customHeight="1">
      <c r="B65" s="17">
        <v>62</v>
      </c>
      <c r="C65" s="17"/>
      <c r="D65" s="21" t="s">
        <v>616</v>
      </c>
      <c r="E65" s="21" t="s">
        <v>574</v>
      </c>
      <c r="F65" s="35">
        <f>SUMIFS(Table1[مبلغ واریزی],Table1[ردیف],$B65,Table1[سال],F$2)</f>
        <v>40000000</v>
      </c>
      <c r="G65" s="35">
        <f>SUMIFS(Table1[مبلغ واریزی],Table1[ردیف],$B65,Table1[سال],G$2)</f>
        <v>80000000</v>
      </c>
      <c r="H65" s="35">
        <f>SUMIF('لیست واریزی ماهیانه'!B:B,'لیست واریزی کل خیرین'!$B65,'لیست واریزی ماهیانه'!K:K)</f>
        <v>120000000</v>
      </c>
      <c r="J6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10000000</v>
      </c>
      <c r="R6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6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6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6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6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6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6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10000000</v>
      </c>
      <c r="AC6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6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10000000</v>
      </c>
      <c r="AE6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6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10000000</v>
      </c>
      <c r="AG6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66" spans="2:33" ht="25.5" customHeight="1">
      <c r="B66" s="17">
        <v>63</v>
      </c>
      <c r="C66" s="17"/>
      <c r="D66" s="21" t="s">
        <v>391</v>
      </c>
      <c r="E66" s="21" t="s">
        <v>392</v>
      </c>
      <c r="F66" s="35">
        <f>SUMIFS(Table1[مبلغ واریزی],Table1[ردیف],$B66,Table1[سال],F$2)</f>
        <v>138469783</v>
      </c>
      <c r="G66" s="35">
        <f>SUMIFS(Table1[مبلغ واریزی],Table1[ردیف],$B66,Table1[سال],G$2)</f>
        <v>258305270</v>
      </c>
      <c r="H66" s="35">
        <f>SUMIF('لیست واریزی ماهیانه'!B:B,'لیست واریزی کل خیرین'!$B66,'لیست واریزی ماهیانه'!K:K)</f>
        <v>396775053</v>
      </c>
      <c r="J6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4570</v>
      </c>
      <c r="M6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61172</v>
      </c>
      <c r="N6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5033530</v>
      </c>
      <c r="O6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7696559</v>
      </c>
      <c r="P6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14555641</v>
      </c>
      <c r="Q6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15594672</v>
      </c>
      <c r="R6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20361327</v>
      </c>
      <c r="S6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24065060</v>
      </c>
      <c r="T6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32965781</v>
      </c>
      <c r="U6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18131471</v>
      </c>
      <c r="V6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20216371</v>
      </c>
      <c r="W6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25365951</v>
      </c>
      <c r="X6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26623788</v>
      </c>
      <c r="Y6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20588777</v>
      </c>
      <c r="Z6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23182279</v>
      </c>
      <c r="AA6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84481</v>
      </c>
      <c r="AB6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5646626</v>
      </c>
      <c r="AC6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12201354</v>
      </c>
      <c r="AD6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25789018</v>
      </c>
      <c r="AE6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31010028</v>
      </c>
      <c r="AF6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33191770</v>
      </c>
      <c r="AG6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34404827</v>
      </c>
    </row>
    <row r="67" spans="2:33" ht="25.5" customHeight="1">
      <c r="B67" s="17">
        <v>64</v>
      </c>
      <c r="C67" s="17"/>
      <c r="D67" s="21" t="s">
        <v>389</v>
      </c>
      <c r="E67" s="21" t="s">
        <v>582</v>
      </c>
      <c r="F67" s="35">
        <f>SUMIFS(Table1[مبلغ واریزی],Table1[ردیف],$B67,Table1[سال],F$2)</f>
        <v>5000000</v>
      </c>
      <c r="G67" s="35">
        <f>SUMIFS(Table1[مبلغ واریزی],Table1[ردیف],$B67,Table1[سال],G$2)</f>
        <v>5000000</v>
      </c>
      <c r="H67" s="35">
        <f>SUMIF('لیست واریزی ماهیانه'!B:B,'لیست واریزی کل خیرین'!$B67,'لیست واریزی ماهیانه'!K:K)</f>
        <v>10000000</v>
      </c>
      <c r="J6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6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5000000</v>
      </c>
      <c r="AA6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68" spans="2:33" ht="25.5" customHeight="1">
      <c r="B68" s="17">
        <v>65</v>
      </c>
      <c r="C68" s="301" t="s">
        <v>1553</v>
      </c>
      <c r="D68" s="21" t="s">
        <v>586</v>
      </c>
      <c r="E68" s="21" t="s">
        <v>587</v>
      </c>
      <c r="F68" s="35">
        <f>SUMIFS(Table1[مبلغ واریزی],Table1[ردیف],$B68,Table1[سال],F$2)</f>
        <v>250000000</v>
      </c>
      <c r="G68" s="35">
        <f>SUMIFS(Table1[مبلغ واریزی],Table1[ردیف],$B68,Table1[سال],G$2)</f>
        <v>0</v>
      </c>
      <c r="H68" s="35">
        <f>SUMIF('لیست واریزی ماهیانه'!B:B,'لیست واریزی کل خیرین'!$B68,'لیست واریزی ماهیانه'!K:K)</f>
        <v>250000000</v>
      </c>
      <c r="J6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6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250000000</v>
      </c>
      <c r="S6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69" spans="2:33" ht="25.5" customHeight="1">
      <c r="B69" s="17">
        <v>66</v>
      </c>
      <c r="C69" s="17"/>
      <c r="D69" s="21" t="s">
        <v>595</v>
      </c>
      <c r="E69" s="21" t="s">
        <v>596</v>
      </c>
      <c r="F69" s="35">
        <f>SUMIFS(Table1[مبلغ واریزی],Table1[ردیف],$B69,Table1[سال],F$2)</f>
        <v>532000</v>
      </c>
      <c r="G69" s="35">
        <f>SUMIFS(Table1[مبلغ واریزی],Table1[ردیف],$B69,Table1[سال],G$2)</f>
        <v>0</v>
      </c>
      <c r="H69" s="35">
        <f>SUMIF('لیست واریزی ماهیانه'!B:B,'لیست واریزی کل خیرین'!$B69,'لیست واریزی ماهیانه'!K:K)</f>
        <v>532000</v>
      </c>
      <c r="J6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6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6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6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6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6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6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532000</v>
      </c>
      <c r="Q6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6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6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6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6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6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6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6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6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6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6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6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6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6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6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6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6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70" spans="2:33" ht="25.5" customHeight="1">
      <c r="B70" s="17">
        <v>67</v>
      </c>
      <c r="C70" s="17"/>
      <c r="D70" s="21" t="s">
        <v>597</v>
      </c>
      <c r="E70" s="21" t="s">
        <v>598</v>
      </c>
      <c r="F70" s="35">
        <f>SUMIFS(Table1[مبلغ واریزی],Table1[ردیف],$B70,Table1[سال],F$2)</f>
        <v>0</v>
      </c>
      <c r="G70" s="35">
        <f>SUMIFS(Table1[مبلغ واریزی],Table1[ردیف],$B70,Table1[سال],G$2)</f>
        <v>0</v>
      </c>
      <c r="H70" s="35">
        <f>SUMIF('لیست واریزی ماهیانه'!B:B,'لیست واریزی کل خیرین'!$B70,'لیست واریزی ماهیانه'!K:K)</f>
        <v>0</v>
      </c>
      <c r="J7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71" spans="2:33" ht="25.5" customHeight="1">
      <c r="B71" s="17">
        <v>68</v>
      </c>
      <c r="C71" s="17"/>
      <c r="D71" s="21" t="s">
        <v>76</v>
      </c>
      <c r="E71" s="21" t="s">
        <v>606</v>
      </c>
      <c r="F71" s="35">
        <f>SUMIFS(Table1[مبلغ واریزی],Table1[ردیف],$B71,Table1[سال],F$2)</f>
        <v>10000000</v>
      </c>
      <c r="G71" s="35">
        <f>SUMIFS(Table1[مبلغ واریزی],Table1[ردیف],$B71,Table1[سال],G$2)</f>
        <v>0</v>
      </c>
      <c r="H71" s="35">
        <f>SUMIF('لیست واریزی ماهیانه'!B:B,'لیست واریزی کل خیرین'!$B71,'لیست واریزی ماهیانه'!K:K)</f>
        <v>10000000</v>
      </c>
      <c r="J7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7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72" spans="2:33" ht="25.5" customHeight="1">
      <c r="B72" s="17">
        <v>69</v>
      </c>
      <c r="C72" s="17"/>
      <c r="D72" s="21" t="s">
        <v>612</v>
      </c>
      <c r="E72" s="21" t="s">
        <v>613</v>
      </c>
      <c r="F72" s="35">
        <f>SUMIFS(Table1[مبلغ واریزی],Table1[ردیف],$B72,Table1[سال],F$2)</f>
        <v>19000000</v>
      </c>
      <c r="G72" s="35">
        <f>SUMIFS(Table1[مبلغ واریزی],Table1[ردیف],$B72,Table1[سال],G$2)</f>
        <v>10000000</v>
      </c>
      <c r="H72" s="35">
        <f>SUMIF('لیست واریزی ماهیانه'!B:B,'لیست واریزی کل خیرین'!$B72,'لیست واریزی ماهیانه'!K:K)</f>
        <v>29000000</v>
      </c>
      <c r="J7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5000000</v>
      </c>
      <c r="S7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4000000</v>
      </c>
      <c r="T7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7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7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7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5000000</v>
      </c>
      <c r="AD7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73" spans="2:33" ht="25.5" customHeight="1">
      <c r="B73" s="17">
        <v>70</v>
      </c>
      <c r="C73" s="17"/>
      <c r="D73" s="21" t="s">
        <v>72</v>
      </c>
      <c r="E73" s="21" t="s">
        <v>615</v>
      </c>
      <c r="F73" s="35">
        <f>SUMIFS(Table1[مبلغ واریزی],Table1[ردیف],$B73,Table1[سال],F$2)</f>
        <v>60000000</v>
      </c>
      <c r="G73" s="35">
        <f>SUMIFS(Table1[مبلغ واریزی],Table1[ردیف],$B73,Table1[سال],G$2)</f>
        <v>20000000</v>
      </c>
      <c r="H73" s="35">
        <f>SUMIF('لیست واریزی ماهیانه'!B:B,'لیست واریزی کل خیرین'!$B73,'لیست واریزی ماهیانه'!K:K)</f>
        <v>80000000</v>
      </c>
      <c r="J7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7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7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7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30000000</v>
      </c>
      <c r="V7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7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7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74" spans="2:33" ht="25.5" customHeight="1">
      <c r="B74" s="17">
        <v>71</v>
      </c>
      <c r="C74" s="17"/>
      <c r="D74" s="21" t="s">
        <v>363</v>
      </c>
      <c r="E74" s="21" t="s">
        <v>618</v>
      </c>
      <c r="F74" s="35">
        <f>SUMIFS(Table1[مبلغ واریزی],Table1[ردیف],$B74,Table1[سال],F$2)</f>
        <v>10000000</v>
      </c>
      <c r="G74" s="35">
        <f>SUMIFS(Table1[مبلغ واریزی],Table1[ردیف],$B74,Table1[سال],G$2)</f>
        <v>10000000</v>
      </c>
      <c r="H74" s="35">
        <f>SUMIF('لیست واریزی ماهیانه'!B:B,'لیست واریزی کل خیرین'!$B74,'لیست واریزی ماهیانه'!K:K)</f>
        <v>20000000</v>
      </c>
      <c r="J7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7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10000000</v>
      </c>
      <c r="AF7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75" spans="2:33" ht="25.5" customHeight="1">
      <c r="B75" s="17">
        <v>72</v>
      </c>
      <c r="C75" s="17"/>
      <c r="D75" s="21" t="s">
        <v>457</v>
      </c>
      <c r="E75" s="21" t="s">
        <v>619</v>
      </c>
      <c r="F75" s="35">
        <f>SUMIFS(Table1[مبلغ واریزی],Table1[ردیف],$B75,Table1[سال],F$2)</f>
        <v>20000000</v>
      </c>
      <c r="G75" s="35">
        <f>SUMIFS(Table1[مبلغ واریزی],Table1[ردیف],$B75,Table1[سال],G$2)</f>
        <v>10000000</v>
      </c>
      <c r="H75" s="35">
        <f>SUMIF('لیست واریزی ماهیانه'!B:B,'لیست واریزی کل خیرین'!$B75,'لیست واریزی ماهیانه'!K:K)</f>
        <v>30000000</v>
      </c>
      <c r="J7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10000000</v>
      </c>
      <c r="S7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</v>
      </c>
      <c r="V7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7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76" spans="2:33" ht="25.5" customHeight="1">
      <c r="B76" s="17">
        <v>73</v>
      </c>
      <c r="C76" s="301" t="s">
        <v>1553</v>
      </c>
      <c r="D76" s="21" t="s">
        <v>620</v>
      </c>
      <c r="E76" s="21" t="s">
        <v>621</v>
      </c>
      <c r="F76" s="35">
        <f>SUMIFS(Table1[مبلغ واریزی],Table1[ردیف],$B76,Table1[سال],F$2)</f>
        <v>420000000</v>
      </c>
      <c r="G76" s="35">
        <f>SUMIFS(Table1[مبلغ واریزی],Table1[ردیف],$B76,Table1[سال],G$2)</f>
        <v>0</v>
      </c>
      <c r="H76" s="35">
        <f>SUMIF('لیست واریزی ماهیانه'!B:B,'لیست واریزی کل خیرین'!$B76,'لیست واریزی ماهیانه'!K:K)</f>
        <v>420000000</v>
      </c>
      <c r="J7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420000000</v>
      </c>
      <c r="S7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7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77" spans="2:33" ht="25.5" customHeight="1">
      <c r="B77" s="17">
        <v>74</v>
      </c>
      <c r="C77" s="17"/>
      <c r="D77" s="21" t="s">
        <v>640</v>
      </c>
      <c r="E77" s="21" t="s">
        <v>641</v>
      </c>
      <c r="F77" s="35">
        <f>SUMIFS(Table1[مبلغ واریزی],Table1[ردیف],$B77,Table1[سال],F$2)</f>
        <v>15000000</v>
      </c>
      <c r="G77" s="35">
        <f>SUMIFS(Table1[مبلغ واریزی],Table1[ردیف],$B77,Table1[سال],G$2)</f>
        <v>40000000</v>
      </c>
      <c r="H77" s="35">
        <f>SUMIF('لیست واریزی ماهیانه'!B:B,'لیست واریزی کل خیرین'!$B77,'لیست واریزی ماهیانه'!K:K)</f>
        <v>55000000</v>
      </c>
      <c r="J7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5000000</v>
      </c>
      <c r="T7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7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7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</v>
      </c>
      <c r="W7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</v>
      </c>
      <c r="X7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5000000</v>
      </c>
      <c r="Y7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5000000</v>
      </c>
      <c r="Z7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7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7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5000000</v>
      </c>
      <c r="AG7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5000000</v>
      </c>
    </row>
    <row r="78" spans="2:33" ht="25.5" customHeight="1">
      <c r="B78" s="17">
        <v>75</v>
      </c>
      <c r="C78" s="17"/>
      <c r="D78" s="21" t="s">
        <v>645</v>
      </c>
      <c r="E78" s="21" t="s">
        <v>646</v>
      </c>
      <c r="F78" s="35">
        <f>SUMIFS(Table1[مبلغ واریزی],Table1[ردیف],$B78,Table1[سال],F$2)</f>
        <v>100000000</v>
      </c>
      <c r="G78" s="35">
        <f>SUMIFS(Table1[مبلغ واریزی],Table1[ردیف],$B78,Table1[سال],G$2)</f>
        <v>25000000</v>
      </c>
      <c r="H78" s="35">
        <f>SUMIF('لیست واریزی ماهیانه'!B:B,'لیست واریزی کل خیرین'!$B78,'لیست واریزی ماهیانه'!K:K)</f>
        <v>125000000</v>
      </c>
      <c r="J7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100000000</v>
      </c>
      <c r="T7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7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10000000</v>
      </c>
      <c r="AD7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7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79" spans="2:33" ht="25.5" customHeight="1">
      <c r="B79" s="17">
        <v>76</v>
      </c>
      <c r="C79" s="17"/>
      <c r="D79" s="21" t="s">
        <v>651</v>
      </c>
      <c r="E79" s="21" t="s">
        <v>652</v>
      </c>
      <c r="F79" s="35">
        <f>SUMIFS(Table1[مبلغ واریزی],Table1[ردیف],$B79,Table1[سال],F$2)</f>
        <v>10000000</v>
      </c>
      <c r="G79" s="35">
        <f>SUMIFS(Table1[مبلغ واریزی],Table1[ردیف],$B79,Table1[سال],G$2)</f>
        <v>0</v>
      </c>
      <c r="H79" s="35">
        <f>SUMIF('لیست واریزی ماهیانه'!B:B,'لیست واریزی کل خیرین'!$B79,'لیست واریزی ماهیانه'!K:K)</f>
        <v>10000000</v>
      </c>
      <c r="J7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7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7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7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7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7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7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7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7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7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</v>
      </c>
      <c r="T7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7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7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7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7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7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7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7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7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7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7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7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7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7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80" spans="2:33" ht="25.5" customHeight="1">
      <c r="B80" s="17">
        <v>77</v>
      </c>
      <c r="C80" s="17"/>
      <c r="D80" s="21" t="s">
        <v>666</v>
      </c>
      <c r="E80" s="21" t="s">
        <v>667</v>
      </c>
      <c r="F80" s="35">
        <f>SUMIFS(Table1[مبلغ واریزی],Table1[ردیف],$B80,Table1[سال],F$2)</f>
        <v>100000000</v>
      </c>
      <c r="G80" s="35">
        <f>SUMIFS(Table1[مبلغ واریزی],Table1[ردیف],$B80,Table1[سال],G$2)</f>
        <v>0</v>
      </c>
      <c r="H80" s="35">
        <f>SUMIF('لیست واریزی ماهیانه'!B:B,'لیست واریزی کل خیرین'!$B80,'لیست واریزی ماهیانه'!K:K)</f>
        <v>100000000</v>
      </c>
      <c r="J8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100000000</v>
      </c>
      <c r="T8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81" spans="2:33" ht="25.5" customHeight="1">
      <c r="B81" s="17">
        <v>78</v>
      </c>
      <c r="C81" s="17"/>
      <c r="D81" s="21" t="s">
        <v>443</v>
      </c>
      <c r="E81" s="21" t="s">
        <v>672</v>
      </c>
      <c r="F81" s="35">
        <f>SUMIFS(Table1[مبلغ واریزی],Table1[ردیف],$B81,Table1[سال],F$2)</f>
        <v>1500000</v>
      </c>
      <c r="G81" s="35">
        <f>SUMIFS(Table1[مبلغ واریزی],Table1[ردیف],$B81,Table1[سال],G$2)</f>
        <v>0</v>
      </c>
      <c r="H81" s="35">
        <f>SUMIF('لیست واریزی ماهیانه'!B:B,'لیست واریزی کل خیرین'!$B81,'لیست واریزی ماهیانه'!K:K)</f>
        <v>1500000</v>
      </c>
      <c r="J8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1500000</v>
      </c>
      <c r="T8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82" spans="2:33" ht="25.5" customHeight="1">
      <c r="B82" s="17">
        <v>79</v>
      </c>
      <c r="C82" s="17"/>
      <c r="D82" s="21" t="s">
        <v>679</v>
      </c>
      <c r="E82" s="21" t="s">
        <v>678</v>
      </c>
      <c r="F82" s="35">
        <f>SUMIFS(Table1[مبلغ واریزی],Table1[ردیف],$B82,Table1[سال],F$2)</f>
        <v>1000000</v>
      </c>
      <c r="G82" s="35">
        <f>SUMIFS(Table1[مبلغ واریزی],Table1[ردیف],$B82,Table1[سال],G$2)</f>
        <v>0</v>
      </c>
      <c r="H82" s="35">
        <f>SUMIF('لیست واریزی ماهیانه'!B:B,'لیست واریزی کل خیرین'!$B82,'لیست واریزی ماهیانه'!K:K)</f>
        <v>1000000</v>
      </c>
      <c r="J8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</v>
      </c>
      <c r="T8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83" spans="2:33" ht="25.5" customHeight="1">
      <c r="B83" s="17">
        <v>80</v>
      </c>
      <c r="C83" s="17"/>
      <c r="D83" s="21" t="s">
        <v>686</v>
      </c>
      <c r="E83" s="21" t="s">
        <v>687</v>
      </c>
      <c r="F83" s="35">
        <f>SUMIFS(Table1[مبلغ واریزی],Table1[ردیف],$B83,Table1[سال],F$2)</f>
        <v>1000000</v>
      </c>
      <c r="G83" s="35">
        <f>SUMIFS(Table1[مبلغ واریزی],Table1[ردیف],$B83,Table1[سال],G$2)</f>
        <v>0</v>
      </c>
      <c r="H83" s="35">
        <f>SUMIF('لیست واریزی ماهیانه'!B:B,'لیست واریزی کل خیرین'!$B83,'لیست واریزی ماهیانه'!K:K)</f>
        <v>1000000</v>
      </c>
      <c r="J8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1000000</v>
      </c>
      <c r="T8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84" spans="2:33" ht="25.5" customHeight="1">
      <c r="B84" s="17">
        <v>81</v>
      </c>
      <c r="C84" s="17"/>
      <c r="D84" s="21" t="s">
        <v>692</v>
      </c>
      <c r="E84" s="21" t="s">
        <v>693</v>
      </c>
      <c r="F84" s="35">
        <f>SUMIFS(Table1[مبلغ واریزی],Table1[ردیف],$B84,Table1[سال],F$2)</f>
        <v>7500000</v>
      </c>
      <c r="G84" s="35">
        <f>SUMIFS(Table1[مبلغ واریزی],Table1[ردیف],$B84,Table1[سال],G$2)</f>
        <v>0</v>
      </c>
      <c r="H84" s="35">
        <f>SUMIF('لیست واریزی ماهیانه'!B:B,'لیست واریزی کل خیرین'!$B84,'لیست واریزی ماهیانه'!K:K)</f>
        <v>7500000</v>
      </c>
      <c r="J8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5000000</v>
      </c>
      <c r="U8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2500000</v>
      </c>
      <c r="V8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85" spans="2:33" ht="25.5" customHeight="1">
      <c r="B85" s="17">
        <v>82</v>
      </c>
      <c r="C85" s="17"/>
      <c r="D85" s="21" t="s">
        <v>700</v>
      </c>
      <c r="E85" s="21" t="s">
        <v>701</v>
      </c>
      <c r="F85" s="35">
        <f>SUMIFS(Table1[مبلغ واریزی],Table1[ردیف],$B85,Table1[سال],F$2)</f>
        <v>40000000</v>
      </c>
      <c r="G85" s="35">
        <f>SUMIFS(Table1[مبلغ واریزی],Table1[ردیف],$B85,Table1[سال],G$2)</f>
        <v>0</v>
      </c>
      <c r="H85" s="35">
        <f>SUMIF('لیست واریزی ماهیانه'!B:B,'لیست واریزی کل خیرین'!$B85,'لیست واریزی ماهیانه'!K:K)</f>
        <v>40000000</v>
      </c>
      <c r="J8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40000000</v>
      </c>
      <c r="U8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86" spans="2:33" ht="25.5" customHeight="1">
      <c r="B86" s="17">
        <v>83</v>
      </c>
      <c r="C86" s="17"/>
      <c r="D86" s="21" t="s">
        <v>72</v>
      </c>
      <c r="E86" s="21" t="s">
        <v>706</v>
      </c>
      <c r="F86" s="35">
        <f>SUMIFS(Table1[مبلغ واریزی],Table1[ردیف],$B86,Table1[سال],F$2)</f>
        <v>100000000</v>
      </c>
      <c r="G86" s="35">
        <f>SUMIFS(Table1[مبلغ واریزی],Table1[ردیف],$B86,Table1[سال],G$2)</f>
        <v>0</v>
      </c>
      <c r="H86" s="35">
        <f>SUMIF('لیست واریزی ماهیانه'!B:B,'لیست واریزی کل خیرین'!$B86,'لیست واریزی ماهیانه'!K:K)</f>
        <v>100000000</v>
      </c>
      <c r="J8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100000000</v>
      </c>
      <c r="U8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87" spans="2:33" ht="25.5" customHeight="1">
      <c r="B87" s="17">
        <v>84</v>
      </c>
      <c r="C87" s="17"/>
      <c r="D87" s="21" t="s">
        <v>709</v>
      </c>
      <c r="E87" s="21" t="s">
        <v>710</v>
      </c>
      <c r="F87" s="35">
        <f>SUMIFS(Table1[مبلغ واریزی],Table1[ردیف],$B87,Table1[سال],F$2)</f>
        <v>10000000</v>
      </c>
      <c r="G87" s="35">
        <f>SUMIFS(Table1[مبلغ واریزی],Table1[ردیف],$B87,Table1[سال],G$2)</f>
        <v>0</v>
      </c>
      <c r="H87" s="35">
        <f>SUMIF('لیست واریزی ماهیانه'!B:B,'لیست واریزی کل خیرین'!$B87,'لیست واریزی ماهیانه'!K:K)</f>
        <v>10000000</v>
      </c>
      <c r="J8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10000000</v>
      </c>
      <c r="U8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8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88" spans="2:33" ht="25.5" customHeight="1">
      <c r="B88" s="17">
        <v>85</v>
      </c>
      <c r="C88" s="17"/>
      <c r="D88" s="21" t="s">
        <v>718</v>
      </c>
      <c r="E88" s="21" t="s">
        <v>719</v>
      </c>
      <c r="F88" s="35">
        <f>SUMIFS(Table1[مبلغ واریزی],Table1[ردیف],$B88,Table1[سال],F$2)</f>
        <v>50000000</v>
      </c>
      <c r="G88" s="35">
        <f>SUMIFS(Table1[مبلغ واریزی],Table1[ردیف],$B88,Table1[سال],G$2)</f>
        <v>25000000</v>
      </c>
      <c r="H88" s="35">
        <f>SUMIF('لیست واریزی ماهیانه'!B:B,'لیست واریزی کل خیرین'!$B88,'لیست واریزی ماهیانه'!K:K)</f>
        <v>75000000</v>
      </c>
      <c r="J8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30000000</v>
      </c>
      <c r="U8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20000000</v>
      </c>
      <c r="V8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8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15000000</v>
      </c>
      <c r="Z8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89" spans="2:33" ht="25.5" customHeight="1">
      <c r="B89" s="17">
        <v>86</v>
      </c>
      <c r="C89" s="17"/>
      <c r="D89" s="21" t="s">
        <v>412</v>
      </c>
      <c r="E89" s="21" t="s">
        <v>1069</v>
      </c>
      <c r="F89" s="35">
        <f>SUMIFS(Table1[مبلغ واریزی],Table1[ردیف],$B89,Table1[سال],F$2)</f>
        <v>20000000</v>
      </c>
      <c r="G89" s="35">
        <f>SUMIFS(Table1[مبلغ واریزی],Table1[ردیف],$B89,Table1[سال],G$2)</f>
        <v>0</v>
      </c>
      <c r="H89" s="35">
        <f>SUMIF('لیست واریزی ماهیانه'!B:B,'لیست واریزی کل خیرین'!$B89,'لیست واریزی ماهیانه'!K:K)</f>
        <v>20000000</v>
      </c>
      <c r="J8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8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8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8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8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8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8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8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8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8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8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8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20000000</v>
      </c>
      <c r="V8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8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8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8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8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8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8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8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8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8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8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8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90" spans="2:33" ht="25.5" customHeight="1">
      <c r="B90" s="17">
        <v>87</v>
      </c>
      <c r="C90" s="17"/>
      <c r="D90" s="21" t="s">
        <v>376</v>
      </c>
      <c r="E90" s="21" t="s">
        <v>1086</v>
      </c>
      <c r="F90" s="35">
        <f>SUMIFS(Table1[مبلغ واریزی],Table1[ردیف],$B90,Table1[سال],F$2)</f>
        <v>100000000</v>
      </c>
      <c r="G90" s="35">
        <f>SUMIFS(Table1[مبلغ واریزی],Table1[ردیف],$B90,Table1[سال],G$2)</f>
        <v>0</v>
      </c>
      <c r="H90" s="35">
        <f>SUMIF('لیست واریزی ماهیانه'!B:B,'لیست واریزی کل خیرین'!$B90,'لیست واریزی ماهیانه'!K:K)</f>
        <v>100000000</v>
      </c>
      <c r="J9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100000000</v>
      </c>
      <c r="V9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91" spans="2:33" ht="25.5" customHeight="1">
      <c r="B91" s="17">
        <v>88</v>
      </c>
      <c r="C91" s="17"/>
      <c r="D91" s="21" t="s">
        <v>76</v>
      </c>
      <c r="E91" s="21" t="s">
        <v>1265</v>
      </c>
      <c r="F91" s="35">
        <f>SUMIFS(Table1[مبلغ واریزی],Table1[ردیف],$B91,Table1[سال],F$2)</f>
        <v>13000000</v>
      </c>
      <c r="G91" s="35">
        <f>SUMIFS(Table1[مبلغ واریزی],Table1[ردیف],$B91,Table1[سال],G$2)</f>
        <v>80400000</v>
      </c>
      <c r="H91" s="35">
        <f>SUMIF('لیست واریزی ماهیانه'!B:B,'لیست واریزی کل خیرین'!$B91,'لیست واریزی ماهیانه'!K:K)</f>
        <v>93400000</v>
      </c>
      <c r="J9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13000000</v>
      </c>
      <c r="V9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7900000</v>
      </c>
      <c r="X9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10000000</v>
      </c>
      <c r="Y9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10000000</v>
      </c>
      <c r="Z9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40500000</v>
      </c>
      <c r="AA9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9000000</v>
      </c>
      <c r="AD9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3000000</v>
      </c>
      <c r="AF9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92" spans="2:33" ht="7.5" hidden="1" customHeight="1">
      <c r="B92" s="17">
        <v>89</v>
      </c>
      <c r="C92" s="296"/>
      <c r="D92" s="214"/>
      <c r="E92" s="215"/>
      <c r="F92" s="35">
        <f>SUMIFS(Table1[مبلغ واریزی],Table1[ردیف],$B92,Table1[سال],F$2)</f>
        <v>0</v>
      </c>
      <c r="G92" s="35">
        <f>SUMIFS(Table1[مبلغ واریزی],Table1[ردیف],$B92,Table1[سال],G$2)</f>
        <v>0</v>
      </c>
      <c r="H92" s="35">
        <f>SUMIF('لیست واریزی ماهیانه'!B:B,'لیست واریزی کل خیرین'!$B92,'لیست واریزی ماهیانه'!K:K)</f>
        <v>0</v>
      </c>
      <c r="J9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93" spans="2:33" ht="28.5" customHeight="1">
      <c r="B93" s="40">
        <v>90</v>
      </c>
      <c r="C93" s="300"/>
      <c r="D93" s="297" t="s">
        <v>465</v>
      </c>
      <c r="E93" s="217" t="s">
        <v>1115</v>
      </c>
      <c r="F93" s="35">
        <f>SUMIFS(Table1[مبلغ واریزی],Table1[ردیف],$B93,Table1[سال],F$2)</f>
        <v>20000000</v>
      </c>
      <c r="G93" s="35">
        <f>SUMIFS(Table1[مبلغ واریزی],Table1[ردیف],$B93,Table1[سال],G$2)</f>
        <v>0</v>
      </c>
      <c r="H93" s="35">
        <f>SUMIF('لیست واریزی ماهیانه'!B:B,'لیست واریزی کل خیرین'!$B93,'لیست واریزی ماهیانه'!K:K)</f>
        <v>20000000</v>
      </c>
      <c r="J9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20000000</v>
      </c>
      <c r="V9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94" spans="2:33" ht="28.5" customHeight="1">
      <c r="B94" s="40">
        <v>91</v>
      </c>
      <c r="C94" s="300"/>
      <c r="D94" s="298" t="s">
        <v>1117</v>
      </c>
      <c r="E94" s="216" t="s">
        <v>1118</v>
      </c>
      <c r="F94" s="35">
        <f>SUMIFS(Table1[مبلغ واریزی],Table1[ردیف],$B94,Table1[سال],F$2)</f>
        <v>5000000</v>
      </c>
      <c r="G94" s="35">
        <f>SUMIFS(Table1[مبلغ واریزی],Table1[ردیف],$B94,Table1[سال],G$2)</f>
        <v>10000000</v>
      </c>
      <c r="H94" s="35">
        <f>SUMIF('لیست واریزی ماهیانه'!B:B,'لیست واریزی کل خیرین'!$B94,'لیست واریزی ماهیانه'!K:K)</f>
        <v>15000000</v>
      </c>
      <c r="J9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5000000</v>
      </c>
      <c r="V9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9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95" spans="2:33" ht="28.5" customHeight="1">
      <c r="B95" s="40">
        <v>92</v>
      </c>
      <c r="C95" s="300"/>
      <c r="D95" s="298" t="s">
        <v>1119</v>
      </c>
      <c r="E95" s="216" t="s">
        <v>1120</v>
      </c>
      <c r="F95" s="35">
        <f>SUMIFS(Table1[مبلغ واریزی],Table1[ردیف],$B95,Table1[سال],F$2)</f>
        <v>20000000</v>
      </c>
      <c r="G95" s="35">
        <f>SUMIFS(Table1[مبلغ واریزی],Table1[ردیف],$B95,Table1[سال],G$2)</f>
        <v>0</v>
      </c>
      <c r="H95" s="35">
        <f>SUMIF('لیست واریزی ماهیانه'!B:B,'لیست واریزی کل خیرین'!$B95,'لیست واریزی ماهیانه'!K:K)</f>
        <v>20000000</v>
      </c>
      <c r="J9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20000000</v>
      </c>
      <c r="V9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96" spans="2:33" ht="28.5" customHeight="1">
      <c r="B96" s="40">
        <v>93</v>
      </c>
      <c r="C96" s="300"/>
      <c r="D96" s="298" t="s">
        <v>1122</v>
      </c>
      <c r="E96" s="216" t="s">
        <v>1123</v>
      </c>
      <c r="F96" s="35">
        <f>SUMIFS(Table1[مبلغ واریزی],Table1[ردیف],$B96,Table1[سال],F$2)</f>
        <v>15000000</v>
      </c>
      <c r="G96" s="35">
        <f>SUMIFS(Table1[مبلغ واریزی],Table1[ردیف],$B96,Table1[سال],G$2)</f>
        <v>0</v>
      </c>
      <c r="H96" s="35">
        <f>SUMIF('لیست واریزی ماهیانه'!B:B,'لیست واریزی کل خیرین'!$B96,'لیست واریزی ماهیانه'!K:K)</f>
        <v>15000000</v>
      </c>
      <c r="J9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15000000</v>
      </c>
      <c r="V9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97" spans="2:33" ht="28.5" customHeight="1">
      <c r="B97" s="40">
        <v>94</v>
      </c>
      <c r="C97" s="300"/>
      <c r="D97" s="298" t="s">
        <v>1126</v>
      </c>
      <c r="E97" s="216" t="s">
        <v>1127</v>
      </c>
      <c r="F97" s="35">
        <f>SUMIFS(Table1[مبلغ واریزی],Table1[ردیف],$B97,Table1[سال],F$2)</f>
        <v>20000000</v>
      </c>
      <c r="G97" s="35">
        <f>SUMIFS(Table1[مبلغ واریزی],Table1[ردیف],$B97,Table1[سال],G$2)</f>
        <v>0</v>
      </c>
      <c r="H97" s="35">
        <f>SUMIF('لیست واریزی ماهیانه'!B:B,'لیست واریزی کل خیرین'!$B97,'لیست واریزی ماهیانه'!K:K)</f>
        <v>20000000</v>
      </c>
      <c r="J9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20000000</v>
      </c>
      <c r="V9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98" spans="2:33" ht="28.5" customHeight="1">
      <c r="B98" s="40">
        <v>95</v>
      </c>
      <c r="C98" s="300"/>
      <c r="D98" s="297" t="s">
        <v>799</v>
      </c>
      <c r="E98" s="217" t="s">
        <v>1129</v>
      </c>
      <c r="F98" s="35">
        <f>SUMIFS(Table1[مبلغ واریزی],Table1[ردیف],$B98,Table1[سال],F$2)</f>
        <v>40000000</v>
      </c>
      <c r="G98" s="35">
        <f>SUMIFS(Table1[مبلغ واریزی],Table1[ردیف],$B98,Table1[سال],G$2)</f>
        <v>0</v>
      </c>
      <c r="H98" s="35">
        <f>SUMIF('لیست واریزی ماهیانه'!B:B,'لیست واریزی کل خیرین'!$B98,'لیست واریزی ماهیانه'!K:K)</f>
        <v>40000000</v>
      </c>
      <c r="J9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40000000</v>
      </c>
      <c r="V9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9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99" spans="2:33" ht="28.5" customHeight="1">
      <c r="B99" s="40">
        <v>96</v>
      </c>
      <c r="C99" s="300"/>
      <c r="D99" s="298" t="s">
        <v>1137</v>
      </c>
      <c r="E99" s="216" t="s">
        <v>1138</v>
      </c>
      <c r="F99" s="35">
        <f>SUMIFS(Table1[مبلغ واریزی],Table1[ردیف],$B99,Table1[سال],F$2)</f>
        <v>0</v>
      </c>
      <c r="G99" s="35">
        <f>SUMIFS(Table1[مبلغ واریزی],Table1[ردیف],$B99,Table1[سال],G$2)</f>
        <v>10000000</v>
      </c>
      <c r="H99" s="35">
        <f>SUMIF('لیست واریزی ماهیانه'!B:B,'لیست واریزی کل خیرین'!$B99,'لیست واریزی ماهیانه'!K:K)</f>
        <v>10000000</v>
      </c>
      <c r="J9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9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9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9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9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9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9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9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9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9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9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9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9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10000000</v>
      </c>
      <c r="W9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9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9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9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9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9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9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9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9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9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9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00" spans="2:33" ht="28.5" customHeight="1">
      <c r="B100" s="40">
        <v>97</v>
      </c>
      <c r="C100" s="300"/>
      <c r="D100" s="298" t="s">
        <v>1181</v>
      </c>
      <c r="E100" s="216" t="s">
        <v>1182</v>
      </c>
      <c r="F100" s="35">
        <f>SUMIFS(Table1[مبلغ واریزی],Table1[ردیف],$B100,Table1[سال],F$2)</f>
        <v>0</v>
      </c>
      <c r="G100" s="35">
        <f>SUMIFS(Table1[مبلغ واریزی],Table1[ردیف],$B100,Table1[سال],G$2)</f>
        <v>50000000</v>
      </c>
      <c r="H100" s="35">
        <f>SUMIF('لیست واریزی ماهیانه'!B:B,'لیست واریزی کل خیرین'!$B100,'لیست واریزی ماهیانه'!K:K)</f>
        <v>50000000</v>
      </c>
      <c r="J10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50000000</v>
      </c>
      <c r="W10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01" spans="2:33" ht="28.5" customHeight="1">
      <c r="B101" s="40">
        <v>98</v>
      </c>
      <c r="C101" s="300"/>
      <c r="D101" s="298" t="s">
        <v>1207</v>
      </c>
      <c r="E101" s="216" t="s">
        <v>1208</v>
      </c>
      <c r="F101" s="35">
        <f>SUMIFS(Table1[مبلغ واریزی],Table1[ردیف],$B101,Table1[سال],F$2)</f>
        <v>0</v>
      </c>
      <c r="G101" s="35">
        <f>SUMIFS(Table1[مبلغ واریزی],Table1[ردیف],$B101,Table1[سال],G$2)</f>
        <v>10000000</v>
      </c>
      <c r="H101" s="35">
        <f>SUMIF('لیست واریزی ماهیانه'!B:B,'لیست واریزی کل خیرین'!$B101,'لیست واریزی ماهیانه'!K:K)</f>
        <v>10000000</v>
      </c>
      <c r="J10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10000000</v>
      </c>
      <c r="X10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02" spans="2:33" ht="28.5" customHeight="1">
      <c r="B102" s="40">
        <v>99</v>
      </c>
      <c r="C102" s="300"/>
      <c r="D102" s="298" t="s">
        <v>1137</v>
      </c>
      <c r="E102" s="216" t="s">
        <v>1214</v>
      </c>
      <c r="F102" s="35">
        <f>SUMIFS(Table1[مبلغ واریزی],Table1[ردیف],$B102,Table1[سال],F$2)</f>
        <v>0</v>
      </c>
      <c r="G102" s="35">
        <f>SUMIFS(Table1[مبلغ واریزی],Table1[ردیف],$B102,Table1[سال],G$2)</f>
        <v>11000000</v>
      </c>
      <c r="H102" s="35">
        <f>SUMIF('لیست واریزی ماهیانه'!B:B,'لیست واریزی کل خیرین'!$B102,'لیست واریزی ماهیانه'!K:K)</f>
        <v>11000000</v>
      </c>
      <c r="J10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6000000</v>
      </c>
      <c r="X10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10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03" spans="2:33" ht="28.5" customHeight="1">
      <c r="B103" s="40">
        <v>100</v>
      </c>
      <c r="C103" s="300"/>
      <c r="D103" s="298" t="s">
        <v>1218</v>
      </c>
      <c r="E103" s="216" t="s">
        <v>1219</v>
      </c>
      <c r="F103" s="35">
        <f>SUMIFS(Table1[مبلغ واریزی],Table1[ردیف],$B103,Table1[سال],F$2)</f>
        <v>0</v>
      </c>
      <c r="G103" s="35">
        <f>SUMIFS(Table1[مبلغ واریزی],Table1[ردیف],$B103,Table1[سال],G$2)</f>
        <v>50000000</v>
      </c>
      <c r="H103" s="35">
        <f>SUMIF('لیست واریزی ماهیانه'!B:B,'لیست واریزی کل خیرین'!$B103,'لیست واریزی ماهیانه'!K:K)</f>
        <v>50000000</v>
      </c>
      <c r="J10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50000000</v>
      </c>
      <c r="X10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04" spans="2:33" ht="28.5" customHeight="1">
      <c r="B104" s="40">
        <v>101</v>
      </c>
      <c r="C104" s="300"/>
      <c r="D104" s="298" t="s">
        <v>805</v>
      </c>
      <c r="E104" s="216" t="s">
        <v>1316</v>
      </c>
      <c r="F104" s="35">
        <f>SUMIFS(Table1[مبلغ واریزی],Table1[ردیف],$B104,Table1[سال],F$2)</f>
        <v>0</v>
      </c>
      <c r="G104" s="35">
        <f>SUMIFS(Table1[مبلغ واریزی],Table1[ردیف],$B104,Table1[سال],G$2)</f>
        <v>20000000</v>
      </c>
      <c r="H104" s="35">
        <f>SUMIF('لیست واریزی ماهیانه'!B:B,'لیست واریزی کل خیرین'!$B104,'لیست واریزی ماهیانه'!K:K)</f>
        <v>20000000</v>
      </c>
      <c r="J10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20000000</v>
      </c>
      <c r="Z10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05" spans="2:33" ht="28.5" customHeight="1">
      <c r="B105" s="40">
        <v>102</v>
      </c>
      <c r="C105" s="300"/>
      <c r="D105" s="298" t="s">
        <v>597</v>
      </c>
      <c r="E105" s="216" t="s">
        <v>1338</v>
      </c>
      <c r="F105" s="35">
        <f>SUMIFS(Table1[مبلغ واریزی],Table1[ردیف],$B105,Table1[سال],F$2)</f>
        <v>0</v>
      </c>
      <c r="G105" s="35">
        <f>SUMIFS(Table1[مبلغ واریزی],Table1[ردیف],$B105,Table1[سال],G$2)</f>
        <v>6000000</v>
      </c>
      <c r="H105" s="35">
        <f>SUMIF('لیست واریزی ماهیانه'!B:B,'لیست واریزی کل خیرین'!$B105,'لیست واریزی ماهیانه'!K:K)</f>
        <v>6000000</v>
      </c>
      <c r="J10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6000000</v>
      </c>
      <c r="Z10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06" spans="2:33" ht="28.5" customHeight="1">
      <c r="B106" s="40">
        <v>103</v>
      </c>
      <c r="C106" s="300"/>
      <c r="D106" s="298" t="s">
        <v>1344</v>
      </c>
      <c r="E106" s="216" t="s">
        <v>1345</v>
      </c>
      <c r="F106" s="35">
        <f>SUMIFS(Table1[مبلغ واریزی],Table1[ردیف],$B106,Table1[سال],F$2)</f>
        <v>0</v>
      </c>
      <c r="G106" s="35">
        <f>SUMIFS(Table1[مبلغ واریزی],Table1[ردیف],$B106,Table1[سال],G$2)</f>
        <v>16000000</v>
      </c>
      <c r="H106" s="35">
        <f>SUMIF('لیست واریزی ماهیانه'!B:B,'لیست واریزی کل خیرین'!$B106,'لیست واریزی ماهیانه'!K:K)</f>
        <v>16000000</v>
      </c>
      <c r="J10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0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10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5000000</v>
      </c>
      <c r="AC10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6000000</v>
      </c>
      <c r="AE10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07" spans="2:33" ht="28.5" customHeight="1">
      <c r="B107" s="40">
        <v>104</v>
      </c>
      <c r="C107" s="300"/>
      <c r="D107" s="298" t="s">
        <v>1385</v>
      </c>
      <c r="E107" s="216" t="s">
        <v>1386</v>
      </c>
      <c r="F107" s="35">
        <f>SUMIFS(Table1[مبلغ واریزی],Table1[ردیف],$B107,Table1[سال],F$2)</f>
        <v>0</v>
      </c>
      <c r="G107" s="35">
        <f>SUMIFS(Table1[مبلغ واریزی],Table1[ردیف],$B107,Table1[سال],G$2)</f>
        <v>20000000</v>
      </c>
      <c r="H107" s="35">
        <f>SUMIF('لیست واریزی ماهیانه'!B:B,'لیست واریزی کل خیرین'!$B107,'لیست واریزی ماهیانه'!K:K)</f>
        <v>20000000</v>
      </c>
      <c r="J10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20000000</v>
      </c>
      <c r="AA10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08" spans="2:33" ht="28.5" customHeight="1">
      <c r="B108" s="40">
        <v>105</v>
      </c>
      <c r="C108" s="300"/>
      <c r="D108" s="298" t="s">
        <v>1389</v>
      </c>
      <c r="E108" s="216" t="s">
        <v>1390</v>
      </c>
      <c r="F108" s="35">
        <f>SUMIFS(Table1[مبلغ واریزی],Table1[ردیف],$B108,Table1[سال],F$2)</f>
        <v>0</v>
      </c>
      <c r="G108" s="35">
        <f>SUMIFS(Table1[مبلغ واریزی],Table1[ردیف],$B108,Table1[سال],G$2)</f>
        <v>1000000</v>
      </c>
      <c r="H108" s="35">
        <f>SUMIF('لیست واریزی ماهیانه'!B:B,'لیست واریزی کل خیرین'!$B108,'لیست واریزی ماهیانه'!K:K)</f>
        <v>1000000</v>
      </c>
      <c r="J10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</v>
      </c>
      <c r="AA10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09" spans="2:33" ht="28.5" customHeight="1">
      <c r="B109" s="40">
        <v>106</v>
      </c>
      <c r="C109" s="300"/>
      <c r="D109" s="298" t="s">
        <v>1393</v>
      </c>
      <c r="E109" s="216" t="s">
        <v>1394</v>
      </c>
      <c r="F109" s="35">
        <f>SUMIFS(Table1[مبلغ واریزی],Table1[ردیف],$B109,Table1[سال],F$2)</f>
        <v>0</v>
      </c>
      <c r="G109" s="35">
        <f>SUMIFS(Table1[مبلغ واریزی],Table1[ردیف],$B109,Table1[سال],G$2)</f>
        <v>10000000</v>
      </c>
      <c r="H109" s="35">
        <f>SUMIF('لیست واریزی ماهیانه'!B:B,'لیست واریزی کل خیرین'!$B109,'لیست واریزی ماهیانه'!K:K)</f>
        <v>10000000</v>
      </c>
      <c r="J10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0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0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0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0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0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0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0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0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0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0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0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0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0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0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0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0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10000000</v>
      </c>
      <c r="AA10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0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0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0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0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0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0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10" spans="2:33" ht="28.5" customHeight="1">
      <c r="B110" s="40">
        <v>107</v>
      </c>
      <c r="C110" s="300"/>
      <c r="D110" s="298" t="s">
        <v>1408</v>
      </c>
      <c r="E110" s="216" t="s">
        <v>1409</v>
      </c>
      <c r="F110" s="35">
        <f>SUMIFS(Table1[مبلغ واریزی],Table1[ردیف],$B110,Table1[سال],F$2)</f>
        <v>0</v>
      </c>
      <c r="G110" s="35">
        <f>SUMIFS(Table1[مبلغ واریزی],Table1[ردیف],$B110,Table1[سال],G$2)</f>
        <v>41000000</v>
      </c>
      <c r="H110" s="35">
        <f>SUMIF('لیست واریزی ماهیانه'!B:B,'لیست واریزی کل خیرین'!$B110,'لیست واریزی ماهیانه'!K:K)</f>
        <v>41000000</v>
      </c>
      <c r="J11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</v>
      </c>
      <c r="AB11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40000000</v>
      </c>
    </row>
    <row r="111" spans="2:33" ht="28.5" customHeight="1">
      <c r="B111" s="40">
        <v>108</v>
      </c>
      <c r="C111" s="300"/>
      <c r="D111" s="298" t="s">
        <v>1423</v>
      </c>
      <c r="E111" s="216" t="s">
        <v>1424</v>
      </c>
      <c r="F111" s="35">
        <f>SUMIFS(Table1[مبلغ واریزی],Table1[ردیف],$B111,Table1[سال],F$2)</f>
        <v>0</v>
      </c>
      <c r="G111" s="35">
        <f>SUMIFS(Table1[مبلغ واریزی],Table1[ردیف],$B111,Table1[سال],G$2)</f>
        <v>200000000</v>
      </c>
      <c r="H111" s="35">
        <f>SUMIF('لیست واریزی ماهیانه'!B:B,'لیست واریزی کل خیرین'!$B111,'لیست واریزی ماهیانه'!K:K)</f>
        <v>200000000</v>
      </c>
      <c r="J11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200000000</v>
      </c>
      <c r="AB11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12" spans="2:33" ht="28.5" customHeight="1">
      <c r="B112" s="40">
        <v>109</v>
      </c>
      <c r="C112" s="300"/>
      <c r="D112" s="298" t="s">
        <v>1427</v>
      </c>
      <c r="E112" s="216" t="s">
        <v>1426</v>
      </c>
      <c r="F112" s="35">
        <f>SUMIFS(Table1[مبلغ واریزی],Table1[ردیف],$B112,Table1[سال],F$2)</f>
        <v>0</v>
      </c>
      <c r="G112" s="35">
        <f>SUMIFS(Table1[مبلغ واریزی],Table1[ردیف],$B112,Table1[سال],G$2)</f>
        <v>5000000</v>
      </c>
      <c r="H112" s="35">
        <f>SUMIF('لیست واریزی ماهیانه'!B:B,'لیست واریزی کل خیرین'!$B112,'لیست واریزی ماهیانه'!K:K)</f>
        <v>5000000</v>
      </c>
      <c r="J11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11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13" spans="2:33" ht="28.5" customHeight="1">
      <c r="B113" s="40">
        <v>110</v>
      </c>
      <c r="C113" s="300"/>
      <c r="D113" s="298" t="s">
        <v>1431</v>
      </c>
      <c r="E113" s="216" t="s">
        <v>1432</v>
      </c>
      <c r="F113" s="35">
        <f>SUMIFS(Table1[مبلغ واریزی],Table1[ردیف],$B113,Table1[سال],F$2)</f>
        <v>0</v>
      </c>
      <c r="G113" s="35">
        <f>SUMIFS(Table1[مبلغ واریزی],Table1[ردیف],$B113,Table1[سال],G$2)</f>
        <v>1000000</v>
      </c>
      <c r="H113" s="35">
        <f>SUMIF('لیست واریزی ماهیانه'!B:B,'لیست واریزی کل خیرین'!$B113,'لیست واریزی ماهیانه'!K:K)</f>
        <v>1000000</v>
      </c>
      <c r="J11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</v>
      </c>
      <c r="AB11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14" spans="2:33" ht="28.5" customHeight="1">
      <c r="B114" s="40">
        <v>111</v>
      </c>
      <c r="C114" s="300"/>
      <c r="D114" s="298" t="s">
        <v>1438</v>
      </c>
      <c r="E114" s="216" t="s">
        <v>1439</v>
      </c>
      <c r="F114" s="35">
        <f>SUMIFS(Table1[مبلغ واریزی],Table1[ردیف],$B114,Table1[سال],F$2)</f>
        <v>0</v>
      </c>
      <c r="G114" s="35">
        <f>SUMIFS(Table1[مبلغ واریزی],Table1[ردیف],$B114,Table1[سال],G$2)</f>
        <v>10000000</v>
      </c>
      <c r="H114" s="35">
        <f>SUMIF('لیست واریزی ماهیانه'!B:B,'لیست واریزی کل خیرین'!$B114,'لیست واریزی ماهیانه'!K:K)</f>
        <v>10000000</v>
      </c>
      <c r="J11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11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15" spans="2:33" ht="28.5" customHeight="1">
      <c r="B115" s="40">
        <v>112</v>
      </c>
      <c r="C115" s="300"/>
      <c r="D115" s="298" t="s">
        <v>1442</v>
      </c>
      <c r="E115" s="216" t="s">
        <v>1443</v>
      </c>
      <c r="F115" s="35">
        <f>SUMIFS(Table1[مبلغ واریزی],Table1[ردیف],$B115,Table1[سال],F$2)</f>
        <v>0</v>
      </c>
      <c r="G115" s="35">
        <f>SUMIFS(Table1[مبلغ واریزی],Table1[ردیف],$B115,Table1[سال],G$2)</f>
        <v>3000000</v>
      </c>
      <c r="H115" s="35">
        <f>SUMIF('لیست واریزی ماهیانه'!B:B,'لیست واریزی کل خیرین'!$B115,'لیست واریزی ماهیانه'!K:K)</f>
        <v>3000000</v>
      </c>
      <c r="J11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3000000</v>
      </c>
      <c r="AB11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16" spans="2:33" ht="28.5" customHeight="1">
      <c r="B116" s="40">
        <v>113</v>
      </c>
      <c r="C116" s="300"/>
      <c r="D116" s="298" t="s">
        <v>76</v>
      </c>
      <c r="E116" s="216" t="s">
        <v>1445</v>
      </c>
      <c r="F116" s="35">
        <f>SUMIFS(Table1[مبلغ واریزی],Table1[ردیف],$B116,Table1[سال],F$2)</f>
        <v>0</v>
      </c>
      <c r="G116" s="35">
        <f>SUMIFS(Table1[مبلغ واریزی],Table1[ردیف],$B116,Table1[سال],G$2)</f>
        <v>10000000</v>
      </c>
      <c r="H116" s="35">
        <f>SUMIF('لیست واریزی ماهیانه'!B:B,'لیست واریزی کل خیرین'!$B116,'لیست واریزی ماهیانه'!K:K)</f>
        <v>10000000</v>
      </c>
      <c r="J11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11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17" spans="2:33" ht="28.5" customHeight="1">
      <c r="B117" s="40">
        <v>114</v>
      </c>
      <c r="C117" s="300"/>
      <c r="D117" s="299" t="s">
        <v>1447</v>
      </c>
      <c r="E117" s="199" t="s">
        <v>1448</v>
      </c>
      <c r="F117" s="35">
        <f>SUMIFS(Table1[مبلغ واریزی],Table1[ردیف],$B117,Table1[سال],F$2)</f>
        <v>0</v>
      </c>
      <c r="G117" s="35">
        <f>SUMIFS(Table1[مبلغ واریزی],Table1[ردیف],$B117,Table1[سال],G$2)</f>
        <v>5000000</v>
      </c>
      <c r="H117" s="35">
        <f>SUMIF('لیست واریزی ماهیانه'!B:B,'لیست واریزی کل خیرین'!$B117,'لیست واریزی ماهیانه'!K:K)</f>
        <v>5000000</v>
      </c>
      <c r="J11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5000000</v>
      </c>
      <c r="AB11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18" spans="2:33" ht="28.5" customHeight="1">
      <c r="B118" s="40">
        <v>115</v>
      </c>
      <c r="C118" s="300"/>
      <c r="D118" s="298" t="s">
        <v>1450</v>
      </c>
      <c r="E118" s="216" t="s">
        <v>1451</v>
      </c>
      <c r="F118" s="35">
        <f>SUMIFS(Table1[مبلغ واریزی],Table1[ردیف],$B118,Table1[سال],F$2)</f>
        <v>0</v>
      </c>
      <c r="G118" s="35">
        <f>SUMIFS(Table1[مبلغ واریزی],Table1[ردیف],$B118,Table1[سال],G$2)</f>
        <v>500000</v>
      </c>
      <c r="H118" s="35">
        <f>SUMIF('لیست واریزی ماهیانه'!B:B,'لیست واریزی کل خیرین'!$B118,'لیست واریزی ماهیانه'!K:K)</f>
        <v>500000</v>
      </c>
      <c r="J11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</v>
      </c>
      <c r="AB11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19" spans="2:33" ht="28.5" customHeight="1">
      <c r="B119" s="40">
        <v>116</v>
      </c>
      <c r="C119" s="300"/>
      <c r="D119" s="298" t="s">
        <v>799</v>
      </c>
      <c r="E119" s="216" t="s">
        <v>1453</v>
      </c>
      <c r="F119" s="35">
        <f>SUMIFS(Table1[مبلغ واریزی],Table1[ردیف],$B119,Table1[سال],F$2)</f>
        <v>0</v>
      </c>
      <c r="G119" s="35">
        <f>SUMIFS(Table1[مبلغ واریزی],Table1[ردیف],$B119,Table1[سال],G$2)</f>
        <v>10000000</v>
      </c>
      <c r="H119" s="35">
        <f>SUMIF('لیست واریزی ماهیانه'!B:B,'لیست واریزی کل خیرین'!$B119,'لیست واریزی ماهیانه'!K:K)</f>
        <v>10000000</v>
      </c>
      <c r="J11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1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1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1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1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1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1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1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1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1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1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1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1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1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1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1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1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1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10000000</v>
      </c>
      <c r="AB11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1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1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1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1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1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20" spans="2:33" ht="28.5" customHeight="1">
      <c r="B120" s="40">
        <v>117</v>
      </c>
      <c r="C120" s="300"/>
      <c r="D120" s="298" t="s">
        <v>1456</v>
      </c>
      <c r="E120" s="216" t="s">
        <v>1455</v>
      </c>
      <c r="F120" s="35">
        <f>SUMIFS(Table1[مبلغ واریزی],Table1[ردیف],$B120,Table1[سال],F$2)</f>
        <v>0</v>
      </c>
      <c r="G120" s="35">
        <f>SUMIFS(Table1[مبلغ واریزی],Table1[ردیف],$B120,Table1[سال],G$2)</f>
        <v>500000</v>
      </c>
      <c r="H120" s="35">
        <f>SUMIF('لیست واریزی ماهیانه'!B:B,'لیست واریزی کل خیرین'!$B120,'لیست واریزی ماهیانه'!K:K)</f>
        <v>500000</v>
      </c>
      <c r="J12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</v>
      </c>
      <c r="AB12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21" spans="2:33" ht="28.5" customHeight="1">
      <c r="B121" s="40">
        <v>118</v>
      </c>
      <c r="C121" s="300"/>
      <c r="D121" s="298" t="s">
        <v>1458</v>
      </c>
      <c r="E121" s="216" t="s">
        <v>1459</v>
      </c>
      <c r="F121" s="35">
        <f>SUMIFS(Table1[مبلغ واریزی],Table1[ردیف],$B121,Table1[سال],F$2)</f>
        <v>0</v>
      </c>
      <c r="G121" s="35">
        <f>SUMIFS(Table1[مبلغ واریزی],Table1[ردیف],$B121,Table1[سال],G$2)</f>
        <v>500000</v>
      </c>
      <c r="H121" s="35">
        <f>SUMIF('لیست واریزی ماهیانه'!B:B,'لیست واریزی کل خیرین'!$B121,'لیست واریزی ماهیانه'!K:K)</f>
        <v>500000</v>
      </c>
      <c r="J12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</v>
      </c>
      <c r="AB12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22" spans="2:33" ht="28.5" customHeight="1">
      <c r="B122" s="40">
        <v>119</v>
      </c>
      <c r="C122" s="300"/>
      <c r="D122" s="298" t="s">
        <v>1218</v>
      </c>
      <c r="E122" s="216" t="s">
        <v>1462</v>
      </c>
      <c r="F122" s="35">
        <f>SUMIFS(Table1[مبلغ واریزی],Table1[ردیف],$B122,Table1[سال],F$2)</f>
        <v>0</v>
      </c>
      <c r="G122" s="35">
        <f>SUMIFS(Table1[مبلغ واریزی],Table1[ردیف],$B122,Table1[سال],G$2)</f>
        <v>500000</v>
      </c>
      <c r="H122" s="35">
        <f>SUMIF('لیست واریزی ماهیانه'!B:B,'لیست واریزی کل خیرین'!$B122,'لیست واریزی ماهیانه'!K:K)</f>
        <v>500000</v>
      </c>
      <c r="J12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500000</v>
      </c>
      <c r="AB12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23" spans="2:33" ht="28.5" customHeight="1">
      <c r="B123" s="40">
        <v>120</v>
      </c>
      <c r="C123" s="300"/>
      <c r="D123" s="298" t="s">
        <v>1470</v>
      </c>
      <c r="E123" s="216" t="s">
        <v>1471</v>
      </c>
      <c r="F123" s="35">
        <f>SUMIFS(Table1[مبلغ واریزی],Table1[ردیف],$B123,Table1[سال],F$2)</f>
        <v>0</v>
      </c>
      <c r="G123" s="35">
        <f>SUMIFS(Table1[مبلغ واریزی],Table1[ردیف],$B123,Table1[سال],G$2)</f>
        <v>2000000</v>
      </c>
      <c r="H123" s="35">
        <f>SUMIF('لیست واریزی ماهیانه'!B:B,'لیست واریزی کل خیرین'!$B123,'لیست واریزی ماهیانه'!K:K)</f>
        <v>2000000</v>
      </c>
      <c r="J12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</v>
      </c>
      <c r="AC12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24" spans="2:33" ht="28.5" customHeight="1">
      <c r="B124" s="40">
        <v>121</v>
      </c>
      <c r="C124" s="300"/>
      <c r="D124" s="299" t="s">
        <v>1474</v>
      </c>
      <c r="E124" s="199" t="s">
        <v>1475</v>
      </c>
      <c r="F124" s="35">
        <f>SUMIFS(Table1[مبلغ واریزی],Table1[ردیف],$B124,Table1[سال],F$2)</f>
        <v>0</v>
      </c>
      <c r="G124" s="35">
        <f>SUMIFS(Table1[مبلغ واریزی],Table1[ردیف],$B124,Table1[سال],G$2)</f>
        <v>6000000</v>
      </c>
      <c r="H124" s="35">
        <f>SUMIF('لیست واریزی ماهیانه'!B:B,'لیست واریزی کل خیرین'!$B124,'لیست واریزی ماهیانه'!K:K)</f>
        <v>6000000</v>
      </c>
      <c r="J12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2000000</v>
      </c>
      <c r="AC12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2000000</v>
      </c>
      <c r="AD12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1000000</v>
      </c>
      <c r="AE12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1000000</v>
      </c>
      <c r="AF12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25" spans="2:33" ht="28.5" customHeight="1">
      <c r="B125" s="40">
        <v>122</v>
      </c>
      <c r="C125" s="300"/>
      <c r="D125" s="216" t="s">
        <v>540</v>
      </c>
      <c r="E125" s="216" t="s">
        <v>1554</v>
      </c>
      <c r="F125" s="35">
        <f>SUMIFS(Table1[مبلغ واریزی],Table1[ردیف],$B125,Table1[سال],F$2)</f>
        <v>0</v>
      </c>
      <c r="G125" s="35">
        <f>SUMIFS(Table1[مبلغ واریزی],Table1[ردیف],$B125,Table1[سال],G$2)</f>
        <v>92500000</v>
      </c>
      <c r="H125" s="35">
        <f>SUMIF('لیست واریزی ماهیانه'!B:B,'لیست واریزی کل خیرین'!$B125,'لیست واریزی ماهیانه'!K:K)</f>
        <v>92500000</v>
      </c>
      <c r="J12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92500000</v>
      </c>
      <c r="AB12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26" spans="2:33" ht="28.5" customHeight="1">
      <c r="B126" s="40">
        <v>123</v>
      </c>
      <c r="C126" s="300"/>
      <c r="D126" s="216" t="s">
        <v>1581</v>
      </c>
      <c r="E126" s="216" t="s">
        <v>1582</v>
      </c>
      <c r="F126" s="35">
        <f>SUMIFS(Table1[مبلغ واریزی],Table1[ردیف],$B126,Table1[سال],F$2)</f>
        <v>0</v>
      </c>
      <c r="G126" s="35">
        <f>SUMIFS(Table1[مبلغ واریزی],Table1[ردیف],$B126,Table1[سال],G$2)</f>
        <v>80000000</v>
      </c>
      <c r="H126" s="35">
        <f>SUMIF('لیست واریزی ماهیانه'!B:B,'لیست واریزی کل خیرین'!$B126,'لیست واریزی ماهیانه'!K:K)</f>
        <v>80000000</v>
      </c>
      <c r="J12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20000000</v>
      </c>
      <c r="AD12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20000000</v>
      </c>
      <c r="AF12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20000000</v>
      </c>
      <c r="AG12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20000000</v>
      </c>
    </row>
    <row r="127" spans="2:33" ht="28.5" customHeight="1">
      <c r="B127" s="40">
        <v>124</v>
      </c>
      <c r="C127" s="300"/>
      <c r="D127" s="216" t="s">
        <v>1587</v>
      </c>
      <c r="E127" s="216" t="s">
        <v>1588</v>
      </c>
      <c r="F127" s="35">
        <f>SUMIFS(Table1[مبلغ واریزی],Table1[ردیف],$B127,Table1[سال],F$2)</f>
        <v>0</v>
      </c>
      <c r="G127" s="35">
        <f>SUMIFS(Table1[مبلغ واریزی],Table1[ردیف],$B127,Table1[سال],G$2)</f>
        <v>150000000</v>
      </c>
      <c r="H127" s="35">
        <f>SUMIF('لیست واریزی ماهیانه'!B:B,'لیست واریزی کل خیرین'!$B127,'لیست واریزی ماهیانه'!K:K)</f>
        <v>150000000</v>
      </c>
      <c r="J12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50000000</v>
      </c>
      <c r="AE12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100000000</v>
      </c>
    </row>
    <row r="128" spans="2:33" ht="28.5" customHeight="1">
      <c r="B128" s="40">
        <v>125</v>
      </c>
      <c r="C128" s="300"/>
      <c r="D128" s="216" t="s">
        <v>1639</v>
      </c>
      <c r="E128" s="216" t="s">
        <v>1640</v>
      </c>
      <c r="F128" s="35">
        <f>SUMIFS(Table1[مبلغ واریزی],Table1[ردیف],$B128,Table1[سال],F$2)</f>
        <v>0</v>
      </c>
      <c r="G128" s="35">
        <f>SUMIFS(Table1[مبلغ واریزی],Table1[ردیف],$B128,Table1[سال],G$2)</f>
        <v>5000000</v>
      </c>
      <c r="H128" s="35">
        <f>SUMIF('لیست واریزی ماهیانه'!B:B,'لیست واریزی کل خیرین'!$B128,'لیست واریزی ماهیانه'!K:K)</f>
        <v>5000000</v>
      </c>
      <c r="J12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5000000</v>
      </c>
      <c r="AF12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2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29" spans="2:33" ht="28.5" customHeight="1">
      <c r="B129" s="40">
        <v>126</v>
      </c>
      <c r="C129" s="300"/>
      <c r="D129" s="216" t="s">
        <v>1694</v>
      </c>
      <c r="E129" s="216" t="s">
        <v>1695</v>
      </c>
      <c r="F129" s="35">
        <f>SUMIFS(Table1[مبلغ واریزی],Table1[ردیف],$B129,Table1[سال],F$2)</f>
        <v>0</v>
      </c>
      <c r="G129" s="35">
        <f>SUMIFS(Table1[مبلغ واریزی],Table1[ردیف],$B129,Table1[سال],G$2)</f>
        <v>200000000</v>
      </c>
      <c r="H129" s="35">
        <f>SUMIF('لیست واریزی ماهیانه'!B:B,'لیست واریزی کل خیرین'!$B129,'لیست واریزی ماهیانه'!K:K)</f>
        <v>200000000</v>
      </c>
      <c r="J129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29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29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29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29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29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29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29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29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29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29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29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29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29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29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29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29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29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29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29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29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29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29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200000000</v>
      </c>
      <c r="AG129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30" spans="2:33" ht="28.5" customHeight="1">
      <c r="B130" s="40">
        <v>127</v>
      </c>
      <c r="C130" s="300"/>
      <c r="D130" s="216" t="s">
        <v>1702</v>
      </c>
      <c r="E130" s="216" t="s">
        <v>1703</v>
      </c>
      <c r="F130" s="35">
        <f>SUMIFS(Table1[مبلغ واریزی],Table1[ردیف],$B130,Table1[سال],F$2)</f>
        <v>0</v>
      </c>
      <c r="G130" s="35">
        <f>SUMIFS(Table1[مبلغ واریزی],Table1[ردیف],$B130,Table1[سال],G$2)</f>
        <v>100000000</v>
      </c>
      <c r="H130" s="35">
        <f>SUMIF('لیست واریزی ماهیانه'!B:B,'لیست واریزی کل خیرین'!$B130,'لیست واریزی ماهیانه'!K:K)</f>
        <v>100000000</v>
      </c>
      <c r="J13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3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3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100000000</v>
      </c>
    </row>
    <row r="131" spans="2:33" ht="28.5" customHeight="1">
      <c r="B131" s="40">
        <v>128</v>
      </c>
      <c r="C131" s="300"/>
      <c r="D131" s="216" t="s">
        <v>1316</v>
      </c>
      <c r="E131" s="216" t="s">
        <v>1715</v>
      </c>
      <c r="F131" s="35">
        <f>SUMIFS(Table1[مبلغ واریزی],Table1[ردیف],$B131,Table1[سال],F$2)</f>
        <v>0</v>
      </c>
      <c r="G131" s="35">
        <f>SUMIFS(Table1[مبلغ واریزی],Table1[ردیف],$B131,Table1[سال],G$2)</f>
        <v>240000000</v>
      </c>
      <c r="H131" s="35">
        <f>SUMIF('لیست واریزی ماهیانه'!B:B,'لیست واریزی کل خیرین'!$B131,'لیست واریزی ماهیانه'!K:K)</f>
        <v>240000000</v>
      </c>
      <c r="J131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31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31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1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1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1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1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1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1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1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1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1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1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1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1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1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1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1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1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1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1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1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1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1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240000000</v>
      </c>
    </row>
    <row r="132" spans="2:33" ht="28.5" customHeight="1">
      <c r="B132" s="40">
        <v>129</v>
      </c>
      <c r="C132" s="300"/>
      <c r="D132" s="216"/>
      <c r="E132" s="216"/>
      <c r="F132" s="35">
        <f>SUMIFS(Table1[مبلغ واریزی],Table1[ردیف],$B132,Table1[سال],F$2)</f>
        <v>0</v>
      </c>
      <c r="G132" s="35">
        <f>SUMIFS(Table1[مبلغ واریزی],Table1[ردیف],$B132,Table1[سال],G$2)</f>
        <v>0</v>
      </c>
      <c r="H132" s="35">
        <f>SUMIF('لیست واریزی ماهیانه'!B:B,'لیست واریزی کل خیرین'!$B132,'لیست واریزی ماهیانه'!K:K)</f>
        <v>0</v>
      </c>
      <c r="J132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32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32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2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2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2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2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2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2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2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2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2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2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2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2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2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2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2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2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2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2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2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2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2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33" spans="2:33" ht="28.5" customHeight="1">
      <c r="B133" s="40">
        <v>130</v>
      </c>
      <c r="C133" s="300"/>
      <c r="D133" s="216"/>
      <c r="E133" s="216"/>
      <c r="F133" s="35">
        <f>SUMIFS(Table1[مبلغ واریزی],Table1[ردیف],$B133,Table1[سال],F$2)</f>
        <v>0</v>
      </c>
      <c r="G133" s="35">
        <f>SUMIFS(Table1[مبلغ واریزی],Table1[ردیف],$B133,Table1[سال],G$2)</f>
        <v>0</v>
      </c>
      <c r="H133" s="35">
        <f>SUMIF('لیست واریزی ماهیانه'!B:B,'لیست واریزی کل خیرین'!$B133,'لیست واریزی ماهیانه'!K:K)</f>
        <v>0</v>
      </c>
      <c r="J133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33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33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3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3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3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3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3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3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3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3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3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3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3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3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3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3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3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3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3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3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3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3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3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34" spans="2:33" ht="28.5" customHeight="1">
      <c r="B134" s="40">
        <v>131</v>
      </c>
      <c r="C134" s="300"/>
      <c r="D134" s="216"/>
      <c r="E134" s="216"/>
      <c r="F134" s="35">
        <f>SUMIFS(Table1[مبلغ واریزی],Table1[ردیف],$B134,Table1[سال],F$2)</f>
        <v>0</v>
      </c>
      <c r="G134" s="35">
        <f>SUMIFS(Table1[مبلغ واریزی],Table1[ردیف],$B134,Table1[سال],G$2)</f>
        <v>0</v>
      </c>
      <c r="H134" s="35">
        <f>SUMIF('لیست واریزی ماهیانه'!B:B,'لیست واریزی کل خیرین'!$B134,'لیست واریزی ماهیانه'!K:K)</f>
        <v>0</v>
      </c>
      <c r="J134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34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34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4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4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4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4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4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4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4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4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4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4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4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4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4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4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4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4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4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4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4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4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4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35" spans="2:33" ht="28.5" customHeight="1">
      <c r="B135" s="40">
        <v>132</v>
      </c>
      <c r="C135" s="300"/>
      <c r="D135" s="216"/>
      <c r="E135" s="216"/>
      <c r="F135" s="35">
        <f>SUMIFS(Table1[مبلغ واریزی],Table1[ردیف],$B135,Table1[سال],F$2)</f>
        <v>0</v>
      </c>
      <c r="G135" s="35">
        <f>SUMIFS(Table1[مبلغ واریزی],Table1[ردیف],$B135,Table1[سال],G$2)</f>
        <v>0</v>
      </c>
      <c r="H135" s="35">
        <f>SUMIF('لیست واریزی ماهیانه'!B:B,'لیست واریزی کل خیرین'!$B135,'لیست واریزی ماهیانه'!K:K)</f>
        <v>0</v>
      </c>
      <c r="J135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35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35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5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5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5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5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5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5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5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5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5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5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5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5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5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5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5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5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5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5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5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5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5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36" spans="2:33" ht="28.5" customHeight="1">
      <c r="B136" s="40">
        <v>133</v>
      </c>
      <c r="C136" s="300"/>
      <c r="D136" s="216"/>
      <c r="E136" s="216"/>
      <c r="F136" s="35">
        <f>SUMIFS(Table1[مبلغ واریزی],Table1[ردیف],$B136,Table1[سال],F$2)</f>
        <v>0</v>
      </c>
      <c r="G136" s="35">
        <f>SUMIFS(Table1[مبلغ واریزی],Table1[ردیف],$B136,Table1[سال],G$2)</f>
        <v>0</v>
      </c>
      <c r="H136" s="35">
        <f>SUMIF('لیست واریزی ماهیانه'!B:B,'لیست واریزی کل خیرین'!$B136,'لیست واریزی ماهیانه'!K:K)</f>
        <v>0</v>
      </c>
      <c r="J136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36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36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6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6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6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6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6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6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6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6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6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6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6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6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6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6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6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6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6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6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6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6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6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37" spans="2:33" ht="28.5" customHeight="1">
      <c r="B137" s="40">
        <v>134</v>
      </c>
      <c r="C137" s="300"/>
      <c r="D137" s="216"/>
      <c r="E137" s="216"/>
      <c r="F137" s="35">
        <f>SUMIFS(Table1[مبلغ واریزی],Table1[ردیف],$B137,Table1[سال],F$2)</f>
        <v>0</v>
      </c>
      <c r="G137" s="35">
        <f>SUMIFS(Table1[مبلغ واریزی],Table1[ردیف],$B137,Table1[سال],G$2)</f>
        <v>0</v>
      </c>
      <c r="H137" s="35">
        <f>SUMIF('لیست واریزی ماهیانه'!B:B,'لیست واریزی کل خیرین'!$B137,'لیست واریزی ماهیانه'!K:K)</f>
        <v>0</v>
      </c>
      <c r="J137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37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37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7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7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7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7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7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7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7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7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7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7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7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7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7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7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7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7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7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7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7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7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7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38" spans="2:33" ht="28.5" customHeight="1">
      <c r="B138" s="40">
        <v>135</v>
      </c>
      <c r="C138" s="300"/>
      <c r="D138" s="216"/>
      <c r="E138" s="216"/>
      <c r="F138" s="35">
        <f>SUMIFS(Table1[مبلغ واریزی],Table1[ردیف],$B138,Table1[سال],F$2)</f>
        <v>0</v>
      </c>
      <c r="G138" s="35">
        <f>SUMIFS(Table1[مبلغ واریزی],Table1[ردیف],$B138,Table1[سال],G$2)</f>
        <v>0</v>
      </c>
      <c r="H138" s="35">
        <f>SUMIF('لیست واریزی ماهیانه'!B:B,'لیست واریزی کل خیرین'!$B138,'لیست واریزی ماهیانه'!K:K)</f>
        <v>0</v>
      </c>
      <c r="J138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38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38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38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38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38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38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38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38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38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38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38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38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38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38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38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38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38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38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38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38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38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38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38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39" spans="2:33" ht="28.5" customHeight="1">
      <c r="B139" s="40">
        <v>136</v>
      </c>
      <c r="C139" s="300"/>
      <c r="D139" s="216"/>
      <c r="E139" s="216"/>
      <c r="F139" s="35">
        <f>SUMIFS(Table1[مبلغ واریزی],Table1[ردیف],$B139,Table1[سال],F$2)</f>
        <v>0</v>
      </c>
      <c r="G139" s="35">
        <f>SUMIFS(Table1[مبلغ واریزی],Table1[ردیف],$B139,Table1[سال],G$2)</f>
        <v>0</v>
      </c>
      <c r="H139" s="35">
        <f>SUMIF('لیست واریزی ماهیانه'!B:B,'لیست واریزی کل خیرین'!$B139,'لیست واریزی ماهیانه'!K:K)</f>
        <v>0</v>
      </c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</row>
    <row r="140" spans="2:33" ht="28.5" customHeight="1">
      <c r="B140" s="40">
        <v>137</v>
      </c>
      <c r="C140" s="300"/>
      <c r="D140" s="216"/>
      <c r="E140" s="216"/>
      <c r="F140" s="35">
        <f>SUMIFS(Table1[مبلغ واریزی],Table1[ردیف],$B140,Table1[سال],F$2)</f>
        <v>0</v>
      </c>
      <c r="G140" s="35">
        <f>SUMIFS(Table1[مبلغ واریزی],Table1[ردیف],$B140,Table1[سال],G$2)</f>
        <v>0</v>
      </c>
      <c r="H140" s="35">
        <f>SUMIF('لیست واریزی ماهیانه'!B:B,'لیست واریزی کل خیرین'!$B140,'لیست واریزی ماهیانه'!K:K)</f>
        <v>0</v>
      </c>
      <c r="J140" s="42">
        <f>SUMIFS('لیست واریزی ماهیانه'!$K:$K,'لیست واریزی ماهیانه'!$G:$G,'لیست واریزی کل خیرین'!J$3,'لیست واریزی ماهیانه'!$B:$B,'لیست واریزی کل خیرین'!$B:$B,'لیست واریزی ماهیانه'!$I:$I,J$2)</f>
        <v>0</v>
      </c>
      <c r="K140" s="42">
        <f>SUMIFS('لیست واریزی ماهیانه'!$K:$K,'لیست واریزی ماهیانه'!$G:$G,'لیست واریزی کل خیرین'!K$3,'لیست واریزی ماهیانه'!$B:$B,'لیست واریزی کل خیرین'!$B:$B,'لیست واریزی ماهیانه'!$I:$I,K$2)</f>
        <v>0</v>
      </c>
      <c r="L140" s="42">
        <f>SUMIFS('لیست واریزی ماهیانه'!$K:$K,'لیست واریزی ماهیانه'!$G:$G,'لیست واریزی کل خیرین'!L$3,'لیست واریزی ماهیانه'!$B:$B,'لیست واریزی کل خیرین'!$B:$B,'لیست واریزی ماهیانه'!$I:$I,L$2)</f>
        <v>0</v>
      </c>
      <c r="M140" s="42">
        <f>SUMIFS('لیست واریزی ماهیانه'!$K:$K,'لیست واریزی ماهیانه'!$G:$G,'لیست واریزی کل خیرین'!M$3,'لیست واریزی ماهیانه'!$B:$B,'لیست واریزی کل خیرین'!$B:$B,'لیست واریزی ماهیانه'!$I:$I,M$2)</f>
        <v>0</v>
      </c>
      <c r="N140" s="42">
        <f>SUMIFS('لیست واریزی ماهیانه'!$K:$K,'لیست واریزی ماهیانه'!$G:$G,'لیست واریزی کل خیرین'!N$3,'لیست واریزی ماهیانه'!$B:$B,'لیست واریزی کل خیرین'!$B:$B,'لیست واریزی ماهیانه'!$I:$I,N$2)</f>
        <v>0</v>
      </c>
      <c r="O140" s="42">
        <f>SUMIFS('لیست واریزی ماهیانه'!$K:$K,'لیست واریزی ماهیانه'!$G:$G,'لیست واریزی کل خیرین'!O$3,'لیست واریزی ماهیانه'!$B:$B,'لیست واریزی کل خیرین'!$B:$B,'لیست واریزی ماهیانه'!$I:$I,O$2)</f>
        <v>0</v>
      </c>
      <c r="P140" s="42">
        <f>SUMIFS('لیست واریزی ماهیانه'!$K:$K,'لیست واریزی ماهیانه'!$G:$G,'لیست واریزی کل خیرین'!P$3,'لیست واریزی ماهیانه'!$B:$B,'لیست واریزی کل خیرین'!$B:$B,'لیست واریزی ماهیانه'!$I:$I,P$2)</f>
        <v>0</v>
      </c>
      <c r="Q140" s="42">
        <f>SUMIFS('لیست واریزی ماهیانه'!$K:$K,'لیست واریزی ماهیانه'!$G:$G,'لیست واریزی کل خیرین'!Q$3,'لیست واریزی ماهیانه'!$B:$B,'لیست واریزی کل خیرین'!$B:$B,'لیست واریزی ماهیانه'!$I:$I,Q$2)</f>
        <v>0</v>
      </c>
      <c r="R140" s="42">
        <f>SUMIFS('لیست واریزی ماهیانه'!$K:$K,'لیست واریزی ماهیانه'!$G:$G,'لیست واریزی کل خیرین'!R$3,'لیست واریزی ماهیانه'!$B:$B,'لیست واریزی کل خیرین'!$B:$B,'لیست واریزی ماهیانه'!$I:$I,R$2)</f>
        <v>0</v>
      </c>
      <c r="S140" s="42">
        <f>SUMIFS('لیست واریزی ماهیانه'!$K:$K,'لیست واریزی ماهیانه'!$G:$G,'لیست واریزی کل خیرین'!S$3,'لیست واریزی ماهیانه'!$B:$B,'لیست واریزی کل خیرین'!$B:$B,'لیست واریزی ماهیانه'!$I:$I,S$2)</f>
        <v>0</v>
      </c>
      <c r="T140" s="42">
        <f>SUMIFS('لیست واریزی ماهیانه'!$K:$K,'لیست واریزی ماهیانه'!$G:$G,'لیست واریزی کل خیرین'!T$3,'لیست واریزی ماهیانه'!$B:$B,'لیست واریزی کل خیرین'!$B:$B,'لیست واریزی ماهیانه'!$I:$I,T$2)</f>
        <v>0</v>
      </c>
      <c r="U140" s="42">
        <f>SUMIFS('لیست واریزی ماهیانه'!$K:$K,'لیست واریزی ماهیانه'!$G:$G,'لیست واریزی کل خیرین'!U$3,'لیست واریزی ماهیانه'!$B:$B,'لیست واریزی کل خیرین'!$B:$B,'لیست واریزی ماهیانه'!$I:$I,U$2)</f>
        <v>0</v>
      </c>
      <c r="V140" s="42">
        <f>SUMIFS('لیست واریزی ماهیانه'!$K:$K,'لیست واریزی ماهیانه'!$G:$G,'لیست واریزی کل خیرین'!V$3,'لیست واریزی ماهیانه'!$B:$B,'لیست واریزی کل خیرین'!$B:$B,'لیست واریزی ماهیانه'!$I:$I,V$2)</f>
        <v>0</v>
      </c>
      <c r="W140" s="42">
        <f>SUMIFS('لیست واریزی ماهیانه'!$K:$K,'لیست واریزی ماهیانه'!$G:$G,'لیست واریزی کل خیرین'!W$3,'لیست واریزی ماهیانه'!$B:$B,'لیست واریزی کل خیرین'!$B:$B,'لیست واریزی ماهیانه'!$I:$I,W$2)</f>
        <v>0</v>
      </c>
      <c r="X140" s="42">
        <f>SUMIFS('لیست واریزی ماهیانه'!$K:$K,'لیست واریزی ماهیانه'!$G:$G,'لیست واریزی کل خیرین'!X$3,'لیست واریزی ماهیانه'!$B:$B,'لیست واریزی کل خیرین'!$B:$B,'لیست واریزی ماهیانه'!$I:$I,X$2)</f>
        <v>0</v>
      </c>
      <c r="Y140" s="42">
        <f>SUMIFS('لیست واریزی ماهیانه'!$K:$K,'لیست واریزی ماهیانه'!$G:$G,'لیست واریزی کل خیرین'!Y$3,'لیست واریزی ماهیانه'!$B:$B,'لیست واریزی کل خیرین'!$B:$B,'لیست واریزی ماهیانه'!$I:$I,Y$2)</f>
        <v>0</v>
      </c>
      <c r="Z140" s="42">
        <f>SUMIFS('لیست واریزی ماهیانه'!$K:$K,'لیست واریزی ماهیانه'!$G:$G,'لیست واریزی کل خیرین'!Z$3,'لیست واریزی ماهیانه'!$B:$B,'لیست واریزی کل خیرین'!$B:$B,'لیست واریزی ماهیانه'!$I:$I,Z$2)</f>
        <v>0</v>
      </c>
      <c r="AA140" s="42">
        <f>SUMIFS('لیست واریزی ماهیانه'!$K:$K,'لیست واریزی ماهیانه'!$G:$G,'لیست واریزی کل خیرین'!AA$3,'لیست واریزی ماهیانه'!$B:$B,'لیست واریزی کل خیرین'!$B:$B,'لیست واریزی ماهیانه'!$I:$I,AA$2)</f>
        <v>0</v>
      </c>
      <c r="AB140" s="42">
        <f>SUMIFS('لیست واریزی ماهیانه'!$K:$K,'لیست واریزی ماهیانه'!$G:$G,'لیست واریزی کل خیرین'!AB$3,'لیست واریزی ماهیانه'!$B:$B,'لیست واریزی کل خیرین'!$B:$B,'لیست واریزی ماهیانه'!$I:$I,AB$2)</f>
        <v>0</v>
      </c>
      <c r="AC140" s="42">
        <f>SUMIFS('لیست واریزی ماهیانه'!$K:$K,'لیست واریزی ماهیانه'!$G:$G,'لیست واریزی کل خیرین'!AC$3,'لیست واریزی ماهیانه'!$B:$B,'لیست واریزی کل خیرین'!$B:$B,'لیست واریزی ماهیانه'!$I:$I,AC$2)</f>
        <v>0</v>
      </c>
      <c r="AD140" s="42">
        <f>SUMIFS('لیست واریزی ماهیانه'!$K:$K,'لیست واریزی ماهیانه'!$G:$G,'لیست واریزی کل خیرین'!AD$3,'لیست واریزی ماهیانه'!$B:$B,'لیست واریزی کل خیرین'!$B:$B,'لیست واریزی ماهیانه'!$I:$I,AD$2)</f>
        <v>0</v>
      </c>
      <c r="AE140" s="42">
        <f>SUMIFS('لیست واریزی ماهیانه'!$K:$K,'لیست واریزی ماهیانه'!$G:$G,'لیست واریزی کل خیرین'!AE$3,'لیست واریزی ماهیانه'!$B:$B,'لیست واریزی کل خیرین'!$B:$B,'لیست واریزی ماهیانه'!$I:$I,AE$2)</f>
        <v>0</v>
      </c>
      <c r="AF140" s="42">
        <f>SUMIFS('لیست واریزی ماهیانه'!$K:$K,'لیست واریزی ماهیانه'!$G:$G,'لیست واریزی کل خیرین'!AF$3,'لیست واریزی ماهیانه'!$B:$B,'لیست واریزی کل خیرین'!$B:$B,'لیست واریزی ماهیانه'!$I:$I,AF$2)</f>
        <v>0</v>
      </c>
      <c r="AG140" s="42">
        <f>SUMIFS('لیست واریزی ماهیانه'!$K:$K,'لیست واریزی ماهیانه'!$G:$G,'لیست واریزی کل خیرین'!AG$3,'لیست واریزی ماهیانه'!$B:$B,'لیست واریزی کل خیرین'!$B:$B,'لیست واریزی ماهیانه'!$I:$I,AG$2)</f>
        <v>0</v>
      </c>
    </row>
    <row r="141" spans="2:33" s="236" customFormat="1" ht="12.75" hidden="1" customHeight="1">
      <c r="B141" s="235"/>
      <c r="C141" s="235"/>
      <c r="D141" s="232"/>
      <c r="E141" s="232"/>
      <c r="F141" s="233"/>
      <c r="G141" s="233"/>
      <c r="H141" s="234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8"/>
      <c r="W141" s="238"/>
      <c r="X141" s="238"/>
      <c r="Y141" s="238"/>
      <c r="Z141" s="238"/>
      <c r="AA141" s="238"/>
      <c r="AB141" s="238"/>
      <c r="AC141" s="238"/>
      <c r="AD141" s="238"/>
      <c r="AE141" s="238"/>
      <c r="AF141" s="238"/>
      <c r="AG141" s="238"/>
    </row>
    <row r="142" spans="2:33" ht="25.5" customHeight="1">
      <c r="B142" s="306" t="s">
        <v>589</v>
      </c>
      <c r="C142" s="307"/>
      <c r="D142" s="308"/>
      <c r="E142" s="309"/>
      <c r="G142" s="223"/>
      <c r="H142" s="218">
        <f>SUM(H4:H141)</f>
        <v>15633274053</v>
      </c>
      <c r="J142" s="43">
        <f t="shared" ref="J142:AF142" si="0">SUM(J4:J141)</f>
        <v>0</v>
      </c>
      <c r="K142" s="43">
        <f t="shared" si="0"/>
        <v>0</v>
      </c>
      <c r="L142" s="43">
        <f t="shared" si="0"/>
        <v>354504570</v>
      </c>
      <c r="M142" s="43">
        <f t="shared" si="0"/>
        <v>401561172</v>
      </c>
      <c r="N142" s="43">
        <f t="shared" si="0"/>
        <v>751533530</v>
      </c>
      <c r="O142" s="43">
        <f t="shared" si="0"/>
        <v>562196559</v>
      </c>
      <c r="P142" s="43">
        <f t="shared" si="0"/>
        <v>681837641</v>
      </c>
      <c r="Q142" s="43">
        <f t="shared" si="0"/>
        <v>604889172</v>
      </c>
      <c r="R142" s="43">
        <f t="shared" si="0"/>
        <v>1283991827</v>
      </c>
      <c r="S142" s="43">
        <f t="shared" si="0"/>
        <v>876065060</v>
      </c>
      <c r="T142" s="43">
        <f t="shared" si="0"/>
        <v>817465781</v>
      </c>
      <c r="U142" s="43">
        <f t="shared" si="0"/>
        <v>1313131471</v>
      </c>
      <c r="V142" s="43">
        <f t="shared" si="0"/>
        <v>500382371</v>
      </c>
      <c r="W142" s="43">
        <f t="shared" si="0"/>
        <v>648431951</v>
      </c>
      <c r="X142" s="43">
        <f t="shared" si="0"/>
        <v>511789788</v>
      </c>
      <c r="Y142" s="43">
        <f t="shared" si="0"/>
        <v>551754777</v>
      </c>
      <c r="Z142" s="43">
        <f t="shared" si="0"/>
        <v>634248279</v>
      </c>
      <c r="AA142" s="43">
        <f t="shared" si="0"/>
        <v>796750481</v>
      </c>
      <c r="AB142" s="43">
        <f t="shared" si="0"/>
        <v>441812626</v>
      </c>
      <c r="AC142" s="43">
        <f t="shared" si="0"/>
        <v>1208367354</v>
      </c>
      <c r="AD142" s="43">
        <f t="shared" si="0"/>
        <v>512955018</v>
      </c>
      <c r="AE142" s="43">
        <f t="shared" si="0"/>
        <v>582676028</v>
      </c>
      <c r="AF142" s="43">
        <f t="shared" si="0"/>
        <v>741357770</v>
      </c>
      <c r="AG142" s="43">
        <f>SUM(AG4:AG141)</f>
        <v>795570827</v>
      </c>
    </row>
    <row r="143" spans="2:33" ht="28.5" customHeight="1">
      <c r="B143" s="310" t="s">
        <v>590</v>
      </c>
      <c r="C143" s="311"/>
      <c r="D143" s="312"/>
      <c r="E143" s="313"/>
      <c r="G143" s="224"/>
      <c r="H143" s="37">
        <f>'لیست واریزی ماهیانه'!K792</f>
        <v>15963274053</v>
      </c>
    </row>
    <row r="144" spans="2:33" ht="15.75" customHeight="1">
      <c r="G144" s="39"/>
      <c r="H144" s="239">
        <f>H143-H142</f>
        <v>330000000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</sheetData>
  <mergeCells count="2">
    <mergeCell ref="B142:E142"/>
    <mergeCell ref="B143:E14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جدول کلی مددجوها</vt:lpstr>
      <vt:lpstr> اطلاعات ورودد مددجو</vt:lpstr>
      <vt:lpstr>ریزهزینه کرد مددجوها</vt:lpstr>
      <vt:lpstr>خلاصه هزینه کرد مددجوها</vt:lpstr>
      <vt:lpstr>لیست واریزی ماهیانه</vt:lpstr>
      <vt:lpstr>لیست واریزی کل خیرین</vt:lpstr>
      <vt:lpstr>aaaa</vt:lpstr>
      <vt:lpstr>aaaq</vt:lpstr>
      <vt:lpstr>etela</vt:lpstr>
      <vt:lpstr>kamel</vt:lpstr>
      <vt:lpstr>kha</vt:lpstr>
      <vt:lpstr>' اطلاعات ورودد مددجو'!kj</vt:lpstr>
      <vt:lpstr>koli</vt:lpstr>
      <vt:lpstr>list</vt:lpstr>
      <vt:lpstr>mah</vt:lpstr>
      <vt:lpstr>'خلاصه هزینه کرد مددجوها'!nam</vt:lpstr>
      <vt:lpstr>'ریزهزینه کرد مددجوها'!ta</vt:lpstr>
      <vt:lpstr>'جدول کلی مددجوها'!varizi</vt:lpstr>
      <vt:lpstr>varizi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vahidi-pc</dc:creator>
  <cp:lastModifiedBy>Farid Borhan Elmi</cp:lastModifiedBy>
  <dcterms:created xsi:type="dcterms:W3CDTF">2022-11-08T07:05:04Z</dcterms:created>
  <dcterms:modified xsi:type="dcterms:W3CDTF">2026-03-31T23:30:18Z</dcterms:modified>
</cp:coreProperties>
</file>