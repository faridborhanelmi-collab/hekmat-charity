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faridborhanelmi/Desktop/Hekmat-Charity/"/>
    </mc:Choice>
  </mc:AlternateContent>
  <xr:revisionPtr revIDLastSave="0" documentId="8_{FAD9EC6A-B832-BA4A-A837-6F015760F2A2}" xr6:coauthVersionLast="47" xr6:coauthVersionMax="47" xr10:uidLastSave="{00000000-0000-0000-0000-000000000000}"/>
  <bookViews>
    <workbookView xWindow="0" yWindow="0" windowWidth="51200" windowHeight="21600" tabRatio="893" firstSheet="4" activeTab="7" xr2:uid="{00000000-000D-0000-FFFF-FFFF00000000}"/>
  </bookViews>
  <sheets>
    <sheet name="وزن دهی تاثیر اعضای هیت موسس" sheetId="11" r:id="rId1"/>
    <sheet name="فرم سلامت کودک" sheetId="1" r:id="rId2"/>
    <sheet name="جدول کلی مددجوها" sheetId="12" r:id="rId3"/>
    <sheet name=" فرم مشخصات کودک" sheetId="2" r:id="rId4"/>
    <sheet name=" اطلاعات ورودد مددجو" sheetId="3" r:id="rId5"/>
    <sheet name="ریزهزینه کرد مددجوها" sheetId="13" r:id="rId6"/>
    <sheet name="خلاصه هزینه کرد مددجوها" sheetId="14" r:id="rId7"/>
    <sheet name="لیست واریزی ماهیانه" sheetId="6" r:id="rId8"/>
    <sheet name="لیست واریزی کل خیرین" sheetId="7" r:id="rId9"/>
    <sheet name="گزارش رداخت خیرین" sheetId="8" r:id="rId10"/>
    <sheet name="روکش" sheetId="9" r:id="rId11"/>
    <sheet name="Sheet1" sheetId="10" r:id="rId12"/>
  </sheets>
  <externalReferences>
    <externalReference r:id="rId13"/>
    <externalReference r:id="rId14"/>
    <externalReference r:id="rId15"/>
  </externalReferences>
  <definedNames>
    <definedName name="_xlnm._FilterDatabase" localSheetId="2" hidden="1">'جدول کلی مددجوها'!$A$2:$V$40</definedName>
    <definedName name="_xlnm._FilterDatabase" localSheetId="5" hidden="1">'ریزهزینه کرد مددجوها'!$A$1:$K$1444</definedName>
    <definedName name="aaaa">'جدول کلی مددجوها'!$1:$1048576</definedName>
    <definedName name="aaaq">'جدول کلی مددجوها'!$B$3:$H$7</definedName>
    <definedName name="eeee">' اطلاعات ورودد مددجو'!$1:$51</definedName>
    <definedName name="etela" localSheetId="6">'[1] اطلاعات ورودد مددجو'!$1:$30</definedName>
    <definedName name="etela" localSheetId="5">'[2] اطلاعات ورودد مددجو'!$1:$30</definedName>
    <definedName name="etela">' اطلاعات ورودد مددجو'!$1:$30</definedName>
    <definedName name="kamel">' اطلاعات ورودد مددجو'!$1:$1048576</definedName>
    <definedName name="kha">'لیست واریزی کل خیرین'!$B:$E</definedName>
    <definedName name="kj" localSheetId="4">' اطلاعات ورودد مددجو'!$B$1</definedName>
    <definedName name="kj" localSheetId="2">#REF!</definedName>
    <definedName name="kj" localSheetId="6">#REF!</definedName>
    <definedName name="kj" localSheetId="5">#REF!</definedName>
    <definedName name="kj">#REF!</definedName>
    <definedName name="kod">'[3]2'!$J$5</definedName>
    <definedName name="koli">'جدول کلی مددجوها'!$B:$AZ</definedName>
    <definedName name="list">'لیست واریزی کل خیرین'!$D:$E</definedName>
    <definedName name="madad" localSheetId="2">#REF!</definedName>
    <definedName name="madad" localSheetId="6">#REF!</definedName>
    <definedName name="madad" localSheetId="5">#REF!</definedName>
    <definedName name="madad">#REF!</definedName>
    <definedName name="mah" localSheetId="6">'[1]لیست واریزی ماهیانه'!$Q$2:$R$13</definedName>
    <definedName name="mah" localSheetId="5">'[2]لیست واریزی ماهیانه'!$Q$2:$R$13</definedName>
    <definedName name="mah">'لیست واریزی ماهیانه'!$Q$2:$R$13</definedName>
    <definedName name="nam" localSheetId="6">'خلاصه هزینه کرد مددجوها'!$B:$D</definedName>
    <definedName name="nam">#REF!</definedName>
    <definedName name="qq" localSheetId="6">'[1]گزارش رداخت خیرین'!$T$1</definedName>
    <definedName name="qq" localSheetId="5">'[2]گزارش رداخت خیرین'!$T$1</definedName>
    <definedName name="qq">'گزارش رداخت خیرین'!$T$1</definedName>
    <definedName name="ta" localSheetId="5">'ریزهزینه کرد مددجوها'!$T$1:$U$12</definedName>
    <definedName name="ta">#REF!</definedName>
    <definedName name="varizi" localSheetId="2">'لیست واریزی کل خیرین'!$L$3:$W$80</definedName>
    <definedName name="varizi" localSheetId="6">'[1]لیست واریزی کل خیرین'!$G$3:$R$93</definedName>
    <definedName name="varizi" localSheetId="5">'[2]لیست واریزی کل خیرین'!$G$3:$R$80</definedName>
    <definedName name="varizi">'لیست واریزی کل خیرین'!$L$3:$W$149</definedName>
    <definedName name="Z_4375E1BE_E0CA_47E2_B4BA_7AD66A4660B4_.wvu.FilterData" localSheetId="7" hidden="1">'لیست واریزی ماهیانه'!$A$1:$U$262</definedName>
  </definedNames>
  <calcPr calcId="191029"/>
  <customWorkbookViews>
    <customWorkbookView name="Filter 1" guid="{4375E1BE-E0CA-47E2-B4BA-7AD66A4660B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6" roundtripDataSignature="AMtx7mi7nTKz2sknq4ORxREXt83Icp9Xaw=="/>
    </ext>
  </extLst>
</workbook>
</file>

<file path=xl/calcChain.xml><?xml version="1.0" encoding="utf-8"?>
<calcChain xmlns="http://schemas.openxmlformats.org/spreadsheetml/2006/main">
  <c r="H1563" i="6" l="1"/>
  <c r="H1562" i="6"/>
  <c r="H1561" i="6"/>
  <c r="H1560" i="6"/>
  <c r="H1559" i="6"/>
  <c r="H1558" i="6"/>
  <c r="H1557" i="6"/>
  <c r="H1556" i="6"/>
  <c r="H1555" i="6"/>
  <c r="H1554" i="6"/>
  <c r="H1553" i="6"/>
  <c r="H1552" i="6"/>
  <c r="H1551" i="6"/>
  <c r="H1550" i="6"/>
  <c r="H1549" i="6"/>
  <c r="H1548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47" i="6"/>
  <c r="H1546" i="6"/>
  <c r="H1545" i="6"/>
  <c r="H1544" i="6"/>
  <c r="H1543" i="6"/>
  <c r="H1542" i="6"/>
  <c r="H1541" i="6"/>
  <c r="H1540" i="6"/>
  <c r="H1539" i="6"/>
  <c r="H1538" i="6"/>
  <c r="H1537" i="6"/>
  <c r="H1536" i="6"/>
  <c r="H1535" i="6"/>
  <c r="H1534" i="6"/>
  <c r="H1533" i="6"/>
  <c r="H1532" i="6"/>
  <c r="H1531" i="6"/>
  <c r="H1530" i="6"/>
  <c r="H1529" i="6"/>
  <c r="H1528" i="6"/>
  <c r="H1526" i="6"/>
  <c r="H1525" i="6"/>
  <c r="H1524" i="6"/>
  <c r="H1523" i="6"/>
  <c r="H1522" i="6"/>
  <c r="H1521" i="6"/>
  <c r="B1521" i="6"/>
  <c r="B1522" i="6"/>
  <c r="B1523" i="6"/>
  <c r="B1524" i="6"/>
  <c r="B1525" i="6"/>
  <c r="B1526" i="6"/>
  <c r="B1527" i="6"/>
  <c r="H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5" i="6"/>
  <c r="B1544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H1520" i="6"/>
  <c r="H1519" i="6"/>
  <c r="H1518" i="6"/>
  <c r="H1517" i="6"/>
  <c r="H1516" i="6"/>
  <c r="H1515" i="6"/>
  <c r="H1514" i="6"/>
  <c r="H1513" i="6"/>
  <c r="H1512" i="6"/>
  <c r="H1511" i="6"/>
  <c r="H1510" i="6"/>
  <c r="H1509" i="6"/>
  <c r="H1508" i="6"/>
  <c r="H1507" i="6"/>
  <c r="H1506" i="6"/>
  <c r="H1505" i="6"/>
  <c r="H1504" i="6"/>
  <c r="H1502" i="6"/>
  <c r="H1501" i="6"/>
  <c r="H1500" i="6"/>
  <c r="B1502" i="6"/>
  <c r="B1501" i="6"/>
  <c r="B1503" i="6"/>
  <c r="H1503" i="6"/>
  <c r="B1504" i="6"/>
  <c r="B1505" i="6"/>
  <c r="B1506" i="6"/>
  <c r="B1507" i="6"/>
  <c r="B1508" i="6"/>
  <c r="B1500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H1499" i="6"/>
  <c r="H1498" i="6"/>
  <c r="H1497" i="6"/>
  <c r="H1496" i="6"/>
  <c r="H1495" i="6"/>
  <c r="H1494" i="6"/>
  <c r="H1493" i="6"/>
  <c r="H1492" i="6"/>
  <c r="H1491" i="6"/>
  <c r="H1490" i="6"/>
  <c r="H1489" i="6"/>
  <c r="H1488" i="6"/>
  <c r="H1487" i="6"/>
  <c r="H1486" i="6"/>
  <c r="H1485" i="6"/>
  <c r="H1484" i="6"/>
  <c r="H1483" i="6"/>
  <c r="H1482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H1481" i="6"/>
  <c r="H1480" i="6"/>
  <c r="H1479" i="6"/>
  <c r="H1478" i="6"/>
  <c r="H1477" i="6"/>
  <c r="H1476" i="6"/>
  <c r="H1475" i="6"/>
  <c r="H1474" i="6"/>
  <c r="H1473" i="6"/>
  <c r="H1472" i="6"/>
  <c r="H1471" i="6"/>
  <c r="H1470" i="6"/>
  <c r="H1469" i="6"/>
  <c r="H1468" i="6"/>
  <c r="H1467" i="6"/>
  <c r="H1466" i="6"/>
  <c r="H1465" i="6"/>
  <c r="H1464" i="6"/>
  <c r="H1463" i="6"/>
  <c r="H1462" i="6"/>
  <c r="H1461" i="6"/>
  <c r="H1460" i="6"/>
  <c r="B1459" i="6"/>
  <c r="H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99" i="6"/>
  <c r="H1458" i="6"/>
  <c r="H1457" i="6"/>
  <c r="H1456" i="6"/>
  <c r="H1455" i="6"/>
  <c r="H1454" i="6"/>
  <c r="H1453" i="6"/>
  <c r="H1452" i="6"/>
  <c r="H1451" i="6"/>
  <c r="H1450" i="6"/>
  <c r="H1449" i="6"/>
  <c r="H1448" i="6"/>
  <c r="H1447" i="6"/>
  <c r="H1446" i="6"/>
  <c r="H1445" i="6"/>
  <c r="H1444" i="6"/>
  <c r="H1443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574" i="6"/>
  <c r="B1575" i="6"/>
  <c r="B1576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20" i="6"/>
  <c r="H1419" i="6"/>
  <c r="H1418" i="6"/>
  <c r="B1418" i="6"/>
  <c r="B1419" i="6"/>
  <c r="B1420" i="6"/>
  <c r="H1417" i="6"/>
  <c r="H1416" i="6"/>
  <c r="H1415" i="6"/>
  <c r="H1414" i="6"/>
  <c r="H1413" i="6"/>
  <c r="H1406" i="6"/>
  <c r="B1406" i="6"/>
  <c r="H1412" i="6"/>
  <c r="H1411" i="6"/>
  <c r="H1410" i="6"/>
  <c r="H1409" i="6"/>
  <c r="H1408" i="6"/>
  <c r="H1407" i="6"/>
  <c r="B1408" i="6"/>
  <c r="B1409" i="6"/>
  <c r="B1410" i="6"/>
  <c r="B1411" i="6"/>
  <c r="B1412" i="6"/>
  <c r="B1413" i="6"/>
  <c r="B1414" i="6"/>
  <c r="B1415" i="6"/>
  <c r="B1416" i="6"/>
  <c r="H1405" i="6"/>
  <c r="H1404" i="6"/>
  <c r="H1403" i="6"/>
  <c r="H1402" i="6"/>
  <c r="H1401" i="6"/>
  <c r="H1400" i="6"/>
  <c r="H1399" i="6"/>
  <c r="B1400" i="6"/>
  <c r="B1401" i="6"/>
  <c r="B1402" i="6"/>
  <c r="B1403" i="6"/>
  <c r="B1404" i="6"/>
  <c r="B1405" i="6"/>
  <c r="B1407" i="6"/>
  <c r="B1399" i="6"/>
  <c r="B1417" i="6"/>
  <c r="B1421" i="6"/>
  <c r="H1421" i="6"/>
  <c r="B1422" i="6"/>
  <c r="B1423" i="6"/>
  <c r="B1424" i="6"/>
  <c r="B1425" i="6"/>
  <c r="B1426" i="6"/>
  <c r="B1427" i="6"/>
  <c r="B1428" i="6"/>
  <c r="H1387" i="6"/>
  <c r="H1386" i="6"/>
  <c r="H1385" i="6"/>
  <c r="H1384" i="6"/>
  <c r="H1383" i="6"/>
  <c r="H1382" i="6"/>
  <c r="H1381" i="6"/>
  <c r="H1380" i="6"/>
  <c r="H1379" i="6"/>
  <c r="H1378" i="6"/>
  <c r="H1377" i="6"/>
  <c r="H1376" i="6"/>
  <c r="H1375" i="6"/>
  <c r="H1374" i="6"/>
  <c r="H1373" i="6"/>
  <c r="H1372" i="6"/>
  <c r="H1371" i="6"/>
  <c r="H1370" i="6"/>
  <c r="H1369" i="6"/>
  <c r="H1368" i="6"/>
  <c r="H1367" i="6"/>
  <c r="H1366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H1388" i="6"/>
  <c r="B1389" i="6"/>
  <c r="H1389" i="6"/>
  <c r="B1390" i="6"/>
  <c r="H1390" i="6"/>
  <c r="B1391" i="6"/>
  <c r="H1391" i="6"/>
  <c r="B1392" i="6"/>
  <c r="H1392" i="6"/>
  <c r="B1393" i="6"/>
  <c r="H1393" i="6"/>
  <c r="B1394" i="6"/>
  <c r="H1394" i="6"/>
  <c r="B1395" i="6"/>
  <c r="H1395" i="6"/>
  <c r="B1396" i="6"/>
  <c r="H1396" i="6"/>
  <c r="B1397" i="6"/>
  <c r="H1397" i="6"/>
  <c r="B1398" i="6"/>
  <c r="H1398" i="6"/>
  <c r="B1429" i="6"/>
  <c r="B1430" i="6"/>
  <c r="B1431" i="6"/>
  <c r="B1432" i="6"/>
  <c r="B1433" i="6"/>
  <c r="B1434" i="6"/>
  <c r="B1435" i="6"/>
  <c r="B1436" i="6"/>
  <c r="B1437" i="6"/>
  <c r="H1365" i="6" l="1"/>
  <c r="H1364" i="6"/>
  <c r="H1363" i="6"/>
  <c r="H1362" i="6"/>
  <c r="H1361" i="6"/>
  <c r="H1360" i="6"/>
  <c r="H1359" i="6"/>
  <c r="H1358" i="6"/>
  <c r="H1357" i="6"/>
  <c r="H1356" i="6"/>
  <c r="H1355" i="6"/>
  <c r="H1354" i="6"/>
  <c r="H1353" i="6"/>
  <c r="H1352" i="6"/>
  <c r="H1351" i="6"/>
  <c r="H1350" i="6"/>
  <c r="H1349" i="6"/>
  <c r="H1348" i="6"/>
  <c r="H1347" i="6"/>
  <c r="H1346" i="6"/>
  <c r="H1345" i="6"/>
  <c r="H1339" i="6" l="1"/>
  <c r="H1338" i="6"/>
  <c r="H1337" i="6"/>
  <c r="H1332" i="6"/>
  <c r="H1333" i="6"/>
  <c r="H1334" i="6"/>
  <c r="H1335" i="6"/>
  <c r="H1336" i="6"/>
  <c r="B1333" i="6"/>
  <c r="B1334" i="6"/>
  <c r="B1335" i="6"/>
  <c r="B1336" i="6"/>
  <c r="B1337" i="6"/>
  <c r="B1338" i="6"/>
  <c r="B1339" i="6"/>
  <c r="B1332" i="6"/>
  <c r="B1340" i="6"/>
  <c r="H1340" i="6"/>
  <c r="B1341" i="6"/>
  <c r="H1341" i="6"/>
  <c r="B1342" i="6"/>
  <c r="H1342" i="6"/>
  <c r="B1343" i="6"/>
  <c r="H1343" i="6"/>
  <c r="B1344" i="6"/>
  <c r="H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H1270" i="6" l="1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H1262" i="6"/>
  <c r="H1263" i="6"/>
  <c r="H1264" i="6"/>
  <c r="H1265" i="6"/>
  <c r="H1266" i="6"/>
  <c r="H1267" i="6"/>
  <c r="H1268" i="6"/>
  <c r="H1269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B1239" i="6" l="1"/>
  <c r="B1240" i="6"/>
  <c r="B1242" i="6"/>
  <c r="B1243" i="6"/>
  <c r="B1244" i="6"/>
  <c r="B1245" i="6"/>
  <c r="B1241" i="6"/>
  <c r="B1246" i="6"/>
  <c r="B1247" i="6"/>
  <c r="B1248" i="6"/>
  <c r="B1249" i="6"/>
  <c r="B1250" i="6"/>
  <c r="B1251" i="6"/>
  <c r="B1252" i="6"/>
  <c r="B1253" i="6"/>
  <c r="B1254" i="6"/>
  <c r="B1255" i="6"/>
  <c r="B1259" i="6"/>
  <c r="B1260" i="6"/>
  <c r="B1238" i="6"/>
  <c r="B1257" i="6"/>
  <c r="B1256" i="6"/>
  <c r="B1258" i="6"/>
  <c r="B1261" i="6"/>
  <c r="B1262" i="6"/>
  <c r="B1263" i="6"/>
  <c r="B1264" i="6"/>
  <c r="B1265" i="6"/>
  <c r="B1266" i="6"/>
  <c r="B1267" i="6"/>
  <c r="B1268" i="6"/>
  <c r="B1269" i="6"/>
  <c r="H1323" i="6" l="1"/>
  <c r="H1322" i="6"/>
  <c r="H1321" i="6"/>
  <c r="H1320" i="6"/>
  <c r="H1319" i="6"/>
  <c r="H1318" i="6"/>
  <c r="H1317" i="6"/>
  <c r="H1316" i="6"/>
  <c r="H1315" i="6"/>
  <c r="H1314" i="6"/>
  <c r="B1318" i="6"/>
  <c r="B1319" i="6"/>
  <c r="B1320" i="6"/>
  <c r="B1321" i="6"/>
  <c r="B1312" i="6"/>
  <c r="H1312" i="6"/>
  <c r="B1314" i="6"/>
  <c r="B1315" i="6"/>
  <c r="B1316" i="6"/>
  <c r="B1317" i="6"/>
  <c r="B1322" i="6"/>
  <c r="B1323" i="6"/>
  <c r="B1324" i="6"/>
  <c r="H1324" i="6"/>
  <c r="B1325" i="6"/>
  <c r="H1325" i="6"/>
  <c r="B1326" i="6"/>
  <c r="H1326" i="6"/>
  <c r="B1313" i="6"/>
  <c r="H1313" i="6"/>
  <c r="B1327" i="6"/>
  <c r="H1327" i="6"/>
  <c r="B1328" i="6"/>
  <c r="H1328" i="6"/>
  <c r="B1329" i="6"/>
  <c r="H1329" i="6"/>
  <c r="B1330" i="6"/>
  <c r="H1330" i="6"/>
  <c r="B1331" i="6"/>
  <c r="H1331" i="6"/>
  <c r="B1364" i="6"/>
  <c r="B1365" i="6"/>
  <c r="B1438" i="6"/>
  <c r="B1288" i="6"/>
  <c r="H1288" i="6"/>
  <c r="B1289" i="6"/>
  <c r="H1289" i="6"/>
  <c r="B1290" i="6"/>
  <c r="H1290" i="6"/>
  <c r="B1291" i="6"/>
  <c r="H1291" i="6"/>
  <c r="B1292" i="6"/>
  <c r="H1292" i="6"/>
  <c r="B1293" i="6"/>
  <c r="H1293" i="6"/>
  <c r="B1294" i="6"/>
  <c r="H1294" i="6"/>
  <c r="B1295" i="6"/>
  <c r="H1295" i="6"/>
  <c r="B1296" i="6"/>
  <c r="H1296" i="6"/>
  <c r="B1297" i="6"/>
  <c r="H1297" i="6"/>
  <c r="B1298" i="6"/>
  <c r="H1298" i="6"/>
  <c r="B1299" i="6"/>
  <c r="H1299" i="6"/>
  <c r="B1300" i="6"/>
  <c r="H1300" i="6"/>
  <c r="B1301" i="6"/>
  <c r="H1301" i="6"/>
  <c r="B1302" i="6"/>
  <c r="H1302" i="6"/>
  <c r="B1287" i="6"/>
  <c r="H1287" i="6"/>
  <c r="B1286" i="6"/>
  <c r="H1286" i="6"/>
  <c r="B1285" i="6"/>
  <c r="H1285" i="6"/>
  <c r="B1284" i="6"/>
  <c r="H1284" i="6"/>
  <c r="B1303" i="6"/>
  <c r="H1303" i="6"/>
  <c r="B1304" i="6"/>
  <c r="H1304" i="6"/>
  <c r="B1305" i="6"/>
  <c r="H1305" i="6"/>
  <c r="B1306" i="6"/>
  <c r="H1306" i="6"/>
  <c r="B1307" i="6"/>
  <c r="H1307" i="6"/>
  <c r="B1308" i="6"/>
  <c r="H1308" i="6"/>
  <c r="B1309" i="6"/>
  <c r="H1309" i="6"/>
  <c r="B1310" i="6"/>
  <c r="H1310" i="6"/>
  <c r="B1311" i="6"/>
  <c r="H1311" i="6"/>
  <c r="B1439" i="6"/>
  <c r="B1440" i="6"/>
  <c r="H1237" i="6" l="1"/>
  <c r="H1236" i="6"/>
  <c r="H1235" i="6"/>
  <c r="B1235" i="6"/>
  <c r="B1236" i="6"/>
  <c r="B1237" i="6"/>
  <c r="B1441" i="6"/>
  <c r="B1442" i="6"/>
  <c r="B1577" i="6"/>
  <c r="H1234" i="6"/>
  <c r="H1233" i="6"/>
  <c r="H1232" i="6"/>
  <c r="H1231" i="6"/>
  <c r="H1230" i="6"/>
  <c r="H1229" i="6"/>
  <c r="H1228" i="6"/>
  <c r="H1227" i="6"/>
  <c r="H1226" i="6"/>
  <c r="H1225" i="6"/>
  <c r="H1224" i="6"/>
  <c r="H1223" i="6"/>
  <c r="H1222" i="6"/>
  <c r="H1221" i="6"/>
  <c r="H1220" i="6"/>
  <c r="H1219" i="6"/>
  <c r="H1218" i="6"/>
  <c r="H1217" i="6"/>
  <c r="H1216" i="6"/>
  <c r="H1215" i="6"/>
  <c r="H1214" i="6"/>
  <c r="H1213" i="6"/>
  <c r="H1212" i="6"/>
  <c r="H1211" i="6"/>
  <c r="H1210" i="6"/>
  <c r="H1209" i="6"/>
  <c r="H1208" i="6"/>
  <c r="H1207" i="6"/>
  <c r="H1206" i="6"/>
  <c r="H1205" i="6"/>
  <c r="H1204" i="6"/>
  <c r="H1203" i="6"/>
  <c r="H1202" i="6"/>
  <c r="H1201" i="6"/>
  <c r="H1200" i="6"/>
  <c r="H1199" i="6"/>
  <c r="H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198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H1197" i="6"/>
  <c r="H1196" i="6"/>
  <c r="H1195" i="6"/>
  <c r="H1194" i="6"/>
  <c r="H1193" i="6"/>
  <c r="H1192" i="6"/>
  <c r="H1191" i="6"/>
  <c r="H1190" i="6"/>
  <c r="H1189" i="6"/>
  <c r="H1188" i="6"/>
  <c r="H1187" i="6"/>
  <c r="H1186" i="6"/>
  <c r="H1185" i="6"/>
  <c r="H1184" i="6"/>
  <c r="H1183" i="6"/>
  <c r="H1182" i="6"/>
  <c r="H1181" i="6"/>
  <c r="H1180" i="6"/>
  <c r="H1179" i="6"/>
  <c r="H1178" i="6"/>
  <c r="H1177" i="6"/>
  <c r="H1176" i="6"/>
  <c r="H1175" i="6"/>
  <c r="H1173" i="6"/>
  <c r="H1172" i="6"/>
  <c r="H1171" i="6"/>
  <c r="H1170" i="6"/>
  <c r="H1169" i="6"/>
  <c r="B1169" i="6"/>
  <c r="B1170" i="6"/>
  <c r="B1171" i="6"/>
  <c r="B1172" i="6"/>
  <c r="B1173" i="6"/>
  <c r="B1174" i="6"/>
  <c r="H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H1168" i="6"/>
  <c r="H1167" i="6"/>
  <c r="H1166" i="6"/>
  <c r="H1165" i="6"/>
  <c r="H1164" i="6"/>
  <c r="H1163" i="6"/>
  <c r="H1162" i="6"/>
  <c r="H1161" i="6"/>
  <c r="H1160" i="6"/>
  <c r="H1159" i="6"/>
  <c r="H1158" i="6"/>
  <c r="H1157" i="6"/>
  <c r="H1156" i="6"/>
  <c r="H1155" i="6"/>
  <c r="H1154" i="6"/>
  <c r="H1153" i="6"/>
  <c r="H1152" i="6"/>
  <c r="H1151" i="6"/>
  <c r="H1150" i="6"/>
  <c r="B1150" i="6"/>
  <c r="B1151" i="6"/>
  <c r="B1152" i="6"/>
  <c r="B1153" i="6"/>
  <c r="B1154" i="6"/>
  <c r="B1155" i="6"/>
  <c r="B1156" i="6"/>
  <c r="B1157" i="6"/>
  <c r="B1158" i="6"/>
  <c r="B1159" i="6"/>
  <c r="H1149" i="6"/>
  <c r="H1148" i="6"/>
  <c r="H1147" i="6"/>
  <c r="H1146" i="6"/>
  <c r="H1145" i="6"/>
  <c r="H1144" i="6"/>
  <c r="H1143" i="6"/>
  <c r="H1142" i="6"/>
  <c r="B1142" i="6"/>
  <c r="B1143" i="6"/>
  <c r="B1144" i="6"/>
  <c r="B1145" i="6"/>
  <c r="B1146" i="6"/>
  <c r="B1147" i="6"/>
  <c r="B1148" i="6"/>
  <c r="B1149" i="6"/>
  <c r="B1160" i="6"/>
  <c r="H1141" i="6"/>
  <c r="H1140" i="6"/>
  <c r="H1139" i="6"/>
  <c r="H1138" i="6"/>
  <c r="H1137" i="6"/>
  <c r="H1136" i="6"/>
  <c r="H1135" i="6"/>
  <c r="H1134" i="6"/>
  <c r="H1133" i="6"/>
  <c r="H1132" i="6"/>
  <c r="H1131" i="6"/>
  <c r="H1130" i="6"/>
  <c r="H1129" i="6"/>
  <c r="H1128" i="6"/>
  <c r="H1122" i="6"/>
  <c r="H1121" i="6"/>
  <c r="H1120" i="6"/>
  <c r="H1119" i="6"/>
  <c r="H1118" i="6"/>
  <c r="H1117" i="6"/>
  <c r="H1116" i="6"/>
  <c r="B1116" i="6"/>
  <c r="B1117" i="6"/>
  <c r="B1118" i="6"/>
  <c r="B1119" i="6"/>
  <c r="B1120" i="6"/>
  <c r="B1121" i="6"/>
  <c r="B1122" i="6"/>
  <c r="H1127" i="6" l="1"/>
  <c r="H1126" i="6"/>
  <c r="H1125" i="6"/>
  <c r="H1124" i="6"/>
  <c r="H1123" i="6"/>
  <c r="H1115" i="6"/>
  <c r="H1114" i="6"/>
  <c r="H1113" i="6"/>
  <c r="H1112" i="6"/>
  <c r="H1111" i="6"/>
  <c r="H1110" i="6"/>
  <c r="H1109" i="6"/>
  <c r="H1108" i="6"/>
  <c r="H1107" i="6"/>
  <c r="H1106" i="6"/>
  <c r="H1105" i="6"/>
  <c r="H1104" i="6"/>
  <c r="B1103" i="6"/>
  <c r="H1103" i="6"/>
  <c r="B1104" i="6"/>
  <c r="H1102" i="6"/>
  <c r="H1101" i="6"/>
  <c r="H1100" i="6"/>
  <c r="H1099" i="6"/>
  <c r="H1098" i="6"/>
  <c r="H1097" i="6"/>
  <c r="H1096" i="6"/>
  <c r="H1095" i="6"/>
  <c r="H1094" i="6"/>
  <c r="H1093" i="6"/>
  <c r="H1092" i="6"/>
  <c r="H1091" i="6"/>
  <c r="H1090" i="6"/>
  <c r="H1089" i="6"/>
  <c r="H1088" i="6"/>
  <c r="H1087" i="6"/>
  <c r="H1086" i="6"/>
  <c r="B1087" i="6"/>
  <c r="B1088" i="6"/>
  <c r="B1089" i="6"/>
  <c r="B1090" i="6"/>
  <c r="B1091" i="6"/>
  <c r="B1092" i="6"/>
  <c r="B1094" i="6"/>
  <c r="B1095" i="6"/>
  <c r="B1096" i="6"/>
  <c r="B1097" i="6"/>
  <c r="B1098" i="6"/>
  <c r="B1099" i="6"/>
  <c r="B1100" i="6"/>
  <c r="B1101" i="6"/>
  <c r="B1102" i="6"/>
  <c r="B1105" i="6"/>
  <c r="B1106" i="6"/>
  <c r="B1107" i="6"/>
  <c r="B1108" i="6"/>
  <c r="B1109" i="6"/>
  <c r="B1110" i="6"/>
  <c r="B1111" i="6"/>
  <c r="B1112" i="6"/>
  <c r="B1113" i="6"/>
  <c r="B1114" i="6"/>
  <c r="B1115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61" i="6"/>
  <c r="B1162" i="6"/>
  <c r="B1163" i="6"/>
  <c r="B1164" i="6"/>
  <c r="B1165" i="6"/>
  <c r="B1166" i="6"/>
  <c r="B1086" i="6"/>
  <c r="B1093" i="6"/>
  <c r="B1167" i="6"/>
  <c r="B1168" i="6"/>
  <c r="B1196" i="6"/>
  <c r="H1084" i="6"/>
  <c r="H1083" i="6"/>
  <c r="H1082" i="6"/>
  <c r="H1081" i="6" l="1"/>
  <c r="H1080" i="6"/>
  <c r="H1079" i="6"/>
  <c r="H1078" i="6"/>
  <c r="H1077" i="6"/>
  <c r="H1076" i="6"/>
  <c r="H1075" i="6"/>
  <c r="H1074" i="6"/>
  <c r="H1073" i="6"/>
  <c r="H1072" i="6"/>
  <c r="H1071" i="6"/>
  <c r="H1070" i="6"/>
  <c r="H1069" i="6"/>
  <c r="H1068" i="6"/>
  <c r="H1067" i="6"/>
  <c r="H1066" i="6"/>
  <c r="H1065" i="6"/>
  <c r="H1064" i="6"/>
  <c r="H1063" i="6"/>
  <c r="H1062" i="6"/>
  <c r="H1061" i="6"/>
  <c r="H1059" i="6"/>
  <c r="H1058" i="6"/>
  <c r="H1057" i="6"/>
  <c r="B1057" i="6"/>
  <c r="B1058" i="6"/>
  <c r="B1059" i="6"/>
  <c r="B1060" i="6"/>
  <c r="H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H1055" i="6"/>
  <c r="B1055" i="6"/>
  <c r="H1056" i="6"/>
  <c r="H1054" i="6"/>
  <c r="H1053" i="6"/>
  <c r="H1052" i="6"/>
  <c r="H1051" i="6"/>
  <c r="H1050" i="6"/>
  <c r="H1049" i="6"/>
  <c r="H1048" i="6"/>
  <c r="H1047" i="6"/>
  <c r="H1046" i="6"/>
  <c r="H1045" i="6"/>
  <c r="H1044" i="6"/>
  <c r="H1043" i="6"/>
  <c r="H1042" i="6"/>
  <c r="H1041" i="6"/>
  <c r="H1040" i="6" l="1"/>
  <c r="H1039" i="6"/>
  <c r="H1038" i="6"/>
  <c r="H1037" i="6"/>
  <c r="H1036" i="6"/>
  <c r="H1035" i="6"/>
  <c r="H1034" i="6"/>
  <c r="H1033" i="6"/>
  <c r="H1032" i="6"/>
  <c r="H1031" i="6"/>
  <c r="H1030" i="6"/>
  <c r="H1029" i="6"/>
  <c r="H1028" i="6"/>
  <c r="H1027" i="6"/>
  <c r="H1026" i="6"/>
  <c r="H1025" i="6"/>
  <c r="H1024" i="6"/>
  <c r="H1023" i="6"/>
  <c r="H1022" i="6"/>
  <c r="H1021" i="6"/>
  <c r="H1020" i="6"/>
  <c r="H1019" i="6"/>
  <c r="H1018" i="6"/>
  <c r="H1017" i="6"/>
  <c r="H1016" i="6"/>
  <c r="H1015" i="6"/>
  <c r="H1014" i="6"/>
  <c r="H1013" i="6"/>
  <c r="H1012" i="6"/>
  <c r="H1011" i="6"/>
  <c r="H1010" i="6"/>
  <c r="H1009" i="6"/>
  <c r="H1008" i="6"/>
  <c r="H1007" i="6"/>
  <c r="H1006" i="6"/>
  <c r="H1005" i="6"/>
  <c r="H1004" i="6"/>
  <c r="H1003" i="6"/>
  <c r="H1002" i="6"/>
  <c r="H1001" i="6"/>
  <c r="H1000" i="6"/>
  <c r="H999" i="6"/>
  <c r="H998" i="6"/>
  <c r="H997" i="6"/>
  <c r="H996" i="6"/>
  <c r="H995" i="6"/>
  <c r="H994" i="6"/>
  <c r="H993" i="6"/>
  <c r="H992" i="6"/>
  <c r="H991" i="6"/>
  <c r="H990" i="6"/>
  <c r="H989" i="6"/>
  <c r="H988" i="6"/>
  <c r="H987" i="6"/>
  <c r="H986" i="6"/>
  <c r="H985" i="6"/>
  <c r="H984" i="6"/>
  <c r="H983" i="6"/>
  <c r="H982" i="6"/>
  <c r="H981" i="6"/>
  <c r="H980" i="6"/>
  <c r="B980" i="6"/>
  <c r="B981" i="6"/>
  <c r="B982" i="6"/>
  <c r="B983" i="6"/>
  <c r="B984" i="6"/>
  <c r="B985" i="6"/>
  <c r="B979" i="6"/>
  <c r="H979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H978" i="6" l="1"/>
  <c r="B978" i="6" l="1"/>
  <c r="B1047" i="6"/>
  <c r="B1048" i="6"/>
  <c r="B1049" i="6"/>
  <c r="B1050" i="6"/>
  <c r="B1051" i="6"/>
  <c r="H977" i="6"/>
  <c r="H976" i="6"/>
  <c r="H975" i="6"/>
  <c r="H974" i="6"/>
  <c r="H973" i="6"/>
  <c r="H972" i="6"/>
  <c r="H971" i="6"/>
  <c r="B971" i="6"/>
  <c r="B972" i="6"/>
  <c r="B973" i="6"/>
  <c r="B974" i="6"/>
  <c r="B975" i="6"/>
  <c r="B976" i="6"/>
  <c r="B977" i="6"/>
  <c r="B1052" i="6"/>
  <c r="H970" i="6"/>
  <c r="H969" i="6"/>
  <c r="H968" i="6"/>
  <c r="H967" i="6"/>
  <c r="H966" i="6"/>
  <c r="H965" i="6"/>
  <c r="H964" i="6"/>
  <c r="H963" i="6"/>
  <c r="H962" i="6"/>
  <c r="H961" i="6"/>
  <c r="H960" i="6"/>
  <c r="H959" i="6"/>
  <c r="H958" i="6"/>
  <c r="H957" i="6"/>
  <c r="B957" i="6"/>
  <c r="B958" i="6"/>
  <c r="B959" i="6"/>
  <c r="B960" i="6"/>
  <c r="B961" i="6"/>
  <c r="B962" i="6"/>
  <c r="B945" i="6" l="1"/>
  <c r="H945" i="6"/>
  <c r="B946" i="6"/>
  <c r="H946" i="6"/>
  <c r="B947" i="6"/>
  <c r="H947" i="6"/>
  <c r="B948" i="6"/>
  <c r="H948" i="6"/>
  <c r="B949" i="6"/>
  <c r="H949" i="6"/>
  <c r="B950" i="6"/>
  <c r="H950" i="6"/>
  <c r="B951" i="6"/>
  <c r="H951" i="6"/>
  <c r="B952" i="6"/>
  <c r="H952" i="6"/>
  <c r="B953" i="6"/>
  <c r="H953" i="6"/>
  <c r="B954" i="6"/>
  <c r="H954" i="6"/>
  <c r="B955" i="6"/>
  <c r="H955" i="6"/>
  <c r="B956" i="6"/>
  <c r="H956" i="6"/>
  <c r="B963" i="6"/>
  <c r="B964" i="6"/>
  <c r="B965" i="6"/>
  <c r="B966" i="6"/>
  <c r="B967" i="6"/>
  <c r="B968" i="6"/>
  <c r="B969" i="6"/>
  <c r="B970" i="6"/>
  <c r="B1053" i="6"/>
  <c r="B1054" i="6"/>
  <c r="B931" i="6"/>
  <c r="H931" i="6"/>
  <c r="B932" i="6"/>
  <c r="H932" i="6"/>
  <c r="B933" i="6"/>
  <c r="H933" i="6"/>
  <c r="B934" i="6"/>
  <c r="H934" i="6"/>
  <c r="B935" i="6"/>
  <c r="H935" i="6"/>
  <c r="B936" i="6"/>
  <c r="H936" i="6"/>
  <c r="B937" i="6"/>
  <c r="H937" i="6"/>
  <c r="B938" i="6"/>
  <c r="H938" i="6"/>
  <c r="B939" i="6"/>
  <c r="H939" i="6"/>
  <c r="B940" i="6"/>
  <c r="H940" i="6"/>
  <c r="B941" i="6"/>
  <c r="H941" i="6"/>
  <c r="B942" i="6"/>
  <c r="H942" i="6"/>
  <c r="H930" i="6"/>
  <c r="H929" i="6"/>
  <c r="H928" i="6"/>
  <c r="H927" i="6"/>
  <c r="H926" i="6"/>
  <c r="B926" i="6"/>
  <c r="B927" i="6"/>
  <c r="B928" i="6"/>
  <c r="B929" i="6"/>
  <c r="B930" i="6"/>
  <c r="B943" i="6"/>
  <c r="H943" i="6"/>
  <c r="B944" i="6"/>
  <c r="H944" i="6"/>
  <c r="B1056" i="6"/>
  <c r="B1085" i="6"/>
  <c r="H1085" i="6"/>
  <c r="B1197" i="6"/>
  <c r="H914" i="6"/>
  <c r="B900" i="6"/>
  <c r="H900" i="6"/>
  <c r="B901" i="6"/>
  <c r="H901" i="6"/>
  <c r="B902" i="6"/>
  <c r="H902" i="6"/>
  <c r="B903" i="6"/>
  <c r="H903" i="6"/>
  <c r="B904" i="6"/>
  <c r="H904" i="6"/>
  <c r="B905" i="6"/>
  <c r="H905" i="6"/>
  <c r="B906" i="6"/>
  <c r="H906" i="6"/>
  <c r="B907" i="6"/>
  <c r="H907" i="6"/>
  <c r="B908" i="6"/>
  <c r="H908" i="6"/>
  <c r="B909" i="6"/>
  <c r="H909" i="6"/>
  <c r="B910" i="6"/>
  <c r="H910" i="6"/>
  <c r="B911" i="6"/>
  <c r="H911" i="6"/>
  <c r="B912" i="6"/>
  <c r="H912" i="6"/>
  <c r="B913" i="6"/>
  <c r="H913" i="6"/>
  <c r="B914" i="6"/>
  <c r="B915" i="6"/>
  <c r="H915" i="6"/>
  <c r="B916" i="6"/>
  <c r="H916" i="6"/>
  <c r="B917" i="6"/>
  <c r="H917" i="6"/>
  <c r="B918" i="6"/>
  <c r="H918" i="6"/>
  <c r="B919" i="6"/>
  <c r="H919" i="6"/>
  <c r="B920" i="6"/>
  <c r="H920" i="6"/>
  <c r="B921" i="6"/>
  <c r="H921" i="6"/>
  <c r="B922" i="6"/>
  <c r="H922" i="6"/>
  <c r="B923" i="6"/>
  <c r="H923" i="6"/>
  <c r="B924" i="6"/>
  <c r="H924" i="6"/>
  <c r="B925" i="6"/>
  <c r="H925" i="6"/>
  <c r="F658" i="13" l="1"/>
  <c r="F659" i="13"/>
  <c r="F482" i="13" l="1"/>
  <c r="F483" i="13"/>
  <c r="F484" i="13"/>
  <c r="B887" i="6" l="1"/>
  <c r="H887" i="6"/>
  <c r="B888" i="6"/>
  <c r="H888" i="6"/>
  <c r="B889" i="6"/>
  <c r="H889" i="6"/>
  <c r="B890" i="6"/>
  <c r="H890" i="6"/>
  <c r="B891" i="6"/>
  <c r="H891" i="6"/>
  <c r="B892" i="6"/>
  <c r="H892" i="6"/>
  <c r="B893" i="6"/>
  <c r="H893" i="6"/>
  <c r="B894" i="6"/>
  <c r="H894" i="6"/>
  <c r="B895" i="6"/>
  <c r="H895" i="6"/>
  <c r="B896" i="6"/>
  <c r="H896" i="6"/>
  <c r="B897" i="6"/>
  <c r="H897" i="6"/>
  <c r="B898" i="6"/>
  <c r="H898" i="6"/>
  <c r="B899" i="6"/>
  <c r="H899" i="6"/>
  <c r="B1231" i="6"/>
  <c r="H886" i="6"/>
  <c r="B886" i="6"/>
  <c r="H885" i="6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60" i="13"/>
  <c r="F661" i="13"/>
  <c r="F662" i="13"/>
  <c r="F663" i="13"/>
  <c r="F664" i="13"/>
  <c r="F665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75" i="13"/>
  <c r="B838" i="6" l="1"/>
  <c r="H838" i="6"/>
  <c r="B839" i="6"/>
  <c r="H839" i="6"/>
  <c r="B840" i="6"/>
  <c r="H840" i="6"/>
  <c r="B841" i="6"/>
  <c r="H841" i="6"/>
  <c r="B842" i="6"/>
  <c r="H842" i="6"/>
  <c r="B843" i="6"/>
  <c r="H843" i="6"/>
  <c r="B844" i="6"/>
  <c r="H844" i="6"/>
  <c r="B845" i="6"/>
  <c r="H845" i="6"/>
  <c r="E16" i="9" l="1"/>
  <c r="E15" i="9"/>
  <c r="E14" i="9"/>
  <c r="E13" i="9"/>
  <c r="E12" i="9"/>
  <c r="E11" i="9"/>
  <c r="E10" i="9"/>
  <c r="E9" i="9"/>
  <c r="E8" i="9"/>
  <c r="E7" i="9"/>
  <c r="E6" i="9"/>
  <c r="E5" i="9"/>
  <c r="B1582" i="6"/>
  <c r="B852" i="6"/>
  <c r="H852" i="6"/>
  <c r="B851" i="6"/>
  <c r="H851" i="6"/>
  <c r="B695" i="6" l="1"/>
  <c r="H695" i="6"/>
  <c r="B696" i="6"/>
  <c r="H696" i="6"/>
  <c r="B584" i="6"/>
  <c r="H584" i="6"/>
  <c r="B585" i="6"/>
  <c r="H585" i="6"/>
  <c r="H553" i="6"/>
  <c r="H552" i="6"/>
  <c r="B552" i="6"/>
  <c r="B553" i="6"/>
  <c r="H878" i="6"/>
  <c r="H877" i="6"/>
  <c r="H876" i="6"/>
  <c r="H875" i="6"/>
  <c r="H874" i="6"/>
  <c r="B874" i="6"/>
  <c r="B875" i="6"/>
  <c r="B876" i="6"/>
  <c r="B877" i="6"/>
  <c r="B878" i="6"/>
  <c r="B879" i="6"/>
  <c r="H879" i="6"/>
  <c r="B880" i="6"/>
  <c r="H880" i="6"/>
  <c r="B881" i="6"/>
  <c r="H881" i="6"/>
  <c r="B882" i="6"/>
  <c r="H882" i="6"/>
  <c r="B883" i="6"/>
  <c r="H883" i="6"/>
  <c r="B884" i="6"/>
  <c r="H884" i="6"/>
  <c r="C63" i="14" l="1"/>
  <c r="F562" i="13"/>
  <c r="B821" i="6"/>
  <c r="H821" i="6"/>
  <c r="B822" i="6"/>
  <c r="H822" i="6"/>
  <c r="B823" i="6"/>
  <c r="H823" i="6"/>
  <c r="B824" i="6"/>
  <c r="H824" i="6"/>
  <c r="B825" i="6"/>
  <c r="H825" i="6"/>
  <c r="B626" i="6"/>
  <c r="H626" i="6"/>
  <c r="B809" i="6"/>
  <c r="H809" i="6"/>
  <c r="B806" i="6"/>
  <c r="H806" i="6"/>
  <c r="B807" i="6"/>
  <c r="H807" i="6"/>
  <c r="B808" i="6"/>
  <c r="H808" i="6"/>
  <c r="B810" i="6"/>
  <c r="H810" i="6"/>
  <c r="B811" i="6"/>
  <c r="H811" i="6"/>
  <c r="B812" i="6"/>
  <c r="H812" i="6"/>
  <c r="B805" i="6"/>
  <c r="H805" i="6"/>
  <c r="B813" i="6"/>
  <c r="H813" i="6"/>
  <c r="B814" i="6"/>
  <c r="H814" i="6"/>
  <c r="B815" i="6"/>
  <c r="H815" i="6"/>
  <c r="F574" i="13" l="1"/>
  <c r="F569" i="13"/>
  <c r="F570" i="13"/>
  <c r="F571" i="13"/>
  <c r="F568" i="13"/>
  <c r="H873" i="6"/>
  <c r="H872" i="6"/>
  <c r="H871" i="6"/>
  <c r="I22" i="7"/>
  <c r="H870" i="6" l="1"/>
  <c r="H869" i="6"/>
  <c r="H868" i="6"/>
  <c r="H867" i="6"/>
  <c r="H866" i="6"/>
  <c r="H865" i="6"/>
  <c r="B1234" i="6" l="1"/>
  <c r="B868" i="6"/>
  <c r="B869" i="6"/>
  <c r="B870" i="6"/>
  <c r="B867" i="6"/>
  <c r="B871" i="6"/>
  <c r="B866" i="6"/>
  <c r="B872" i="6"/>
  <c r="B873" i="6"/>
  <c r="B885" i="6"/>
  <c r="B1232" i="6"/>
  <c r="H864" i="6"/>
  <c r="H863" i="6"/>
  <c r="H862" i="6"/>
  <c r="H861" i="6"/>
  <c r="H860" i="6"/>
  <c r="H859" i="6"/>
  <c r="H858" i="6"/>
  <c r="H857" i="6"/>
  <c r="H856" i="6"/>
  <c r="B863" i="6"/>
  <c r="B864" i="6"/>
  <c r="B865" i="6"/>
  <c r="B1233" i="6"/>
  <c r="B1578" i="6"/>
  <c r="H854" i="6"/>
  <c r="H853" i="6"/>
  <c r="H850" i="6"/>
  <c r="H849" i="6"/>
  <c r="H848" i="6"/>
  <c r="H847" i="6"/>
  <c r="H846" i="6"/>
  <c r="H837" i="6"/>
  <c r="H836" i="6"/>
  <c r="H835" i="6"/>
  <c r="H834" i="6"/>
  <c r="H833" i="6"/>
  <c r="F313" i="13" l="1"/>
  <c r="F320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18" i="13"/>
  <c r="F319" i="13"/>
  <c r="H829" i="6" l="1"/>
  <c r="H828" i="6"/>
  <c r="H827" i="6"/>
  <c r="H820" i="6"/>
  <c r="H826" i="6"/>
  <c r="F882" i="13" l="1"/>
  <c r="F807" i="13"/>
  <c r="F806" i="13"/>
  <c r="F805" i="13"/>
  <c r="F804" i="13"/>
  <c r="F803" i="13"/>
  <c r="F802" i="13"/>
  <c r="F801" i="13"/>
  <c r="F800" i="13"/>
  <c r="F799" i="13"/>
  <c r="F798" i="13"/>
  <c r="F797" i="13"/>
  <c r="F796" i="13"/>
  <c r="F795" i="13"/>
  <c r="F794" i="13"/>
  <c r="F793" i="13"/>
  <c r="F792" i="13"/>
  <c r="F791" i="13"/>
  <c r="F790" i="13"/>
  <c r="F789" i="13"/>
  <c r="F788" i="13"/>
  <c r="F787" i="13"/>
  <c r="F786" i="13"/>
  <c r="F785" i="13"/>
  <c r="F784" i="13"/>
  <c r="F783" i="13"/>
  <c r="F782" i="13"/>
  <c r="F781" i="13"/>
  <c r="F780" i="13"/>
  <c r="F779" i="13"/>
  <c r="F778" i="13"/>
  <c r="F777" i="13"/>
  <c r="F776" i="13"/>
  <c r="F775" i="13"/>
  <c r="F774" i="13"/>
  <c r="F773" i="13"/>
  <c r="F772" i="13"/>
  <c r="F771" i="13"/>
  <c r="F770" i="13"/>
  <c r="F769" i="13"/>
  <c r="F768" i="13"/>
  <c r="F767" i="13"/>
  <c r="F766" i="13"/>
  <c r="F765" i="13"/>
  <c r="F764" i="13"/>
  <c r="F763" i="13"/>
  <c r="F762" i="13"/>
  <c r="F761" i="13"/>
  <c r="F760" i="13"/>
  <c r="F759" i="13"/>
  <c r="F758" i="13"/>
  <c r="F757" i="13"/>
  <c r="F756" i="13"/>
  <c r="F755" i="13"/>
  <c r="F754" i="13"/>
  <c r="F753" i="13"/>
  <c r="F752" i="13"/>
  <c r="F751" i="13"/>
  <c r="F750" i="13"/>
  <c r="F749" i="13"/>
  <c r="F748" i="13"/>
  <c r="F747" i="13"/>
  <c r="F746" i="13"/>
  <c r="F745" i="13"/>
  <c r="F744" i="13"/>
  <c r="F743" i="13"/>
  <c r="F742" i="13"/>
  <c r="F741" i="13"/>
  <c r="F740" i="13"/>
  <c r="F739" i="13"/>
  <c r="F738" i="13"/>
  <c r="F737" i="13"/>
  <c r="F736" i="13"/>
  <c r="F735" i="13"/>
  <c r="F734" i="13"/>
  <c r="F733" i="13"/>
  <c r="F732" i="13"/>
  <c r="F731" i="13"/>
  <c r="F730" i="13"/>
  <c r="F729" i="13"/>
  <c r="F728" i="13"/>
  <c r="F727" i="13"/>
  <c r="F726" i="13"/>
  <c r="F725" i="13"/>
  <c r="F724" i="13"/>
  <c r="F723" i="13"/>
  <c r="F722" i="13"/>
  <c r="F721" i="13"/>
  <c r="F720" i="13"/>
  <c r="F719" i="13"/>
  <c r="F718" i="13"/>
  <c r="F717" i="13"/>
  <c r="F716" i="13"/>
  <c r="F715" i="13"/>
  <c r="F714" i="13"/>
  <c r="F713" i="13"/>
  <c r="F712" i="13"/>
  <c r="F711" i="13"/>
  <c r="F710" i="13"/>
  <c r="F709" i="13"/>
  <c r="F708" i="13"/>
  <c r="F707" i="13"/>
  <c r="F706" i="13"/>
  <c r="F705" i="13"/>
  <c r="F704" i="13"/>
  <c r="F703" i="13"/>
  <c r="F702" i="13"/>
  <c r="F701" i="13"/>
  <c r="F700" i="13"/>
  <c r="F699" i="13"/>
  <c r="F698" i="13"/>
  <c r="F697" i="13"/>
  <c r="F696" i="13"/>
  <c r="F695" i="13"/>
  <c r="F694" i="13"/>
  <c r="F693" i="13"/>
  <c r="F692" i="13"/>
  <c r="F691" i="13"/>
  <c r="F690" i="13"/>
  <c r="F689" i="13"/>
  <c r="F688" i="13"/>
  <c r="F687" i="13"/>
  <c r="F686" i="13"/>
  <c r="F685" i="13"/>
  <c r="F684" i="13"/>
  <c r="F683" i="13"/>
  <c r="F682" i="13"/>
  <c r="F681" i="13"/>
  <c r="F680" i="13"/>
  <c r="F679" i="13"/>
  <c r="F678" i="13"/>
  <c r="F677" i="13"/>
  <c r="F676" i="13"/>
  <c r="F675" i="13"/>
  <c r="F674" i="13"/>
  <c r="F673" i="13"/>
  <c r="F672" i="13"/>
  <c r="F671" i="13"/>
  <c r="F670" i="13"/>
  <c r="F669" i="13"/>
  <c r="F668" i="13"/>
  <c r="F667" i="13"/>
  <c r="F666" i="13"/>
  <c r="F572" i="13"/>
  <c r="F567" i="13"/>
  <c r="F566" i="13"/>
  <c r="F565" i="13"/>
  <c r="F564" i="13"/>
  <c r="F563" i="13"/>
  <c r="F561" i="13"/>
  <c r="F560" i="13"/>
  <c r="F559" i="13"/>
  <c r="F558" i="13"/>
  <c r="F557" i="13"/>
  <c r="F556" i="13"/>
  <c r="F555" i="13"/>
  <c r="F554" i="13"/>
  <c r="F553" i="13"/>
  <c r="F552" i="13"/>
  <c r="F551" i="13"/>
  <c r="F550" i="13"/>
  <c r="F549" i="13"/>
  <c r="F548" i="13"/>
  <c r="F547" i="13"/>
  <c r="F546" i="13"/>
  <c r="F545" i="13"/>
  <c r="F544" i="13"/>
  <c r="F543" i="13"/>
  <c r="F542" i="13"/>
  <c r="F541" i="13"/>
  <c r="F540" i="13"/>
  <c r="F539" i="13"/>
  <c r="F538" i="13"/>
  <c r="F537" i="13"/>
  <c r="F536" i="13"/>
  <c r="F535" i="13"/>
  <c r="F534" i="13"/>
  <c r="F533" i="13"/>
  <c r="F532" i="13"/>
  <c r="F531" i="13"/>
  <c r="F530" i="13"/>
  <c r="F529" i="13"/>
  <c r="F528" i="13"/>
  <c r="F527" i="13"/>
  <c r="F526" i="13"/>
  <c r="F525" i="13"/>
  <c r="F524" i="13"/>
  <c r="F523" i="13"/>
  <c r="F522" i="13"/>
  <c r="F521" i="13"/>
  <c r="F520" i="13"/>
  <c r="F519" i="13"/>
  <c r="F518" i="13"/>
  <c r="F517" i="13"/>
  <c r="F516" i="13"/>
  <c r="F515" i="13"/>
  <c r="F514" i="13"/>
  <c r="F512" i="13"/>
  <c r="F511" i="13"/>
  <c r="F510" i="13"/>
  <c r="F509" i="13"/>
  <c r="F508" i="13"/>
  <c r="F507" i="13"/>
  <c r="F506" i="13"/>
  <c r="F505" i="13"/>
  <c r="F504" i="13"/>
  <c r="F503" i="13"/>
  <c r="F502" i="13"/>
  <c r="F501" i="13"/>
  <c r="F500" i="13"/>
  <c r="F499" i="13"/>
  <c r="F498" i="13"/>
  <c r="F497" i="13"/>
  <c r="F496" i="13"/>
  <c r="F495" i="13"/>
  <c r="F494" i="13"/>
  <c r="F493" i="13"/>
  <c r="F492" i="13"/>
  <c r="F491" i="13"/>
  <c r="F490" i="13"/>
  <c r="F489" i="13"/>
  <c r="F488" i="13"/>
  <c r="F487" i="13"/>
  <c r="F486" i="13"/>
  <c r="F485" i="13"/>
  <c r="F481" i="13"/>
  <c r="F480" i="13"/>
  <c r="F479" i="13"/>
  <c r="F478" i="13"/>
  <c r="F477" i="13"/>
  <c r="F476" i="13"/>
  <c r="F475" i="13"/>
  <c r="F474" i="13"/>
  <c r="F473" i="13"/>
  <c r="F472" i="13"/>
  <c r="F471" i="13"/>
  <c r="F470" i="13"/>
  <c r="F469" i="13"/>
  <c r="F468" i="13"/>
  <c r="F467" i="13"/>
  <c r="F466" i="13"/>
  <c r="F465" i="13"/>
  <c r="F464" i="13"/>
  <c r="F463" i="13"/>
  <c r="F462" i="13"/>
  <c r="F461" i="13"/>
  <c r="F460" i="13"/>
  <c r="F459" i="13"/>
  <c r="F458" i="13"/>
  <c r="F457" i="13"/>
  <c r="F456" i="13"/>
  <c r="F455" i="13"/>
  <c r="F454" i="13"/>
  <c r="F453" i="13"/>
  <c r="F452" i="13"/>
  <c r="F451" i="13"/>
  <c r="F450" i="13"/>
  <c r="F442" i="13"/>
  <c r="F441" i="13"/>
  <c r="F440" i="13"/>
  <c r="F439" i="13"/>
  <c r="F438" i="13"/>
  <c r="F437" i="13"/>
  <c r="F436" i="13"/>
  <c r="F435" i="13"/>
  <c r="F434" i="13"/>
  <c r="F433" i="13"/>
  <c r="F432" i="13"/>
  <c r="F431" i="13"/>
  <c r="F430" i="13"/>
  <c r="F429" i="13"/>
  <c r="F428" i="13"/>
  <c r="F427" i="13"/>
  <c r="F426" i="13"/>
  <c r="F425" i="13"/>
  <c r="F424" i="13"/>
  <c r="F423" i="13"/>
  <c r="F422" i="13"/>
  <c r="F421" i="13"/>
  <c r="F420" i="13"/>
  <c r="F419" i="13"/>
  <c r="F418" i="13"/>
  <c r="F417" i="13"/>
  <c r="F409" i="13"/>
  <c r="F408" i="13"/>
  <c r="F407" i="13"/>
  <c r="F406" i="13"/>
  <c r="F405" i="13"/>
  <c r="F404" i="13"/>
  <c r="F395" i="13"/>
  <c r="F394" i="13"/>
  <c r="F393" i="13"/>
  <c r="F392" i="13"/>
  <c r="F391" i="13"/>
  <c r="F390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70" i="13"/>
  <c r="F369" i="13"/>
  <c r="F368" i="13"/>
  <c r="F367" i="13"/>
  <c r="F366" i="13"/>
  <c r="F365" i="13"/>
  <c r="F364" i="13"/>
  <c r="F363" i="13"/>
  <c r="F362" i="13"/>
  <c r="F361" i="13"/>
  <c r="F357" i="13"/>
  <c r="F356" i="13"/>
  <c r="F355" i="13"/>
  <c r="F354" i="13"/>
  <c r="F353" i="13"/>
  <c r="F352" i="13"/>
  <c r="F351" i="13"/>
  <c r="F350" i="13"/>
  <c r="F349" i="13"/>
  <c r="F348" i="13"/>
  <c r="F347" i="13"/>
  <c r="F346" i="13"/>
  <c r="F345" i="13"/>
  <c r="F344" i="13"/>
  <c r="F343" i="13"/>
  <c r="F342" i="13"/>
  <c r="F341" i="13"/>
  <c r="F340" i="13"/>
  <c r="F317" i="13"/>
  <c r="F316" i="13"/>
  <c r="F315" i="13"/>
  <c r="F314" i="13"/>
  <c r="F312" i="13"/>
  <c r="F311" i="13"/>
  <c r="F310" i="13"/>
  <c r="F309" i="13"/>
  <c r="F308" i="13"/>
  <c r="F307" i="13"/>
  <c r="F306" i="13"/>
  <c r="F305" i="13"/>
  <c r="F304" i="13"/>
  <c r="F303" i="13"/>
  <c r="F302" i="13"/>
  <c r="F301" i="13"/>
  <c r="F300" i="13"/>
  <c r="F299" i="13"/>
  <c r="F298" i="13"/>
  <c r="F297" i="13"/>
  <c r="F296" i="13"/>
  <c r="F295" i="13"/>
  <c r="F294" i="13"/>
  <c r="F293" i="13"/>
  <c r="F292" i="13"/>
  <c r="F291" i="13"/>
  <c r="F290" i="13"/>
  <c r="F289" i="13"/>
  <c r="F288" i="13"/>
  <c r="F287" i="13"/>
  <c r="F286" i="13"/>
  <c r="F285" i="13"/>
  <c r="F284" i="13"/>
  <c r="F283" i="13"/>
  <c r="F282" i="13"/>
  <c r="F281" i="13"/>
  <c r="F280" i="13"/>
  <c r="F279" i="13"/>
  <c r="F278" i="13"/>
  <c r="F277" i="13"/>
  <c r="F276" i="13"/>
  <c r="F275" i="13"/>
  <c r="F274" i="13"/>
  <c r="F273" i="13"/>
  <c r="F272" i="13"/>
  <c r="F271" i="13"/>
  <c r="F270" i="13"/>
  <c r="F269" i="13"/>
  <c r="F268" i="13"/>
  <c r="F267" i="13"/>
  <c r="F266" i="13"/>
  <c r="F265" i="13"/>
  <c r="F264" i="13"/>
  <c r="F263" i="13"/>
  <c r="F262" i="13"/>
  <c r="F261" i="13"/>
  <c r="F260" i="13"/>
  <c r="F259" i="13"/>
  <c r="F258" i="13"/>
  <c r="F257" i="13"/>
  <c r="F256" i="13"/>
  <c r="F255" i="13"/>
  <c r="F254" i="13"/>
  <c r="F253" i="13"/>
  <c r="F252" i="13"/>
  <c r="F251" i="13"/>
  <c r="F250" i="13"/>
  <c r="F249" i="13"/>
  <c r="F248" i="13"/>
  <c r="F247" i="13"/>
  <c r="F246" i="13"/>
  <c r="F245" i="13"/>
  <c r="F244" i="13"/>
  <c r="F243" i="13"/>
  <c r="F242" i="13"/>
  <c r="F241" i="13"/>
  <c r="F240" i="13"/>
  <c r="F239" i="13"/>
  <c r="F238" i="13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3" i="13"/>
  <c r="F12" i="13"/>
  <c r="F11" i="13"/>
  <c r="F10" i="13"/>
  <c r="F9" i="13"/>
  <c r="F8" i="13"/>
  <c r="F7" i="13"/>
  <c r="F6" i="13"/>
  <c r="F5" i="13"/>
  <c r="F4" i="13"/>
  <c r="F3" i="13"/>
  <c r="F2" i="13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4" i="7"/>
  <c r="B818" i="6"/>
  <c r="I149" i="7" l="1"/>
  <c r="H799" i="6"/>
  <c r="H798" i="6"/>
  <c r="H796" i="6"/>
  <c r="H795" i="6"/>
  <c r="H794" i="6"/>
  <c r="H793" i="6"/>
  <c r="H792" i="6"/>
  <c r="H791" i="6"/>
  <c r="H790" i="6"/>
  <c r="H789" i="6"/>
  <c r="H788" i="6"/>
  <c r="B793" i="6"/>
  <c r="B794" i="6"/>
  <c r="B795" i="6"/>
  <c r="B796" i="6"/>
  <c r="B797" i="6"/>
  <c r="H797" i="6"/>
  <c r="B798" i="6"/>
  <c r="B799" i="6"/>
  <c r="B800" i="6"/>
  <c r="H800" i="6"/>
  <c r="B801" i="6"/>
  <c r="H801" i="6"/>
  <c r="B802" i="6"/>
  <c r="H802" i="6"/>
  <c r="B803" i="6"/>
  <c r="H803" i="6"/>
  <c r="B804" i="6"/>
  <c r="H804" i="6"/>
  <c r="B816" i="6"/>
  <c r="H816" i="6"/>
  <c r="B817" i="6"/>
  <c r="H817" i="6"/>
  <c r="H818" i="6"/>
  <c r="B819" i="6"/>
  <c r="H819" i="6"/>
  <c r="B820" i="6"/>
  <c r="B826" i="6"/>
  <c r="B827" i="6"/>
  <c r="B792" i="6"/>
  <c r="B828" i="6"/>
  <c r="B791" i="6"/>
  <c r="B790" i="6"/>
  <c r="B829" i="6"/>
  <c r="B830" i="6"/>
  <c r="H830" i="6"/>
  <c r="B831" i="6"/>
  <c r="H831" i="6"/>
  <c r="B832" i="6"/>
  <c r="H832" i="6"/>
  <c r="B833" i="6"/>
  <c r="B834" i="6"/>
  <c r="B789" i="6"/>
  <c r="B835" i="6"/>
  <c r="B836" i="6"/>
  <c r="B837" i="6"/>
  <c r="B846" i="6"/>
  <c r="B847" i="6"/>
  <c r="B848" i="6"/>
  <c r="B849" i="6"/>
  <c r="B788" i="6"/>
  <c r="B850" i="6"/>
  <c r="B853" i="6"/>
  <c r="B854" i="6"/>
  <c r="B855" i="6"/>
  <c r="H855" i="6"/>
  <c r="H786" i="6" l="1"/>
  <c r="H785" i="6" l="1"/>
  <c r="H784" i="6"/>
  <c r="H783" i="6" l="1"/>
  <c r="H782" i="6"/>
  <c r="H781" i="6"/>
  <c r="H780" i="6"/>
  <c r="B780" i="6"/>
  <c r="B781" i="6"/>
  <c r="B782" i="6"/>
  <c r="B783" i="6"/>
  <c r="B784" i="6"/>
  <c r="B785" i="6"/>
  <c r="B786" i="6"/>
  <c r="B787" i="6"/>
  <c r="H787" i="6"/>
  <c r="H779" i="6"/>
  <c r="H778" i="6"/>
  <c r="H777" i="6"/>
  <c r="H776" i="6"/>
  <c r="B777" i="6" l="1"/>
  <c r="B778" i="6"/>
  <c r="B779" i="6"/>
  <c r="B856" i="6"/>
  <c r="B857" i="6"/>
  <c r="B858" i="6"/>
  <c r="B859" i="6"/>
  <c r="B860" i="6"/>
  <c r="B861" i="6"/>
  <c r="B776" i="6"/>
  <c r="B862" i="6"/>
  <c r="B1579" i="6"/>
  <c r="H770" i="6" l="1"/>
  <c r="H759" i="6" l="1"/>
  <c r="H775" i="6"/>
  <c r="H774" i="6"/>
  <c r="H773" i="6"/>
  <c r="H772" i="6"/>
  <c r="H771" i="6"/>
  <c r="H769" i="6"/>
  <c r="H768" i="6"/>
  <c r="H767" i="6"/>
  <c r="H766" i="6"/>
  <c r="H765" i="6"/>
  <c r="H764" i="6"/>
  <c r="H763" i="6"/>
  <c r="H762" i="6"/>
  <c r="H761" i="6"/>
  <c r="H760" i="6"/>
  <c r="B765" i="6"/>
  <c r="B766" i="6"/>
  <c r="B767" i="6"/>
  <c r="B768" i="6"/>
  <c r="B769" i="6"/>
  <c r="B770" i="6"/>
  <c r="B771" i="6"/>
  <c r="B772" i="6"/>
  <c r="H758" i="6"/>
  <c r="H757" i="6"/>
  <c r="H756" i="6"/>
  <c r="H755" i="6"/>
  <c r="H754" i="6"/>
  <c r="H753" i="6"/>
  <c r="H752" i="6"/>
  <c r="H751" i="6"/>
  <c r="B752" i="6" l="1"/>
  <c r="B753" i="6"/>
  <c r="B754" i="6"/>
  <c r="B755" i="6"/>
  <c r="B756" i="6"/>
  <c r="B757" i="6"/>
  <c r="B758" i="6"/>
  <c r="B751" i="6"/>
  <c r="B759" i="6"/>
  <c r="B760" i="6"/>
  <c r="B761" i="6"/>
  <c r="B762" i="6"/>
  <c r="B295" i="6" l="1"/>
  <c r="H295" i="6"/>
  <c r="B294" i="6"/>
  <c r="H294" i="6"/>
  <c r="B296" i="6"/>
  <c r="H296" i="6"/>
  <c r="B673" i="6" l="1"/>
  <c r="H673" i="6"/>
  <c r="B674" i="6"/>
  <c r="H674" i="6"/>
  <c r="B739" i="6"/>
  <c r="H739" i="6"/>
  <c r="B740" i="6"/>
  <c r="H740" i="6"/>
  <c r="B741" i="6"/>
  <c r="H741" i="6"/>
  <c r="B742" i="6"/>
  <c r="H742" i="6"/>
  <c r="B608" i="6"/>
  <c r="H608" i="6"/>
  <c r="B719" i="6"/>
  <c r="H719" i="6"/>
  <c r="B720" i="6"/>
  <c r="H720" i="6"/>
  <c r="B651" i="6"/>
  <c r="H651" i="6"/>
  <c r="B652" i="6"/>
  <c r="H652" i="6"/>
  <c r="H750" i="6"/>
  <c r="H749" i="6"/>
  <c r="H748" i="6"/>
  <c r="H747" i="6"/>
  <c r="H746" i="6"/>
  <c r="H737" i="6"/>
  <c r="B746" i="6"/>
  <c r="B747" i="6"/>
  <c r="B748" i="6"/>
  <c r="B749" i="6"/>
  <c r="B750" i="6"/>
  <c r="B763" i="6"/>
  <c r="B764" i="6"/>
  <c r="B773" i="6"/>
  <c r="B774" i="6"/>
  <c r="B775" i="6"/>
  <c r="H732" i="6"/>
  <c r="B735" i="6" l="1"/>
  <c r="H735" i="6"/>
  <c r="B736" i="6"/>
  <c r="H736" i="6"/>
  <c r="B737" i="6"/>
  <c r="B738" i="6"/>
  <c r="H738" i="6"/>
  <c r="B743" i="6"/>
  <c r="H743" i="6"/>
  <c r="B734" i="6"/>
  <c r="H734" i="6"/>
  <c r="B733" i="6"/>
  <c r="H733" i="6"/>
  <c r="B744" i="6"/>
  <c r="H744" i="6"/>
  <c r="H731" i="6"/>
  <c r="H730" i="6"/>
  <c r="H729" i="6"/>
  <c r="H728" i="6"/>
  <c r="H716" i="6"/>
  <c r="H717" i="6"/>
  <c r="H718" i="6"/>
  <c r="H721" i="6"/>
  <c r="H722" i="6"/>
  <c r="H723" i="6"/>
  <c r="H724" i="6"/>
  <c r="H725" i="6"/>
  <c r="H726" i="6"/>
  <c r="H727" i="6"/>
  <c r="B721" i="6" l="1"/>
  <c r="B722" i="6"/>
  <c r="B723" i="6"/>
  <c r="B724" i="6"/>
  <c r="B725" i="6"/>
  <c r="B726" i="6"/>
  <c r="H711" i="6"/>
  <c r="H712" i="6"/>
  <c r="H713" i="6"/>
  <c r="H714" i="6"/>
  <c r="H715" i="6"/>
  <c r="H705" i="6"/>
  <c r="H706" i="6"/>
  <c r="H707" i="6"/>
  <c r="H708" i="6"/>
  <c r="H709" i="6"/>
  <c r="H710" i="6"/>
  <c r="H702" i="6"/>
  <c r="H703" i="6"/>
  <c r="H704" i="6"/>
  <c r="B705" i="6"/>
  <c r="B706" i="6"/>
  <c r="B707" i="6"/>
  <c r="B708" i="6"/>
  <c r="B709" i="6"/>
  <c r="B710" i="6"/>
  <c r="B711" i="6"/>
  <c r="B712" i="6"/>
  <c r="B713" i="6"/>
  <c r="B714" i="6"/>
  <c r="B715" i="6"/>
  <c r="B703" i="6"/>
  <c r="B704" i="6"/>
  <c r="B716" i="6"/>
  <c r="B717" i="6"/>
  <c r="B718" i="6"/>
  <c r="B727" i="6"/>
  <c r="B728" i="6"/>
  <c r="B729" i="6"/>
  <c r="B702" i="6"/>
  <c r="B731" i="6"/>
  <c r="B730" i="6"/>
  <c r="B732" i="6"/>
  <c r="B745" i="6"/>
  <c r="H745" i="6"/>
  <c r="H698" i="6"/>
  <c r="H699" i="6"/>
  <c r="H700" i="6"/>
  <c r="H701" i="6"/>
  <c r="B698" i="6"/>
  <c r="B699" i="6"/>
  <c r="B700" i="6"/>
  <c r="B701" i="6"/>
  <c r="H684" i="6"/>
  <c r="H685" i="6"/>
  <c r="H686" i="6"/>
  <c r="H687" i="6"/>
  <c r="H688" i="6"/>
  <c r="H689" i="6"/>
  <c r="H690" i="6"/>
  <c r="H691" i="6"/>
  <c r="H692" i="6"/>
  <c r="H693" i="6"/>
  <c r="H694" i="6"/>
  <c r="H697" i="6"/>
  <c r="H672" i="6"/>
  <c r="H675" i="6"/>
  <c r="H676" i="6"/>
  <c r="H677" i="6"/>
  <c r="H678" i="6"/>
  <c r="H679" i="6"/>
  <c r="H680" i="6"/>
  <c r="H681" i="6"/>
  <c r="H682" i="6"/>
  <c r="H683" i="6"/>
  <c r="B676" i="6"/>
  <c r="B677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72" i="6"/>
  <c r="B675" i="6"/>
  <c r="B678" i="6"/>
  <c r="B691" i="6"/>
  <c r="B692" i="6"/>
  <c r="H669" i="6"/>
  <c r="H670" i="6"/>
  <c r="H671" i="6"/>
  <c r="H662" i="6"/>
  <c r="H663" i="6"/>
  <c r="H664" i="6"/>
  <c r="H665" i="6"/>
  <c r="H666" i="6"/>
  <c r="H667" i="6"/>
  <c r="H668" i="6"/>
  <c r="B656" i="6"/>
  <c r="H656" i="6"/>
  <c r="B658" i="6"/>
  <c r="H658" i="6"/>
  <c r="B659" i="6"/>
  <c r="H659" i="6"/>
  <c r="B660" i="6"/>
  <c r="H660" i="6"/>
  <c r="B661" i="6"/>
  <c r="H661" i="6"/>
  <c r="B662" i="6"/>
  <c r="B663" i="6"/>
  <c r="B664" i="6"/>
  <c r="B655" i="6"/>
  <c r="H655" i="6"/>
  <c r="B657" i="6"/>
  <c r="H657" i="6"/>
  <c r="B665" i="6"/>
  <c r="B666" i="6"/>
  <c r="B668" i="6"/>
  <c r="B654" i="6" l="1"/>
  <c r="H654" i="6"/>
  <c r="B667" i="6"/>
  <c r="B653" i="6"/>
  <c r="H653" i="6"/>
  <c r="B670" i="6"/>
  <c r="B671" i="6"/>
  <c r="B693" i="6"/>
  <c r="B694" i="6"/>
  <c r="B650" i="6"/>
  <c r="H650" i="6"/>
  <c r="B669" i="6"/>
  <c r="B697" i="6"/>
  <c r="B636" i="6" l="1"/>
  <c r="H636" i="6"/>
  <c r="B637" i="6"/>
  <c r="H637" i="6"/>
  <c r="B638" i="6"/>
  <c r="H638" i="6"/>
  <c r="B639" i="6"/>
  <c r="H639" i="6"/>
  <c r="B640" i="6"/>
  <c r="H640" i="6"/>
  <c r="B635" i="6"/>
  <c r="H635" i="6"/>
  <c r="B628" i="6"/>
  <c r="H628" i="6"/>
  <c r="B629" i="6"/>
  <c r="H629" i="6"/>
  <c r="B630" i="6"/>
  <c r="H630" i="6"/>
  <c r="B631" i="6"/>
  <c r="H631" i="6"/>
  <c r="B632" i="6"/>
  <c r="H632" i="6"/>
  <c r="B633" i="6"/>
  <c r="H633" i="6"/>
  <c r="B634" i="6"/>
  <c r="H634" i="6"/>
  <c r="B641" i="6"/>
  <c r="C40" i="14" l="1"/>
  <c r="B612" i="6"/>
  <c r="H612" i="6"/>
  <c r="B613" i="6"/>
  <c r="H613" i="6"/>
  <c r="B646" i="6"/>
  <c r="H646" i="6"/>
  <c r="B644" i="6"/>
  <c r="H644" i="6"/>
  <c r="B645" i="6"/>
  <c r="H645" i="6"/>
  <c r="H610" i="6"/>
  <c r="B610" i="6"/>
  <c r="H582" i="6" l="1"/>
  <c r="B582" i="6"/>
  <c r="B573" i="6"/>
  <c r="H573" i="6"/>
  <c r="B574" i="6"/>
  <c r="H574" i="6"/>
  <c r="B575" i="6"/>
  <c r="H575" i="6"/>
  <c r="B576" i="6"/>
  <c r="H576" i="6"/>
  <c r="H621" i="6"/>
  <c r="H623" i="6"/>
  <c r="B622" i="6"/>
  <c r="H622" i="6"/>
  <c r="B623" i="6"/>
  <c r="B620" i="6"/>
  <c r="H620" i="6"/>
  <c r="H649" i="6"/>
  <c r="H648" i="6"/>
  <c r="H647" i="6"/>
  <c r="H643" i="6"/>
  <c r="H642" i="6"/>
  <c r="H627" i="6"/>
  <c r="H625" i="6"/>
  <c r="H624" i="6"/>
  <c r="H619" i="6"/>
  <c r="H618" i="6"/>
  <c r="H617" i="6"/>
  <c r="H616" i="6"/>
  <c r="H615" i="6"/>
  <c r="B617" i="6"/>
  <c r="B618" i="6"/>
  <c r="B619" i="6"/>
  <c r="B621" i="6"/>
  <c r="B624" i="6"/>
  <c r="B625" i="6"/>
  <c r="B627" i="6"/>
  <c r="B642" i="6"/>
  <c r="H611" i="6"/>
  <c r="H609" i="6"/>
  <c r="H607" i="6"/>
  <c r="H606" i="6"/>
  <c r="H605" i="6"/>
  <c r="H604" i="6"/>
  <c r="B606" i="6"/>
  <c r="B607" i="6"/>
  <c r="B609" i="6"/>
  <c r="B611" i="6"/>
  <c r="B614" i="6"/>
  <c r="H614" i="6"/>
  <c r="B615" i="6"/>
  <c r="B616" i="6"/>
  <c r="B643" i="6"/>
  <c r="B647" i="6"/>
  <c r="B648" i="6"/>
  <c r="B604" i="6"/>
  <c r="B605" i="6"/>
  <c r="B649" i="6"/>
  <c r="H601" i="6"/>
  <c r="H600" i="6"/>
  <c r="H599" i="6"/>
  <c r="H598" i="6"/>
  <c r="H597" i="6"/>
  <c r="H596" i="6"/>
  <c r="H595" i="6" l="1"/>
  <c r="H594" i="6"/>
  <c r="H593" i="6"/>
  <c r="H592" i="6"/>
  <c r="H591" i="6"/>
  <c r="H590" i="6"/>
  <c r="H589" i="6"/>
  <c r="B590" i="6"/>
  <c r="B591" i="6"/>
  <c r="B592" i="6"/>
  <c r="B593" i="6"/>
  <c r="B594" i="6"/>
  <c r="B595" i="6"/>
  <c r="B596" i="6"/>
  <c r="B597" i="6"/>
  <c r="B598" i="6"/>
  <c r="B589" i="6"/>
  <c r="B599" i="6"/>
  <c r="B600" i="6"/>
  <c r="B601" i="6"/>
  <c r="H580" i="6"/>
  <c r="H581" i="6"/>
  <c r="H583" i="6"/>
  <c r="H586" i="6"/>
  <c r="H587" i="6"/>
  <c r="H588" i="6"/>
  <c r="H602" i="6"/>
  <c r="H603" i="6"/>
  <c r="B579" i="6"/>
  <c r="H579" i="6"/>
  <c r="B580" i="6"/>
  <c r="B581" i="6"/>
  <c r="B583" i="6"/>
  <c r="B578" i="6"/>
  <c r="H578" i="6"/>
  <c r="B586" i="6" l="1"/>
  <c r="B587" i="6"/>
  <c r="B588" i="6"/>
  <c r="B602" i="6"/>
  <c r="B603" i="6"/>
  <c r="B548" i="6" l="1"/>
  <c r="H548" i="6"/>
  <c r="B549" i="6"/>
  <c r="H549" i="6"/>
  <c r="B550" i="6"/>
  <c r="H550" i="6"/>
  <c r="B562" i="6"/>
  <c r="H562" i="6"/>
  <c r="B559" i="6"/>
  <c r="B560" i="6"/>
  <c r="H560" i="6"/>
  <c r="B561" i="6"/>
  <c r="H561" i="6"/>
  <c r="B563" i="6"/>
  <c r="H563" i="6"/>
  <c r="H568" i="6" l="1"/>
  <c r="H566" i="6"/>
  <c r="B566" i="6"/>
  <c r="H558" i="6" l="1"/>
  <c r="B558" i="6"/>
  <c r="H557" i="6"/>
  <c r="B557" i="6"/>
  <c r="H556" i="6"/>
  <c r="B556" i="6"/>
  <c r="H555" i="6"/>
  <c r="B555" i="6"/>
  <c r="H554" i="6"/>
  <c r="B554" i="6"/>
  <c r="H551" i="6"/>
  <c r="B551" i="6"/>
  <c r="H547" i="6"/>
  <c r="H546" i="6"/>
  <c r="B547" i="6"/>
  <c r="B546" i="6"/>
  <c r="H545" i="6"/>
  <c r="B545" i="6"/>
  <c r="B544" i="6"/>
  <c r="H544" i="6"/>
  <c r="B543" i="6"/>
  <c r="H543" i="6"/>
  <c r="H540" i="6"/>
  <c r="B540" i="6"/>
  <c r="H539" i="6"/>
  <c r="B539" i="6"/>
  <c r="H538" i="6"/>
  <c r="B538" i="6"/>
  <c r="H522" i="6"/>
  <c r="B522" i="6"/>
  <c r="H565" i="6"/>
  <c r="H564" i="6"/>
  <c r="H542" i="6"/>
  <c r="H541" i="6"/>
  <c r="H533" i="6" l="1"/>
  <c r="H532" i="6"/>
  <c r="H531" i="6"/>
  <c r="H530" i="6"/>
  <c r="B530" i="6"/>
  <c r="B531" i="6"/>
  <c r="B532" i="6"/>
  <c r="B533" i="6"/>
  <c r="H525" i="6"/>
  <c r="H524" i="6"/>
  <c r="B524" i="6"/>
  <c r="B525" i="6"/>
  <c r="B567" i="6"/>
  <c r="B568" i="6"/>
  <c r="B569" i="6"/>
  <c r="B565" i="6"/>
  <c r="B564" i="6"/>
  <c r="B570" i="6"/>
  <c r="B571" i="6"/>
  <c r="B542" i="6"/>
  <c r="B572" i="6"/>
  <c r="B577" i="6"/>
  <c r="B541" i="6"/>
  <c r="B1580" i="6"/>
  <c r="H537" i="6" l="1"/>
  <c r="H536" i="6"/>
  <c r="H535" i="6"/>
  <c r="H534" i="6"/>
  <c r="H529" i="6"/>
  <c r="H528" i="6"/>
  <c r="H527" i="6"/>
  <c r="H526" i="6"/>
  <c r="B503" i="6" l="1"/>
  <c r="H503" i="6"/>
  <c r="B504" i="6"/>
  <c r="H504" i="6"/>
  <c r="H523" i="6" l="1"/>
  <c r="H521" i="6"/>
  <c r="H520" i="6"/>
  <c r="H519" i="6"/>
  <c r="H518" i="6"/>
  <c r="H517" i="6"/>
  <c r="H516" i="6"/>
  <c r="H515" i="6"/>
  <c r="H514" i="6"/>
  <c r="H513" i="6"/>
  <c r="H511" i="6" l="1"/>
  <c r="H510" i="6"/>
  <c r="H509" i="6"/>
  <c r="H508" i="6"/>
  <c r="H507" i="6"/>
  <c r="H506" i="6"/>
  <c r="H505" i="6"/>
  <c r="B527" i="6"/>
  <c r="B528" i="6"/>
  <c r="B529" i="6"/>
  <c r="B534" i="6"/>
  <c r="B535" i="6"/>
  <c r="B536" i="6"/>
  <c r="B537" i="6"/>
  <c r="B1581" i="6"/>
  <c r="B502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3" i="6"/>
  <c r="B526" i="6"/>
  <c r="H512" i="6"/>
  <c r="B479" i="6" l="1"/>
  <c r="H479" i="6"/>
  <c r="B407" i="6"/>
  <c r="H407" i="6"/>
  <c r="B406" i="6"/>
  <c r="H406" i="6"/>
  <c r="B398" i="6"/>
  <c r="H398" i="6"/>
  <c r="H496" i="6"/>
  <c r="B497" i="6"/>
  <c r="H497" i="6"/>
  <c r="B496" i="6"/>
  <c r="B498" i="6"/>
  <c r="H498" i="6"/>
  <c r="B499" i="6"/>
  <c r="H499" i="6"/>
  <c r="B500" i="6"/>
  <c r="H500" i="6"/>
  <c r="H501" i="6"/>
  <c r="H502" i="6"/>
  <c r="H487" i="6"/>
  <c r="H488" i="6"/>
  <c r="H489" i="6"/>
  <c r="H490" i="6"/>
  <c r="H491" i="6"/>
  <c r="H492" i="6"/>
  <c r="H493" i="6"/>
  <c r="H494" i="6"/>
  <c r="H495" i="6"/>
  <c r="H473" i="6" l="1"/>
  <c r="H474" i="6"/>
  <c r="H475" i="6"/>
  <c r="H476" i="6"/>
  <c r="H477" i="6"/>
  <c r="H478" i="6"/>
  <c r="H480" i="6"/>
  <c r="H481" i="6"/>
  <c r="H482" i="6"/>
  <c r="H483" i="6"/>
  <c r="H484" i="6"/>
  <c r="H485" i="6"/>
  <c r="H486" i="6"/>
  <c r="B378" i="6" l="1"/>
  <c r="H378" i="6"/>
  <c r="B411" i="6"/>
  <c r="H411" i="6"/>
  <c r="B436" i="6"/>
  <c r="H436" i="6"/>
  <c r="B468" i="6"/>
  <c r="H468" i="6"/>
  <c r="H314" i="6"/>
  <c r="B314" i="6"/>
  <c r="H270" i="6"/>
  <c r="B270" i="6"/>
  <c r="H229" i="6"/>
  <c r="B229" i="6"/>
  <c r="H191" i="6"/>
  <c r="B191" i="6"/>
  <c r="H140" i="6"/>
  <c r="B140" i="6"/>
  <c r="H361" i="6"/>
  <c r="B361" i="6"/>
  <c r="B445" i="6" l="1"/>
  <c r="H445" i="6"/>
  <c r="B446" i="6"/>
  <c r="H446" i="6"/>
  <c r="B447" i="6"/>
  <c r="H447" i="6"/>
  <c r="B448" i="6"/>
  <c r="H448" i="6"/>
  <c r="B449" i="6"/>
  <c r="H449" i="6"/>
  <c r="B442" i="6"/>
  <c r="H442" i="6"/>
  <c r="B444" i="6"/>
  <c r="H444" i="6"/>
  <c r="B443" i="6"/>
  <c r="H443" i="6"/>
  <c r="B441" i="6"/>
  <c r="H441" i="6"/>
  <c r="B440" i="6"/>
  <c r="H440" i="6"/>
  <c r="B450" i="6"/>
  <c r="H450" i="6"/>
  <c r="H418" i="6" l="1"/>
  <c r="B418" i="6"/>
  <c r="H459" i="6"/>
  <c r="B459" i="6"/>
  <c r="B455" i="6" l="1"/>
  <c r="H455" i="6"/>
  <c r="B456" i="6"/>
  <c r="H456" i="6"/>
  <c r="H413" i="6"/>
  <c r="H414" i="6"/>
  <c r="H415" i="6"/>
  <c r="H416" i="6"/>
  <c r="H417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7" i="6"/>
  <c r="H438" i="6"/>
  <c r="H439" i="6"/>
  <c r="H451" i="6"/>
  <c r="H452" i="6"/>
  <c r="H453" i="6"/>
  <c r="H454" i="6"/>
  <c r="H457" i="6"/>
  <c r="H458" i="6"/>
  <c r="H460" i="6"/>
  <c r="H461" i="6"/>
  <c r="H462" i="6"/>
  <c r="H463" i="6"/>
  <c r="H464" i="6"/>
  <c r="H465" i="6"/>
  <c r="H466" i="6"/>
  <c r="H467" i="6"/>
  <c r="H469" i="6"/>
  <c r="H470" i="6"/>
  <c r="H471" i="6"/>
  <c r="H472" i="6"/>
  <c r="B476" i="6" l="1"/>
  <c r="B475" i="6"/>
  <c r="B474" i="6"/>
  <c r="B478" i="6"/>
  <c r="B477" i="6"/>
  <c r="B473" i="6"/>
  <c r="B481" i="6"/>
  <c r="B483" i="6"/>
  <c r="B485" i="6"/>
  <c r="B484" i="6"/>
  <c r="B482" i="6"/>
  <c r="B486" i="6"/>
  <c r="B487" i="6"/>
  <c r="B488" i="6"/>
  <c r="B490" i="6"/>
  <c r="B480" i="6"/>
  <c r="B489" i="6"/>
  <c r="B492" i="6"/>
  <c r="B491" i="6"/>
  <c r="B494" i="6"/>
  <c r="B493" i="6"/>
  <c r="B472" i="6"/>
  <c r="B471" i="6"/>
  <c r="B495" i="6"/>
  <c r="B466" i="6" l="1"/>
  <c r="B467" i="6"/>
  <c r="B469" i="6"/>
  <c r="B470" i="6"/>
  <c r="B458" i="6"/>
  <c r="B460" i="6"/>
  <c r="B461" i="6"/>
  <c r="B462" i="6"/>
  <c r="B463" i="6"/>
  <c r="B464" i="6"/>
  <c r="B465" i="6"/>
  <c r="B426" i="6"/>
  <c r="B427" i="6"/>
  <c r="B428" i="6"/>
  <c r="B429" i="6"/>
  <c r="B430" i="6"/>
  <c r="B431" i="6"/>
  <c r="B432" i="6"/>
  <c r="B433" i="6"/>
  <c r="B434" i="6"/>
  <c r="B435" i="6"/>
  <c r="B437" i="6"/>
  <c r="B438" i="6"/>
  <c r="B439" i="6"/>
  <c r="B451" i="6"/>
  <c r="B452" i="6"/>
  <c r="B453" i="6"/>
  <c r="B454" i="6"/>
  <c r="B457" i="6"/>
  <c r="H405" i="6"/>
  <c r="H408" i="6"/>
  <c r="H409" i="6"/>
  <c r="H410" i="6"/>
  <c r="H412" i="6"/>
  <c r="B404" i="6"/>
  <c r="B405" i="6"/>
  <c r="B408" i="6"/>
  <c r="B409" i="6"/>
  <c r="B410" i="6"/>
  <c r="B412" i="6"/>
  <c r="B413" i="6"/>
  <c r="B414" i="6"/>
  <c r="B415" i="6"/>
  <c r="B416" i="6"/>
  <c r="B417" i="6"/>
  <c r="B419" i="6"/>
  <c r="B420" i="6"/>
  <c r="B421" i="6"/>
  <c r="B422" i="6"/>
  <c r="B423" i="6"/>
  <c r="B424" i="6"/>
  <c r="B425" i="6"/>
  <c r="K1584" i="6"/>
  <c r="D5" i="14" l="1"/>
  <c r="H190" i="6"/>
  <c r="B190" i="6"/>
  <c r="H402" i="6"/>
  <c r="B402" i="6"/>
  <c r="B401" i="6"/>
  <c r="B139" i="6"/>
  <c r="H401" i="6"/>
  <c r="H139" i="6"/>
  <c r="H404" i="6"/>
  <c r="J150" i="7"/>
  <c r="B400" i="6"/>
  <c r="H400" i="6"/>
  <c r="AW16" i="7" l="1"/>
  <c r="AW18" i="7"/>
  <c r="AW15" i="7"/>
  <c r="AW14" i="7"/>
  <c r="AW17" i="7"/>
  <c r="AK21" i="7"/>
  <c r="AK24" i="7"/>
  <c r="AK18" i="7"/>
  <c r="AK19" i="7"/>
  <c r="AK20" i="7"/>
  <c r="AK14" i="7"/>
  <c r="AK15" i="7"/>
  <c r="AK16" i="7"/>
  <c r="M22" i="7"/>
  <c r="Y22" i="7"/>
  <c r="AK22" i="7"/>
  <c r="AW22" i="7"/>
  <c r="AK4" i="7"/>
  <c r="AK5" i="7"/>
  <c r="AK6" i="7"/>
  <c r="AK7" i="7"/>
  <c r="AK8" i="7"/>
  <c r="AK9" i="7"/>
  <c r="AK10" i="7"/>
  <c r="AK11" i="7"/>
  <c r="AW4" i="7"/>
  <c r="AW5" i="7"/>
  <c r="AW6" i="7"/>
  <c r="AW7" i="7"/>
  <c r="AW8" i="7"/>
  <c r="AW9" i="7"/>
  <c r="AW10" i="7"/>
  <c r="AW11" i="7"/>
  <c r="AW12" i="7"/>
  <c r="AW13" i="7"/>
  <c r="AW19" i="7"/>
  <c r="AW20" i="7"/>
  <c r="AW21" i="7"/>
  <c r="AK12" i="7"/>
  <c r="AK13" i="7"/>
  <c r="AK17" i="7"/>
  <c r="AK23" i="7"/>
  <c r="AK25" i="7"/>
  <c r="AK26" i="7"/>
  <c r="AK27" i="7"/>
  <c r="AK28" i="7"/>
  <c r="AK29" i="7"/>
  <c r="AK30" i="7"/>
  <c r="AK31" i="7"/>
  <c r="AK32" i="7"/>
  <c r="AK33" i="7"/>
  <c r="AK34" i="7"/>
  <c r="AK35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36" i="7"/>
  <c r="AW36" i="7"/>
  <c r="AW37" i="7"/>
  <c r="AW38" i="7"/>
  <c r="AW39" i="7"/>
  <c r="AW40" i="7"/>
  <c r="AW41" i="7"/>
  <c r="AW42" i="7"/>
  <c r="AW43" i="7"/>
  <c r="AW44" i="7"/>
  <c r="AW45" i="7"/>
  <c r="AW46" i="7"/>
  <c r="AW47" i="7"/>
  <c r="AW48" i="7"/>
  <c r="AW49" i="7"/>
  <c r="AW50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W51" i="7"/>
  <c r="AW52" i="7"/>
  <c r="AW53" i="7"/>
  <c r="AW54" i="7"/>
  <c r="AW55" i="7"/>
  <c r="AW56" i="7"/>
  <c r="AW57" i="7"/>
  <c r="AW58" i="7"/>
  <c r="AW59" i="7"/>
  <c r="AW60" i="7"/>
  <c r="AW61" i="7"/>
  <c r="AW62" i="7"/>
  <c r="AW63" i="7"/>
  <c r="AW64" i="7"/>
  <c r="AW65" i="7"/>
  <c r="AW66" i="7"/>
  <c r="AW67" i="7"/>
  <c r="AW68" i="7"/>
  <c r="AW69" i="7"/>
  <c r="AW70" i="7"/>
  <c r="AW71" i="7"/>
  <c r="AW72" i="7"/>
  <c r="AW73" i="7"/>
  <c r="AW74" i="7"/>
  <c r="AW75" i="7"/>
  <c r="AW76" i="7"/>
  <c r="AW77" i="7"/>
  <c r="AW78" i="7"/>
  <c r="AW79" i="7"/>
  <c r="AW80" i="7"/>
  <c r="AW81" i="7"/>
  <c r="AW82" i="7"/>
  <c r="AW83" i="7"/>
  <c r="AW84" i="7"/>
  <c r="AW85" i="7"/>
  <c r="AW86" i="7"/>
  <c r="AW87" i="7"/>
  <c r="AW88" i="7"/>
  <c r="AW89" i="7"/>
  <c r="AW90" i="7"/>
  <c r="AW91" i="7"/>
  <c r="AW92" i="7"/>
  <c r="AW93" i="7"/>
  <c r="AW94" i="7"/>
  <c r="AW95" i="7"/>
  <c r="AW96" i="7"/>
  <c r="AW97" i="7"/>
  <c r="AW98" i="7"/>
  <c r="AW99" i="7"/>
  <c r="AW100" i="7"/>
  <c r="AW101" i="7"/>
  <c r="AW102" i="7"/>
  <c r="AW103" i="7"/>
  <c r="AW104" i="7"/>
  <c r="AW105" i="7"/>
  <c r="AW106" i="7"/>
  <c r="AW107" i="7"/>
  <c r="AW108" i="7"/>
  <c r="AW109" i="7"/>
  <c r="AW110" i="7"/>
  <c r="AW111" i="7"/>
  <c r="AW112" i="7"/>
  <c r="AW113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W114" i="7"/>
  <c r="AW115" i="7"/>
  <c r="AW116" i="7"/>
  <c r="AW117" i="7"/>
  <c r="AW118" i="7"/>
  <c r="AW119" i="7"/>
  <c r="AW120" i="7"/>
  <c r="AW121" i="7"/>
  <c r="AW122" i="7"/>
  <c r="AW123" i="7"/>
  <c r="AW124" i="7"/>
  <c r="AW125" i="7"/>
  <c r="AW126" i="7"/>
  <c r="AW127" i="7"/>
  <c r="AW128" i="7"/>
  <c r="AW129" i="7"/>
  <c r="AW130" i="7"/>
  <c r="AW131" i="7"/>
  <c r="AW132" i="7"/>
  <c r="AW133" i="7"/>
  <c r="AW134" i="7"/>
  <c r="AW135" i="7"/>
  <c r="AW136" i="7"/>
  <c r="AW137" i="7"/>
  <c r="AW138" i="7"/>
  <c r="AW139" i="7"/>
  <c r="AW140" i="7"/>
  <c r="AW141" i="7"/>
  <c r="AW142" i="7"/>
  <c r="AW143" i="7"/>
  <c r="AW144" i="7"/>
  <c r="AW145" i="7"/>
  <c r="AW146" i="7"/>
  <c r="AW147" i="7"/>
  <c r="Y139" i="7"/>
  <c r="Y140" i="7"/>
  <c r="Y141" i="7"/>
  <c r="Y142" i="7"/>
  <c r="Y143" i="7"/>
  <c r="Y144" i="7"/>
  <c r="Y145" i="7"/>
  <c r="Y146" i="7"/>
  <c r="AK114" i="7"/>
  <c r="AK115" i="7"/>
  <c r="AK116" i="7"/>
  <c r="AK117" i="7"/>
  <c r="AK118" i="7"/>
  <c r="AK119" i="7"/>
  <c r="AK120" i="7"/>
  <c r="AK121" i="7"/>
  <c r="AK122" i="7"/>
  <c r="AK123" i="7"/>
  <c r="AK124" i="7"/>
  <c r="AK125" i="7"/>
  <c r="AK126" i="7"/>
  <c r="AK127" i="7"/>
  <c r="AK128" i="7"/>
  <c r="AK129" i="7"/>
  <c r="AK130" i="7"/>
  <c r="AK131" i="7"/>
  <c r="AK132" i="7"/>
  <c r="AK133" i="7"/>
  <c r="AK134" i="7"/>
  <c r="AK135" i="7"/>
  <c r="AK136" i="7"/>
  <c r="AK137" i="7"/>
  <c r="AK138" i="7"/>
  <c r="AK139" i="7"/>
  <c r="AK140" i="7"/>
  <c r="AK141" i="7"/>
  <c r="AK142" i="7"/>
  <c r="AK143" i="7"/>
  <c r="AK144" i="7"/>
  <c r="AK145" i="7"/>
  <c r="AK146" i="7"/>
  <c r="AK147" i="7"/>
  <c r="M139" i="7"/>
  <c r="M140" i="7"/>
  <c r="M141" i="7"/>
  <c r="M142" i="7"/>
  <c r="M143" i="7"/>
  <c r="M144" i="7"/>
  <c r="M145" i="7"/>
  <c r="M146" i="7"/>
  <c r="Y132" i="7"/>
  <c r="Y136" i="7"/>
  <c r="Y121" i="7"/>
  <c r="Y125" i="7"/>
  <c r="Y129" i="7"/>
  <c r="Y119" i="7"/>
  <c r="M126" i="7"/>
  <c r="M134" i="7"/>
  <c r="M138" i="7"/>
  <c r="M123" i="7"/>
  <c r="M127" i="7"/>
  <c r="M131" i="7"/>
  <c r="Y135" i="7"/>
  <c r="Y120" i="7"/>
  <c r="Y124" i="7"/>
  <c r="Y128" i="7"/>
  <c r="M122" i="7"/>
  <c r="M130" i="7"/>
  <c r="M133" i="7"/>
  <c r="M137" i="7"/>
  <c r="Y134" i="7"/>
  <c r="Y138" i="7"/>
  <c r="Y123" i="7"/>
  <c r="Y127" i="7"/>
  <c r="Y131" i="7"/>
  <c r="Y130" i="7"/>
  <c r="M132" i="7"/>
  <c r="M136" i="7"/>
  <c r="M121" i="7"/>
  <c r="M125" i="7"/>
  <c r="M129" i="7"/>
  <c r="Y118" i="7"/>
  <c r="M119" i="7"/>
  <c r="Y133" i="7"/>
  <c r="Y137" i="7"/>
  <c r="Y122" i="7"/>
  <c r="Y126" i="7"/>
  <c r="M135" i="7"/>
  <c r="M120" i="7"/>
  <c r="M124" i="7"/>
  <c r="M128" i="7"/>
  <c r="M103" i="7"/>
  <c r="M107" i="7"/>
  <c r="M111" i="7"/>
  <c r="M115" i="7"/>
  <c r="M106" i="7"/>
  <c r="M100" i="7"/>
  <c r="M104" i="7"/>
  <c r="M108" i="7"/>
  <c r="M112" i="7"/>
  <c r="M116" i="7"/>
  <c r="M118" i="7"/>
  <c r="M110" i="7"/>
  <c r="M101" i="7"/>
  <c r="M105" i="7"/>
  <c r="M109" i="7"/>
  <c r="M113" i="7"/>
  <c r="M117" i="7"/>
  <c r="M102" i="7"/>
  <c r="M114" i="7"/>
  <c r="M5" i="7"/>
  <c r="M6" i="7"/>
  <c r="M7" i="7"/>
  <c r="M8" i="7"/>
  <c r="M9" i="7"/>
  <c r="M10" i="7"/>
  <c r="M11" i="7"/>
  <c r="M12" i="7"/>
  <c r="Y5" i="7"/>
  <c r="Y6" i="7"/>
  <c r="Y7" i="7"/>
  <c r="Y8" i="7"/>
  <c r="Y9" i="7"/>
  <c r="Y10" i="7"/>
  <c r="Y11" i="7"/>
  <c r="Y12" i="7"/>
  <c r="M13" i="7"/>
  <c r="M14" i="7"/>
  <c r="M15" i="7"/>
  <c r="M16" i="7"/>
  <c r="M17" i="7"/>
  <c r="M18" i="7"/>
  <c r="M19" i="7"/>
  <c r="M20" i="7"/>
  <c r="Y13" i="7"/>
  <c r="Y14" i="7"/>
  <c r="Y15" i="7"/>
  <c r="Y16" i="7"/>
  <c r="Y17" i="7"/>
  <c r="Y18" i="7"/>
  <c r="Y19" i="7"/>
  <c r="Y20" i="7"/>
  <c r="Y21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M21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M147" i="7"/>
  <c r="M4" i="7"/>
  <c r="Y115" i="7"/>
  <c r="Y116" i="7"/>
  <c r="Y117" i="7"/>
  <c r="Y147" i="7"/>
  <c r="Y4" i="7"/>
  <c r="B399" i="6"/>
  <c r="H399" i="6"/>
  <c r="B397" i="6"/>
  <c r="H397" i="6"/>
  <c r="B394" i="6"/>
  <c r="H394" i="6"/>
  <c r="B396" i="6"/>
  <c r="H396" i="6"/>
  <c r="H395" i="6"/>
  <c r="B395" i="6"/>
  <c r="B389" i="6"/>
  <c r="H389" i="6"/>
  <c r="B388" i="6"/>
  <c r="H388" i="6"/>
  <c r="B387" i="6"/>
  <c r="H387" i="6"/>
  <c r="B386" i="6"/>
  <c r="H386" i="6"/>
  <c r="B381" i="6"/>
  <c r="H381" i="6"/>
  <c r="H380" i="6"/>
  <c r="B380" i="6"/>
  <c r="B379" i="6"/>
  <c r="H379" i="6"/>
  <c r="B377" i="6"/>
  <c r="H377" i="6"/>
  <c r="B376" i="6"/>
  <c r="H376" i="6"/>
  <c r="B371" i="6"/>
  <c r="H371" i="6"/>
  <c r="B370" i="6"/>
  <c r="H370" i="6"/>
  <c r="Y149" i="7" l="1"/>
  <c r="M149" i="7"/>
  <c r="B393" i="6"/>
  <c r="H393" i="6"/>
  <c r="B392" i="6"/>
  <c r="H392" i="6"/>
  <c r="B391" i="6"/>
  <c r="H391" i="6"/>
  <c r="B390" i="6"/>
  <c r="H390" i="6"/>
  <c r="B385" i="6"/>
  <c r="H385" i="6"/>
  <c r="B384" i="6"/>
  <c r="H384" i="6"/>
  <c r="AV16" i="7" l="1"/>
  <c r="AV14" i="7"/>
  <c r="AV15" i="7"/>
  <c r="AV18" i="7"/>
  <c r="AV17" i="7"/>
  <c r="H373" i="6"/>
  <c r="B374" i="6" l="1"/>
  <c r="B375" i="6"/>
  <c r="B382" i="6"/>
  <c r="B383" i="6"/>
  <c r="H374" i="6"/>
  <c r="H375" i="6"/>
  <c r="H382" i="6"/>
  <c r="H383" i="6"/>
  <c r="H369" i="6"/>
  <c r="B369" i="6"/>
  <c r="H364" i="6"/>
  <c r="H334" i="6"/>
  <c r="B334" i="6"/>
  <c r="H360" i="6"/>
  <c r="H344" i="6"/>
  <c r="H313" i="6"/>
  <c r="H269" i="6"/>
  <c r="H366" i="6"/>
  <c r="H367" i="6"/>
  <c r="H368" i="6"/>
  <c r="H372" i="6"/>
  <c r="B358" i="6"/>
  <c r="B359" i="6"/>
  <c r="B228" i="6"/>
  <c r="B269" i="6"/>
  <c r="B313" i="6"/>
  <c r="B344" i="6"/>
  <c r="B360" i="6"/>
  <c r="B362" i="6"/>
  <c r="B363" i="6"/>
  <c r="B364" i="6"/>
  <c r="B365" i="6"/>
  <c r="B366" i="6"/>
  <c r="B367" i="6"/>
  <c r="B368" i="6"/>
  <c r="B372" i="6"/>
  <c r="B373" i="6"/>
  <c r="H358" i="6"/>
  <c r="H362" i="6" l="1"/>
  <c r="H363" i="6"/>
  <c r="H365" i="6"/>
  <c r="H343" i="6" l="1"/>
  <c r="H357" i="6"/>
  <c r="B357" i="6"/>
  <c r="B343" i="6"/>
  <c r="H359" i="6"/>
  <c r="H228" i="6"/>
  <c r="B356" i="6"/>
  <c r="H356" i="6"/>
  <c r="B342" i="6"/>
  <c r="H342" i="6"/>
  <c r="H312" i="6"/>
  <c r="H403" i="6"/>
  <c r="H355" i="6"/>
  <c r="H354" i="6"/>
  <c r="H353" i="6"/>
  <c r="H186" i="6"/>
  <c r="B186" i="6"/>
  <c r="H308" i="6"/>
  <c r="B308" i="6"/>
  <c r="B265" i="6"/>
  <c r="B353" i="6"/>
  <c r="B354" i="6"/>
  <c r="B355" i="6"/>
  <c r="B403" i="6"/>
  <c r="B312" i="6"/>
  <c r="H265" i="6"/>
  <c r="B346" i="6"/>
  <c r="H346" i="6"/>
  <c r="AJ18" i="7" l="1"/>
  <c r="AJ19" i="7"/>
  <c r="AJ20" i="7"/>
  <c r="AJ24" i="7"/>
  <c r="AJ21" i="7"/>
  <c r="AJ144" i="7"/>
  <c r="AJ130" i="7"/>
  <c r="AJ134" i="7"/>
  <c r="AJ138" i="7"/>
  <c r="AJ142" i="7"/>
  <c r="AJ119" i="7"/>
  <c r="AJ123" i="7"/>
  <c r="AJ127" i="7"/>
  <c r="AJ101" i="7"/>
  <c r="AJ105" i="7"/>
  <c r="AJ109" i="7"/>
  <c r="AJ113" i="7"/>
  <c r="AJ85" i="7"/>
  <c r="AJ89" i="7"/>
  <c r="AJ93" i="7"/>
  <c r="AJ97" i="7"/>
  <c r="AJ76" i="7"/>
  <c r="AJ80" i="7"/>
  <c r="AJ84" i="7"/>
  <c r="AJ62" i="7"/>
  <c r="AJ66" i="7"/>
  <c r="AJ70" i="7"/>
  <c r="AJ74" i="7"/>
  <c r="AJ36" i="7"/>
  <c r="AJ40" i="7"/>
  <c r="AJ44" i="7"/>
  <c r="AJ48" i="7"/>
  <c r="AJ52" i="7"/>
  <c r="AJ56" i="7"/>
  <c r="AJ6" i="7"/>
  <c r="AJ10" i="7"/>
  <c r="AJ16" i="7"/>
  <c r="AJ32" i="7"/>
  <c r="AJ147" i="7"/>
  <c r="AJ133" i="7"/>
  <c r="AJ137" i="7"/>
  <c r="AJ141" i="7"/>
  <c r="AJ118" i="7"/>
  <c r="AJ122" i="7"/>
  <c r="AJ126" i="7"/>
  <c r="AJ100" i="7"/>
  <c r="AJ104" i="7"/>
  <c r="AJ108" i="7"/>
  <c r="AJ112" i="7"/>
  <c r="AJ116" i="7"/>
  <c r="AJ88" i="7"/>
  <c r="AJ92" i="7"/>
  <c r="AJ96" i="7"/>
  <c r="AJ75" i="7"/>
  <c r="AJ79" i="7"/>
  <c r="AJ83" i="7"/>
  <c r="AJ61" i="7"/>
  <c r="AJ65" i="7"/>
  <c r="AJ69" i="7"/>
  <c r="AJ73" i="7"/>
  <c r="AJ35" i="7"/>
  <c r="AJ39" i="7"/>
  <c r="AJ43" i="7"/>
  <c r="AJ47" i="7"/>
  <c r="AJ51" i="7"/>
  <c r="AJ55" i="7"/>
  <c r="AJ5" i="7"/>
  <c r="AJ9" i="7"/>
  <c r="AJ13" i="7"/>
  <c r="AJ17" i="7"/>
  <c r="AJ25" i="7"/>
  <c r="AJ29" i="7"/>
  <c r="AJ14" i="7"/>
  <c r="AJ22" i="7"/>
  <c r="AJ30" i="7"/>
  <c r="AV48" i="7"/>
  <c r="AV56" i="7"/>
  <c r="AV64" i="7"/>
  <c r="AV72" i="7"/>
  <c r="AV80" i="7"/>
  <c r="AV88" i="7"/>
  <c r="AV96" i="7"/>
  <c r="AV104" i="7"/>
  <c r="AV112" i="7"/>
  <c r="AV120" i="7"/>
  <c r="AV128" i="7"/>
  <c r="L140" i="7"/>
  <c r="X140" i="7"/>
  <c r="AJ146" i="7"/>
  <c r="AJ132" i="7"/>
  <c r="AJ136" i="7"/>
  <c r="AJ140" i="7"/>
  <c r="AJ117" i="7"/>
  <c r="AJ121" i="7"/>
  <c r="AJ125" i="7"/>
  <c r="AJ129" i="7"/>
  <c r="AJ103" i="7"/>
  <c r="AJ107" i="7"/>
  <c r="AJ111" i="7"/>
  <c r="AJ115" i="7"/>
  <c r="AJ87" i="7"/>
  <c r="AJ91" i="7"/>
  <c r="AJ95" i="7"/>
  <c r="AJ99" i="7"/>
  <c r="AJ78" i="7"/>
  <c r="AJ82" i="7"/>
  <c r="AJ60" i="7"/>
  <c r="AJ64" i="7"/>
  <c r="AJ68" i="7"/>
  <c r="AJ72" i="7"/>
  <c r="AJ34" i="7"/>
  <c r="AJ38" i="7"/>
  <c r="AJ42" i="7"/>
  <c r="AJ46" i="7"/>
  <c r="AJ50" i="7"/>
  <c r="AJ54" i="7"/>
  <c r="AJ58" i="7"/>
  <c r="AJ8" i="7"/>
  <c r="AJ12" i="7"/>
  <c r="AJ28" i="7"/>
  <c r="AJ145" i="7"/>
  <c r="AJ131" i="7"/>
  <c r="AJ135" i="7"/>
  <c r="AJ139" i="7"/>
  <c r="AJ143" i="7"/>
  <c r="AJ120" i="7"/>
  <c r="AJ124" i="7"/>
  <c r="AJ128" i="7"/>
  <c r="AJ102" i="7"/>
  <c r="AJ106" i="7"/>
  <c r="AJ110" i="7"/>
  <c r="AJ114" i="7"/>
  <c r="AJ86" i="7"/>
  <c r="AJ90" i="7"/>
  <c r="AJ94" i="7"/>
  <c r="AJ98" i="7"/>
  <c r="AJ77" i="7"/>
  <c r="AJ81" i="7"/>
  <c r="AJ59" i="7"/>
  <c r="AJ63" i="7"/>
  <c r="AJ67" i="7"/>
  <c r="AJ71" i="7"/>
  <c r="AJ33" i="7"/>
  <c r="AJ37" i="7"/>
  <c r="AJ41" i="7"/>
  <c r="AJ45" i="7"/>
  <c r="AJ49" i="7"/>
  <c r="AJ53" i="7"/>
  <c r="AJ57" i="7"/>
  <c r="AJ7" i="7"/>
  <c r="AJ11" i="7"/>
  <c r="AJ15" i="7"/>
  <c r="AJ23" i="7"/>
  <c r="AJ27" i="7"/>
  <c r="AJ31" i="7"/>
  <c r="AJ26" i="7"/>
  <c r="L22" i="7"/>
  <c r="AV52" i="7"/>
  <c r="AV60" i="7"/>
  <c r="AV68" i="7"/>
  <c r="AV76" i="7"/>
  <c r="AV84" i="7"/>
  <c r="AV92" i="7"/>
  <c r="AV100" i="7"/>
  <c r="AV108" i="7"/>
  <c r="AV116" i="7"/>
  <c r="AV124" i="7"/>
  <c r="L144" i="7"/>
  <c r="X144" i="7"/>
  <c r="AV145" i="7"/>
  <c r="AV141" i="7"/>
  <c r="AV133" i="7"/>
  <c r="AV40" i="7"/>
  <c r="AV32" i="7"/>
  <c r="AV24" i="7"/>
  <c r="AV13" i="7"/>
  <c r="AV5" i="7"/>
  <c r="AV4" i="7"/>
  <c r="AV22" i="7"/>
  <c r="AV54" i="7"/>
  <c r="AV62" i="7"/>
  <c r="AV70" i="7"/>
  <c r="AV78" i="7"/>
  <c r="AV86" i="7"/>
  <c r="AV94" i="7"/>
  <c r="AV102" i="7"/>
  <c r="AV110" i="7"/>
  <c r="AV118" i="7"/>
  <c r="AV126" i="7"/>
  <c r="AV131" i="7"/>
  <c r="AV147" i="7"/>
  <c r="AV139" i="7"/>
  <c r="AV46" i="7"/>
  <c r="AV38" i="7"/>
  <c r="AV30" i="7"/>
  <c r="AV20" i="7"/>
  <c r="AV11" i="7"/>
  <c r="AJ4" i="7"/>
  <c r="AV51" i="7"/>
  <c r="AV59" i="7"/>
  <c r="AV67" i="7"/>
  <c r="AV75" i="7"/>
  <c r="AV83" i="7"/>
  <c r="AV91" i="7"/>
  <c r="AV99" i="7"/>
  <c r="AV107" i="7"/>
  <c r="AV115" i="7"/>
  <c r="AV123" i="7"/>
  <c r="AV130" i="7"/>
  <c r="L139" i="7"/>
  <c r="X141" i="7"/>
  <c r="AV142" i="7"/>
  <c r="AV134" i="7"/>
  <c r="AV41" i="7"/>
  <c r="AV33" i="7"/>
  <c r="AV25" i="7"/>
  <c r="L134" i="7"/>
  <c r="L131" i="7"/>
  <c r="X120" i="7"/>
  <c r="L133" i="7"/>
  <c r="L130" i="7"/>
  <c r="L136" i="7"/>
  <c r="X118" i="7"/>
  <c r="X137" i="7"/>
  <c r="L135" i="7"/>
  <c r="X146" i="7"/>
  <c r="AV53" i="7"/>
  <c r="AV61" i="7"/>
  <c r="AV69" i="7"/>
  <c r="AV77" i="7"/>
  <c r="AV85" i="7"/>
  <c r="AV93" i="7"/>
  <c r="AV101" i="7"/>
  <c r="AV109" i="7"/>
  <c r="AV117" i="7"/>
  <c r="AV125" i="7"/>
  <c r="L145" i="7"/>
  <c r="X143" i="7"/>
  <c r="AV144" i="7"/>
  <c r="AV136" i="7"/>
  <c r="AV43" i="7"/>
  <c r="AV35" i="7"/>
  <c r="AV27" i="7"/>
  <c r="AV19" i="7"/>
  <c r="L146" i="7"/>
  <c r="L127" i="7"/>
  <c r="X135" i="7"/>
  <c r="X123" i="7"/>
  <c r="L126" i="7"/>
  <c r="L132" i="7"/>
  <c r="L129" i="7"/>
  <c r="X133" i="7"/>
  <c r="X130" i="7"/>
  <c r="AV137" i="7"/>
  <c r="AV44" i="7"/>
  <c r="AV36" i="7"/>
  <c r="AV28" i="7"/>
  <c r="AV9" i="7"/>
  <c r="AV12" i="7"/>
  <c r="X22" i="7"/>
  <c r="AV50" i="7"/>
  <c r="AV58" i="7"/>
  <c r="AV66" i="7"/>
  <c r="AV74" i="7"/>
  <c r="AV82" i="7"/>
  <c r="AV90" i="7"/>
  <c r="AV98" i="7"/>
  <c r="AV106" i="7"/>
  <c r="AV114" i="7"/>
  <c r="AV122" i="7"/>
  <c r="L142" i="7"/>
  <c r="X142" i="7"/>
  <c r="AV143" i="7"/>
  <c r="AV135" i="7"/>
  <c r="AV42" i="7"/>
  <c r="AV34" i="7"/>
  <c r="AV26" i="7"/>
  <c r="AV7" i="7"/>
  <c r="AV8" i="7"/>
  <c r="AV47" i="7"/>
  <c r="AV55" i="7"/>
  <c r="AV63" i="7"/>
  <c r="AV71" i="7"/>
  <c r="AV79" i="7"/>
  <c r="AV87" i="7"/>
  <c r="AV95" i="7"/>
  <c r="AV103" i="7"/>
  <c r="AV111" i="7"/>
  <c r="AV119" i="7"/>
  <c r="AV127" i="7"/>
  <c r="L143" i="7"/>
  <c r="X145" i="7"/>
  <c r="AV146" i="7"/>
  <c r="AV138" i="7"/>
  <c r="AV45" i="7"/>
  <c r="AV37" i="7"/>
  <c r="AV29" i="7"/>
  <c r="AV21" i="7"/>
  <c r="AV6" i="7"/>
  <c r="L123" i="7"/>
  <c r="X131" i="7"/>
  <c r="X128" i="7"/>
  <c r="L122" i="7"/>
  <c r="X134" i="7"/>
  <c r="L125" i="7"/>
  <c r="L128" i="7"/>
  <c r="X126" i="7"/>
  <c r="L124" i="7"/>
  <c r="AV49" i="7"/>
  <c r="AV57" i="7"/>
  <c r="AV65" i="7"/>
  <c r="AV73" i="7"/>
  <c r="AV81" i="7"/>
  <c r="AV89" i="7"/>
  <c r="AV97" i="7"/>
  <c r="AV105" i="7"/>
  <c r="AV113" i="7"/>
  <c r="AV121" i="7"/>
  <c r="AV129" i="7"/>
  <c r="L141" i="7"/>
  <c r="X139" i="7"/>
  <c r="AV140" i="7"/>
  <c r="AV132" i="7"/>
  <c r="AV39" i="7"/>
  <c r="AV31" i="7"/>
  <c r="AV23" i="7"/>
  <c r="AV10" i="7"/>
  <c r="L138" i="7"/>
  <c r="X119" i="7"/>
  <c r="X124" i="7"/>
  <c r="L137" i="7"/>
  <c r="X138" i="7"/>
  <c r="L121" i="7"/>
  <c r="L119" i="7"/>
  <c r="X122" i="7"/>
  <c r="L120" i="7"/>
  <c r="X121" i="7"/>
  <c r="X132" i="7"/>
  <c r="L103" i="7"/>
  <c r="L104" i="7"/>
  <c r="L115" i="7"/>
  <c r="L4" i="7"/>
  <c r="L99" i="7"/>
  <c r="L95" i="7"/>
  <c r="L91" i="7"/>
  <c r="L87" i="7"/>
  <c r="L83" i="7"/>
  <c r="L79" i="7"/>
  <c r="L75" i="7"/>
  <c r="L71" i="7"/>
  <c r="L67" i="7"/>
  <c r="L63" i="7"/>
  <c r="L59" i="7"/>
  <c r="L55" i="7"/>
  <c r="L51" i="7"/>
  <c r="L47" i="7"/>
  <c r="L43" i="7"/>
  <c r="L39" i="7"/>
  <c r="L35" i="7"/>
  <c r="L31" i="7"/>
  <c r="L27" i="7"/>
  <c r="L23" i="7"/>
  <c r="L18" i="7"/>
  <c r="L14" i="7"/>
  <c r="L10" i="7"/>
  <c r="L6" i="7"/>
  <c r="X116" i="7"/>
  <c r="X112" i="7"/>
  <c r="X108" i="7"/>
  <c r="X104" i="7"/>
  <c r="X100" i="7"/>
  <c r="X96" i="7"/>
  <c r="X92" i="7"/>
  <c r="X88" i="7"/>
  <c r="X84" i="7"/>
  <c r="X80" i="7"/>
  <c r="X76" i="7"/>
  <c r="X72" i="7"/>
  <c r="X68" i="7"/>
  <c r="X64" i="7"/>
  <c r="X60" i="7"/>
  <c r="X56" i="7"/>
  <c r="X52" i="7"/>
  <c r="X48" i="7"/>
  <c r="X44" i="7"/>
  <c r="X40" i="7"/>
  <c r="X36" i="7"/>
  <c r="X32" i="7"/>
  <c r="X28" i="7"/>
  <c r="X24" i="7"/>
  <c r="X19" i="7"/>
  <c r="X15" i="7"/>
  <c r="X11" i="7"/>
  <c r="X7" i="7"/>
  <c r="L118" i="7"/>
  <c r="L102" i="7"/>
  <c r="L101" i="7"/>
  <c r="L107" i="7"/>
  <c r="L147" i="7"/>
  <c r="L96" i="7"/>
  <c r="L92" i="7"/>
  <c r="L88" i="7"/>
  <c r="L84" i="7"/>
  <c r="L80" i="7"/>
  <c r="L76" i="7"/>
  <c r="L72" i="7"/>
  <c r="L68" i="7"/>
  <c r="L64" i="7"/>
  <c r="L60" i="7"/>
  <c r="L56" i="7"/>
  <c r="L52" i="7"/>
  <c r="L48" i="7"/>
  <c r="L44" i="7"/>
  <c r="L40" i="7"/>
  <c r="L36" i="7"/>
  <c r="L32" i="7"/>
  <c r="L28" i="7"/>
  <c r="L24" i="7"/>
  <c r="L19" i="7"/>
  <c r="L15" i="7"/>
  <c r="L11" i="7"/>
  <c r="L7" i="7"/>
  <c r="X117" i="7"/>
  <c r="X113" i="7"/>
  <c r="X109" i="7"/>
  <c r="X105" i="7"/>
  <c r="X101" i="7"/>
  <c r="X97" i="7"/>
  <c r="X93" i="7"/>
  <c r="X89" i="7"/>
  <c r="X85" i="7"/>
  <c r="X81" i="7"/>
  <c r="X77" i="7"/>
  <c r="X73" i="7"/>
  <c r="X69" i="7"/>
  <c r="X65" i="7"/>
  <c r="X61" i="7"/>
  <c r="X57" i="7"/>
  <c r="X53" i="7"/>
  <c r="X49" i="7"/>
  <c r="X45" i="7"/>
  <c r="X41" i="7"/>
  <c r="X37" i="7"/>
  <c r="X33" i="7"/>
  <c r="X29" i="7"/>
  <c r="X25" i="7"/>
  <c r="X20" i="7"/>
  <c r="X16" i="7"/>
  <c r="X12" i="7"/>
  <c r="X8" i="7"/>
  <c r="L114" i="7"/>
  <c r="L117" i="7"/>
  <c r="L116" i="7"/>
  <c r="X129" i="7"/>
  <c r="L111" i="7"/>
  <c r="L112" i="7"/>
  <c r="L105" i="7"/>
  <c r="X4" i="7"/>
  <c r="L97" i="7"/>
  <c r="L93" i="7"/>
  <c r="L89" i="7"/>
  <c r="L85" i="7"/>
  <c r="L81" i="7"/>
  <c r="L77" i="7"/>
  <c r="L73" i="7"/>
  <c r="L69" i="7"/>
  <c r="L65" i="7"/>
  <c r="L61" i="7"/>
  <c r="L57" i="7"/>
  <c r="L53" i="7"/>
  <c r="L49" i="7"/>
  <c r="L45" i="7"/>
  <c r="L41" i="7"/>
  <c r="L37" i="7"/>
  <c r="L33" i="7"/>
  <c r="L29" i="7"/>
  <c r="L25" i="7"/>
  <c r="L20" i="7"/>
  <c r="L16" i="7"/>
  <c r="L12" i="7"/>
  <c r="L8" i="7"/>
  <c r="X147" i="7"/>
  <c r="X114" i="7"/>
  <c r="X110" i="7"/>
  <c r="X106" i="7"/>
  <c r="X102" i="7"/>
  <c r="X98" i="7"/>
  <c r="X94" i="7"/>
  <c r="X90" i="7"/>
  <c r="X86" i="7"/>
  <c r="X82" i="7"/>
  <c r="X78" i="7"/>
  <c r="X74" i="7"/>
  <c r="X70" i="7"/>
  <c r="X66" i="7"/>
  <c r="X62" i="7"/>
  <c r="X58" i="7"/>
  <c r="X54" i="7"/>
  <c r="X50" i="7"/>
  <c r="X46" i="7"/>
  <c r="X42" i="7"/>
  <c r="X38" i="7"/>
  <c r="X34" i="7"/>
  <c r="X30" i="7"/>
  <c r="X26" i="7"/>
  <c r="X21" i="7"/>
  <c r="X17" i="7"/>
  <c r="X13" i="7"/>
  <c r="X9" i="7"/>
  <c r="X5" i="7"/>
  <c r="L110" i="7"/>
  <c r="L113" i="7"/>
  <c r="L108" i="7"/>
  <c r="X125" i="7"/>
  <c r="L98" i="7"/>
  <c r="L94" i="7"/>
  <c r="L90" i="7"/>
  <c r="L86" i="7"/>
  <c r="L82" i="7"/>
  <c r="L78" i="7"/>
  <c r="L74" i="7"/>
  <c r="L70" i="7"/>
  <c r="L66" i="7"/>
  <c r="L62" i="7"/>
  <c r="L58" i="7"/>
  <c r="L54" i="7"/>
  <c r="L50" i="7"/>
  <c r="L46" i="7"/>
  <c r="L42" i="7"/>
  <c r="L38" i="7"/>
  <c r="L34" i="7"/>
  <c r="L30" i="7"/>
  <c r="L26" i="7"/>
  <c r="L21" i="7"/>
  <c r="L17" i="7"/>
  <c r="L13" i="7"/>
  <c r="L9" i="7"/>
  <c r="L5" i="7"/>
  <c r="X115" i="7"/>
  <c r="X111" i="7"/>
  <c r="X107" i="7"/>
  <c r="X103" i="7"/>
  <c r="X99" i="7"/>
  <c r="X95" i="7"/>
  <c r="X91" i="7"/>
  <c r="X87" i="7"/>
  <c r="X83" i="7"/>
  <c r="X79" i="7"/>
  <c r="X75" i="7"/>
  <c r="X71" i="7"/>
  <c r="X67" i="7"/>
  <c r="X63" i="7"/>
  <c r="X59" i="7"/>
  <c r="X55" i="7"/>
  <c r="X51" i="7"/>
  <c r="X47" i="7"/>
  <c r="X43" i="7"/>
  <c r="X39" i="7"/>
  <c r="X35" i="7"/>
  <c r="X31" i="7"/>
  <c r="X27" i="7"/>
  <c r="X23" i="7"/>
  <c r="X18" i="7"/>
  <c r="X14" i="7"/>
  <c r="X10" i="7"/>
  <c r="X6" i="7"/>
  <c r="L106" i="7"/>
  <c r="L109" i="7"/>
  <c r="L100" i="7"/>
  <c r="X136" i="7"/>
  <c r="X127" i="7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C32" i="14"/>
  <c r="C33" i="14"/>
  <c r="C34" i="14"/>
  <c r="C35" i="14"/>
  <c r="C36" i="14"/>
  <c r="C37" i="14"/>
  <c r="C38" i="14"/>
  <c r="C39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31" i="14"/>
  <c r="X149" i="7" l="1"/>
  <c r="L149" i="7"/>
  <c r="D4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3" i="14"/>
  <c r="C123" i="14" l="1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4" i="14"/>
  <c r="D124" i="14"/>
  <c r="C3" i="14"/>
  <c r="J14" i="13"/>
  <c r="J1444" i="13" s="1"/>
  <c r="D114" i="13"/>
  <c r="C114" i="13"/>
  <c r="D61" i="13"/>
  <c r="C61" i="13"/>
  <c r="D60" i="13"/>
  <c r="C60" i="13"/>
  <c r="D59" i="13"/>
  <c r="C59" i="13"/>
  <c r="D58" i="13"/>
  <c r="C58" i="13"/>
  <c r="D57" i="13"/>
  <c r="C57" i="13"/>
  <c r="D56" i="13"/>
  <c r="C56" i="13"/>
  <c r="D55" i="13"/>
  <c r="C55" i="13"/>
  <c r="D54" i="13"/>
  <c r="C54" i="13"/>
  <c r="D53" i="13"/>
  <c r="C53" i="13"/>
  <c r="D52" i="13"/>
  <c r="C52" i="13"/>
  <c r="D51" i="13"/>
  <c r="C51" i="13"/>
  <c r="D50" i="13"/>
  <c r="C50" i="13"/>
  <c r="D49" i="13"/>
  <c r="C49" i="13"/>
  <c r="D48" i="13"/>
  <c r="C48" i="13"/>
  <c r="D47" i="13"/>
  <c r="C47" i="13"/>
  <c r="D46" i="13"/>
  <c r="C46" i="13"/>
  <c r="D45" i="13"/>
  <c r="C45" i="13"/>
  <c r="D44" i="13"/>
  <c r="C44" i="13"/>
  <c r="D43" i="13"/>
  <c r="C43" i="13"/>
  <c r="D42" i="13"/>
  <c r="C42" i="13"/>
  <c r="D41" i="13"/>
  <c r="C41" i="13"/>
  <c r="D34" i="13"/>
  <c r="C34" i="13"/>
  <c r="D39" i="13"/>
  <c r="C39" i="13"/>
  <c r="D31" i="13"/>
  <c r="C31" i="13"/>
  <c r="D30" i="13"/>
  <c r="C30" i="13"/>
  <c r="D29" i="13"/>
  <c r="C29" i="13"/>
  <c r="D26" i="13"/>
  <c r="C26" i="13"/>
  <c r="D25" i="13"/>
  <c r="C25" i="13"/>
  <c r="D24" i="13"/>
  <c r="C24" i="13"/>
  <c r="D23" i="13"/>
  <c r="C23" i="13"/>
  <c r="B319" i="6"/>
  <c r="H319" i="6"/>
  <c r="B278" i="6"/>
  <c r="H278" i="6"/>
  <c r="H347" i="6"/>
  <c r="H317" i="6"/>
  <c r="H274" i="6"/>
  <c r="H320" i="6"/>
  <c r="H352" i="6"/>
  <c r="H322" i="6"/>
  <c r="H351" i="6"/>
  <c r="B348" i="6"/>
  <c r="B283" i="6"/>
  <c r="B350" i="6"/>
  <c r="B347" i="6"/>
  <c r="H348" i="6"/>
  <c r="H283" i="6"/>
  <c r="H350" i="6"/>
  <c r="B329" i="6"/>
  <c r="B316" i="6"/>
  <c r="B351" i="6"/>
  <c r="B322" i="6"/>
  <c r="B345" i="6"/>
  <c r="B352" i="6"/>
  <c r="B320" i="6"/>
  <c r="B274" i="6"/>
  <c r="B317" i="6"/>
  <c r="H329" i="6"/>
  <c r="H316" i="6"/>
  <c r="H345" i="6"/>
  <c r="H321" i="6"/>
  <c r="H242" i="6"/>
  <c r="B339" i="6"/>
  <c r="B333" i="6"/>
  <c r="B73" i="6"/>
  <c r="B242" i="6"/>
  <c r="B321" i="6"/>
  <c r="B325" i="6"/>
  <c r="B338" i="6"/>
  <c r="B341" i="6"/>
  <c r="H339" i="6"/>
  <c r="H333" i="6"/>
  <c r="H73" i="6"/>
  <c r="H325" i="6"/>
  <c r="H338" i="6"/>
  <c r="H341" i="6"/>
  <c r="H277" i="6"/>
  <c r="B277" i="6"/>
  <c r="B323" i="6"/>
  <c r="B326" i="6"/>
  <c r="B336" i="6"/>
  <c r="B335" i="6"/>
  <c r="B340" i="6"/>
  <c r="B330" i="6"/>
  <c r="B327" i="6"/>
  <c r="H323" i="6"/>
  <c r="H326" i="6"/>
  <c r="H336" i="6"/>
  <c r="H335" i="6"/>
  <c r="H340" i="6"/>
  <c r="H330" i="6"/>
  <c r="H327" i="6"/>
  <c r="B300" i="6"/>
  <c r="B311" i="6"/>
  <c r="B290" i="6"/>
  <c r="B279" i="6"/>
  <c r="B331" i="6"/>
  <c r="B135" i="6"/>
  <c r="B332" i="6"/>
  <c r="B246" i="6"/>
  <c r="B324" i="6"/>
  <c r="B315" i="6"/>
  <c r="B318" i="6"/>
  <c r="H300" i="6"/>
  <c r="H311" i="6"/>
  <c r="H290" i="6"/>
  <c r="H279" i="6"/>
  <c r="H331" i="6"/>
  <c r="H135" i="6"/>
  <c r="H332" i="6"/>
  <c r="H246" i="6"/>
  <c r="H324" i="6"/>
  <c r="H315" i="6"/>
  <c r="H318" i="6"/>
  <c r="H212" i="6"/>
  <c r="B273" i="6"/>
  <c r="H273" i="6"/>
  <c r="B310" i="6"/>
  <c r="H310" i="6"/>
  <c r="B306" i="6"/>
  <c r="H306" i="6"/>
  <c r="B285" i="6"/>
  <c r="H285" i="6"/>
  <c r="B288" i="6"/>
  <c r="H288" i="6"/>
  <c r="B291" i="6"/>
  <c r="H291" i="6"/>
  <c r="B281" i="6"/>
  <c r="H281" i="6"/>
  <c r="B212" i="6"/>
  <c r="B293" i="6"/>
  <c r="H293" i="6"/>
  <c r="B286" i="6"/>
  <c r="B266" i="6"/>
  <c r="B298" i="6"/>
  <c r="H286" i="6"/>
  <c r="H266" i="6"/>
  <c r="H298" i="6"/>
  <c r="B328" i="6"/>
  <c r="B280" i="6"/>
  <c r="B284" i="6"/>
  <c r="B307" i="6"/>
  <c r="H328" i="6"/>
  <c r="H280" i="6"/>
  <c r="H284" i="6"/>
  <c r="H307" i="6"/>
  <c r="H267" i="6"/>
  <c r="H225" i="6"/>
  <c r="B267" i="6"/>
  <c r="B303" i="6"/>
  <c r="B299" i="6"/>
  <c r="B234" i="6"/>
  <c r="H303" i="6"/>
  <c r="H299" i="6"/>
  <c r="H234" i="6"/>
  <c r="B304" i="6"/>
  <c r="B276" i="6"/>
  <c r="B309" i="6"/>
  <c r="B225" i="6"/>
  <c r="H272" i="6"/>
  <c r="H297" i="6"/>
  <c r="H292" i="6"/>
  <c r="H275" i="6"/>
  <c r="H287" i="6"/>
  <c r="H302" i="6"/>
  <c r="H304" i="6"/>
  <c r="H276" i="6"/>
  <c r="H309" i="6"/>
  <c r="B302" i="6"/>
  <c r="H271" i="6"/>
  <c r="H301" i="6"/>
  <c r="H282" i="6"/>
  <c r="B287" i="6"/>
  <c r="H251" i="6"/>
  <c r="B251" i="6"/>
  <c r="H255" i="6"/>
  <c r="B255" i="6"/>
  <c r="B262" i="6"/>
  <c r="B282" i="6"/>
  <c r="B272" i="6"/>
  <c r="B297" i="6"/>
  <c r="B292" i="6"/>
  <c r="B275" i="6"/>
  <c r="H240" i="6"/>
  <c r="B240" i="6"/>
  <c r="H238" i="6"/>
  <c r="B238" i="6"/>
  <c r="B268" i="6"/>
  <c r="H268" i="6"/>
  <c r="B254" i="6"/>
  <c r="B271" i="6"/>
  <c r="B301" i="6"/>
  <c r="H254" i="6"/>
  <c r="H243" i="6"/>
  <c r="B243" i="6"/>
  <c r="H239" i="6"/>
  <c r="B239" i="6"/>
  <c r="H233" i="6"/>
  <c r="H263" i="6"/>
  <c r="B263" i="6"/>
  <c r="H252" i="6"/>
  <c r="B252" i="6"/>
  <c r="H264" i="6"/>
  <c r="B264" i="6"/>
  <c r="H205" i="6"/>
  <c r="B205" i="6"/>
  <c r="H256" i="6"/>
  <c r="B256" i="6"/>
  <c r="H289" i="6"/>
  <c r="B289" i="6"/>
  <c r="H247" i="6"/>
  <c r="B247" i="6"/>
  <c r="H236" i="6"/>
  <c r="B236" i="6"/>
  <c r="H208" i="6"/>
  <c r="B208" i="6"/>
  <c r="H262" i="6"/>
  <c r="H241" i="6"/>
  <c r="B241" i="6"/>
  <c r="H259" i="6"/>
  <c r="B20" i="6"/>
  <c r="B7" i="6"/>
  <c r="B6" i="6"/>
  <c r="B8" i="6"/>
  <c r="B24" i="6"/>
  <c r="B18" i="6"/>
  <c r="B11" i="6"/>
  <c r="B3" i="6"/>
  <c r="B9" i="6"/>
  <c r="B19" i="6"/>
  <c r="B10" i="6"/>
  <c r="B14" i="6"/>
  <c r="B23" i="6"/>
  <c r="B15" i="6"/>
  <c r="B21" i="6"/>
  <c r="B17" i="6"/>
  <c r="B16" i="6"/>
  <c r="B13" i="6"/>
  <c r="B22" i="6"/>
  <c r="B5" i="6"/>
  <c r="B12" i="6"/>
  <c r="B25" i="6"/>
  <c r="B2" i="6"/>
  <c r="B26" i="6"/>
  <c r="B4" i="6"/>
  <c r="B39" i="6"/>
  <c r="B49" i="6"/>
  <c r="B44" i="6"/>
  <c r="B40" i="6"/>
  <c r="B38" i="6"/>
  <c r="B37" i="6"/>
  <c r="B42" i="6"/>
  <c r="B34" i="6"/>
  <c r="B36" i="6"/>
  <c r="B57" i="6"/>
  <c r="B30" i="6"/>
  <c r="B43" i="6"/>
  <c r="B41" i="6"/>
  <c r="B51" i="6"/>
  <c r="B50" i="6"/>
  <c r="B60" i="6"/>
  <c r="B33" i="6"/>
  <c r="B27" i="6"/>
  <c r="B56" i="6"/>
  <c r="B52" i="6"/>
  <c r="B29" i="6"/>
  <c r="B35" i="6"/>
  <c r="B48" i="6"/>
  <c r="B45" i="6"/>
  <c r="B58" i="6"/>
  <c r="B32" i="6"/>
  <c r="B28" i="6"/>
  <c r="B53" i="6"/>
  <c r="B54" i="6"/>
  <c r="B59" i="6"/>
  <c r="B47" i="6"/>
  <c r="B55" i="6"/>
  <c r="B46" i="6"/>
  <c r="B31" i="6"/>
  <c r="B83" i="6"/>
  <c r="B75" i="6"/>
  <c r="B88" i="6"/>
  <c r="B77" i="6"/>
  <c r="B79" i="6"/>
  <c r="B67" i="6"/>
  <c r="B74" i="6"/>
  <c r="B80" i="6"/>
  <c r="B61" i="6"/>
  <c r="B91" i="6"/>
  <c r="B99" i="6"/>
  <c r="B65" i="6"/>
  <c r="B62" i="6"/>
  <c r="B72" i="6"/>
  <c r="B63" i="6"/>
  <c r="B78" i="6"/>
  <c r="B95" i="6"/>
  <c r="B68" i="6"/>
  <c r="B84" i="6"/>
  <c r="B85" i="6"/>
  <c r="B81" i="6"/>
  <c r="B82" i="6"/>
  <c r="B64" i="6"/>
  <c r="B93" i="6"/>
  <c r="B66" i="6"/>
  <c r="B105" i="6"/>
  <c r="B86" i="6"/>
  <c r="B70" i="6"/>
  <c r="B92" i="6"/>
  <c r="B71" i="6"/>
  <c r="B90" i="6"/>
  <c r="B97" i="6"/>
  <c r="B89" i="6"/>
  <c r="B96" i="6"/>
  <c r="B98" i="6"/>
  <c r="B87" i="6"/>
  <c r="B94" i="6"/>
  <c r="B76" i="6"/>
  <c r="B69" i="6"/>
  <c r="B101" i="6"/>
  <c r="B121" i="6"/>
  <c r="B110" i="6"/>
  <c r="B111" i="6"/>
  <c r="B116" i="6"/>
  <c r="B126" i="6"/>
  <c r="B112" i="6"/>
  <c r="B137" i="6"/>
  <c r="B104" i="6"/>
  <c r="B109" i="6"/>
  <c r="B134" i="6"/>
  <c r="B103" i="6"/>
  <c r="B113" i="6"/>
  <c r="B124" i="6"/>
  <c r="B131" i="6"/>
  <c r="B127" i="6"/>
  <c r="B128" i="6"/>
  <c r="B106" i="6"/>
  <c r="B123" i="6"/>
  <c r="B136" i="6"/>
  <c r="B133" i="6"/>
  <c r="B117" i="6"/>
  <c r="B122" i="6"/>
  <c r="B100" i="6"/>
  <c r="B130" i="6"/>
  <c r="B119" i="6"/>
  <c r="B120" i="6"/>
  <c r="B118" i="6"/>
  <c r="B115" i="6"/>
  <c r="B108" i="6"/>
  <c r="B102" i="6"/>
  <c r="B129" i="6"/>
  <c r="B125" i="6"/>
  <c r="B138" i="6"/>
  <c r="B132" i="6"/>
  <c r="B114" i="6"/>
  <c r="B107" i="6"/>
  <c r="B178" i="6"/>
  <c r="B168" i="6"/>
  <c r="B172" i="6"/>
  <c r="B154" i="6"/>
  <c r="B141" i="6"/>
  <c r="BB18" i="7" s="1"/>
  <c r="B147" i="6"/>
  <c r="B153" i="6"/>
  <c r="B162" i="6"/>
  <c r="B146" i="6"/>
  <c r="B182" i="6"/>
  <c r="B164" i="6"/>
  <c r="B145" i="6"/>
  <c r="B142" i="6"/>
  <c r="B161" i="6"/>
  <c r="B148" i="6"/>
  <c r="B185" i="6"/>
  <c r="B171" i="6"/>
  <c r="B169" i="6"/>
  <c r="B156" i="6"/>
  <c r="B152" i="6"/>
  <c r="B149" i="6"/>
  <c r="B167" i="6"/>
  <c r="B177" i="6"/>
  <c r="B144" i="6"/>
  <c r="B158" i="6"/>
  <c r="B155" i="6"/>
  <c r="B173" i="6"/>
  <c r="B165" i="6"/>
  <c r="B160" i="6"/>
  <c r="B174" i="6"/>
  <c r="B175" i="6"/>
  <c r="B151" i="6"/>
  <c r="B163" i="6"/>
  <c r="B180" i="6"/>
  <c r="B157" i="6"/>
  <c r="B170" i="6"/>
  <c r="B166" i="6"/>
  <c r="B179" i="6"/>
  <c r="B189" i="6"/>
  <c r="B176" i="6"/>
  <c r="B184" i="6"/>
  <c r="B143" i="6"/>
  <c r="B150" i="6"/>
  <c r="B196" i="6"/>
  <c r="B188" i="6"/>
  <c r="B183" i="6"/>
  <c r="B187" i="6"/>
  <c r="B159" i="6"/>
  <c r="B207" i="6"/>
  <c r="B214" i="6"/>
  <c r="B199" i="6"/>
  <c r="B198" i="6"/>
  <c r="B211" i="6"/>
  <c r="B197" i="6"/>
  <c r="B192" i="6"/>
  <c r="BC17" i="7" s="1"/>
  <c r="B209" i="6"/>
  <c r="B222" i="6"/>
  <c r="B223" i="6"/>
  <c r="B227" i="6"/>
  <c r="B217" i="6"/>
  <c r="B218" i="6"/>
  <c r="B219" i="6"/>
  <c r="B226" i="6"/>
  <c r="B216" i="6"/>
  <c r="B215" i="6"/>
  <c r="B206" i="6"/>
  <c r="B193" i="6"/>
  <c r="B202" i="6"/>
  <c r="B203" i="6"/>
  <c r="B204" i="6"/>
  <c r="B200" i="6"/>
  <c r="B210" i="6"/>
  <c r="B220" i="6"/>
  <c r="B201" i="6"/>
  <c r="B221" i="6"/>
  <c r="B195" i="6"/>
  <c r="B259" i="6"/>
  <c r="B224" i="6"/>
  <c r="B213" i="6"/>
  <c r="B232" i="6"/>
  <c r="B250" i="6"/>
  <c r="B261" i="6"/>
  <c r="B245" i="6"/>
  <c r="B231" i="6"/>
  <c r="B230" i="6"/>
  <c r="B260" i="6"/>
  <c r="B248" i="6"/>
  <c r="B244" i="6"/>
  <c r="B181" i="6"/>
  <c r="B253" i="6"/>
  <c r="B249" i="6"/>
  <c r="B305" i="6"/>
  <c r="B257" i="6"/>
  <c r="B258" i="6"/>
  <c r="B337" i="6"/>
  <c r="B237" i="6"/>
  <c r="B349" i="6"/>
  <c r="B235" i="6"/>
  <c r="D7" i="10"/>
  <c r="F9" i="8"/>
  <c r="E9" i="8"/>
  <c r="T1" i="8"/>
  <c r="D16" i="8" s="1"/>
  <c r="H235" i="6"/>
  <c r="H349" i="6"/>
  <c r="H237" i="6"/>
  <c r="H337" i="6"/>
  <c r="H258" i="6"/>
  <c r="H257" i="6"/>
  <c r="H305" i="6"/>
  <c r="H249" i="6"/>
  <c r="H253" i="6"/>
  <c r="H181" i="6"/>
  <c r="H244" i="6"/>
  <c r="H248" i="6"/>
  <c r="H260" i="6"/>
  <c r="H230" i="6"/>
  <c r="H231" i="6"/>
  <c r="H245" i="6"/>
  <c r="H261" i="6"/>
  <c r="H250" i="6"/>
  <c r="H232" i="6"/>
  <c r="H213" i="6"/>
  <c r="H224" i="6"/>
  <c r="H195" i="6"/>
  <c r="H221" i="6"/>
  <c r="H201" i="6"/>
  <c r="H220" i="6"/>
  <c r="H210" i="6"/>
  <c r="H200" i="6"/>
  <c r="H204" i="6"/>
  <c r="H203" i="6"/>
  <c r="H202" i="6"/>
  <c r="H193" i="6"/>
  <c r="H194" i="6"/>
  <c r="H206" i="6"/>
  <c r="H215" i="6"/>
  <c r="H216" i="6"/>
  <c r="H226" i="6"/>
  <c r="H219" i="6"/>
  <c r="H218" i="6"/>
  <c r="H217" i="6"/>
  <c r="H227" i="6"/>
  <c r="H223" i="6"/>
  <c r="H222" i="6"/>
  <c r="H209" i="6"/>
  <c r="H192" i="6"/>
  <c r="H197" i="6"/>
  <c r="H211" i="6"/>
  <c r="H198" i="6"/>
  <c r="H199" i="6"/>
  <c r="H214" i="6"/>
  <c r="H207" i="6"/>
  <c r="H159" i="6"/>
  <c r="H187" i="6"/>
  <c r="T183" i="6"/>
  <c r="H183" i="6"/>
  <c r="H188" i="6"/>
  <c r="H196" i="6"/>
  <c r="H150" i="6"/>
  <c r="H143" i="6"/>
  <c r="H184" i="6"/>
  <c r="H176" i="6"/>
  <c r="H189" i="6"/>
  <c r="H179" i="6"/>
  <c r="H166" i="6"/>
  <c r="H170" i="6"/>
  <c r="H157" i="6"/>
  <c r="H180" i="6"/>
  <c r="H163" i="6"/>
  <c r="H151" i="6"/>
  <c r="H175" i="6"/>
  <c r="H174" i="6"/>
  <c r="H160" i="6"/>
  <c r="H165" i="6"/>
  <c r="H173" i="6"/>
  <c r="H155" i="6"/>
  <c r="H158" i="6"/>
  <c r="H144" i="6"/>
  <c r="H177" i="6"/>
  <c r="H167" i="6"/>
  <c r="H149" i="6"/>
  <c r="H152" i="6"/>
  <c r="H156" i="6"/>
  <c r="H169" i="6"/>
  <c r="H171" i="6"/>
  <c r="H185" i="6"/>
  <c r="H148" i="6"/>
  <c r="H161" i="6"/>
  <c r="H142" i="6"/>
  <c r="H145" i="6"/>
  <c r="H164" i="6"/>
  <c r="H182" i="6"/>
  <c r="H146" i="6"/>
  <c r="H162" i="6"/>
  <c r="H153" i="6"/>
  <c r="H147" i="6"/>
  <c r="H141" i="6"/>
  <c r="H154" i="6"/>
  <c r="H172" i="6"/>
  <c r="H168" i="6"/>
  <c r="H178" i="6"/>
  <c r="H107" i="6"/>
  <c r="H114" i="6"/>
  <c r="H132" i="6"/>
  <c r="H138" i="6"/>
  <c r="H125" i="6"/>
  <c r="H129" i="6"/>
  <c r="H102" i="6"/>
  <c r="H108" i="6"/>
  <c r="H115" i="6"/>
  <c r="H118" i="6"/>
  <c r="H120" i="6"/>
  <c r="H119" i="6"/>
  <c r="H130" i="6"/>
  <c r="H100" i="6"/>
  <c r="H122" i="6"/>
  <c r="H117" i="6"/>
  <c r="H133" i="6"/>
  <c r="H136" i="6"/>
  <c r="H123" i="6"/>
  <c r="H106" i="6"/>
  <c r="H128" i="6"/>
  <c r="H127" i="6"/>
  <c r="H131" i="6"/>
  <c r="H124" i="6"/>
  <c r="H113" i="6"/>
  <c r="H103" i="6"/>
  <c r="H134" i="6"/>
  <c r="H109" i="6"/>
  <c r="H104" i="6"/>
  <c r="H137" i="6"/>
  <c r="H112" i="6"/>
  <c r="H126" i="6"/>
  <c r="H116" i="6"/>
  <c r="H111" i="6"/>
  <c r="H110" i="6"/>
  <c r="H121" i="6"/>
  <c r="H101" i="6"/>
  <c r="H69" i="6"/>
  <c r="H76" i="6"/>
  <c r="H94" i="6"/>
  <c r="H87" i="6"/>
  <c r="H98" i="6"/>
  <c r="H96" i="6"/>
  <c r="H89" i="6"/>
  <c r="H97" i="6"/>
  <c r="H90" i="6"/>
  <c r="H71" i="6"/>
  <c r="H92" i="6"/>
  <c r="H70" i="6"/>
  <c r="H86" i="6"/>
  <c r="H105" i="6"/>
  <c r="H66" i="6"/>
  <c r="H93" i="6"/>
  <c r="H64" i="6"/>
  <c r="H82" i="6"/>
  <c r="H81" i="6"/>
  <c r="H85" i="6"/>
  <c r="H84" i="6"/>
  <c r="H68" i="6"/>
  <c r="H95" i="6"/>
  <c r="H78" i="6"/>
  <c r="H63" i="6"/>
  <c r="H72" i="6"/>
  <c r="H62" i="6"/>
  <c r="H65" i="6"/>
  <c r="H99" i="6"/>
  <c r="H91" i="6"/>
  <c r="H61" i="6"/>
  <c r="H80" i="6"/>
  <c r="H74" i="6"/>
  <c r="H67" i="6"/>
  <c r="H79" i="6"/>
  <c r="H77" i="6"/>
  <c r="H88" i="6"/>
  <c r="H75" i="6"/>
  <c r="H83" i="6"/>
  <c r="H31" i="6"/>
  <c r="H46" i="6"/>
  <c r="H55" i="6"/>
  <c r="H47" i="6"/>
  <c r="H59" i="6"/>
  <c r="H54" i="6"/>
  <c r="H53" i="6"/>
  <c r="H28" i="6"/>
  <c r="H32" i="6"/>
  <c r="H58" i="6"/>
  <c r="H45" i="6"/>
  <c r="H48" i="6"/>
  <c r="H35" i="6"/>
  <c r="H29" i="6"/>
  <c r="H52" i="6"/>
  <c r="H56" i="6"/>
  <c r="H27" i="6"/>
  <c r="H33" i="6"/>
  <c r="H60" i="6"/>
  <c r="H50" i="6"/>
  <c r="H51" i="6"/>
  <c r="H41" i="6"/>
  <c r="H43" i="6"/>
  <c r="H30" i="6"/>
  <c r="H57" i="6"/>
  <c r="H36" i="6"/>
  <c r="H34" i="6"/>
  <c r="H42" i="6"/>
  <c r="H37" i="6"/>
  <c r="H38" i="6"/>
  <c r="H40" i="6"/>
  <c r="H44" i="6"/>
  <c r="H49" i="6"/>
  <c r="H39" i="6"/>
  <c r="H4" i="6"/>
  <c r="H26" i="6"/>
  <c r="H2" i="6"/>
  <c r="H25" i="6"/>
  <c r="H12" i="6"/>
  <c r="H5" i="6"/>
  <c r="H22" i="6"/>
  <c r="H13" i="6"/>
  <c r="H16" i="6"/>
  <c r="H17" i="6"/>
  <c r="H21" i="6"/>
  <c r="H15" i="6"/>
  <c r="H23" i="6"/>
  <c r="H14" i="6"/>
  <c r="H10" i="6"/>
  <c r="H19" i="6"/>
  <c r="H9" i="6"/>
  <c r="H3" i="6"/>
  <c r="H11" i="6"/>
  <c r="H18" i="6"/>
  <c r="H24" i="6"/>
  <c r="H8" i="6"/>
  <c r="H6" i="6"/>
  <c r="H7" i="6"/>
  <c r="H20" i="6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K3" i="1"/>
  <c r="K1587" i="6"/>
  <c r="K1589" i="6" s="1"/>
  <c r="E17" i="9"/>
  <c r="F13" i="9"/>
  <c r="F9" i="9"/>
  <c r="F5" i="9"/>
  <c r="F17" i="9" s="1"/>
  <c r="F16" i="9"/>
  <c r="F12" i="9"/>
  <c r="F8" i="9"/>
  <c r="F15" i="9"/>
  <c r="F11" i="9"/>
  <c r="F7" i="9"/>
  <c r="F14" i="9"/>
  <c r="F10" i="9"/>
  <c r="F6" i="9"/>
  <c r="AT18" i="7" l="1"/>
  <c r="AT14" i="7"/>
  <c r="BC16" i="7"/>
  <c r="BC14" i="7"/>
  <c r="BC18" i="7"/>
  <c r="BC15" i="7"/>
  <c r="BB20" i="7"/>
  <c r="BB13" i="7"/>
  <c r="BB16" i="7"/>
  <c r="BB14" i="7"/>
  <c r="BB19" i="7"/>
  <c r="BB15" i="7"/>
  <c r="BB17" i="7"/>
  <c r="BA16" i="7"/>
  <c r="BA18" i="7"/>
  <c r="AT15" i="7"/>
  <c r="AT17" i="7"/>
  <c r="AT16" i="7"/>
  <c r="AX16" i="7"/>
  <c r="AX18" i="7"/>
  <c r="AY17" i="7"/>
  <c r="AY18" i="7"/>
  <c r="BA15" i="7"/>
  <c r="BA17" i="7"/>
  <c r="BA14" i="7"/>
  <c r="BA20" i="7"/>
  <c r="BA21" i="7"/>
  <c r="BA19" i="7"/>
  <c r="AZ17" i="7"/>
  <c r="AZ19" i="7"/>
  <c r="AZ15" i="7"/>
  <c r="AZ13" i="7"/>
  <c r="AZ22" i="7"/>
  <c r="AZ18" i="7"/>
  <c r="AZ14" i="7"/>
  <c r="AZ21" i="7"/>
  <c r="AZ20" i="7"/>
  <c r="AZ16" i="7"/>
  <c r="AZ23" i="7"/>
  <c r="AX17" i="7"/>
  <c r="AX15" i="7"/>
  <c r="AX14" i="7"/>
  <c r="AY14" i="7"/>
  <c r="AY16" i="7"/>
  <c r="AY15" i="7"/>
  <c r="AU15" i="7"/>
  <c r="AU18" i="7"/>
  <c r="AU14" i="7"/>
  <c r="AU17" i="7"/>
  <c r="AU16" i="7"/>
  <c r="AL18" i="7"/>
  <c r="AL24" i="7"/>
  <c r="AL19" i="7"/>
  <c r="AL20" i="7"/>
  <c r="AL21" i="7"/>
  <c r="AQ14" i="7"/>
  <c r="AQ18" i="7"/>
  <c r="AQ22" i="7"/>
  <c r="AQ26" i="7"/>
  <c r="AQ15" i="7"/>
  <c r="AQ11" i="7"/>
  <c r="AQ23" i="7"/>
  <c r="AQ19" i="7"/>
  <c r="AQ16" i="7"/>
  <c r="AQ12" i="7"/>
  <c r="AQ24" i="7"/>
  <c r="AQ20" i="7"/>
  <c r="AQ17" i="7"/>
  <c r="AQ13" i="7"/>
  <c r="AQ25" i="7"/>
  <c r="AQ21" i="7"/>
  <c r="AP10" i="7"/>
  <c r="AP76" i="7"/>
  <c r="AP140" i="7"/>
  <c r="AP53" i="7"/>
  <c r="AP117" i="7"/>
  <c r="AP30" i="7"/>
  <c r="AP94" i="7"/>
  <c r="AP13" i="7"/>
  <c r="AP79" i="7"/>
  <c r="AP40" i="7"/>
  <c r="AP23" i="7"/>
  <c r="AP65" i="7"/>
  <c r="AP129" i="7"/>
  <c r="AP50" i="7"/>
  <c r="AP114" i="7"/>
  <c r="AP27" i="7"/>
  <c r="AP91" i="7"/>
  <c r="AP128" i="7"/>
  <c r="AP18" i="7"/>
  <c r="AP84" i="7"/>
  <c r="AP80" i="7"/>
  <c r="AP61" i="7"/>
  <c r="AP125" i="7"/>
  <c r="AP38" i="7"/>
  <c r="AP102" i="7"/>
  <c r="AP21" i="7"/>
  <c r="AP87" i="7"/>
  <c r="AP96" i="7"/>
  <c r="AP7" i="7"/>
  <c r="AP73" i="7"/>
  <c r="AP137" i="7"/>
  <c r="AP58" i="7"/>
  <c r="AP122" i="7"/>
  <c r="AP35" i="7"/>
  <c r="AP99" i="7"/>
  <c r="AP28" i="7"/>
  <c r="AP92" i="7"/>
  <c r="AP25" i="7"/>
  <c r="AP69" i="7"/>
  <c r="AP133" i="7"/>
  <c r="AP46" i="7"/>
  <c r="AP110" i="7"/>
  <c r="AP31" i="7"/>
  <c r="AP95" i="7"/>
  <c r="AP6" i="7"/>
  <c r="AP15" i="7"/>
  <c r="AP81" i="7"/>
  <c r="AP120" i="7"/>
  <c r="AP66" i="7"/>
  <c r="AP130" i="7"/>
  <c r="AP43" i="7"/>
  <c r="AP107" i="7"/>
  <c r="AP36" i="7"/>
  <c r="AP100" i="7"/>
  <c r="AP11" i="7"/>
  <c r="AP77" i="7"/>
  <c r="AP141" i="7"/>
  <c r="AP54" i="7"/>
  <c r="AP118" i="7"/>
  <c r="AP39" i="7"/>
  <c r="AP103" i="7"/>
  <c r="AP14" i="7"/>
  <c r="AP24" i="7"/>
  <c r="AP89" i="7"/>
  <c r="AP8" i="7"/>
  <c r="AP74" i="7"/>
  <c r="AP138" i="7"/>
  <c r="AP51" i="7"/>
  <c r="AP115" i="7"/>
  <c r="AP44" i="7"/>
  <c r="AP108" i="7"/>
  <c r="AP19" i="7"/>
  <c r="AP85" i="7"/>
  <c r="AP48" i="7"/>
  <c r="AP62" i="7"/>
  <c r="AP126" i="7"/>
  <c r="AP47" i="7"/>
  <c r="AP111" i="7"/>
  <c r="AP22" i="7"/>
  <c r="AP33" i="7"/>
  <c r="AP97" i="7"/>
  <c r="AP16" i="7"/>
  <c r="AP82" i="7"/>
  <c r="AP56" i="7"/>
  <c r="AP59" i="7"/>
  <c r="AP123" i="7"/>
  <c r="AP52" i="7"/>
  <c r="AP116" i="7"/>
  <c r="AP29" i="7"/>
  <c r="AP93" i="7"/>
  <c r="AP104" i="7"/>
  <c r="AP70" i="7"/>
  <c r="AP134" i="7"/>
  <c r="AP55" i="7"/>
  <c r="AP119" i="7"/>
  <c r="AP32" i="7"/>
  <c r="AP41" i="7"/>
  <c r="AP105" i="7"/>
  <c r="AP26" i="7"/>
  <c r="AP90" i="7"/>
  <c r="AP112" i="7"/>
  <c r="AP67" i="7"/>
  <c r="AP131" i="7"/>
  <c r="AP60" i="7"/>
  <c r="AP124" i="7"/>
  <c r="AP37" i="7"/>
  <c r="AP101" i="7"/>
  <c r="AP12" i="7"/>
  <c r="AP78" i="7"/>
  <c r="AP88" i="7"/>
  <c r="AP63" i="7"/>
  <c r="AP127" i="7"/>
  <c r="AP72" i="7"/>
  <c r="AP49" i="7"/>
  <c r="AP113" i="7"/>
  <c r="AP34" i="7"/>
  <c r="AP98" i="7"/>
  <c r="AP9" i="7"/>
  <c r="AP75" i="7"/>
  <c r="AP139" i="7"/>
  <c r="AP68" i="7"/>
  <c r="AP132" i="7"/>
  <c r="AP45" i="7"/>
  <c r="AP109" i="7"/>
  <c r="AP20" i="7"/>
  <c r="AP86" i="7"/>
  <c r="AP5" i="7"/>
  <c r="AP71" i="7"/>
  <c r="AP135" i="7"/>
  <c r="AP136" i="7"/>
  <c r="AP57" i="7"/>
  <c r="AP121" i="7"/>
  <c r="AP42" i="7"/>
  <c r="AP106" i="7"/>
  <c r="AP17" i="7"/>
  <c r="AP83" i="7"/>
  <c r="AP64" i="7"/>
  <c r="AN15" i="7"/>
  <c r="AN16" i="7"/>
  <c r="AN23" i="7"/>
  <c r="AM23" i="7"/>
  <c r="AO25" i="7"/>
  <c r="AO8" i="7"/>
  <c r="AO16" i="7"/>
  <c r="AO26" i="7"/>
  <c r="AO34" i="7"/>
  <c r="AO9" i="7"/>
  <c r="AO17" i="7"/>
  <c r="AO27" i="7"/>
  <c r="AO35" i="7"/>
  <c r="AO10" i="7"/>
  <c r="AO18" i="7"/>
  <c r="AO28" i="7"/>
  <c r="AO36" i="7"/>
  <c r="AO11" i="7"/>
  <c r="AO19" i="7"/>
  <c r="AO29" i="7"/>
  <c r="AO12" i="7"/>
  <c r="AO20" i="7"/>
  <c r="AO30" i="7"/>
  <c r="AO5" i="7"/>
  <c r="AO13" i="7"/>
  <c r="AO21" i="7"/>
  <c r="AO31" i="7"/>
  <c r="AO23" i="7"/>
  <c r="AO6" i="7"/>
  <c r="AO14" i="7"/>
  <c r="AO22" i="7"/>
  <c r="AO32" i="7"/>
  <c r="AO7" i="7"/>
  <c r="AO15" i="7"/>
  <c r="AO24" i="7"/>
  <c r="AO33" i="7"/>
  <c r="AM36" i="7"/>
  <c r="AM38" i="7"/>
  <c r="AM40" i="7"/>
  <c r="AM42" i="7"/>
  <c r="AM44" i="7"/>
  <c r="AM46" i="7"/>
  <c r="AM48" i="7"/>
  <c r="AM50" i="7"/>
  <c r="AM52" i="7"/>
  <c r="AM54" i="7"/>
  <c r="AM56" i="7"/>
  <c r="AM5" i="7"/>
  <c r="AM7" i="7"/>
  <c r="AM9" i="7"/>
  <c r="AM11" i="7"/>
  <c r="AM13" i="7"/>
  <c r="AM15" i="7"/>
  <c r="AM17" i="7"/>
  <c r="AM19" i="7"/>
  <c r="AM21" i="7"/>
  <c r="AM25" i="7"/>
  <c r="AM27" i="7"/>
  <c r="AM29" i="7"/>
  <c r="AM31" i="7"/>
  <c r="AM33" i="7"/>
  <c r="AM35" i="7"/>
  <c r="AM37" i="7"/>
  <c r="AM39" i="7"/>
  <c r="AM41" i="7"/>
  <c r="AM43" i="7"/>
  <c r="AM45" i="7"/>
  <c r="AM47" i="7"/>
  <c r="AM49" i="7"/>
  <c r="AM51" i="7"/>
  <c r="AM53" i="7"/>
  <c r="AM55" i="7"/>
  <c r="AM57" i="7"/>
  <c r="AM6" i="7"/>
  <c r="AM8" i="7"/>
  <c r="AM10" i="7"/>
  <c r="AM12" i="7"/>
  <c r="AM14" i="7"/>
  <c r="AM16" i="7"/>
  <c r="AM18" i="7"/>
  <c r="AM20" i="7"/>
  <c r="AM22" i="7"/>
  <c r="AM24" i="7"/>
  <c r="AM26" i="7"/>
  <c r="AM28" i="7"/>
  <c r="AM30" i="7"/>
  <c r="AM32" i="7"/>
  <c r="AM34" i="7"/>
  <c r="AL33" i="7"/>
  <c r="AL35" i="7"/>
  <c r="AL37" i="7"/>
  <c r="AL39" i="7"/>
  <c r="AL41" i="7"/>
  <c r="AL43" i="7"/>
  <c r="AL45" i="7"/>
  <c r="AL47" i="7"/>
  <c r="AL49" i="7"/>
  <c r="AL51" i="7"/>
  <c r="AL53" i="7"/>
  <c r="AL55" i="7"/>
  <c r="AL5" i="7"/>
  <c r="AL7" i="7"/>
  <c r="AL9" i="7"/>
  <c r="AL11" i="7"/>
  <c r="AL13" i="7"/>
  <c r="AL15" i="7"/>
  <c r="AL17" i="7"/>
  <c r="AL23" i="7"/>
  <c r="AL25" i="7"/>
  <c r="AL27" i="7"/>
  <c r="AL29" i="7"/>
  <c r="AL31" i="7"/>
  <c r="AL34" i="7"/>
  <c r="AL36" i="7"/>
  <c r="AL38" i="7"/>
  <c r="AL40" i="7"/>
  <c r="AL42" i="7"/>
  <c r="AL44" i="7"/>
  <c r="AL46" i="7"/>
  <c r="AL48" i="7"/>
  <c r="AL50" i="7"/>
  <c r="AL52" i="7"/>
  <c r="AL54" i="7"/>
  <c r="AL56" i="7"/>
  <c r="AL6" i="7"/>
  <c r="AL8" i="7"/>
  <c r="AL10" i="7"/>
  <c r="AL12" i="7"/>
  <c r="AL14" i="7"/>
  <c r="AL16" i="7"/>
  <c r="AL22" i="7"/>
  <c r="AL26" i="7"/>
  <c r="AL28" i="7"/>
  <c r="AL30" i="7"/>
  <c r="AL32" i="7"/>
  <c r="AI15" i="7"/>
  <c r="AI14" i="7"/>
  <c r="T22" i="7"/>
  <c r="AR22" i="7"/>
  <c r="AF22" i="7"/>
  <c r="BD22" i="7"/>
  <c r="S22" i="7"/>
  <c r="AE22" i="7"/>
  <c r="BC22" i="7"/>
  <c r="R22" i="7"/>
  <c r="AD22" i="7"/>
  <c r="BB22" i="7"/>
  <c r="Q22" i="7"/>
  <c r="AC22" i="7"/>
  <c r="BA22" i="7"/>
  <c r="P22" i="7"/>
  <c r="AB22" i="7"/>
  <c r="AN22" i="7"/>
  <c r="BF22" i="7"/>
  <c r="V22" i="7"/>
  <c r="AH22" i="7"/>
  <c r="AT22" i="7"/>
  <c r="O22" i="7"/>
  <c r="AA22" i="7"/>
  <c r="AY22" i="7"/>
  <c r="F22" i="7"/>
  <c r="H22" i="7"/>
  <c r="J22" i="7"/>
  <c r="G22" i="7"/>
  <c r="N22" i="7"/>
  <c r="Z22" i="7"/>
  <c r="AX22" i="7"/>
  <c r="U22" i="7"/>
  <c r="AS22" i="7"/>
  <c r="AG22" i="7"/>
  <c r="BE22" i="7"/>
  <c r="W22" i="7"/>
  <c r="AI22" i="7"/>
  <c r="AU22" i="7"/>
  <c r="BG22" i="7"/>
  <c r="BD4" i="7"/>
  <c r="BD6" i="7"/>
  <c r="BD8" i="7"/>
  <c r="BD10" i="7"/>
  <c r="AR5" i="7"/>
  <c r="AR7" i="7"/>
  <c r="AR9" i="7"/>
  <c r="AR11" i="7"/>
  <c r="AR13" i="7"/>
  <c r="AR16" i="7"/>
  <c r="AR18" i="7"/>
  <c r="AR20" i="7"/>
  <c r="BD11" i="7"/>
  <c r="BD13" i="7"/>
  <c r="BD16" i="7"/>
  <c r="BD18" i="7"/>
  <c r="BD20" i="7"/>
  <c r="BD24" i="7"/>
  <c r="BD26" i="7"/>
  <c r="BD28" i="7"/>
  <c r="BD30" i="7"/>
  <c r="BD32" i="7"/>
  <c r="BD34" i="7"/>
  <c r="AR23" i="7"/>
  <c r="AR25" i="7"/>
  <c r="AR27" i="7"/>
  <c r="AR29" i="7"/>
  <c r="AR31" i="7"/>
  <c r="AR33" i="7"/>
  <c r="AR35" i="7"/>
  <c r="BD36" i="7"/>
  <c r="BD38" i="7"/>
  <c r="BD40" i="7"/>
  <c r="BD42" i="7"/>
  <c r="BD44" i="7"/>
  <c r="BD46" i="7"/>
  <c r="BD48" i="7"/>
  <c r="BD50" i="7"/>
  <c r="AR37" i="7"/>
  <c r="AR39" i="7"/>
  <c r="AR41" i="7"/>
  <c r="AR43" i="7"/>
  <c r="AR45" i="7"/>
  <c r="AR47" i="7"/>
  <c r="AR49" i="7"/>
  <c r="AR51" i="7"/>
  <c r="BD52" i="7"/>
  <c r="BD54" i="7"/>
  <c r="BD56" i="7"/>
  <c r="BD58" i="7"/>
  <c r="BD60" i="7"/>
  <c r="BD62" i="7"/>
  <c r="BD64" i="7"/>
  <c r="BD66" i="7"/>
  <c r="BD68" i="7"/>
  <c r="BD70" i="7"/>
  <c r="BD72" i="7"/>
  <c r="BD74" i="7"/>
  <c r="BD76" i="7"/>
  <c r="BD78" i="7"/>
  <c r="BD80" i="7"/>
  <c r="AR52" i="7"/>
  <c r="AR54" i="7"/>
  <c r="AR56" i="7"/>
  <c r="AR58" i="7"/>
  <c r="AR60" i="7"/>
  <c r="AR62" i="7"/>
  <c r="AR64" i="7"/>
  <c r="AR66" i="7"/>
  <c r="AR68" i="7"/>
  <c r="AR70" i="7"/>
  <c r="AR72" i="7"/>
  <c r="AR74" i="7"/>
  <c r="AR76" i="7"/>
  <c r="AR78" i="7"/>
  <c r="AR80" i="7"/>
  <c r="AR82" i="7"/>
  <c r="AR84" i="7"/>
  <c r="AR86" i="7"/>
  <c r="AR88" i="7"/>
  <c r="AR90" i="7"/>
  <c r="AR92" i="7"/>
  <c r="AR94" i="7"/>
  <c r="AR96" i="7"/>
  <c r="AR98" i="7"/>
  <c r="AR100" i="7"/>
  <c r="AR102" i="7"/>
  <c r="AR104" i="7"/>
  <c r="AR106" i="7"/>
  <c r="AR108" i="7"/>
  <c r="AR110" i="7"/>
  <c r="AR112" i="7"/>
  <c r="BD82" i="7"/>
  <c r="BD84" i="7"/>
  <c r="BD86" i="7"/>
  <c r="BD88" i="7"/>
  <c r="BD90" i="7"/>
  <c r="BD92" i="7"/>
  <c r="BD94" i="7"/>
  <c r="BD96" i="7"/>
  <c r="BD98" i="7"/>
  <c r="BD100" i="7"/>
  <c r="BD102" i="7"/>
  <c r="BD104" i="7"/>
  <c r="BD106" i="7"/>
  <c r="BD108" i="7"/>
  <c r="BD110" i="7"/>
  <c r="BD112" i="7"/>
  <c r="AR115" i="7"/>
  <c r="AR117" i="7"/>
  <c r="AR119" i="7"/>
  <c r="AR121" i="7"/>
  <c r="AR123" i="7"/>
  <c r="AR125" i="7"/>
  <c r="AR127" i="7"/>
  <c r="AR129" i="7"/>
  <c r="AR131" i="7"/>
  <c r="AR133" i="7"/>
  <c r="AR135" i="7"/>
  <c r="AR137" i="7"/>
  <c r="AR139" i="7"/>
  <c r="AR141" i="7"/>
  <c r="AR143" i="7"/>
  <c r="AR145" i="7"/>
  <c r="AR147" i="7"/>
  <c r="T140" i="7"/>
  <c r="T142" i="7"/>
  <c r="T144" i="7"/>
  <c r="T146" i="7"/>
  <c r="BD114" i="7"/>
  <c r="BD116" i="7"/>
  <c r="BD118" i="7"/>
  <c r="BD120" i="7"/>
  <c r="BD122" i="7"/>
  <c r="BD124" i="7"/>
  <c r="BD126" i="7"/>
  <c r="BD128" i="7"/>
  <c r="BD130" i="7"/>
  <c r="BD132" i="7"/>
  <c r="BD134" i="7"/>
  <c r="BD136" i="7"/>
  <c r="BD138" i="7"/>
  <c r="BD140" i="7"/>
  <c r="BD142" i="7"/>
  <c r="BD144" i="7"/>
  <c r="BD146" i="7"/>
  <c r="AF139" i="7"/>
  <c r="AF141" i="7"/>
  <c r="AF143" i="7"/>
  <c r="AF145" i="7"/>
  <c r="BD5" i="7"/>
  <c r="BD7" i="7"/>
  <c r="BD9" i="7"/>
  <c r="AR4" i="7"/>
  <c r="AR6" i="7"/>
  <c r="AR8" i="7"/>
  <c r="AR10" i="7"/>
  <c r="AR12" i="7"/>
  <c r="AR14" i="7"/>
  <c r="AR17" i="7"/>
  <c r="AR19" i="7"/>
  <c r="AR21" i="7"/>
  <c r="BD12" i="7"/>
  <c r="BD14" i="7"/>
  <c r="BD17" i="7"/>
  <c r="BD19" i="7"/>
  <c r="BD21" i="7"/>
  <c r="BD23" i="7"/>
  <c r="BD25" i="7"/>
  <c r="BD27" i="7"/>
  <c r="BD29" i="7"/>
  <c r="BD31" i="7"/>
  <c r="BD33" i="7"/>
  <c r="AR24" i="7"/>
  <c r="AR26" i="7"/>
  <c r="AR28" i="7"/>
  <c r="AR30" i="7"/>
  <c r="AR32" i="7"/>
  <c r="AR34" i="7"/>
  <c r="AR36" i="7"/>
  <c r="BD37" i="7"/>
  <c r="BD39" i="7"/>
  <c r="BD41" i="7"/>
  <c r="BD43" i="7"/>
  <c r="BD45" i="7"/>
  <c r="BD47" i="7"/>
  <c r="BD49" i="7"/>
  <c r="BD35" i="7"/>
  <c r="AR38" i="7"/>
  <c r="AR40" i="7"/>
  <c r="AR42" i="7"/>
  <c r="AR44" i="7"/>
  <c r="AR46" i="7"/>
  <c r="AR48" i="7"/>
  <c r="AR50" i="7"/>
  <c r="BD51" i="7"/>
  <c r="BD53" i="7"/>
  <c r="BD55" i="7"/>
  <c r="BD57" i="7"/>
  <c r="BD59" i="7"/>
  <c r="BD61" i="7"/>
  <c r="BD63" i="7"/>
  <c r="BD65" i="7"/>
  <c r="BD67" i="7"/>
  <c r="BD69" i="7"/>
  <c r="BD71" i="7"/>
  <c r="BD73" i="7"/>
  <c r="BD75" i="7"/>
  <c r="BD77" i="7"/>
  <c r="BD79" i="7"/>
  <c r="BD81" i="7"/>
  <c r="AR53" i="7"/>
  <c r="AR55" i="7"/>
  <c r="AR57" i="7"/>
  <c r="AR59" i="7"/>
  <c r="AR61" i="7"/>
  <c r="AR63" i="7"/>
  <c r="AR65" i="7"/>
  <c r="AR67" i="7"/>
  <c r="AR69" i="7"/>
  <c r="AR71" i="7"/>
  <c r="AR73" i="7"/>
  <c r="AR75" i="7"/>
  <c r="AR77" i="7"/>
  <c r="AR79" i="7"/>
  <c r="AR81" i="7"/>
  <c r="AR83" i="7"/>
  <c r="AR85" i="7"/>
  <c r="AR87" i="7"/>
  <c r="AR89" i="7"/>
  <c r="AR91" i="7"/>
  <c r="AR93" i="7"/>
  <c r="AR95" i="7"/>
  <c r="AR97" i="7"/>
  <c r="AR99" i="7"/>
  <c r="AR101" i="7"/>
  <c r="AR103" i="7"/>
  <c r="AR105" i="7"/>
  <c r="AR107" i="7"/>
  <c r="AR109" i="7"/>
  <c r="AR111" i="7"/>
  <c r="AR113" i="7"/>
  <c r="BD83" i="7"/>
  <c r="BD85" i="7"/>
  <c r="BD87" i="7"/>
  <c r="BD89" i="7"/>
  <c r="BD91" i="7"/>
  <c r="BD93" i="7"/>
  <c r="BD95" i="7"/>
  <c r="BD97" i="7"/>
  <c r="BD99" i="7"/>
  <c r="BD101" i="7"/>
  <c r="BD103" i="7"/>
  <c r="BD105" i="7"/>
  <c r="BD107" i="7"/>
  <c r="BD109" i="7"/>
  <c r="BD111" i="7"/>
  <c r="AR114" i="7"/>
  <c r="AR116" i="7"/>
  <c r="AR118" i="7"/>
  <c r="AR120" i="7"/>
  <c r="AR122" i="7"/>
  <c r="AR124" i="7"/>
  <c r="AR126" i="7"/>
  <c r="AR128" i="7"/>
  <c r="AR130" i="7"/>
  <c r="AR132" i="7"/>
  <c r="AR134" i="7"/>
  <c r="AR136" i="7"/>
  <c r="AR138" i="7"/>
  <c r="AR140" i="7"/>
  <c r="AR142" i="7"/>
  <c r="AR144" i="7"/>
  <c r="AR146" i="7"/>
  <c r="T139" i="7"/>
  <c r="T141" i="7"/>
  <c r="T143" i="7"/>
  <c r="T145" i="7"/>
  <c r="BD113" i="7"/>
  <c r="BD115" i="7"/>
  <c r="BD117" i="7"/>
  <c r="BD119" i="7"/>
  <c r="BD121" i="7"/>
  <c r="BD123" i="7"/>
  <c r="BD125" i="7"/>
  <c r="BD127" i="7"/>
  <c r="BD129" i="7"/>
  <c r="BD131" i="7"/>
  <c r="BD133" i="7"/>
  <c r="BD135" i="7"/>
  <c r="BD137" i="7"/>
  <c r="BD139" i="7"/>
  <c r="BD141" i="7"/>
  <c r="BD143" i="7"/>
  <c r="BD145" i="7"/>
  <c r="BD147" i="7"/>
  <c r="AF140" i="7"/>
  <c r="AF142" i="7"/>
  <c r="AF144" i="7"/>
  <c r="AF146" i="7"/>
  <c r="AQ4" i="7"/>
  <c r="AQ6" i="7"/>
  <c r="AQ8" i="7"/>
  <c r="AQ10" i="7"/>
  <c r="BC4" i="7"/>
  <c r="BC6" i="7"/>
  <c r="BC8" i="7"/>
  <c r="BC10" i="7"/>
  <c r="BC12" i="7"/>
  <c r="BC19" i="7"/>
  <c r="AQ28" i="7"/>
  <c r="AQ30" i="7"/>
  <c r="AQ32" i="7"/>
  <c r="AQ34" i="7"/>
  <c r="BC24" i="7"/>
  <c r="BC26" i="7"/>
  <c r="BC28" i="7"/>
  <c r="BC30" i="7"/>
  <c r="BC32" i="7"/>
  <c r="BC34" i="7"/>
  <c r="AQ36" i="7"/>
  <c r="AQ38" i="7"/>
  <c r="AQ40" i="7"/>
  <c r="AQ42" i="7"/>
  <c r="AQ44" i="7"/>
  <c r="AQ46" i="7"/>
  <c r="AQ48" i="7"/>
  <c r="AQ50" i="7"/>
  <c r="BC36" i="7"/>
  <c r="BC38" i="7"/>
  <c r="BC40" i="7"/>
  <c r="BC42" i="7"/>
  <c r="BC44" i="7"/>
  <c r="BC46" i="7"/>
  <c r="BC48" i="7"/>
  <c r="BC50" i="7"/>
  <c r="AQ53" i="7"/>
  <c r="AQ55" i="7"/>
  <c r="AQ57" i="7"/>
  <c r="AQ59" i="7"/>
  <c r="AQ61" i="7"/>
  <c r="AQ63" i="7"/>
  <c r="AQ65" i="7"/>
  <c r="AQ67" i="7"/>
  <c r="AQ69" i="7"/>
  <c r="AQ71" i="7"/>
  <c r="AQ73" i="7"/>
  <c r="AQ75" i="7"/>
  <c r="AQ77" i="7"/>
  <c r="AQ79" i="7"/>
  <c r="AQ81" i="7"/>
  <c r="BC51" i="7"/>
  <c r="BC53" i="7"/>
  <c r="BC55" i="7"/>
  <c r="BC57" i="7"/>
  <c r="BC59" i="7"/>
  <c r="BC61" i="7"/>
  <c r="BC63" i="7"/>
  <c r="BC65" i="7"/>
  <c r="BC67" i="7"/>
  <c r="BC69" i="7"/>
  <c r="BC71" i="7"/>
  <c r="BC73" i="7"/>
  <c r="BC75" i="7"/>
  <c r="BC77" i="7"/>
  <c r="BC79" i="7"/>
  <c r="BC81" i="7"/>
  <c r="BC83" i="7"/>
  <c r="BC85" i="7"/>
  <c r="BC87" i="7"/>
  <c r="BC89" i="7"/>
  <c r="BC91" i="7"/>
  <c r="BC93" i="7"/>
  <c r="BC95" i="7"/>
  <c r="BC97" i="7"/>
  <c r="BC99" i="7"/>
  <c r="BC101" i="7"/>
  <c r="BC103" i="7"/>
  <c r="BC105" i="7"/>
  <c r="BC107" i="7"/>
  <c r="BC109" i="7"/>
  <c r="BC111" i="7"/>
  <c r="BC113" i="7"/>
  <c r="AQ84" i="7"/>
  <c r="AQ86" i="7"/>
  <c r="AQ88" i="7"/>
  <c r="AQ90" i="7"/>
  <c r="AQ92" i="7"/>
  <c r="AQ94" i="7"/>
  <c r="AQ96" i="7"/>
  <c r="AQ98" i="7"/>
  <c r="AQ100" i="7"/>
  <c r="AQ102" i="7"/>
  <c r="AQ104" i="7"/>
  <c r="AQ106" i="7"/>
  <c r="AQ108" i="7"/>
  <c r="AQ110" i="7"/>
  <c r="AQ112" i="7"/>
  <c r="BC114" i="7"/>
  <c r="BC116" i="7"/>
  <c r="BC118" i="7"/>
  <c r="BC120" i="7"/>
  <c r="BC122" i="7"/>
  <c r="BC124" i="7"/>
  <c r="BC126" i="7"/>
  <c r="BC128" i="7"/>
  <c r="BC130" i="7"/>
  <c r="BC132" i="7"/>
  <c r="BC134" i="7"/>
  <c r="BC136" i="7"/>
  <c r="BC138" i="7"/>
  <c r="BC140" i="7"/>
  <c r="BC142" i="7"/>
  <c r="BC144" i="7"/>
  <c r="BC146" i="7"/>
  <c r="AE139" i="7"/>
  <c r="AE141" i="7"/>
  <c r="AE143" i="7"/>
  <c r="AE145" i="7"/>
  <c r="S146" i="7"/>
  <c r="AQ115" i="7"/>
  <c r="AQ117" i="7"/>
  <c r="AQ119" i="7"/>
  <c r="AQ121" i="7"/>
  <c r="AQ123" i="7"/>
  <c r="AQ125" i="7"/>
  <c r="AQ127" i="7"/>
  <c r="AQ129" i="7"/>
  <c r="AQ131" i="7"/>
  <c r="AQ133" i="7"/>
  <c r="AQ135" i="7"/>
  <c r="AQ137" i="7"/>
  <c r="AQ139" i="7"/>
  <c r="AQ141" i="7"/>
  <c r="AQ143" i="7"/>
  <c r="AQ145" i="7"/>
  <c r="AQ147" i="7"/>
  <c r="S140" i="7"/>
  <c r="S142" i="7"/>
  <c r="S144" i="7"/>
  <c r="AQ5" i="7"/>
  <c r="AQ7" i="7"/>
  <c r="AQ9" i="7"/>
  <c r="BC5" i="7"/>
  <c r="BC7" i="7"/>
  <c r="BC9" i="7"/>
  <c r="BC11" i="7"/>
  <c r="BC13" i="7"/>
  <c r="BC20" i="7"/>
  <c r="AQ27" i="7"/>
  <c r="AQ29" i="7"/>
  <c r="AQ31" i="7"/>
  <c r="AQ33" i="7"/>
  <c r="AQ35" i="7"/>
  <c r="BC21" i="7"/>
  <c r="BC23" i="7"/>
  <c r="BC25" i="7"/>
  <c r="BC27" i="7"/>
  <c r="BC29" i="7"/>
  <c r="BC31" i="7"/>
  <c r="BC33" i="7"/>
  <c r="BC35" i="7"/>
  <c r="AQ37" i="7"/>
  <c r="AQ39" i="7"/>
  <c r="AQ41" i="7"/>
  <c r="AQ43" i="7"/>
  <c r="AQ45" i="7"/>
  <c r="AQ47" i="7"/>
  <c r="AQ49" i="7"/>
  <c r="AQ51" i="7"/>
  <c r="BC37" i="7"/>
  <c r="BC39" i="7"/>
  <c r="BC41" i="7"/>
  <c r="BC43" i="7"/>
  <c r="BC45" i="7"/>
  <c r="BC47" i="7"/>
  <c r="BC49" i="7"/>
  <c r="AQ52" i="7"/>
  <c r="AQ54" i="7"/>
  <c r="AQ56" i="7"/>
  <c r="AQ58" i="7"/>
  <c r="AQ60" i="7"/>
  <c r="AQ62" i="7"/>
  <c r="AQ64" i="7"/>
  <c r="AQ66" i="7"/>
  <c r="AQ68" i="7"/>
  <c r="AQ70" i="7"/>
  <c r="AQ72" i="7"/>
  <c r="AQ74" i="7"/>
  <c r="AQ76" i="7"/>
  <c r="AQ78" i="7"/>
  <c r="AQ80" i="7"/>
  <c r="AQ82" i="7"/>
  <c r="BC52" i="7"/>
  <c r="BC54" i="7"/>
  <c r="BC56" i="7"/>
  <c r="BC58" i="7"/>
  <c r="BC60" i="7"/>
  <c r="BC62" i="7"/>
  <c r="BC64" i="7"/>
  <c r="BC66" i="7"/>
  <c r="BC68" i="7"/>
  <c r="BC70" i="7"/>
  <c r="BC72" i="7"/>
  <c r="BC74" i="7"/>
  <c r="BC76" i="7"/>
  <c r="BC78" i="7"/>
  <c r="BC80" i="7"/>
  <c r="BC82" i="7"/>
  <c r="BC84" i="7"/>
  <c r="BC86" i="7"/>
  <c r="BC88" i="7"/>
  <c r="BC90" i="7"/>
  <c r="BC92" i="7"/>
  <c r="BC94" i="7"/>
  <c r="BC96" i="7"/>
  <c r="BC98" i="7"/>
  <c r="BC100" i="7"/>
  <c r="BC102" i="7"/>
  <c r="BC104" i="7"/>
  <c r="BC106" i="7"/>
  <c r="BC108" i="7"/>
  <c r="BC110" i="7"/>
  <c r="BC112" i="7"/>
  <c r="AQ83" i="7"/>
  <c r="AQ85" i="7"/>
  <c r="AQ87" i="7"/>
  <c r="AQ89" i="7"/>
  <c r="AQ91" i="7"/>
  <c r="AQ93" i="7"/>
  <c r="AQ95" i="7"/>
  <c r="AQ97" i="7"/>
  <c r="AQ99" i="7"/>
  <c r="AQ101" i="7"/>
  <c r="AQ103" i="7"/>
  <c r="AQ105" i="7"/>
  <c r="AQ107" i="7"/>
  <c r="AQ109" i="7"/>
  <c r="AQ111" i="7"/>
  <c r="AQ113" i="7"/>
  <c r="BC115" i="7"/>
  <c r="BC117" i="7"/>
  <c r="BC119" i="7"/>
  <c r="BC121" i="7"/>
  <c r="BC123" i="7"/>
  <c r="BC125" i="7"/>
  <c r="BC127" i="7"/>
  <c r="BC129" i="7"/>
  <c r="BC131" i="7"/>
  <c r="BC133" i="7"/>
  <c r="BC135" i="7"/>
  <c r="BC137" i="7"/>
  <c r="BC139" i="7"/>
  <c r="BC141" i="7"/>
  <c r="BC143" i="7"/>
  <c r="BC145" i="7"/>
  <c r="BC147" i="7"/>
  <c r="AE140" i="7"/>
  <c r="AE142" i="7"/>
  <c r="AE144" i="7"/>
  <c r="AE146" i="7"/>
  <c r="AQ114" i="7"/>
  <c r="AQ116" i="7"/>
  <c r="AQ118" i="7"/>
  <c r="AQ120" i="7"/>
  <c r="AQ122" i="7"/>
  <c r="AQ124" i="7"/>
  <c r="AQ126" i="7"/>
  <c r="AQ128" i="7"/>
  <c r="AQ130" i="7"/>
  <c r="AQ132" i="7"/>
  <c r="AQ134" i="7"/>
  <c r="AQ136" i="7"/>
  <c r="AQ138" i="7"/>
  <c r="AQ140" i="7"/>
  <c r="AQ142" i="7"/>
  <c r="AQ144" i="7"/>
  <c r="AQ146" i="7"/>
  <c r="S139" i="7"/>
  <c r="S141" i="7"/>
  <c r="S143" i="7"/>
  <c r="S145" i="7"/>
  <c r="BB4" i="7"/>
  <c r="BB6" i="7"/>
  <c r="BB8" i="7"/>
  <c r="BB10" i="7"/>
  <c r="BB11" i="7"/>
  <c r="BB21" i="7"/>
  <c r="BB23" i="7"/>
  <c r="BB25" i="7"/>
  <c r="BB27" i="7"/>
  <c r="BB29" i="7"/>
  <c r="BB31" i="7"/>
  <c r="BB33" i="7"/>
  <c r="BB35" i="7"/>
  <c r="BB37" i="7"/>
  <c r="BB39" i="7"/>
  <c r="BB41" i="7"/>
  <c r="BB43" i="7"/>
  <c r="BB45" i="7"/>
  <c r="BB47" i="7"/>
  <c r="BB49" i="7"/>
  <c r="BB52" i="7"/>
  <c r="BB54" i="7"/>
  <c r="BB56" i="7"/>
  <c r="BB58" i="7"/>
  <c r="BB60" i="7"/>
  <c r="BB62" i="7"/>
  <c r="BB64" i="7"/>
  <c r="BB66" i="7"/>
  <c r="BB68" i="7"/>
  <c r="BB70" i="7"/>
  <c r="BB72" i="7"/>
  <c r="BB74" i="7"/>
  <c r="BB76" i="7"/>
  <c r="BB78" i="7"/>
  <c r="BB80" i="7"/>
  <c r="BB5" i="7"/>
  <c r="BB7" i="7"/>
  <c r="BB9" i="7"/>
  <c r="AP4" i="7"/>
  <c r="BB12" i="7"/>
  <c r="BB24" i="7"/>
  <c r="BB26" i="7"/>
  <c r="BB28" i="7"/>
  <c r="BB30" i="7"/>
  <c r="BB32" i="7"/>
  <c r="BB34" i="7"/>
  <c r="BB36" i="7"/>
  <c r="BB38" i="7"/>
  <c r="BB40" i="7"/>
  <c r="BB42" i="7"/>
  <c r="BB44" i="7"/>
  <c r="BB46" i="7"/>
  <c r="BB48" i="7"/>
  <c r="BB50" i="7"/>
  <c r="BB51" i="7"/>
  <c r="BB53" i="7"/>
  <c r="BB55" i="7"/>
  <c r="BB57" i="7"/>
  <c r="BB59" i="7"/>
  <c r="BB61" i="7"/>
  <c r="BB63" i="7"/>
  <c r="BB65" i="7"/>
  <c r="BB67" i="7"/>
  <c r="BB69" i="7"/>
  <c r="BB71" i="7"/>
  <c r="BB73" i="7"/>
  <c r="BB75" i="7"/>
  <c r="BB77" i="7"/>
  <c r="BB79" i="7"/>
  <c r="BB81" i="7"/>
  <c r="BB82" i="7"/>
  <c r="BB84" i="7"/>
  <c r="BB86" i="7"/>
  <c r="BB88" i="7"/>
  <c r="BB90" i="7"/>
  <c r="BB92" i="7"/>
  <c r="BB94" i="7"/>
  <c r="BB96" i="7"/>
  <c r="BB98" i="7"/>
  <c r="BB100" i="7"/>
  <c r="BB102" i="7"/>
  <c r="BB104" i="7"/>
  <c r="BB106" i="7"/>
  <c r="BB108" i="7"/>
  <c r="BB110" i="7"/>
  <c r="BB112" i="7"/>
  <c r="AP142" i="7"/>
  <c r="AP144" i="7"/>
  <c r="AP146" i="7"/>
  <c r="R139" i="7"/>
  <c r="R141" i="7"/>
  <c r="R143" i="7"/>
  <c r="R145" i="7"/>
  <c r="AD146" i="7"/>
  <c r="BB115" i="7"/>
  <c r="BB117" i="7"/>
  <c r="BB119" i="7"/>
  <c r="BB121" i="7"/>
  <c r="BB123" i="7"/>
  <c r="BB125" i="7"/>
  <c r="BB127" i="7"/>
  <c r="BB129" i="7"/>
  <c r="BB131" i="7"/>
  <c r="BB133" i="7"/>
  <c r="BB135" i="7"/>
  <c r="BB137" i="7"/>
  <c r="BB139" i="7"/>
  <c r="BB141" i="7"/>
  <c r="BB143" i="7"/>
  <c r="BB145" i="7"/>
  <c r="BB147" i="7"/>
  <c r="AD140" i="7"/>
  <c r="AD142" i="7"/>
  <c r="AD144" i="7"/>
  <c r="BB83" i="7"/>
  <c r="BB85" i="7"/>
  <c r="BB87" i="7"/>
  <c r="BB89" i="7"/>
  <c r="BB91" i="7"/>
  <c r="BB93" i="7"/>
  <c r="BB95" i="7"/>
  <c r="BB97" i="7"/>
  <c r="BB99" i="7"/>
  <c r="BB101" i="7"/>
  <c r="BB103" i="7"/>
  <c r="BB105" i="7"/>
  <c r="BB107" i="7"/>
  <c r="BB109" i="7"/>
  <c r="BB111" i="7"/>
  <c r="BB113" i="7"/>
  <c r="AP143" i="7"/>
  <c r="AP145" i="7"/>
  <c r="AP147" i="7"/>
  <c r="R140" i="7"/>
  <c r="R142" i="7"/>
  <c r="R144" i="7"/>
  <c r="R146" i="7"/>
  <c r="BB114" i="7"/>
  <c r="BB116" i="7"/>
  <c r="BB118" i="7"/>
  <c r="BB120" i="7"/>
  <c r="BB122" i="7"/>
  <c r="BB124" i="7"/>
  <c r="BB126" i="7"/>
  <c r="BB128" i="7"/>
  <c r="BB130" i="7"/>
  <c r="BB132" i="7"/>
  <c r="BB134" i="7"/>
  <c r="BB136" i="7"/>
  <c r="BB138" i="7"/>
  <c r="BB140" i="7"/>
  <c r="BB142" i="7"/>
  <c r="BB144" i="7"/>
  <c r="BB146" i="7"/>
  <c r="AD139" i="7"/>
  <c r="AD141" i="7"/>
  <c r="AD143" i="7"/>
  <c r="AD145" i="7"/>
  <c r="AO4" i="7"/>
  <c r="BA4" i="7"/>
  <c r="BA5" i="7"/>
  <c r="BA6" i="7"/>
  <c r="BA7" i="7"/>
  <c r="BA8" i="7"/>
  <c r="BA9" i="7"/>
  <c r="BA10" i="7"/>
  <c r="BA11" i="7"/>
  <c r="BA12" i="7"/>
  <c r="BA13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AO37" i="7"/>
  <c r="AO38" i="7"/>
  <c r="AO39" i="7"/>
  <c r="AO40" i="7"/>
  <c r="AO41" i="7"/>
  <c r="AO42" i="7"/>
  <c r="AO43" i="7"/>
  <c r="AO44" i="7"/>
  <c r="AO45" i="7"/>
  <c r="AO46" i="7"/>
  <c r="AO47" i="7"/>
  <c r="AO48" i="7"/>
  <c r="AO49" i="7"/>
  <c r="AO50" i="7"/>
  <c r="AO51" i="7"/>
  <c r="BA36" i="7"/>
  <c r="BA37" i="7"/>
  <c r="BA38" i="7"/>
  <c r="BA39" i="7"/>
  <c r="BA40" i="7"/>
  <c r="BA41" i="7"/>
  <c r="BA42" i="7"/>
  <c r="BA43" i="7"/>
  <c r="BA44" i="7"/>
  <c r="BA45" i="7"/>
  <c r="BA46" i="7"/>
  <c r="BA47" i="7"/>
  <c r="BA48" i="7"/>
  <c r="BA49" i="7"/>
  <c r="BA50" i="7"/>
  <c r="AO52" i="7"/>
  <c r="AO53" i="7"/>
  <c r="AO54" i="7"/>
  <c r="AO55" i="7"/>
  <c r="AO56" i="7"/>
  <c r="AO57" i="7"/>
  <c r="AO58" i="7"/>
  <c r="AO59" i="7"/>
  <c r="AO60" i="7"/>
  <c r="AO61" i="7"/>
  <c r="AO62" i="7"/>
  <c r="AO63" i="7"/>
  <c r="AO64" i="7"/>
  <c r="AO65" i="7"/>
  <c r="AO66" i="7"/>
  <c r="AO67" i="7"/>
  <c r="AO68" i="7"/>
  <c r="AO69" i="7"/>
  <c r="AO70" i="7"/>
  <c r="AO71" i="7"/>
  <c r="AO72" i="7"/>
  <c r="AO73" i="7"/>
  <c r="AO74" i="7"/>
  <c r="AO75" i="7"/>
  <c r="AO76" i="7"/>
  <c r="AO77" i="7"/>
  <c r="AO78" i="7"/>
  <c r="AO79" i="7"/>
  <c r="AO80" i="7"/>
  <c r="AO81" i="7"/>
  <c r="AO82" i="7"/>
  <c r="BA51" i="7"/>
  <c r="BA52" i="7"/>
  <c r="BA53" i="7"/>
  <c r="BA54" i="7"/>
  <c r="BA55" i="7"/>
  <c r="BA56" i="7"/>
  <c r="BA57" i="7"/>
  <c r="BA58" i="7"/>
  <c r="BA59" i="7"/>
  <c r="BA60" i="7"/>
  <c r="BA61" i="7"/>
  <c r="BA62" i="7"/>
  <c r="BA63" i="7"/>
  <c r="BA64" i="7"/>
  <c r="BA65" i="7"/>
  <c r="BA66" i="7"/>
  <c r="BA67" i="7"/>
  <c r="BA68" i="7"/>
  <c r="BA69" i="7"/>
  <c r="BA70" i="7"/>
  <c r="BA71" i="7"/>
  <c r="BA72" i="7"/>
  <c r="BA73" i="7"/>
  <c r="BA74" i="7"/>
  <c r="BA75" i="7"/>
  <c r="BA76" i="7"/>
  <c r="BA77" i="7"/>
  <c r="BA78" i="7"/>
  <c r="BA79" i="7"/>
  <c r="BA80" i="7"/>
  <c r="BA81" i="7"/>
  <c r="BA82" i="7"/>
  <c r="BA83" i="7"/>
  <c r="BA84" i="7"/>
  <c r="BA85" i="7"/>
  <c r="BA86" i="7"/>
  <c r="BA87" i="7"/>
  <c r="BA88" i="7"/>
  <c r="BA89" i="7"/>
  <c r="BA90" i="7"/>
  <c r="BA91" i="7"/>
  <c r="BA92" i="7"/>
  <c r="BA93" i="7"/>
  <c r="BA94" i="7"/>
  <c r="BA95" i="7"/>
  <c r="BA96" i="7"/>
  <c r="BA97" i="7"/>
  <c r="BA98" i="7"/>
  <c r="BA99" i="7"/>
  <c r="BA100" i="7"/>
  <c r="BA101" i="7"/>
  <c r="BA102" i="7"/>
  <c r="BA103" i="7"/>
  <c r="BA104" i="7"/>
  <c r="BA105" i="7"/>
  <c r="BA106" i="7"/>
  <c r="BA107" i="7"/>
  <c r="BA108" i="7"/>
  <c r="BA109" i="7"/>
  <c r="BA110" i="7"/>
  <c r="BA111" i="7"/>
  <c r="BA112" i="7"/>
  <c r="BA113" i="7"/>
  <c r="AO83" i="7"/>
  <c r="AO84" i="7"/>
  <c r="AO85" i="7"/>
  <c r="AO86" i="7"/>
  <c r="AO87" i="7"/>
  <c r="AO88" i="7"/>
  <c r="AO89" i="7"/>
  <c r="AO90" i="7"/>
  <c r="AO91" i="7"/>
  <c r="AO92" i="7"/>
  <c r="AO93" i="7"/>
  <c r="AO94" i="7"/>
  <c r="AO95" i="7"/>
  <c r="AO96" i="7"/>
  <c r="AO97" i="7"/>
  <c r="AO98" i="7"/>
  <c r="AO99" i="7"/>
  <c r="AO100" i="7"/>
  <c r="AO101" i="7"/>
  <c r="AO102" i="7"/>
  <c r="AO103" i="7"/>
  <c r="AO104" i="7"/>
  <c r="AO105" i="7"/>
  <c r="AO106" i="7"/>
  <c r="AO107" i="7"/>
  <c r="AO108" i="7"/>
  <c r="AO109" i="7"/>
  <c r="AO110" i="7"/>
  <c r="AO111" i="7"/>
  <c r="AO112" i="7"/>
  <c r="AO113" i="7"/>
  <c r="BA114" i="7"/>
  <c r="BA115" i="7"/>
  <c r="BA116" i="7"/>
  <c r="BA117" i="7"/>
  <c r="BA118" i="7"/>
  <c r="BA119" i="7"/>
  <c r="BA120" i="7"/>
  <c r="BA121" i="7"/>
  <c r="BA122" i="7"/>
  <c r="BA123" i="7"/>
  <c r="BA124" i="7"/>
  <c r="BA125" i="7"/>
  <c r="BA126" i="7"/>
  <c r="BA127" i="7"/>
  <c r="BA128" i="7"/>
  <c r="BA129" i="7"/>
  <c r="BA130" i="7"/>
  <c r="BA131" i="7"/>
  <c r="BA132" i="7"/>
  <c r="BA133" i="7"/>
  <c r="BA134" i="7"/>
  <c r="BA135" i="7"/>
  <c r="BA136" i="7"/>
  <c r="BA137" i="7"/>
  <c r="BA138" i="7"/>
  <c r="BA139" i="7"/>
  <c r="BA140" i="7"/>
  <c r="BA141" i="7"/>
  <c r="BA142" i="7"/>
  <c r="BA143" i="7"/>
  <c r="BA144" i="7"/>
  <c r="BA145" i="7"/>
  <c r="BA146" i="7"/>
  <c r="BA147" i="7"/>
  <c r="AC139" i="7"/>
  <c r="AC140" i="7"/>
  <c r="AC141" i="7"/>
  <c r="AC142" i="7"/>
  <c r="AC143" i="7"/>
  <c r="AC144" i="7"/>
  <c r="AC145" i="7"/>
  <c r="AC146" i="7"/>
  <c r="Q146" i="7"/>
  <c r="AO114" i="7"/>
  <c r="AO115" i="7"/>
  <c r="AO116" i="7"/>
  <c r="AO117" i="7"/>
  <c r="AO118" i="7"/>
  <c r="AO119" i="7"/>
  <c r="AO120" i="7"/>
  <c r="AO121" i="7"/>
  <c r="AO122" i="7"/>
  <c r="AO123" i="7"/>
  <c r="AO124" i="7"/>
  <c r="AO125" i="7"/>
  <c r="AO126" i="7"/>
  <c r="AO127" i="7"/>
  <c r="AO128" i="7"/>
  <c r="AO129" i="7"/>
  <c r="AO130" i="7"/>
  <c r="AO131" i="7"/>
  <c r="AO132" i="7"/>
  <c r="AO133" i="7"/>
  <c r="AO134" i="7"/>
  <c r="AO135" i="7"/>
  <c r="AO136" i="7"/>
  <c r="AO137" i="7"/>
  <c r="AO138" i="7"/>
  <c r="AO139" i="7"/>
  <c r="AO140" i="7"/>
  <c r="AO141" i="7"/>
  <c r="AO142" i="7"/>
  <c r="AO143" i="7"/>
  <c r="AO144" i="7"/>
  <c r="AO145" i="7"/>
  <c r="AO146" i="7"/>
  <c r="AO147" i="7"/>
  <c r="Q139" i="7"/>
  <c r="Q140" i="7"/>
  <c r="Q141" i="7"/>
  <c r="Q142" i="7"/>
  <c r="Q143" i="7"/>
  <c r="Q144" i="7"/>
  <c r="Q145" i="7"/>
  <c r="AZ4" i="7"/>
  <c r="AZ5" i="7"/>
  <c r="AZ6" i="7"/>
  <c r="AZ7" i="7"/>
  <c r="AZ8" i="7"/>
  <c r="AZ9" i="7"/>
  <c r="AZ10" i="7"/>
  <c r="AZ11" i="7"/>
  <c r="AN4" i="7"/>
  <c r="AN5" i="7"/>
  <c r="AN6" i="7"/>
  <c r="AN7" i="7"/>
  <c r="AN8" i="7"/>
  <c r="AN9" i="7"/>
  <c r="AN10" i="7"/>
  <c r="AN11" i="7"/>
  <c r="AN12" i="7"/>
  <c r="AN13" i="7"/>
  <c r="AN14" i="7"/>
  <c r="AN17" i="7"/>
  <c r="AN18" i="7"/>
  <c r="AN19" i="7"/>
  <c r="AN20" i="7"/>
  <c r="AN21" i="7"/>
  <c r="AZ12" i="7"/>
  <c r="AZ24" i="7"/>
  <c r="AZ25" i="7"/>
  <c r="AZ26" i="7"/>
  <c r="AZ27" i="7"/>
  <c r="AZ28" i="7"/>
  <c r="AZ29" i="7"/>
  <c r="AZ30" i="7"/>
  <c r="AZ31" i="7"/>
  <c r="AZ32" i="7"/>
  <c r="AZ33" i="7"/>
  <c r="AZ34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Z36" i="7"/>
  <c r="AZ37" i="7"/>
  <c r="AZ38" i="7"/>
  <c r="AZ39" i="7"/>
  <c r="AZ40" i="7"/>
  <c r="AZ41" i="7"/>
  <c r="AZ42" i="7"/>
  <c r="AZ43" i="7"/>
  <c r="AZ44" i="7"/>
  <c r="AZ45" i="7"/>
  <c r="AZ46" i="7"/>
  <c r="AZ47" i="7"/>
  <c r="AZ48" i="7"/>
  <c r="AZ49" i="7"/>
  <c r="AZ50" i="7"/>
  <c r="AZ35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Z51" i="7"/>
  <c r="AZ52" i="7"/>
  <c r="AZ53" i="7"/>
  <c r="AZ54" i="7"/>
  <c r="AZ55" i="7"/>
  <c r="AZ56" i="7"/>
  <c r="AZ57" i="7"/>
  <c r="AZ58" i="7"/>
  <c r="AZ59" i="7"/>
  <c r="AZ60" i="7"/>
  <c r="AZ61" i="7"/>
  <c r="AZ62" i="7"/>
  <c r="AZ63" i="7"/>
  <c r="AZ64" i="7"/>
  <c r="AZ65" i="7"/>
  <c r="AZ66" i="7"/>
  <c r="AZ67" i="7"/>
  <c r="AZ68" i="7"/>
  <c r="AZ69" i="7"/>
  <c r="AZ70" i="7"/>
  <c r="AZ71" i="7"/>
  <c r="AZ72" i="7"/>
  <c r="AZ73" i="7"/>
  <c r="AZ74" i="7"/>
  <c r="AZ75" i="7"/>
  <c r="AZ76" i="7"/>
  <c r="AZ77" i="7"/>
  <c r="AZ78" i="7"/>
  <c r="AZ79" i="7"/>
  <c r="AZ80" i="7"/>
  <c r="AZ8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Z82" i="7"/>
  <c r="AZ83" i="7"/>
  <c r="AZ84" i="7"/>
  <c r="AZ85" i="7"/>
  <c r="AZ86" i="7"/>
  <c r="AZ87" i="7"/>
  <c r="AZ88" i="7"/>
  <c r="AZ89" i="7"/>
  <c r="AZ90" i="7"/>
  <c r="AZ91" i="7"/>
  <c r="AZ92" i="7"/>
  <c r="AZ93" i="7"/>
  <c r="AZ94" i="7"/>
  <c r="AZ95" i="7"/>
  <c r="AZ96" i="7"/>
  <c r="AZ97" i="7"/>
  <c r="AZ98" i="7"/>
  <c r="AZ99" i="7"/>
  <c r="AZ100" i="7"/>
  <c r="AZ101" i="7"/>
  <c r="AZ102" i="7"/>
  <c r="AZ103" i="7"/>
  <c r="AZ104" i="7"/>
  <c r="AZ105" i="7"/>
  <c r="AZ106" i="7"/>
  <c r="AZ107" i="7"/>
  <c r="AZ108" i="7"/>
  <c r="AZ109" i="7"/>
  <c r="AZ110" i="7"/>
  <c r="AZ111" i="7"/>
  <c r="AZ112" i="7"/>
  <c r="AN114" i="7"/>
  <c r="AN115" i="7"/>
  <c r="AN116" i="7"/>
  <c r="AN117" i="7"/>
  <c r="AN118" i="7"/>
  <c r="AN119" i="7"/>
  <c r="AN120" i="7"/>
  <c r="AN121" i="7"/>
  <c r="AN122" i="7"/>
  <c r="AN123" i="7"/>
  <c r="AN124" i="7"/>
  <c r="AN125" i="7"/>
  <c r="AN126" i="7"/>
  <c r="AN127" i="7"/>
  <c r="AN128" i="7"/>
  <c r="AN129" i="7"/>
  <c r="AN130" i="7"/>
  <c r="AN131" i="7"/>
  <c r="AN132" i="7"/>
  <c r="AN133" i="7"/>
  <c r="AN134" i="7"/>
  <c r="AN135" i="7"/>
  <c r="AN136" i="7"/>
  <c r="AN137" i="7"/>
  <c r="AN138" i="7"/>
  <c r="AN139" i="7"/>
  <c r="AN140" i="7"/>
  <c r="AN141" i="7"/>
  <c r="AN142" i="7"/>
  <c r="AN143" i="7"/>
  <c r="AN144" i="7"/>
  <c r="AN145" i="7"/>
  <c r="AN146" i="7"/>
  <c r="AN147" i="7"/>
  <c r="P139" i="7"/>
  <c r="P140" i="7"/>
  <c r="P141" i="7"/>
  <c r="P142" i="7"/>
  <c r="P143" i="7"/>
  <c r="P144" i="7"/>
  <c r="P145" i="7"/>
  <c r="P146" i="7"/>
  <c r="AB146" i="7"/>
  <c r="AZ113" i="7"/>
  <c r="AZ114" i="7"/>
  <c r="AZ115" i="7"/>
  <c r="AZ116" i="7"/>
  <c r="AZ117" i="7"/>
  <c r="AZ118" i="7"/>
  <c r="AZ119" i="7"/>
  <c r="AZ120" i="7"/>
  <c r="AZ121" i="7"/>
  <c r="AZ122" i="7"/>
  <c r="AZ123" i="7"/>
  <c r="AZ124" i="7"/>
  <c r="AZ125" i="7"/>
  <c r="AZ126" i="7"/>
  <c r="AZ127" i="7"/>
  <c r="AZ128" i="7"/>
  <c r="AZ129" i="7"/>
  <c r="AZ130" i="7"/>
  <c r="AZ131" i="7"/>
  <c r="AZ132" i="7"/>
  <c r="AZ133" i="7"/>
  <c r="AZ134" i="7"/>
  <c r="AZ135" i="7"/>
  <c r="AZ136" i="7"/>
  <c r="AZ137" i="7"/>
  <c r="AZ138" i="7"/>
  <c r="AZ139" i="7"/>
  <c r="AZ140" i="7"/>
  <c r="AZ141" i="7"/>
  <c r="AZ142" i="7"/>
  <c r="AZ143" i="7"/>
  <c r="AZ144" i="7"/>
  <c r="AZ145" i="7"/>
  <c r="AZ146" i="7"/>
  <c r="AZ147" i="7"/>
  <c r="AB139" i="7"/>
  <c r="AB140" i="7"/>
  <c r="AB141" i="7"/>
  <c r="AB142" i="7"/>
  <c r="AB143" i="7"/>
  <c r="AB144" i="7"/>
  <c r="AB145" i="7"/>
  <c r="AM4" i="7"/>
  <c r="AY4" i="7"/>
  <c r="AY5" i="7"/>
  <c r="AY6" i="7"/>
  <c r="AY7" i="7"/>
  <c r="AY8" i="7"/>
  <c r="AY9" i="7"/>
  <c r="AY10" i="7"/>
  <c r="AY11" i="7"/>
  <c r="AY12" i="7"/>
  <c r="AY13" i="7"/>
  <c r="AY19" i="7"/>
  <c r="AY20" i="7"/>
  <c r="AY21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37" i="7"/>
  <c r="AY38" i="7"/>
  <c r="AY39" i="7"/>
  <c r="AY40" i="7"/>
  <c r="AY41" i="7"/>
  <c r="AY42" i="7"/>
  <c r="AY43" i="7"/>
  <c r="AY44" i="7"/>
  <c r="AY45" i="7"/>
  <c r="AY46" i="7"/>
  <c r="AY47" i="7"/>
  <c r="AY48" i="7"/>
  <c r="AY49" i="7"/>
  <c r="AY50" i="7"/>
  <c r="AM58" i="7"/>
  <c r="AM59" i="7"/>
  <c r="AM60" i="7"/>
  <c r="AM61" i="7"/>
  <c r="AM62" i="7"/>
  <c r="AM63" i="7"/>
  <c r="AM64" i="7"/>
  <c r="AM65" i="7"/>
  <c r="AM66" i="7"/>
  <c r="AM67" i="7"/>
  <c r="AM68" i="7"/>
  <c r="AM69" i="7"/>
  <c r="AM70" i="7"/>
  <c r="AM71" i="7"/>
  <c r="AM72" i="7"/>
  <c r="AM73" i="7"/>
  <c r="AM74" i="7"/>
  <c r="AM75" i="7"/>
  <c r="AM76" i="7"/>
  <c r="AM77" i="7"/>
  <c r="AM78" i="7"/>
  <c r="AM79" i="7"/>
  <c r="AM80" i="7"/>
  <c r="AM81" i="7"/>
  <c r="AM82" i="7"/>
  <c r="AY51" i="7"/>
  <c r="AY52" i="7"/>
  <c r="AY53" i="7"/>
  <c r="AY54" i="7"/>
  <c r="AY55" i="7"/>
  <c r="AY56" i="7"/>
  <c r="AY57" i="7"/>
  <c r="AY58" i="7"/>
  <c r="AY59" i="7"/>
  <c r="AY60" i="7"/>
  <c r="AY61" i="7"/>
  <c r="AY62" i="7"/>
  <c r="AY63" i="7"/>
  <c r="AY64" i="7"/>
  <c r="AY65" i="7"/>
  <c r="AY66" i="7"/>
  <c r="AY67" i="7"/>
  <c r="AY68" i="7"/>
  <c r="AY69" i="7"/>
  <c r="AY70" i="7"/>
  <c r="AY71" i="7"/>
  <c r="AY72" i="7"/>
  <c r="AY73" i="7"/>
  <c r="AY74" i="7"/>
  <c r="AY75" i="7"/>
  <c r="AY76" i="7"/>
  <c r="AY77" i="7"/>
  <c r="AY78" i="7"/>
  <c r="AY79" i="7"/>
  <c r="AY80" i="7"/>
  <c r="AY81" i="7"/>
  <c r="AY82" i="7"/>
  <c r="AY83" i="7"/>
  <c r="AY84" i="7"/>
  <c r="AY85" i="7"/>
  <c r="AY86" i="7"/>
  <c r="AY87" i="7"/>
  <c r="AY88" i="7"/>
  <c r="AY89" i="7"/>
  <c r="AY90" i="7"/>
  <c r="AY91" i="7"/>
  <c r="AY92" i="7"/>
  <c r="AY93" i="7"/>
  <c r="AY94" i="7"/>
  <c r="AY95" i="7"/>
  <c r="AY96" i="7"/>
  <c r="AY97" i="7"/>
  <c r="AY98" i="7"/>
  <c r="AY99" i="7"/>
  <c r="AY100" i="7"/>
  <c r="AY101" i="7"/>
  <c r="AY102" i="7"/>
  <c r="AY103" i="7"/>
  <c r="AY104" i="7"/>
  <c r="AY105" i="7"/>
  <c r="AY106" i="7"/>
  <c r="AY107" i="7"/>
  <c r="AY108" i="7"/>
  <c r="AY109" i="7"/>
  <c r="AY110" i="7"/>
  <c r="AY111" i="7"/>
  <c r="AY112" i="7"/>
  <c r="AY113" i="7"/>
  <c r="AM83" i="7"/>
  <c r="AM84" i="7"/>
  <c r="AM85" i="7"/>
  <c r="AM86" i="7"/>
  <c r="AM87" i="7"/>
  <c r="AM88" i="7"/>
  <c r="AM89" i="7"/>
  <c r="AM90" i="7"/>
  <c r="AM91" i="7"/>
  <c r="AM92" i="7"/>
  <c r="AM93" i="7"/>
  <c r="AM94" i="7"/>
  <c r="AM95" i="7"/>
  <c r="AM96" i="7"/>
  <c r="AM97" i="7"/>
  <c r="AM98" i="7"/>
  <c r="AM99" i="7"/>
  <c r="AM100" i="7"/>
  <c r="AM101" i="7"/>
  <c r="AM102" i="7"/>
  <c r="AM103" i="7"/>
  <c r="AM104" i="7"/>
  <c r="AM105" i="7"/>
  <c r="AM106" i="7"/>
  <c r="AM107" i="7"/>
  <c r="AM108" i="7"/>
  <c r="AM109" i="7"/>
  <c r="AM110" i="7"/>
  <c r="AM111" i="7"/>
  <c r="AM112" i="7"/>
  <c r="AM113" i="7"/>
  <c r="AY114" i="7"/>
  <c r="AY115" i="7"/>
  <c r="AY116" i="7"/>
  <c r="AY117" i="7"/>
  <c r="AY118" i="7"/>
  <c r="AY119" i="7"/>
  <c r="AY120" i="7"/>
  <c r="AY121" i="7"/>
  <c r="AY122" i="7"/>
  <c r="AY123" i="7"/>
  <c r="AY124" i="7"/>
  <c r="AY125" i="7"/>
  <c r="AY126" i="7"/>
  <c r="AY127" i="7"/>
  <c r="AY128" i="7"/>
  <c r="AY129" i="7"/>
  <c r="AY130" i="7"/>
  <c r="AY131" i="7"/>
  <c r="AY132" i="7"/>
  <c r="AY133" i="7"/>
  <c r="AY134" i="7"/>
  <c r="AY135" i="7"/>
  <c r="AY136" i="7"/>
  <c r="AY137" i="7"/>
  <c r="AY138" i="7"/>
  <c r="AY139" i="7"/>
  <c r="AY140" i="7"/>
  <c r="AY141" i="7"/>
  <c r="AY142" i="7"/>
  <c r="AY143" i="7"/>
  <c r="AY144" i="7"/>
  <c r="AY145" i="7"/>
  <c r="AY146" i="7"/>
  <c r="AY147" i="7"/>
  <c r="AA139" i="7"/>
  <c r="AA140" i="7"/>
  <c r="AA141" i="7"/>
  <c r="AA142" i="7"/>
  <c r="AA143" i="7"/>
  <c r="AA144" i="7"/>
  <c r="AA145" i="7"/>
  <c r="AA146" i="7"/>
  <c r="O146" i="7"/>
  <c r="AM114" i="7"/>
  <c r="AM115" i="7"/>
  <c r="AM116" i="7"/>
  <c r="AM117" i="7"/>
  <c r="AM118" i="7"/>
  <c r="AM119" i="7"/>
  <c r="AM120" i="7"/>
  <c r="AM121" i="7"/>
  <c r="AM122" i="7"/>
  <c r="AM123" i="7"/>
  <c r="AM124" i="7"/>
  <c r="AM125" i="7"/>
  <c r="AM126" i="7"/>
  <c r="AM127" i="7"/>
  <c r="AM128" i="7"/>
  <c r="AM129" i="7"/>
  <c r="AM130" i="7"/>
  <c r="AM131" i="7"/>
  <c r="AM132" i="7"/>
  <c r="AM133" i="7"/>
  <c r="AM134" i="7"/>
  <c r="AM135" i="7"/>
  <c r="AM136" i="7"/>
  <c r="AM137" i="7"/>
  <c r="AM138" i="7"/>
  <c r="AM139" i="7"/>
  <c r="AM140" i="7"/>
  <c r="AM141" i="7"/>
  <c r="AM142" i="7"/>
  <c r="AM143" i="7"/>
  <c r="AM144" i="7"/>
  <c r="AM145" i="7"/>
  <c r="AM146" i="7"/>
  <c r="AM147" i="7"/>
  <c r="O139" i="7"/>
  <c r="O140" i="7"/>
  <c r="O141" i="7"/>
  <c r="O142" i="7"/>
  <c r="O143" i="7"/>
  <c r="O144" i="7"/>
  <c r="O145" i="7"/>
  <c r="AX4" i="7"/>
  <c r="AX5" i="7"/>
  <c r="AX6" i="7"/>
  <c r="AX7" i="7"/>
  <c r="AX8" i="7"/>
  <c r="AX9" i="7"/>
  <c r="AX10" i="7"/>
  <c r="AX11" i="7"/>
  <c r="AL4" i="7"/>
  <c r="AX12" i="7"/>
  <c r="AX13" i="7"/>
  <c r="AX19" i="7"/>
  <c r="AX21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20" i="7"/>
  <c r="AX35" i="7"/>
  <c r="AX36" i="7"/>
  <c r="AX37" i="7"/>
  <c r="AX38" i="7"/>
  <c r="AX39" i="7"/>
  <c r="AX40" i="7"/>
  <c r="AX41" i="7"/>
  <c r="AX42" i="7"/>
  <c r="AX43" i="7"/>
  <c r="AX44" i="7"/>
  <c r="AX45" i="7"/>
  <c r="AX46" i="7"/>
  <c r="AX47" i="7"/>
  <c r="AX48" i="7"/>
  <c r="AX49" i="7"/>
  <c r="AX50" i="7"/>
  <c r="AX51" i="7"/>
  <c r="AX52" i="7"/>
  <c r="AX53" i="7"/>
  <c r="AX54" i="7"/>
  <c r="AX55" i="7"/>
  <c r="AX56" i="7"/>
  <c r="AX57" i="7"/>
  <c r="AX58" i="7"/>
  <c r="AX59" i="7"/>
  <c r="AX60" i="7"/>
  <c r="AX61" i="7"/>
  <c r="AX62" i="7"/>
  <c r="AX63" i="7"/>
  <c r="AX64" i="7"/>
  <c r="AX65" i="7"/>
  <c r="AX66" i="7"/>
  <c r="AX67" i="7"/>
  <c r="AX68" i="7"/>
  <c r="AX69" i="7"/>
  <c r="AX70" i="7"/>
  <c r="AX71" i="7"/>
  <c r="AX72" i="7"/>
  <c r="AX73" i="7"/>
  <c r="AX74" i="7"/>
  <c r="AX75" i="7"/>
  <c r="AX76" i="7"/>
  <c r="AX77" i="7"/>
  <c r="AX78" i="7"/>
  <c r="AX79" i="7"/>
  <c r="AX80" i="7"/>
  <c r="AX81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04" i="7"/>
  <c r="AL105" i="7"/>
  <c r="AL106" i="7"/>
  <c r="AL107" i="7"/>
  <c r="AL108" i="7"/>
  <c r="AL109" i="7"/>
  <c r="AL110" i="7"/>
  <c r="AL111" i="7"/>
  <c r="AL112" i="7"/>
  <c r="AL113" i="7"/>
  <c r="AX82" i="7"/>
  <c r="AX83" i="7"/>
  <c r="AX84" i="7"/>
  <c r="AX85" i="7"/>
  <c r="AX86" i="7"/>
  <c r="AX87" i="7"/>
  <c r="AX88" i="7"/>
  <c r="AX89" i="7"/>
  <c r="AX90" i="7"/>
  <c r="AX91" i="7"/>
  <c r="AX92" i="7"/>
  <c r="AX93" i="7"/>
  <c r="AX94" i="7"/>
  <c r="AX95" i="7"/>
  <c r="AX96" i="7"/>
  <c r="AX97" i="7"/>
  <c r="AX98" i="7"/>
  <c r="AX99" i="7"/>
  <c r="AX100" i="7"/>
  <c r="AX101" i="7"/>
  <c r="AX102" i="7"/>
  <c r="AX103" i="7"/>
  <c r="AX104" i="7"/>
  <c r="AX105" i="7"/>
  <c r="AX106" i="7"/>
  <c r="AX107" i="7"/>
  <c r="AX108" i="7"/>
  <c r="AX109" i="7"/>
  <c r="AX110" i="7"/>
  <c r="AX111" i="7"/>
  <c r="AX112" i="7"/>
  <c r="AX113" i="7"/>
  <c r="AL114" i="7"/>
  <c r="AL115" i="7"/>
  <c r="AL116" i="7"/>
  <c r="AL117" i="7"/>
  <c r="AL118" i="7"/>
  <c r="AL119" i="7"/>
  <c r="AL120" i="7"/>
  <c r="AL121" i="7"/>
  <c r="AL122" i="7"/>
  <c r="AL123" i="7"/>
  <c r="AL124" i="7"/>
  <c r="AL125" i="7"/>
  <c r="AL126" i="7"/>
  <c r="AL127" i="7"/>
  <c r="AL128" i="7"/>
  <c r="AL129" i="7"/>
  <c r="AL130" i="7"/>
  <c r="AL131" i="7"/>
  <c r="AL132" i="7"/>
  <c r="AL133" i="7"/>
  <c r="AL134" i="7"/>
  <c r="AL135" i="7"/>
  <c r="AL136" i="7"/>
  <c r="AL137" i="7"/>
  <c r="AL138" i="7"/>
  <c r="AL139" i="7"/>
  <c r="AL140" i="7"/>
  <c r="AL141" i="7"/>
  <c r="AL142" i="7"/>
  <c r="AL143" i="7"/>
  <c r="AL144" i="7"/>
  <c r="AL145" i="7"/>
  <c r="AL146" i="7"/>
  <c r="AL147" i="7"/>
  <c r="N139" i="7"/>
  <c r="N140" i="7"/>
  <c r="N141" i="7"/>
  <c r="N142" i="7"/>
  <c r="N143" i="7"/>
  <c r="N144" i="7"/>
  <c r="N145" i="7"/>
  <c r="N146" i="7"/>
  <c r="Z146" i="7"/>
  <c r="AX114" i="7"/>
  <c r="AX115" i="7"/>
  <c r="AX116" i="7"/>
  <c r="AX117" i="7"/>
  <c r="AX118" i="7"/>
  <c r="AX119" i="7"/>
  <c r="AX120" i="7"/>
  <c r="AX121" i="7"/>
  <c r="AX122" i="7"/>
  <c r="AX123" i="7"/>
  <c r="AX124" i="7"/>
  <c r="AX125" i="7"/>
  <c r="AX126" i="7"/>
  <c r="AX127" i="7"/>
  <c r="AX128" i="7"/>
  <c r="AX129" i="7"/>
  <c r="AX130" i="7"/>
  <c r="AX131" i="7"/>
  <c r="AX132" i="7"/>
  <c r="AX133" i="7"/>
  <c r="AX134" i="7"/>
  <c r="AX135" i="7"/>
  <c r="AX136" i="7"/>
  <c r="AX137" i="7"/>
  <c r="AX138" i="7"/>
  <c r="AX139" i="7"/>
  <c r="AX140" i="7"/>
  <c r="AX141" i="7"/>
  <c r="AX142" i="7"/>
  <c r="AX143" i="7"/>
  <c r="AX144" i="7"/>
  <c r="AX145" i="7"/>
  <c r="AX146" i="7"/>
  <c r="AX147" i="7"/>
  <c r="Z139" i="7"/>
  <c r="Z140" i="7"/>
  <c r="Z141" i="7"/>
  <c r="Z142" i="7"/>
  <c r="Z143" i="7"/>
  <c r="Z144" i="7"/>
  <c r="Z145" i="7"/>
  <c r="H52" i="7"/>
  <c r="H4" i="7"/>
  <c r="H6" i="7"/>
  <c r="H10" i="7"/>
  <c r="H18" i="7"/>
  <c r="H26" i="7"/>
  <c r="H34" i="7"/>
  <c r="H44" i="7"/>
  <c r="H147" i="7"/>
  <c r="H139" i="7"/>
  <c r="H131" i="7"/>
  <c r="H123" i="7"/>
  <c r="H115" i="7"/>
  <c r="H107" i="7"/>
  <c r="H99" i="7"/>
  <c r="H91" i="7"/>
  <c r="H83" i="7"/>
  <c r="H75" i="7"/>
  <c r="H67" i="7"/>
  <c r="H59" i="7"/>
  <c r="H51" i="7"/>
  <c r="H43" i="7"/>
  <c r="H35" i="7"/>
  <c r="H27" i="7"/>
  <c r="H19" i="7"/>
  <c r="H11" i="7"/>
  <c r="H142" i="7"/>
  <c r="H134" i="7"/>
  <c r="H126" i="7"/>
  <c r="H118" i="7"/>
  <c r="H110" i="7"/>
  <c r="H102" i="7"/>
  <c r="H94" i="7"/>
  <c r="H86" i="7"/>
  <c r="H78" i="7"/>
  <c r="H70" i="7"/>
  <c r="H62" i="7"/>
  <c r="H54" i="7"/>
  <c r="H46" i="7"/>
  <c r="H141" i="7"/>
  <c r="H133" i="7"/>
  <c r="H125" i="7"/>
  <c r="H117" i="7"/>
  <c r="H109" i="7"/>
  <c r="H101" i="7"/>
  <c r="H93" i="7"/>
  <c r="H85" i="7"/>
  <c r="H77" i="7"/>
  <c r="H69" i="7"/>
  <c r="H61" i="7"/>
  <c r="H53" i="7"/>
  <c r="H45" i="7"/>
  <c r="H37" i="7"/>
  <c r="H29" i="7"/>
  <c r="H21" i="7"/>
  <c r="H13" i="7"/>
  <c r="H144" i="7"/>
  <c r="H136" i="7"/>
  <c r="H128" i="7"/>
  <c r="H120" i="7"/>
  <c r="H112" i="7"/>
  <c r="H104" i="7"/>
  <c r="H96" i="7"/>
  <c r="H88" i="7"/>
  <c r="H80" i="7"/>
  <c r="H72" i="7"/>
  <c r="H64" i="7"/>
  <c r="G4" i="7"/>
  <c r="H5" i="7"/>
  <c r="H9" i="7"/>
  <c r="H16" i="7"/>
  <c r="H24" i="7"/>
  <c r="H32" i="7"/>
  <c r="H40" i="7"/>
  <c r="H56" i="7"/>
  <c r="H7" i="7"/>
  <c r="H12" i="7"/>
  <c r="H20" i="7"/>
  <c r="H28" i="7"/>
  <c r="H36" i="7"/>
  <c r="H48" i="7"/>
  <c r="H8" i="7"/>
  <c r="H14" i="7"/>
  <c r="H30" i="7"/>
  <c r="H38" i="7"/>
  <c r="H143" i="7"/>
  <c r="H135" i="7"/>
  <c r="H127" i="7"/>
  <c r="H119" i="7"/>
  <c r="H111" i="7"/>
  <c r="H103" i="7"/>
  <c r="H95" i="7"/>
  <c r="H87" i="7"/>
  <c r="H79" i="7"/>
  <c r="H71" i="7"/>
  <c r="H63" i="7"/>
  <c r="H55" i="7"/>
  <c r="H47" i="7"/>
  <c r="H39" i="7"/>
  <c r="H31" i="7"/>
  <c r="H23" i="7"/>
  <c r="H15" i="7"/>
  <c r="H146" i="7"/>
  <c r="H138" i="7"/>
  <c r="H130" i="7"/>
  <c r="H122" i="7"/>
  <c r="H114" i="7"/>
  <c r="H106" i="7"/>
  <c r="H98" i="7"/>
  <c r="H90" i="7"/>
  <c r="H82" i="7"/>
  <c r="H74" i="7"/>
  <c r="H66" i="7"/>
  <c r="H58" i="7"/>
  <c r="H50" i="7"/>
  <c r="H42" i="7"/>
  <c r="H145" i="7"/>
  <c r="H137" i="7"/>
  <c r="H129" i="7"/>
  <c r="H121" i="7"/>
  <c r="H113" i="7"/>
  <c r="H105" i="7"/>
  <c r="H97" i="7"/>
  <c r="H89" i="7"/>
  <c r="H81" i="7"/>
  <c r="H73" i="7"/>
  <c r="H65" i="7"/>
  <c r="H57" i="7"/>
  <c r="H49" i="7"/>
  <c r="H41" i="7"/>
  <c r="H33" i="7"/>
  <c r="H25" i="7"/>
  <c r="H17" i="7"/>
  <c r="H140" i="7"/>
  <c r="H132" i="7"/>
  <c r="H124" i="7"/>
  <c r="H116" i="7"/>
  <c r="H108" i="7"/>
  <c r="H100" i="7"/>
  <c r="H92" i="7"/>
  <c r="H84" i="7"/>
  <c r="H76" i="7"/>
  <c r="H68" i="7"/>
  <c r="H60" i="7"/>
  <c r="AS4" i="7"/>
  <c r="AS6" i="7"/>
  <c r="AS8" i="7"/>
  <c r="AS10" i="7"/>
  <c r="BE4" i="7"/>
  <c r="BE6" i="7"/>
  <c r="BE8" i="7"/>
  <c r="BE10" i="7"/>
  <c r="BE12" i="7"/>
  <c r="BE14" i="7"/>
  <c r="BE17" i="7"/>
  <c r="BE19" i="7"/>
  <c r="AS12" i="7"/>
  <c r="AS14" i="7"/>
  <c r="AS17" i="7"/>
  <c r="AS19" i="7"/>
  <c r="AS21" i="7"/>
  <c r="AS23" i="7"/>
  <c r="AS25" i="7"/>
  <c r="AS27" i="7"/>
  <c r="AS29" i="7"/>
  <c r="AS31" i="7"/>
  <c r="AS33" i="7"/>
  <c r="AS35" i="7"/>
  <c r="BE24" i="7"/>
  <c r="BE26" i="7"/>
  <c r="BE28" i="7"/>
  <c r="BE30" i="7"/>
  <c r="BE32" i="7"/>
  <c r="BE34" i="7"/>
  <c r="AS37" i="7"/>
  <c r="AS39" i="7"/>
  <c r="AS41" i="7"/>
  <c r="AS43" i="7"/>
  <c r="AS45" i="7"/>
  <c r="AS47" i="7"/>
  <c r="AS49" i="7"/>
  <c r="AS51" i="7"/>
  <c r="BE36" i="7"/>
  <c r="BE38" i="7"/>
  <c r="BE40" i="7"/>
  <c r="BE42" i="7"/>
  <c r="BE44" i="7"/>
  <c r="BE46" i="7"/>
  <c r="BE48" i="7"/>
  <c r="BE50" i="7"/>
  <c r="AS53" i="7"/>
  <c r="AS55" i="7"/>
  <c r="AS57" i="7"/>
  <c r="AS59" i="7"/>
  <c r="AS61" i="7"/>
  <c r="AS63" i="7"/>
  <c r="AS65" i="7"/>
  <c r="AS67" i="7"/>
  <c r="AS69" i="7"/>
  <c r="AS71" i="7"/>
  <c r="AS73" i="7"/>
  <c r="AS75" i="7"/>
  <c r="AS77" i="7"/>
  <c r="AS79" i="7"/>
  <c r="AS81" i="7"/>
  <c r="BE52" i="7"/>
  <c r="BE54" i="7"/>
  <c r="BE56" i="7"/>
  <c r="BE58" i="7"/>
  <c r="BE60" i="7"/>
  <c r="BE62" i="7"/>
  <c r="BE64" i="7"/>
  <c r="BE66" i="7"/>
  <c r="BE68" i="7"/>
  <c r="BE70" i="7"/>
  <c r="BE72" i="7"/>
  <c r="BE74" i="7"/>
  <c r="BE76" i="7"/>
  <c r="BE78" i="7"/>
  <c r="BE80" i="7"/>
  <c r="BE82" i="7"/>
  <c r="BE84" i="7"/>
  <c r="BE86" i="7"/>
  <c r="BE88" i="7"/>
  <c r="BE90" i="7"/>
  <c r="BE92" i="7"/>
  <c r="BE94" i="7"/>
  <c r="BE96" i="7"/>
  <c r="BE98" i="7"/>
  <c r="BE100" i="7"/>
  <c r="BE102" i="7"/>
  <c r="BE104" i="7"/>
  <c r="BE106" i="7"/>
  <c r="BE108" i="7"/>
  <c r="BE110" i="7"/>
  <c r="BE112" i="7"/>
  <c r="AS83" i="7"/>
  <c r="AS85" i="7"/>
  <c r="AS87" i="7"/>
  <c r="AS89" i="7"/>
  <c r="AS91" i="7"/>
  <c r="AS93" i="7"/>
  <c r="AS95" i="7"/>
  <c r="AS97" i="7"/>
  <c r="AS99" i="7"/>
  <c r="AS101" i="7"/>
  <c r="AS103" i="7"/>
  <c r="AS105" i="7"/>
  <c r="AS107" i="7"/>
  <c r="AS109" i="7"/>
  <c r="AS111" i="7"/>
  <c r="AS113" i="7"/>
  <c r="BE114" i="7"/>
  <c r="BE116" i="7"/>
  <c r="BE118" i="7"/>
  <c r="BE120" i="7"/>
  <c r="BE122" i="7"/>
  <c r="BE124" i="7"/>
  <c r="BE126" i="7"/>
  <c r="BE128" i="7"/>
  <c r="BE130" i="7"/>
  <c r="BE132" i="7"/>
  <c r="BE134" i="7"/>
  <c r="BE136" i="7"/>
  <c r="BE138" i="7"/>
  <c r="BE140" i="7"/>
  <c r="BE142" i="7"/>
  <c r="BE144" i="7"/>
  <c r="BE146" i="7"/>
  <c r="AG139" i="7"/>
  <c r="AG141" i="7"/>
  <c r="AG143" i="7"/>
  <c r="AG145" i="7"/>
  <c r="U146" i="7"/>
  <c r="AS115" i="7"/>
  <c r="AS117" i="7"/>
  <c r="AS119" i="7"/>
  <c r="AS121" i="7"/>
  <c r="AS123" i="7"/>
  <c r="AS125" i="7"/>
  <c r="AS127" i="7"/>
  <c r="AS129" i="7"/>
  <c r="AS131" i="7"/>
  <c r="AS133" i="7"/>
  <c r="AS135" i="7"/>
  <c r="AS137" i="7"/>
  <c r="AS139" i="7"/>
  <c r="AS141" i="7"/>
  <c r="AS143" i="7"/>
  <c r="AS145" i="7"/>
  <c r="AS147" i="7"/>
  <c r="U140" i="7"/>
  <c r="U142" i="7"/>
  <c r="U144" i="7"/>
  <c r="AS5" i="7"/>
  <c r="AS7" i="7"/>
  <c r="AS9" i="7"/>
  <c r="AS11" i="7"/>
  <c r="BE5" i="7"/>
  <c r="BE7" i="7"/>
  <c r="BE9" i="7"/>
  <c r="BE11" i="7"/>
  <c r="BE13" i="7"/>
  <c r="BE16" i="7"/>
  <c r="BE18" i="7"/>
  <c r="BE20" i="7"/>
  <c r="AS13" i="7"/>
  <c r="AS16" i="7"/>
  <c r="AS18" i="7"/>
  <c r="AS20" i="7"/>
  <c r="AS24" i="7"/>
  <c r="AS26" i="7"/>
  <c r="AS28" i="7"/>
  <c r="AS30" i="7"/>
  <c r="AS32" i="7"/>
  <c r="AS34" i="7"/>
  <c r="BE21" i="7"/>
  <c r="BE23" i="7"/>
  <c r="BE25" i="7"/>
  <c r="BE27" i="7"/>
  <c r="BE29" i="7"/>
  <c r="BE31" i="7"/>
  <c r="BE33" i="7"/>
  <c r="BE35" i="7"/>
  <c r="AS38" i="7"/>
  <c r="AS40" i="7"/>
  <c r="AS42" i="7"/>
  <c r="AS44" i="7"/>
  <c r="AS46" i="7"/>
  <c r="AS48" i="7"/>
  <c r="AS50" i="7"/>
  <c r="AS36" i="7"/>
  <c r="BE37" i="7"/>
  <c r="BE39" i="7"/>
  <c r="BE41" i="7"/>
  <c r="BE43" i="7"/>
  <c r="BE45" i="7"/>
  <c r="BE47" i="7"/>
  <c r="BE49" i="7"/>
  <c r="AS52" i="7"/>
  <c r="AS54" i="7"/>
  <c r="AS56" i="7"/>
  <c r="AS58" i="7"/>
  <c r="AS60" i="7"/>
  <c r="AS62" i="7"/>
  <c r="AS64" i="7"/>
  <c r="AS66" i="7"/>
  <c r="AS68" i="7"/>
  <c r="AS70" i="7"/>
  <c r="AS72" i="7"/>
  <c r="AS74" i="7"/>
  <c r="AS76" i="7"/>
  <c r="AS78" i="7"/>
  <c r="AS80" i="7"/>
  <c r="BE51" i="7"/>
  <c r="BE53" i="7"/>
  <c r="BE55" i="7"/>
  <c r="BE57" i="7"/>
  <c r="BE59" i="7"/>
  <c r="BE61" i="7"/>
  <c r="BE63" i="7"/>
  <c r="BE65" i="7"/>
  <c r="BE67" i="7"/>
  <c r="BE69" i="7"/>
  <c r="BE71" i="7"/>
  <c r="BE73" i="7"/>
  <c r="BE75" i="7"/>
  <c r="BE77" i="7"/>
  <c r="BE79" i="7"/>
  <c r="BE81" i="7"/>
  <c r="BE83" i="7"/>
  <c r="BE85" i="7"/>
  <c r="BE87" i="7"/>
  <c r="BE89" i="7"/>
  <c r="BE91" i="7"/>
  <c r="BE93" i="7"/>
  <c r="BE95" i="7"/>
  <c r="BE97" i="7"/>
  <c r="BE99" i="7"/>
  <c r="BE101" i="7"/>
  <c r="BE103" i="7"/>
  <c r="BE105" i="7"/>
  <c r="BE107" i="7"/>
  <c r="BE109" i="7"/>
  <c r="BE111" i="7"/>
  <c r="AS82" i="7"/>
  <c r="AS84" i="7"/>
  <c r="AS86" i="7"/>
  <c r="AS88" i="7"/>
  <c r="AS90" i="7"/>
  <c r="AS92" i="7"/>
  <c r="AS94" i="7"/>
  <c r="AS96" i="7"/>
  <c r="AS98" i="7"/>
  <c r="AS100" i="7"/>
  <c r="AS102" i="7"/>
  <c r="AS104" i="7"/>
  <c r="AS106" i="7"/>
  <c r="AS108" i="7"/>
  <c r="AS110" i="7"/>
  <c r="AS112" i="7"/>
  <c r="BE113" i="7"/>
  <c r="BE115" i="7"/>
  <c r="BE117" i="7"/>
  <c r="BE119" i="7"/>
  <c r="BE121" i="7"/>
  <c r="BE123" i="7"/>
  <c r="BE125" i="7"/>
  <c r="BE127" i="7"/>
  <c r="BE129" i="7"/>
  <c r="BE131" i="7"/>
  <c r="BE133" i="7"/>
  <c r="BE135" i="7"/>
  <c r="BE137" i="7"/>
  <c r="BE139" i="7"/>
  <c r="BE141" i="7"/>
  <c r="BE143" i="7"/>
  <c r="BE145" i="7"/>
  <c r="BE147" i="7"/>
  <c r="AG140" i="7"/>
  <c r="AG142" i="7"/>
  <c r="AG144" i="7"/>
  <c r="AG146" i="7"/>
  <c r="AS114" i="7"/>
  <c r="AS116" i="7"/>
  <c r="AS118" i="7"/>
  <c r="AS120" i="7"/>
  <c r="AS122" i="7"/>
  <c r="AS124" i="7"/>
  <c r="AS126" i="7"/>
  <c r="AS128" i="7"/>
  <c r="AS130" i="7"/>
  <c r="AS132" i="7"/>
  <c r="AS134" i="7"/>
  <c r="AS136" i="7"/>
  <c r="AS138" i="7"/>
  <c r="AS140" i="7"/>
  <c r="AS142" i="7"/>
  <c r="AS144" i="7"/>
  <c r="AS146" i="7"/>
  <c r="U139" i="7"/>
  <c r="U141" i="7"/>
  <c r="U143" i="7"/>
  <c r="U145" i="7"/>
  <c r="BF4" i="7"/>
  <c r="BF8" i="7"/>
  <c r="AT5" i="7"/>
  <c r="AT9" i="7"/>
  <c r="AT13" i="7"/>
  <c r="BF11" i="7"/>
  <c r="BF16" i="7"/>
  <c r="BF21" i="7"/>
  <c r="BF25" i="7"/>
  <c r="BF29" i="7"/>
  <c r="BF33" i="7"/>
  <c r="AT23" i="7"/>
  <c r="AT27" i="7"/>
  <c r="AT31" i="7"/>
  <c r="AT35" i="7"/>
  <c r="BF37" i="7"/>
  <c r="BF41" i="7"/>
  <c r="BF45" i="7"/>
  <c r="BF49" i="7"/>
  <c r="AT39" i="7"/>
  <c r="AT43" i="7"/>
  <c r="AT47" i="7"/>
  <c r="BF51" i="7"/>
  <c r="BF55" i="7"/>
  <c r="BF59" i="7"/>
  <c r="BF63" i="7"/>
  <c r="BF67" i="7"/>
  <c r="BF71" i="7"/>
  <c r="BF75" i="7"/>
  <c r="BF79" i="7"/>
  <c r="AT52" i="7"/>
  <c r="AT56" i="7"/>
  <c r="AT60" i="7"/>
  <c r="AT64" i="7"/>
  <c r="AT68" i="7"/>
  <c r="AT72" i="7"/>
  <c r="AT76" i="7"/>
  <c r="AT80" i="7"/>
  <c r="AT84" i="7"/>
  <c r="AT88" i="7"/>
  <c r="AT92" i="7"/>
  <c r="AT96" i="7"/>
  <c r="AT100" i="7"/>
  <c r="AT104" i="7"/>
  <c r="AT108" i="7"/>
  <c r="AT112" i="7"/>
  <c r="BF84" i="7"/>
  <c r="BF88" i="7"/>
  <c r="BF92" i="7"/>
  <c r="BF96" i="7"/>
  <c r="BF100" i="7"/>
  <c r="BF104" i="7"/>
  <c r="BF108" i="7"/>
  <c r="BF112" i="7"/>
  <c r="AT117" i="7"/>
  <c r="AT121" i="7"/>
  <c r="AT125" i="7"/>
  <c r="AT129" i="7"/>
  <c r="AT133" i="7"/>
  <c r="AT137" i="7"/>
  <c r="AT141" i="7"/>
  <c r="AT145" i="7"/>
  <c r="V140" i="7"/>
  <c r="V144" i="7"/>
  <c r="BF113" i="7"/>
  <c r="BF117" i="7"/>
  <c r="BF121" i="7"/>
  <c r="BF125" i="7"/>
  <c r="BF129" i="7"/>
  <c r="BF133" i="7"/>
  <c r="BF137" i="7"/>
  <c r="BF141" i="7"/>
  <c r="BF147" i="7"/>
  <c r="BF5" i="7"/>
  <c r="BF9" i="7"/>
  <c r="AT6" i="7"/>
  <c r="AT10" i="7"/>
  <c r="AT19" i="7"/>
  <c r="BF12" i="7"/>
  <c r="BF17" i="7"/>
  <c r="BF26" i="7"/>
  <c r="BF30" i="7"/>
  <c r="BF34" i="7"/>
  <c r="AT24" i="7"/>
  <c r="AT28" i="7"/>
  <c r="AT32" i="7"/>
  <c r="AT36" i="7"/>
  <c r="BF38" i="7"/>
  <c r="BF42" i="7"/>
  <c r="BF46" i="7"/>
  <c r="BF50" i="7"/>
  <c r="AT40" i="7"/>
  <c r="AT44" i="7"/>
  <c r="AT48" i="7"/>
  <c r="BF52" i="7"/>
  <c r="BF56" i="7"/>
  <c r="BF60" i="7"/>
  <c r="BF64" i="7"/>
  <c r="BF68" i="7"/>
  <c r="BF72" i="7"/>
  <c r="BF76" i="7"/>
  <c r="BF80" i="7"/>
  <c r="AT53" i="7"/>
  <c r="AT57" i="7"/>
  <c r="AT61" i="7"/>
  <c r="AT65" i="7"/>
  <c r="AT69" i="7"/>
  <c r="AT73" i="7"/>
  <c r="AT77" i="7"/>
  <c r="AT81" i="7"/>
  <c r="AT85" i="7"/>
  <c r="AT89" i="7"/>
  <c r="AT93" i="7"/>
  <c r="AT97" i="7"/>
  <c r="AT101" i="7"/>
  <c r="AT105" i="7"/>
  <c r="AT109" i="7"/>
  <c r="AT113" i="7"/>
  <c r="BF85" i="7"/>
  <c r="BF89" i="7"/>
  <c r="BF93" i="7"/>
  <c r="BF97" i="7"/>
  <c r="BF101" i="7"/>
  <c r="BF105" i="7"/>
  <c r="BF109" i="7"/>
  <c r="AT114" i="7"/>
  <c r="AT118" i="7"/>
  <c r="AT122" i="7"/>
  <c r="AT126" i="7"/>
  <c r="AT130" i="7"/>
  <c r="AT134" i="7"/>
  <c r="AT138" i="7"/>
  <c r="AT142" i="7"/>
  <c r="AT146" i="7"/>
  <c r="V141" i="7"/>
  <c r="V145" i="7"/>
  <c r="BF114" i="7"/>
  <c r="BF118" i="7"/>
  <c r="BF122" i="7"/>
  <c r="BF126" i="7"/>
  <c r="BF130" i="7"/>
  <c r="BF134" i="7"/>
  <c r="BF138" i="7"/>
  <c r="BF142" i="7"/>
  <c r="BF146" i="7"/>
  <c r="AH141" i="7"/>
  <c r="AH145" i="7"/>
  <c r="AH140" i="7"/>
  <c r="BF6" i="7"/>
  <c r="BF10" i="7"/>
  <c r="AT7" i="7"/>
  <c r="AT11" i="7"/>
  <c r="AT20" i="7"/>
  <c r="BF13" i="7"/>
  <c r="BF18" i="7"/>
  <c r="BF23" i="7"/>
  <c r="BF27" i="7"/>
  <c r="BF31" i="7"/>
  <c r="BF20" i="7"/>
  <c r="AT25" i="7"/>
  <c r="AT29" i="7"/>
  <c r="AT33" i="7"/>
  <c r="BF35" i="7"/>
  <c r="BF39" i="7"/>
  <c r="BF43" i="7"/>
  <c r="BF47" i="7"/>
  <c r="AT37" i="7"/>
  <c r="AT41" i="7"/>
  <c r="AT45" i="7"/>
  <c r="AT49" i="7"/>
  <c r="BF53" i="7"/>
  <c r="BF57" i="7"/>
  <c r="BF61" i="7"/>
  <c r="BF65" i="7"/>
  <c r="BF69" i="7"/>
  <c r="BF73" i="7"/>
  <c r="BF77" i="7"/>
  <c r="BF81" i="7"/>
  <c r="AT54" i="7"/>
  <c r="AT58" i="7"/>
  <c r="AT62" i="7"/>
  <c r="AT66" i="7"/>
  <c r="AT70" i="7"/>
  <c r="AT74" i="7"/>
  <c r="AT78" i="7"/>
  <c r="AT82" i="7"/>
  <c r="AT86" i="7"/>
  <c r="AT90" i="7"/>
  <c r="AT94" i="7"/>
  <c r="AT98" i="7"/>
  <c r="AT102" i="7"/>
  <c r="AT106" i="7"/>
  <c r="AT110" i="7"/>
  <c r="BF82" i="7"/>
  <c r="BF86" i="7"/>
  <c r="BF90" i="7"/>
  <c r="BF94" i="7"/>
  <c r="BF98" i="7"/>
  <c r="BF102" i="7"/>
  <c r="BF106" i="7"/>
  <c r="BF110" i="7"/>
  <c r="AT115" i="7"/>
  <c r="AT119" i="7"/>
  <c r="AT123" i="7"/>
  <c r="AT127" i="7"/>
  <c r="AT131" i="7"/>
  <c r="AT135" i="7"/>
  <c r="AT139" i="7"/>
  <c r="AT143" i="7"/>
  <c r="AT147" i="7"/>
  <c r="V142" i="7"/>
  <c r="V146" i="7"/>
  <c r="BF115" i="7"/>
  <c r="BF119" i="7"/>
  <c r="BF123" i="7"/>
  <c r="BF127" i="7"/>
  <c r="BF131" i="7"/>
  <c r="BF135" i="7"/>
  <c r="BF139" i="7"/>
  <c r="BF143" i="7"/>
  <c r="AH142" i="7"/>
  <c r="BF7" i="7"/>
  <c r="AT4" i="7"/>
  <c r="AT8" i="7"/>
  <c r="AT12" i="7"/>
  <c r="AT21" i="7"/>
  <c r="BF14" i="7"/>
  <c r="BF19" i="7"/>
  <c r="BF24" i="7"/>
  <c r="BF28" i="7"/>
  <c r="BF32" i="7"/>
  <c r="AT26" i="7"/>
  <c r="AT30" i="7"/>
  <c r="AT34" i="7"/>
  <c r="BF36" i="7"/>
  <c r="BF40" i="7"/>
  <c r="BF44" i="7"/>
  <c r="BF48" i="7"/>
  <c r="AT38" i="7"/>
  <c r="AT42" i="7"/>
  <c r="AT46" i="7"/>
  <c r="AT50" i="7"/>
  <c r="BF54" i="7"/>
  <c r="BF58" i="7"/>
  <c r="BF62" i="7"/>
  <c r="BF66" i="7"/>
  <c r="BF70" i="7"/>
  <c r="BF74" i="7"/>
  <c r="BF78" i="7"/>
  <c r="AT51" i="7"/>
  <c r="AT55" i="7"/>
  <c r="AT59" i="7"/>
  <c r="AT63" i="7"/>
  <c r="AT67" i="7"/>
  <c r="AT71" i="7"/>
  <c r="AT75" i="7"/>
  <c r="AT79" i="7"/>
  <c r="AT83" i="7"/>
  <c r="AT87" i="7"/>
  <c r="AT91" i="7"/>
  <c r="AT95" i="7"/>
  <c r="AT99" i="7"/>
  <c r="AT103" i="7"/>
  <c r="AT107" i="7"/>
  <c r="AT111" i="7"/>
  <c r="BF83" i="7"/>
  <c r="BF87" i="7"/>
  <c r="BF91" i="7"/>
  <c r="BF95" i="7"/>
  <c r="BF99" i="7"/>
  <c r="BF103" i="7"/>
  <c r="BF107" i="7"/>
  <c r="BF111" i="7"/>
  <c r="AT116" i="7"/>
  <c r="AT120" i="7"/>
  <c r="AT124" i="7"/>
  <c r="AT128" i="7"/>
  <c r="AT132" i="7"/>
  <c r="AT136" i="7"/>
  <c r="AT140" i="7"/>
  <c r="AT144" i="7"/>
  <c r="V139" i="7"/>
  <c r="V143" i="7"/>
  <c r="AH146" i="7"/>
  <c r="BF116" i="7"/>
  <c r="BF120" i="7"/>
  <c r="BF124" i="7"/>
  <c r="BF128" i="7"/>
  <c r="BF132" i="7"/>
  <c r="BF136" i="7"/>
  <c r="BF140" i="7"/>
  <c r="BF144" i="7"/>
  <c r="AH139" i="7"/>
  <c r="AH143" i="7"/>
  <c r="BF145" i="7"/>
  <c r="AH144" i="7"/>
  <c r="AU4" i="7"/>
  <c r="AU5" i="7"/>
  <c r="AU6" i="7"/>
  <c r="AU7" i="7"/>
  <c r="AU8" i="7"/>
  <c r="AU9" i="7"/>
  <c r="AU10" i="7"/>
  <c r="AU11" i="7"/>
  <c r="BG4" i="7"/>
  <c r="BG5" i="7"/>
  <c r="BG6" i="7"/>
  <c r="BG7" i="7"/>
  <c r="BG8" i="7"/>
  <c r="BG9" i="7"/>
  <c r="BG10" i="7"/>
  <c r="BG11" i="7"/>
  <c r="BG12" i="7"/>
  <c r="BG13" i="7"/>
  <c r="BG14" i="7"/>
  <c r="BG16" i="7"/>
  <c r="BG17" i="7"/>
  <c r="BG18" i="7"/>
  <c r="BG19" i="7"/>
  <c r="BG20" i="7"/>
  <c r="AU12" i="7"/>
  <c r="AU13" i="7"/>
  <c r="AU19" i="7"/>
  <c r="AU20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21" i="7"/>
  <c r="BG21" i="7"/>
  <c r="BG23" i="7"/>
  <c r="BG24" i="7"/>
  <c r="BG25" i="7"/>
  <c r="BG26" i="7"/>
  <c r="BG27" i="7"/>
  <c r="BG28" i="7"/>
  <c r="BG29" i="7"/>
  <c r="BG30" i="7"/>
  <c r="BG31" i="7"/>
  <c r="BG32" i="7"/>
  <c r="BG33" i="7"/>
  <c r="BG34" i="7"/>
  <c r="BG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50" i="7"/>
  <c r="BG36" i="7"/>
  <c r="BG37" i="7"/>
  <c r="BG38" i="7"/>
  <c r="BG39" i="7"/>
  <c r="BG40" i="7"/>
  <c r="BG41" i="7"/>
  <c r="BG42" i="7"/>
  <c r="BG43" i="7"/>
  <c r="BG44" i="7"/>
  <c r="BG45" i="7"/>
  <c r="BG46" i="7"/>
  <c r="BG47" i="7"/>
  <c r="BG48" i="7"/>
  <c r="BG49" i="7"/>
  <c r="BG50" i="7"/>
  <c r="AU51" i="7"/>
  <c r="AU52" i="7"/>
  <c r="AU53" i="7"/>
  <c r="AU54" i="7"/>
  <c r="AU55" i="7"/>
  <c r="AU56" i="7"/>
  <c r="AU57" i="7"/>
  <c r="AU58" i="7"/>
  <c r="AU59" i="7"/>
  <c r="AU60" i="7"/>
  <c r="AU61" i="7"/>
  <c r="AU62" i="7"/>
  <c r="AU63" i="7"/>
  <c r="AU64" i="7"/>
  <c r="AU65" i="7"/>
  <c r="AU66" i="7"/>
  <c r="AU67" i="7"/>
  <c r="AU68" i="7"/>
  <c r="AU69" i="7"/>
  <c r="AU70" i="7"/>
  <c r="AU71" i="7"/>
  <c r="AU72" i="7"/>
  <c r="AU73" i="7"/>
  <c r="AU74" i="7"/>
  <c r="AU75" i="7"/>
  <c r="AU76" i="7"/>
  <c r="AU77" i="7"/>
  <c r="AU78" i="7"/>
  <c r="AU79" i="7"/>
  <c r="AU80" i="7"/>
  <c r="AU81" i="7"/>
  <c r="BG51" i="7"/>
  <c r="BG52" i="7"/>
  <c r="BG53" i="7"/>
  <c r="BG54" i="7"/>
  <c r="BG55" i="7"/>
  <c r="BG56" i="7"/>
  <c r="BG57" i="7"/>
  <c r="BG58" i="7"/>
  <c r="BG59" i="7"/>
  <c r="BG60" i="7"/>
  <c r="BG61" i="7"/>
  <c r="BG62" i="7"/>
  <c r="BG63" i="7"/>
  <c r="BG64" i="7"/>
  <c r="BG65" i="7"/>
  <c r="BG66" i="7"/>
  <c r="BG67" i="7"/>
  <c r="BG68" i="7"/>
  <c r="BG69" i="7"/>
  <c r="BG70" i="7"/>
  <c r="BG71" i="7"/>
  <c r="BG72" i="7"/>
  <c r="BG73" i="7"/>
  <c r="BG74" i="7"/>
  <c r="BG75" i="7"/>
  <c r="BG76" i="7"/>
  <c r="BG77" i="7"/>
  <c r="BG78" i="7"/>
  <c r="BG79" i="7"/>
  <c r="BG80" i="7"/>
  <c r="BG81" i="7"/>
  <c r="BG82" i="7"/>
  <c r="BG83" i="7"/>
  <c r="BG84" i="7"/>
  <c r="BG85" i="7"/>
  <c r="BG86" i="7"/>
  <c r="BG87" i="7"/>
  <c r="BG88" i="7"/>
  <c r="BG89" i="7"/>
  <c r="BG90" i="7"/>
  <c r="BG91" i="7"/>
  <c r="BG92" i="7"/>
  <c r="BG93" i="7"/>
  <c r="BG94" i="7"/>
  <c r="BG95" i="7"/>
  <c r="BG96" i="7"/>
  <c r="BG97" i="7"/>
  <c r="BG98" i="7"/>
  <c r="BG99" i="7"/>
  <c r="BG100" i="7"/>
  <c r="BG101" i="7"/>
  <c r="BG102" i="7"/>
  <c r="BG103" i="7"/>
  <c r="BG104" i="7"/>
  <c r="BG105" i="7"/>
  <c r="BG106" i="7"/>
  <c r="BG107" i="7"/>
  <c r="BG108" i="7"/>
  <c r="BG109" i="7"/>
  <c r="BG110" i="7"/>
  <c r="BG111" i="7"/>
  <c r="BG112" i="7"/>
  <c r="AU82" i="7"/>
  <c r="AU83" i="7"/>
  <c r="AU84" i="7"/>
  <c r="AU85" i="7"/>
  <c r="AU86" i="7"/>
  <c r="AU87" i="7"/>
  <c r="AU88" i="7"/>
  <c r="AU89" i="7"/>
  <c r="AU90" i="7"/>
  <c r="AU91" i="7"/>
  <c r="AU92" i="7"/>
  <c r="AU93" i="7"/>
  <c r="AU94" i="7"/>
  <c r="AU95" i="7"/>
  <c r="AU96" i="7"/>
  <c r="AU97" i="7"/>
  <c r="AU98" i="7"/>
  <c r="AU99" i="7"/>
  <c r="AU100" i="7"/>
  <c r="AU101" i="7"/>
  <c r="AU102" i="7"/>
  <c r="AU103" i="7"/>
  <c r="AU104" i="7"/>
  <c r="AU105" i="7"/>
  <c r="AU106" i="7"/>
  <c r="AU107" i="7"/>
  <c r="AU108" i="7"/>
  <c r="AU109" i="7"/>
  <c r="AU110" i="7"/>
  <c r="AU111" i="7"/>
  <c r="AU112" i="7"/>
  <c r="BG113" i="7"/>
  <c r="BG114" i="7"/>
  <c r="BG115" i="7"/>
  <c r="BG116" i="7"/>
  <c r="BG117" i="7"/>
  <c r="BG118" i="7"/>
  <c r="BG119" i="7"/>
  <c r="BG120" i="7"/>
  <c r="BG121" i="7"/>
  <c r="BG122" i="7"/>
  <c r="BG123" i="7"/>
  <c r="BG124" i="7"/>
  <c r="BG125" i="7"/>
  <c r="BG126" i="7"/>
  <c r="BG127" i="7"/>
  <c r="BG128" i="7"/>
  <c r="BG129" i="7"/>
  <c r="BG130" i="7"/>
  <c r="BG131" i="7"/>
  <c r="BG132" i="7"/>
  <c r="BG133" i="7"/>
  <c r="BG134" i="7"/>
  <c r="BG135" i="7"/>
  <c r="BG136" i="7"/>
  <c r="BG137" i="7"/>
  <c r="BG138" i="7"/>
  <c r="BG139" i="7"/>
  <c r="BG140" i="7"/>
  <c r="BG141" i="7"/>
  <c r="BG142" i="7"/>
  <c r="BG143" i="7"/>
  <c r="BG144" i="7"/>
  <c r="BG145" i="7"/>
  <c r="BG146" i="7"/>
  <c r="BG147" i="7"/>
  <c r="AI139" i="7"/>
  <c r="AI140" i="7"/>
  <c r="AI141" i="7"/>
  <c r="AI142" i="7"/>
  <c r="AI143" i="7"/>
  <c r="AI144" i="7"/>
  <c r="AI145" i="7"/>
  <c r="AI146" i="7"/>
  <c r="AU113" i="7"/>
  <c r="AU114" i="7"/>
  <c r="AU115" i="7"/>
  <c r="AU116" i="7"/>
  <c r="AU117" i="7"/>
  <c r="AU118" i="7"/>
  <c r="AU119" i="7"/>
  <c r="AU120" i="7"/>
  <c r="AU121" i="7"/>
  <c r="AU122" i="7"/>
  <c r="AU123" i="7"/>
  <c r="AU124" i="7"/>
  <c r="AU125" i="7"/>
  <c r="AU126" i="7"/>
  <c r="AU127" i="7"/>
  <c r="AU128" i="7"/>
  <c r="AU129" i="7"/>
  <c r="AU130" i="7"/>
  <c r="AU131" i="7"/>
  <c r="AU132" i="7"/>
  <c r="AU133" i="7"/>
  <c r="AU134" i="7"/>
  <c r="AU135" i="7"/>
  <c r="AU136" i="7"/>
  <c r="AU137" i="7"/>
  <c r="AU138" i="7"/>
  <c r="AU139" i="7"/>
  <c r="AU140" i="7"/>
  <c r="AU141" i="7"/>
  <c r="AU142" i="7"/>
  <c r="AU143" i="7"/>
  <c r="AU144" i="7"/>
  <c r="AU145" i="7"/>
  <c r="AU146" i="7"/>
  <c r="AU147" i="7"/>
  <c r="W139" i="7"/>
  <c r="W140" i="7"/>
  <c r="W141" i="7"/>
  <c r="W142" i="7"/>
  <c r="W143" i="7"/>
  <c r="W144" i="7"/>
  <c r="W145" i="7"/>
  <c r="W146" i="7"/>
  <c r="G140" i="7"/>
  <c r="F145" i="7"/>
  <c r="F141" i="7"/>
  <c r="J145" i="7"/>
  <c r="J143" i="7"/>
  <c r="J141" i="7"/>
  <c r="F146" i="7"/>
  <c r="F140" i="7"/>
  <c r="G145" i="7"/>
  <c r="G143" i="7"/>
  <c r="G141" i="7"/>
  <c r="F144" i="7"/>
  <c r="F143" i="7"/>
  <c r="J146" i="7"/>
  <c r="J144" i="7"/>
  <c r="J142" i="7"/>
  <c r="J140" i="7"/>
  <c r="F142" i="7"/>
  <c r="G146" i="7"/>
  <c r="G144" i="7"/>
  <c r="G142" i="7"/>
  <c r="T137" i="7"/>
  <c r="AF127" i="7"/>
  <c r="AF122" i="7"/>
  <c r="AF132" i="7"/>
  <c r="T127" i="7"/>
  <c r="T122" i="7"/>
  <c r="AF131" i="7"/>
  <c r="AF126" i="7"/>
  <c r="AF136" i="7"/>
  <c r="T131" i="7"/>
  <c r="AF134" i="7"/>
  <c r="T134" i="7"/>
  <c r="AF135" i="7"/>
  <c r="T126" i="7"/>
  <c r="T121" i="7"/>
  <c r="AF130" i="7"/>
  <c r="AF121" i="7"/>
  <c r="AF119" i="7"/>
  <c r="T120" i="7"/>
  <c r="AF120" i="7"/>
  <c r="T130" i="7"/>
  <c r="T125" i="7"/>
  <c r="T119" i="7"/>
  <c r="AF125" i="7"/>
  <c r="T118" i="7"/>
  <c r="T136" i="7"/>
  <c r="AF124" i="7"/>
  <c r="AF118" i="7"/>
  <c r="T132" i="7"/>
  <c r="T135" i="7"/>
  <c r="AF129" i="7"/>
  <c r="AF128" i="7"/>
  <c r="T129" i="7"/>
  <c r="AF138" i="7"/>
  <c r="AF133" i="7"/>
  <c r="T124" i="7"/>
  <c r="T138" i="7"/>
  <c r="T133" i="7"/>
  <c r="AF123" i="7"/>
  <c r="AF137" i="7"/>
  <c r="T128" i="7"/>
  <c r="T123" i="7"/>
  <c r="R132" i="7"/>
  <c r="AD125" i="7"/>
  <c r="R126" i="7"/>
  <c r="R136" i="7"/>
  <c r="R135" i="7"/>
  <c r="AD129" i="7"/>
  <c r="AD120" i="7"/>
  <c r="AD118" i="7"/>
  <c r="R130" i="7"/>
  <c r="R121" i="7"/>
  <c r="R120" i="7"/>
  <c r="R131" i="7"/>
  <c r="AD124" i="7"/>
  <c r="AD123" i="7"/>
  <c r="AD132" i="7"/>
  <c r="AD134" i="7"/>
  <c r="R125" i="7"/>
  <c r="R124" i="7"/>
  <c r="R134" i="7"/>
  <c r="AD128" i="7"/>
  <c r="AD131" i="7"/>
  <c r="AD138" i="7"/>
  <c r="R129" i="7"/>
  <c r="R128" i="7"/>
  <c r="R138" i="7"/>
  <c r="R118" i="7"/>
  <c r="R123" i="7"/>
  <c r="R133" i="7"/>
  <c r="AD127" i="7"/>
  <c r="AD126" i="7"/>
  <c r="AD136" i="7"/>
  <c r="R127" i="7"/>
  <c r="AD122" i="7"/>
  <c r="R137" i="7"/>
  <c r="R119" i="7"/>
  <c r="AD133" i="7"/>
  <c r="AD121" i="7"/>
  <c r="AD119" i="7"/>
  <c r="AD130" i="7"/>
  <c r="R122" i="7"/>
  <c r="AD137" i="7"/>
  <c r="AD135" i="7"/>
  <c r="P132" i="7"/>
  <c r="P136" i="7"/>
  <c r="P121" i="7"/>
  <c r="P125" i="7"/>
  <c r="P129" i="7"/>
  <c r="AB118" i="7"/>
  <c r="P119" i="7"/>
  <c r="AB133" i="7"/>
  <c r="AB137" i="7"/>
  <c r="AB122" i="7"/>
  <c r="AB126" i="7"/>
  <c r="AB130" i="7"/>
  <c r="P135" i="7"/>
  <c r="P120" i="7"/>
  <c r="P124" i="7"/>
  <c r="P128" i="7"/>
  <c r="AB121" i="7"/>
  <c r="AB132" i="7"/>
  <c r="AB136" i="7"/>
  <c r="AB125" i="7"/>
  <c r="P134" i="7"/>
  <c r="P138" i="7"/>
  <c r="P123" i="7"/>
  <c r="P127" i="7"/>
  <c r="P131" i="7"/>
  <c r="AB119" i="7"/>
  <c r="P130" i="7"/>
  <c r="AB135" i="7"/>
  <c r="AB120" i="7"/>
  <c r="AB124" i="7"/>
  <c r="AB128" i="7"/>
  <c r="P118" i="7"/>
  <c r="P133" i="7"/>
  <c r="P137" i="7"/>
  <c r="P122" i="7"/>
  <c r="P126" i="7"/>
  <c r="AB134" i="7"/>
  <c r="AB138" i="7"/>
  <c r="AB123" i="7"/>
  <c r="AB127" i="7"/>
  <c r="AB131" i="7"/>
  <c r="AB129" i="7"/>
  <c r="AA133" i="7"/>
  <c r="AA137" i="7"/>
  <c r="AA122" i="7"/>
  <c r="AA126" i="7"/>
  <c r="AA130" i="7"/>
  <c r="O119" i="7"/>
  <c r="O131" i="7"/>
  <c r="O135" i="7"/>
  <c r="O120" i="7"/>
  <c r="O124" i="7"/>
  <c r="O128" i="7"/>
  <c r="O123" i="7"/>
  <c r="AA132" i="7"/>
  <c r="AA136" i="7"/>
  <c r="AA121" i="7"/>
  <c r="AA125" i="7"/>
  <c r="AA129" i="7"/>
  <c r="O134" i="7"/>
  <c r="O138" i="7"/>
  <c r="O127" i="7"/>
  <c r="AA119" i="7"/>
  <c r="AA135" i="7"/>
  <c r="AA120" i="7"/>
  <c r="AA124" i="7"/>
  <c r="AA128" i="7"/>
  <c r="O118" i="7"/>
  <c r="O133" i="7"/>
  <c r="O137" i="7"/>
  <c r="O122" i="7"/>
  <c r="O126" i="7"/>
  <c r="O130" i="7"/>
  <c r="AA131" i="7"/>
  <c r="AA134" i="7"/>
  <c r="AA138" i="7"/>
  <c r="AA123" i="7"/>
  <c r="AA127" i="7"/>
  <c r="O132" i="7"/>
  <c r="O136" i="7"/>
  <c r="O121" i="7"/>
  <c r="O125" i="7"/>
  <c r="O129" i="7"/>
  <c r="AA118" i="7"/>
  <c r="U131" i="7"/>
  <c r="U122" i="7"/>
  <c r="U121" i="7"/>
  <c r="AG130" i="7"/>
  <c r="AG123" i="7"/>
  <c r="U126" i="7"/>
  <c r="U125" i="7"/>
  <c r="U119" i="7"/>
  <c r="AG125" i="7"/>
  <c r="AG137" i="7"/>
  <c r="AG135" i="7"/>
  <c r="U130" i="7"/>
  <c r="U129" i="7"/>
  <c r="U135" i="7"/>
  <c r="AG129" i="7"/>
  <c r="AG138" i="7"/>
  <c r="AG120" i="7"/>
  <c r="AG127" i="7"/>
  <c r="AG118" i="7"/>
  <c r="U120" i="7"/>
  <c r="AG119" i="7"/>
  <c r="AG128" i="7"/>
  <c r="AG131" i="7"/>
  <c r="U134" i="7"/>
  <c r="AG124" i="7"/>
  <c r="AG134" i="7"/>
  <c r="AG133" i="7"/>
  <c r="U124" i="7"/>
  <c r="U118" i="7"/>
  <c r="U138" i="7"/>
  <c r="U128" i="7"/>
  <c r="U123" i="7"/>
  <c r="U133" i="7"/>
  <c r="U132" i="7"/>
  <c r="AG122" i="7"/>
  <c r="AG132" i="7"/>
  <c r="U127" i="7"/>
  <c r="U137" i="7"/>
  <c r="U136" i="7"/>
  <c r="AG126" i="7"/>
  <c r="AG136" i="7"/>
  <c r="AG121" i="7"/>
  <c r="AC134" i="7"/>
  <c r="AC138" i="7"/>
  <c r="AC123" i="7"/>
  <c r="AC127" i="7"/>
  <c r="AC131" i="7"/>
  <c r="Q132" i="7"/>
  <c r="Q136" i="7"/>
  <c r="Q121" i="7"/>
  <c r="Q125" i="7"/>
  <c r="Q129" i="7"/>
  <c r="AC118" i="7"/>
  <c r="Q128" i="7"/>
  <c r="AC133" i="7"/>
  <c r="AC137" i="7"/>
  <c r="AC122" i="7"/>
  <c r="AC126" i="7"/>
  <c r="AC130" i="7"/>
  <c r="Q119" i="7"/>
  <c r="Q120" i="7"/>
  <c r="Q135" i="7"/>
  <c r="AC132" i="7"/>
  <c r="AC136" i="7"/>
  <c r="AC121" i="7"/>
  <c r="AC125" i="7"/>
  <c r="AC129" i="7"/>
  <c r="Q134" i="7"/>
  <c r="Q138" i="7"/>
  <c r="Q123" i="7"/>
  <c r="Q127" i="7"/>
  <c r="Q131" i="7"/>
  <c r="AC119" i="7"/>
  <c r="AC128" i="7"/>
  <c r="AC135" i="7"/>
  <c r="AC120" i="7"/>
  <c r="AC124" i="7"/>
  <c r="Q118" i="7"/>
  <c r="Q133" i="7"/>
  <c r="Q137" i="7"/>
  <c r="Q122" i="7"/>
  <c r="Q126" i="7"/>
  <c r="Q130" i="7"/>
  <c r="Q124" i="7"/>
  <c r="AH132" i="7"/>
  <c r="V118" i="7"/>
  <c r="AH133" i="7"/>
  <c r="AH136" i="7"/>
  <c r="V131" i="7"/>
  <c r="V133" i="7"/>
  <c r="AH131" i="7"/>
  <c r="AH137" i="7"/>
  <c r="V134" i="7"/>
  <c r="AH121" i="7"/>
  <c r="AH119" i="7"/>
  <c r="V137" i="7"/>
  <c r="V119" i="7"/>
  <c r="AH122" i="7"/>
  <c r="V122" i="7"/>
  <c r="AH126" i="7"/>
  <c r="AH120" i="7"/>
  <c r="AH125" i="7"/>
  <c r="V126" i="7"/>
  <c r="V132" i="7"/>
  <c r="AH134" i="7"/>
  <c r="AH129" i="7"/>
  <c r="AH135" i="7"/>
  <c r="V130" i="7"/>
  <c r="V136" i="7"/>
  <c r="AH130" i="7"/>
  <c r="V121" i="7"/>
  <c r="V138" i="7"/>
  <c r="AH124" i="7"/>
  <c r="AH138" i="7"/>
  <c r="V125" i="7"/>
  <c r="V120" i="7"/>
  <c r="V123" i="7"/>
  <c r="AH128" i="7"/>
  <c r="AH123" i="7"/>
  <c r="V129" i="7"/>
  <c r="V124" i="7"/>
  <c r="V127" i="7"/>
  <c r="AH127" i="7"/>
  <c r="V128" i="7"/>
  <c r="V135" i="7"/>
  <c r="W135" i="7"/>
  <c r="W120" i="7"/>
  <c r="W124" i="7"/>
  <c r="W128" i="7"/>
  <c r="AI132" i="7"/>
  <c r="AI136" i="7"/>
  <c r="AI121" i="7"/>
  <c r="AI125" i="7"/>
  <c r="AI129" i="7"/>
  <c r="AI128" i="7"/>
  <c r="W134" i="7"/>
  <c r="W138" i="7"/>
  <c r="W123" i="7"/>
  <c r="W127" i="7"/>
  <c r="W131" i="7"/>
  <c r="AI119" i="7"/>
  <c r="AI135" i="7"/>
  <c r="AI120" i="7"/>
  <c r="W118" i="7"/>
  <c r="W133" i="7"/>
  <c r="W137" i="7"/>
  <c r="W122" i="7"/>
  <c r="W126" i="7"/>
  <c r="W130" i="7"/>
  <c r="AI134" i="7"/>
  <c r="AI138" i="7"/>
  <c r="AI123" i="7"/>
  <c r="AI127" i="7"/>
  <c r="AI131" i="7"/>
  <c r="W129" i="7"/>
  <c r="W132" i="7"/>
  <c r="W136" i="7"/>
  <c r="W121" i="7"/>
  <c r="W125" i="7"/>
  <c r="AI133" i="7"/>
  <c r="AI137" i="7"/>
  <c r="AI122" i="7"/>
  <c r="AI126" i="7"/>
  <c r="AI130" i="7"/>
  <c r="W119" i="7"/>
  <c r="AI124" i="7"/>
  <c r="N135" i="7"/>
  <c r="N120" i="7"/>
  <c r="N124" i="7"/>
  <c r="N128" i="7"/>
  <c r="Z128" i="7"/>
  <c r="Z118" i="7"/>
  <c r="Z132" i="7"/>
  <c r="Z136" i="7"/>
  <c r="Z121" i="7"/>
  <c r="Z125" i="7"/>
  <c r="Z129" i="7"/>
  <c r="N134" i="7"/>
  <c r="N138" i="7"/>
  <c r="N123" i="7"/>
  <c r="N127" i="7"/>
  <c r="N131" i="7"/>
  <c r="Z119" i="7"/>
  <c r="Z135" i="7"/>
  <c r="Z120" i="7"/>
  <c r="N118" i="7"/>
  <c r="N133" i="7"/>
  <c r="N137" i="7"/>
  <c r="N122" i="7"/>
  <c r="N126" i="7"/>
  <c r="N130" i="7"/>
  <c r="Z134" i="7"/>
  <c r="Z138" i="7"/>
  <c r="Z123" i="7"/>
  <c r="Z127" i="7"/>
  <c r="Z131" i="7"/>
  <c r="N129" i="7"/>
  <c r="N132" i="7"/>
  <c r="N136" i="7"/>
  <c r="N121" i="7"/>
  <c r="N125" i="7"/>
  <c r="Z133" i="7"/>
  <c r="Z137" i="7"/>
  <c r="Z122" i="7"/>
  <c r="Z126" i="7"/>
  <c r="Z130" i="7"/>
  <c r="N119" i="7"/>
  <c r="Z124" i="7"/>
  <c r="AE121" i="7"/>
  <c r="AE129" i="7"/>
  <c r="AE138" i="7"/>
  <c r="AE126" i="7"/>
  <c r="AE122" i="7"/>
  <c r="AE125" i="7"/>
  <c r="AE120" i="7"/>
  <c r="AE118" i="7"/>
  <c r="S132" i="7"/>
  <c r="AE119" i="7"/>
  <c r="S128" i="7"/>
  <c r="S131" i="7"/>
  <c r="S119" i="7"/>
  <c r="AE134" i="7"/>
  <c r="S133" i="7"/>
  <c r="AE137" i="7"/>
  <c r="S118" i="7"/>
  <c r="S138" i="7"/>
  <c r="S136" i="7"/>
  <c r="AE133" i="7"/>
  <c r="AE124" i="7"/>
  <c r="S124" i="7"/>
  <c r="S120" i="7"/>
  <c r="AE136" i="7"/>
  <c r="S129" i="7"/>
  <c r="AE132" i="7"/>
  <c r="S130" i="7"/>
  <c r="S126" i="7"/>
  <c r="S125" i="7"/>
  <c r="S123" i="7"/>
  <c r="AE135" i="7"/>
  <c r="S135" i="7"/>
  <c r="S122" i="7"/>
  <c r="S137" i="7"/>
  <c r="AE131" i="7"/>
  <c r="S134" i="7"/>
  <c r="AE130" i="7"/>
  <c r="AE127" i="7"/>
  <c r="AE123" i="7"/>
  <c r="S121" i="7"/>
  <c r="AE128" i="7"/>
  <c r="S127" i="7"/>
  <c r="J129" i="7"/>
  <c r="G130" i="7"/>
  <c r="F131" i="7"/>
  <c r="F132" i="7"/>
  <c r="J130" i="7"/>
  <c r="G131" i="7"/>
  <c r="J131" i="7"/>
  <c r="G132" i="7"/>
  <c r="F133" i="7"/>
  <c r="J132" i="7"/>
  <c r="G133" i="7"/>
  <c r="F134" i="7"/>
  <c r="G135" i="7"/>
  <c r="J133" i="7"/>
  <c r="G134" i="7"/>
  <c r="F135" i="7"/>
  <c r="J134" i="7"/>
  <c r="J135" i="7"/>
  <c r="F129" i="7"/>
  <c r="G129" i="7"/>
  <c r="F130" i="7"/>
  <c r="J136" i="7"/>
  <c r="J137" i="7"/>
  <c r="J139" i="7"/>
  <c r="G139" i="7"/>
  <c r="G136" i="7"/>
  <c r="J138" i="7"/>
  <c r="G137" i="7"/>
  <c r="F136" i="7"/>
  <c r="F139" i="7"/>
  <c r="G138" i="7"/>
  <c r="F137" i="7"/>
  <c r="F138" i="7"/>
  <c r="T100" i="7"/>
  <c r="T113" i="7"/>
  <c r="T104" i="7"/>
  <c r="T108" i="7"/>
  <c r="T111" i="7"/>
  <c r="T112" i="7"/>
  <c r="T115" i="7"/>
  <c r="T116" i="7"/>
  <c r="T102" i="7"/>
  <c r="T101" i="7"/>
  <c r="T106" i="7"/>
  <c r="T103" i="7"/>
  <c r="T105" i="7"/>
  <c r="T110" i="7"/>
  <c r="T117" i="7"/>
  <c r="T107" i="7"/>
  <c r="T109" i="7"/>
  <c r="T114" i="7"/>
  <c r="R100" i="7"/>
  <c r="R102" i="7"/>
  <c r="R111" i="7"/>
  <c r="R104" i="7"/>
  <c r="R106" i="7"/>
  <c r="R115" i="7"/>
  <c r="R108" i="7"/>
  <c r="R110" i="7"/>
  <c r="R116" i="7"/>
  <c r="R101" i="7"/>
  <c r="R114" i="7"/>
  <c r="R105" i="7"/>
  <c r="R109" i="7"/>
  <c r="R112" i="7"/>
  <c r="R113" i="7"/>
  <c r="R103" i="7"/>
  <c r="R117" i="7"/>
  <c r="R107" i="7"/>
  <c r="P101" i="7"/>
  <c r="P105" i="7"/>
  <c r="P109" i="7"/>
  <c r="P102" i="7"/>
  <c r="P106" i="7"/>
  <c r="P110" i="7"/>
  <c r="P114" i="7"/>
  <c r="P113" i="7"/>
  <c r="P103" i="7"/>
  <c r="P107" i="7"/>
  <c r="P111" i="7"/>
  <c r="P115" i="7"/>
  <c r="P117" i="7"/>
  <c r="P100" i="7"/>
  <c r="P104" i="7"/>
  <c r="P108" i="7"/>
  <c r="P112" i="7"/>
  <c r="P116" i="7"/>
  <c r="O102" i="7"/>
  <c r="O106" i="7"/>
  <c r="O110" i="7"/>
  <c r="O114" i="7"/>
  <c r="O105" i="7"/>
  <c r="O103" i="7"/>
  <c r="O107" i="7"/>
  <c r="O111" i="7"/>
  <c r="O115" i="7"/>
  <c r="O117" i="7"/>
  <c r="O109" i="7"/>
  <c r="O100" i="7"/>
  <c r="O104" i="7"/>
  <c r="O108" i="7"/>
  <c r="O112" i="7"/>
  <c r="O116" i="7"/>
  <c r="O101" i="7"/>
  <c r="O113" i="7"/>
  <c r="U100" i="7"/>
  <c r="U103" i="7"/>
  <c r="U104" i="7"/>
  <c r="U107" i="7"/>
  <c r="U108" i="7"/>
  <c r="U102" i="7"/>
  <c r="U111" i="7"/>
  <c r="U112" i="7"/>
  <c r="U106" i="7"/>
  <c r="U113" i="7"/>
  <c r="U115" i="7"/>
  <c r="U110" i="7"/>
  <c r="U117" i="7"/>
  <c r="U116" i="7"/>
  <c r="U101" i="7"/>
  <c r="U114" i="7"/>
  <c r="U105" i="7"/>
  <c r="U109" i="7"/>
  <c r="Q101" i="7"/>
  <c r="Q105" i="7"/>
  <c r="Q109" i="7"/>
  <c r="Q113" i="7"/>
  <c r="Q117" i="7"/>
  <c r="Q116" i="7"/>
  <c r="Q112" i="7"/>
  <c r="Q102" i="7"/>
  <c r="Q106" i="7"/>
  <c r="Q110" i="7"/>
  <c r="Q114" i="7"/>
  <c r="Q104" i="7"/>
  <c r="Q108" i="7"/>
  <c r="Q103" i="7"/>
  <c r="Q107" i="7"/>
  <c r="Q111" i="7"/>
  <c r="Q115" i="7"/>
  <c r="Q100" i="7"/>
  <c r="J128" i="7"/>
  <c r="J124" i="7"/>
  <c r="N102" i="7"/>
  <c r="N106" i="7"/>
  <c r="N110" i="7"/>
  <c r="J147" i="7"/>
  <c r="J125" i="7"/>
  <c r="J108" i="7"/>
  <c r="J116" i="7"/>
  <c r="J105" i="7"/>
  <c r="F107" i="7"/>
  <c r="F115" i="7"/>
  <c r="F123" i="7"/>
  <c r="J107" i="7"/>
  <c r="J115" i="7"/>
  <c r="J104" i="7"/>
  <c r="F106" i="7"/>
  <c r="F114" i="7"/>
  <c r="F122" i="7"/>
  <c r="J126" i="7"/>
  <c r="N103" i="7"/>
  <c r="N107" i="7"/>
  <c r="N111" i="7"/>
  <c r="N115" i="7"/>
  <c r="J109" i="7"/>
  <c r="J117" i="7"/>
  <c r="J106" i="7"/>
  <c r="F108" i="7"/>
  <c r="F116" i="7"/>
  <c r="F124" i="7"/>
  <c r="N114" i="7"/>
  <c r="J127" i="7"/>
  <c r="J110" i="7"/>
  <c r="J118" i="7"/>
  <c r="F101" i="7"/>
  <c r="F109" i="7"/>
  <c r="F117" i="7"/>
  <c r="F125" i="7"/>
  <c r="J120" i="7"/>
  <c r="N100" i="7"/>
  <c r="N104" i="7"/>
  <c r="N108" i="7"/>
  <c r="N112" i="7"/>
  <c r="N116" i="7"/>
  <c r="J111" i="7"/>
  <c r="J119" i="7"/>
  <c r="F102" i="7"/>
  <c r="F110" i="7"/>
  <c r="F118" i="7"/>
  <c r="F126" i="7"/>
  <c r="J114" i="7"/>
  <c r="J103" i="7"/>
  <c r="F105" i="7"/>
  <c r="F113" i="7"/>
  <c r="F121" i="7"/>
  <c r="J121" i="7"/>
  <c r="J112" i="7"/>
  <c r="J101" i="7"/>
  <c r="F103" i="7"/>
  <c r="F111" i="7"/>
  <c r="F119" i="7"/>
  <c r="F127" i="7"/>
  <c r="F147" i="7"/>
  <c r="J122" i="7"/>
  <c r="N101" i="7"/>
  <c r="N105" i="7"/>
  <c r="N109" i="7"/>
  <c r="N113" i="7"/>
  <c r="N117" i="7"/>
  <c r="J113" i="7"/>
  <c r="J102" i="7"/>
  <c r="F104" i="7"/>
  <c r="F112" i="7"/>
  <c r="F120" i="7"/>
  <c r="F128" i="7"/>
  <c r="J123" i="7"/>
  <c r="S117" i="7"/>
  <c r="S102" i="7"/>
  <c r="S107" i="7"/>
  <c r="S106" i="7"/>
  <c r="S101" i="7"/>
  <c r="S110" i="7"/>
  <c r="S100" i="7"/>
  <c r="S105" i="7"/>
  <c r="S114" i="7"/>
  <c r="S104" i="7"/>
  <c r="S109" i="7"/>
  <c r="S111" i="7"/>
  <c r="S108" i="7"/>
  <c r="S113" i="7"/>
  <c r="S115" i="7"/>
  <c r="S112" i="7"/>
  <c r="S116" i="7"/>
  <c r="S103" i="7"/>
  <c r="G119" i="7"/>
  <c r="G121" i="7"/>
  <c r="G123" i="7"/>
  <c r="G125" i="7"/>
  <c r="G127" i="7"/>
  <c r="G147" i="7"/>
  <c r="G120" i="7"/>
  <c r="G122" i="7"/>
  <c r="G124" i="7"/>
  <c r="G126" i="7"/>
  <c r="G128" i="7"/>
  <c r="G104" i="7"/>
  <c r="G112" i="7"/>
  <c r="G113" i="7"/>
  <c r="G105" i="7"/>
  <c r="G106" i="7"/>
  <c r="G114" i="7"/>
  <c r="G107" i="7"/>
  <c r="G108" i="7"/>
  <c r="G116" i="7"/>
  <c r="G109" i="7"/>
  <c r="G117" i="7"/>
  <c r="G111" i="7"/>
  <c r="G115" i="7"/>
  <c r="G110" i="7"/>
  <c r="G118" i="7"/>
  <c r="Z43" i="7"/>
  <c r="O5" i="7"/>
  <c r="O6" i="7"/>
  <c r="O7" i="7"/>
  <c r="O8" i="7"/>
  <c r="O9" i="7"/>
  <c r="O10" i="7"/>
  <c r="O11" i="7"/>
  <c r="O12" i="7"/>
  <c r="AA5" i="7"/>
  <c r="AA6" i="7"/>
  <c r="AA7" i="7"/>
  <c r="AA8" i="7"/>
  <c r="AA9" i="7"/>
  <c r="AA10" i="7"/>
  <c r="AA11" i="7"/>
  <c r="AA12" i="7"/>
  <c r="O13" i="7"/>
  <c r="O14" i="7"/>
  <c r="O15" i="7"/>
  <c r="O16" i="7"/>
  <c r="O17" i="7"/>
  <c r="O18" i="7"/>
  <c r="O19" i="7"/>
  <c r="AA13" i="7"/>
  <c r="AA14" i="7"/>
  <c r="AA15" i="7"/>
  <c r="AA16" i="7"/>
  <c r="AA17" i="7"/>
  <c r="AA18" i="7"/>
  <c r="AA19" i="7"/>
  <c r="O20" i="7"/>
  <c r="AA20" i="7"/>
  <c r="AA21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O21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AA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O147" i="7"/>
  <c r="O4" i="7"/>
  <c r="AA115" i="7"/>
  <c r="AA116" i="7"/>
  <c r="AA117" i="7"/>
  <c r="AA147" i="7"/>
  <c r="AA4" i="7"/>
  <c r="Z5" i="7"/>
  <c r="Z6" i="7"/>
  <c r="Z7" i="7"/>
  <c r="Z8" i="7"/>
  <c r="Z9" i="7"/>
  <c r="Z10" i="7"/>
  <c r="Z11" i="7"/>
  <c r="Z12" i="7"/>
  <c r="N5" i="7"/>
  <c r="N6" i="7"/>
  <c r="D17" i="8" s="1"/>
  <c r="N7" i="7"/>
  <c r="N8" i="7"/>
  <c r="N9" i="7"/>
  <c r="N10" i="7"/>
  <c r="N11" i="7"/>
  <c r="N12" i="7"/>
  <c r="Z13" i="7"/>
  <c r="Z14" i="7"/>
  <c r="Z15" i="7"/>
  <c r="Z16" i="7"/>
  <c r="Z17" i="7"/>
  <c r="Z18" i="7"/>
  <c r="Z19" i="7"/>
  <c r="N13" i="7"/>
  <c r="N14" i="7"/>
  <c r="N15" i="7"/>
  <c r="N16" i="7"/>
  <c r="N17" i="7"/>
  <c r="N18" i="7"/>
  <c r="N19" i="7"/>
  <c r="N20" i="7"/>
  <c r="N21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Z20" i="7"/>
  <c r="Z21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4" i="7"/>
  <c r="Z45" i="7"/>
  <c r="Z46" i="7"/>
  <c r="Z47" i="7"/>
  <c r="Z48" i="7"/>
  <c r="Z49" i="7"/>
  <c r="Z50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Z113" i="7"/>
  <c r="Z115" i="7"/>
  <c r="Z116" i="7"/>
  <c r="Z117" i="7"/>
  <c r="Z147" i="7"/>
  <c r="Z4" i="7"/>
  <c r="Z114" i="7"/>
  <c r="N147" i="7"/>
  <c r="N4" i="7"/>
  <c r="G51" i="7"/>
  <c r="F16" i="7"/>
  <c r="F12" i="7"/>
  <c r="F8" i="7"/>
  <c r="F4" i="7"/>
  <c r="G47" i="7"/>
  <c r="G43" i="7"/>
  <c r="G39" i="7"/>
  <c r="G35" i="7"/>
  <c r="G31" i="7"/>
  <c r="G27" i="7"/>
  <c r="G23" i="7"/>
  <c r="G19" i="7"/>
  <c r="G15" i="7"/>
  <c r="G11" i="7"/>
  <c r="G7" i="7"/>
  <c r="G102" i="7"/>
  <c r="G98" i="7"/>
  <c r="G94" i="7"/>
  <c r="G90" i="7"/>
  <c r="G86" i="7"/>
  <c r="G82" i="7"/>
  <c r="G78" i="7"/>
  <c r="G74" i="7"/>
  <c r="G70" i="7"/>
  <c r="G66" i="7"/>
  <c r="G62" i="7"/>
  <c r="G58" i="7"/>
  <c r="G54" i="7"/>
  <c r="G50" i="7"/>
  <c r="F13" i="7"/>
  <c r="F9" i="7"/>
  <c r="F5" i="7"/>
  <c r="G48" i="7"/>
  <c r="G44" i="7"/>
  <c r="G40" i="7"/>
  <c r="G36" i="7"/>
  <c r="G32" i="7"/>
  <c r="G28" i="7"/>
  <c r="G24" i="7"/>
  <c r="G20" i="7"/>
  <c r="G16" i="7"/>
  <c r="G12" i="7"/>
  <c r="G8" i="7"/>
  <c r="G103" i="7"/>
  <c r="G99" i="7"/>
  <c r="G95" i="7"/>
  <c r="G91" i="7"/>
  <c r="G87" i="7"/>
  <c r="G83" i="7"/>
  <c r="G79" i="7"/>
  <c r="G75" i="7"/>
  <c r="G71" i="7"/>
  <c r="G67" i="7"/>
  <c r="G63" i="7"/>
  <c r="G59" i="7"/>
  <c r="G55" i="7"/>
  <c r="F14" i="7"/>
  <c r="F10" i="7"/>
  <c r="F6" i="7"/>
  <c r="G49" i="7"/>
  <c r="G45" i="7"/>
  <c r="G41" i="7"/>
  <c r="G37" i="7"/>
  <c r="G33" i="7"/>
  <c r="G29" i="7"/>
  <c r="G25" i="7"/>
  <c r="G21" i="7"/>
  <c r="G17" i="7"/>
  <c r="G13" i="7"/>
  <c r="G9" i="7"/>
  <c r="G5" i="7"/>
  <c r="G100" i="7"/>
  <c r="G96" i="7"/>
  <c r="G92" i="7"/>
  <c r="G88" i="7"/>
  <c r="G84" i="7"/>
  <c r="G80" i="7"/>
  <c r="G76" i="7"/>
  <c r="G72" i="7"/>
  <c r="G68" i="7"/>
  <c r="G64" i="7"/>
  <c r="G60" i="7"/>
  <c r="G56" i="7"/>
  <c r="G52" i="7"/>
  <c r="F15" i="7"/>
  <c r="F11" i="7"/>
  <c r="F7" i="7"/>
  <c r="G46" i="7"/>
  <c r="G42" i="7"/>
  <c r="G38" i="7"/>
  <c r="G34" i="7"/>
  <c r="G30" i="7"/>
  <c r="G26" i="7"/>
  <c r="G18" i="7"/>
  <c r="G14" i="7"/>
  <c r="G10" i="7"/>
  <c r="G6" i="7"/>
  <c r="G101" i="7"/>
  <c r="G97" i="7"/>
  <c r="G93" i="7"/>
  <c r="G89" i="7"/>
  <c r="G85" i="7"/>
  <c r="G81" i="7"/>
  <c r="G77" i="7"/>
  <c r="G73" i="7"/>
  <c r="G69" i="7"/>
  <c r="G65" i="7"/>
  <c r="G61" i="7"/>
  <c r="G57" i="7"/>
  <c r="G53" i="7"/>
  <c r="U5" i="7"/>
  <c r="U6" i="7"/>
  <c r="D24" i="8" s="1"/>
  <c r="U7" i="7"/>
  <c r="U8" i="7"/>
  <c r="U9" i="7"/>
  <c r="U10" i="7"/>
  <c r="U11" i="7"/>
  <c r="U12" i="7"/>
  <c r="AG5" i="7"/>
  <c r="AG6" i="7"/>
  <c r="AG7" i="7"/>
  <c r="AG8" i="7"/>
  <c r="AG9" i="7"/>
  <c r="AG10" i="7"/>
  <c r="AG11" i="7"/>
  <c r="U13" i="7"/>
  <c r="U14" i="7"/>
  <c r="U15" i="7"/>
  <c r="U16" i="7"/>
  <c r="U17" i="7"/>
  <c r="U18" i="7"/>
  <c r="U19" i="7"/>
  <c r="AG12" i="7"/>
  <c r="AG13" i="7"/>
  <c r="AG14" i="7"/>
  <c r="AG15" i="7"/>
  <c r="AG16" i="7"/>
  <c r="AG17" i="7"/>
  <c r="AG18" i="7"/>
  <c r="AG19" i="7"/>
  <c r="AG20" i="7"/>
  <c r="AG21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U20" i="7"/>
  <c r="U21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U147" i="7"/>
  <c r="U4" i="7"/>
  <c r="AG115" i="7"/>
  <c r="AG116" i="7"/>
  <c r="AG117" i="7"/>
  <c r="AG147" i="7"/>
  <c r="AG4" i="7"/>
  <c r="W5" i="7"/>
  <c r="W6" i="7"/>
  <c r="D26" i="8" s="1"/>
  <c r="W7" i="7"/>
  <c r="W8" i="7"/>
  <c r="W9" i="7"/>
  <c r="W10" i="7"/>
  <c r="W11" i="7"/>
  <c r="W12" i="7"/>
  <c r="AI5" i="7"/>
  <c r="AI6" i="7"/>
  <c r="AI7" i="7"/>
  <c r="AI8" i="7"/>
  <c r="AI9" i="7"/>
  <c r="AI10" i="7"/>
  <c r="AI11" i="7"/>
  <c r="W13" i="7"/>
  <c r="W14" i="7"/>
  <c r="W15" i="7"/>
  <c r="W16" i="7"/>
  <c r="W17" i="7"/>
  <c r="W18" i="7"/>
  <c r="W19" i="7"/>
  <c r="AI12" i="7"/>
  <c r="AI13" i="7"/>
  <c r="AI16" i="7"/>
  <c r="AI17" i="7"/>
  <c r="AI18" i="7"/>
  <c r="AI19" i="7"/>
  <c r="AI20" i="7"/>
  <c r="AI21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W20" i="7"/>
  <c r="W21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AI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W114" i="7"/>
  <c r="W115" i="7"/>
  <c r="W116" i="7"/>
  <c r="W117" i="7"/>
  <c r="W147" i="7"/>
  <c r="W4" i="7"/>
  <c r="W113" i="7"/>
  <c r="AI115" i="7"/>
  <c r="AI116" i="7"/>
  <c r="AI117" i="7"/>
  <c r="AI118" i="7"/>
  <c r="AI147" i="7"/>
  <c r="AI4" i="7"/>
  <c r="AF5" i="7"/>
  <c r="AF6" i="7"/>
  <c r="AF7" i="7"/>
  <c r="AF8" i="7"/>
  <c r="AF9" i="7"/>
  <c r="AF10" i="7"/>
  <c r="AF11" i="7"/>
  <c r="T5" i="7"/>
  <c r="T6" i="7"/>
  <c r="D23" i="8" s="1"/>
  <c r="T7" i="7"/>
  <c r="T8" i="7"/>
  <c r="T9" i="7"/>
  <c r="T10" i="7"/>
  <c r="T11" i="7"/>
  <c r="T12" i="7"/>
  <c r="AF12" i="7"/>
  <c r="AF13" i="7"/>
  <c r="AF14" i="7"/>
  <c r="AF15" i="7"/>
  <c r="AF16" i="7"/>
  <c r="AF17" i="7"/>
  <c r="AF18" i="7"/>
  <c r="AF19" i="7"/>
  <c r="T13" i="7"/>
  <c r="T14" i="7"/>
  <c r="T15" i="7"/>
  <c r="T16" i="7"/>
  <c r="T17" i="7"/>
  <c r="T18" i="7"/>
  <c r="T19" i="7"/>
  <c r="T20" i="7"/>
  <c r="T21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AF20" i="7"/>
  <c r="AF21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AF114" i="7"/>
  <c r="AF115" i="7"/>
  <c r="AF116" i="7"/>
  <c r="AF117" i="7"/>
  <c r="AF147" i="7"/>
  <c r="AF4" i="7"/>
  <c r="AF113" i="7"/>
  <c r="T147" i="7"/>
  <c r="T4" i="7"/>
  <c r="S5" i="7"/>
  <c r="S6" i="7"/>
  <c r="D22" i="8" s="1"/>
  <c r="S7" i="7"/>
  <c r="S8" i="7"/>
  <c r="S9" i="7"/>
  <c r="S10" i="7"/>
  <c r="S11" i="7"/>
  <c r="S12" i="7"/>
  <c r="AE5" i="7"/>
  <c r="AE6" i="7"/>
  <c r="AE7" i="7"/>
  <c r="AE8" i="7"/>
  <c r="AE9" i="7"/>
  <c r="AE10" i="7"/>
  <c r="AE11" i="7"/>
  <c r="S13" i="7"/>
  <c r="S14" i="7"/>
  <c r="S15" i="7"/>
  <c r="S16" i="7"/>
  <c r="S17" i="7"/>
  <c r="S18" i="7"/>
  <c r="S19" i="7"/>
  <c r="AE12" i="7"/>
  <c r="AE13" i="7"/>
  <c r="AE14" i="7"/>
  <c r="AE15" i="7"/>
  <c r="AE16" i="7"/>
  <c r="AE17" i="7"/>
  <c r="AE18" i="7"/>
  <c r="AE19" i="7"/>
  <c r="S20" i="7"/>
  <c r="AE20" i="7"/>
  <c r="AE21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S21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S147" i="7"/>
  <c r="S4" i="7"/>
  <c r="AE115" i="7"/>
  <c r="AE116" i="7"/>
  <c r="AE117" i="7"/>
  <c r="AE147" i="7"/>
  <c r="AE4" i="7"/>
  <c r="AD5" i="7"/>
  <c r="AD6" i="7"/>
  <c r="AD7" i="7"/>
  <c r="AD8" i="7"/>
  <c r="AD9" i="7"/>
  <c r="AD10" i="7"/>
  <c r="AD11" i="7"/>
  <c r="R5" i="7"/>
  <c r="R6" i="7"/>
  <c r="D21" i="8" s="1"/>
  <c r="R7" i="7"/>
  <c r="R8" i="7"/>
  <c r="R9" i="7"/>
  <c r="R10" i="7"/>
  <c r="R11" i="7"/>
  <c r="R12" i="7"/>
  <c r="AD12" i="7"/>
  <c r="AD13" i="7"/>
  <c r="AD14" i="7"/>
  <c r="AD15" i="7"/>
  <c r="AD16" i="7"/>
  <c r="AD17" i="7"/>
  <c r="AD18" i="7"/>
  <c r="AD19" i="7"/>
  <c r="R13" i="7"/>
  <c r="R14" i="7"/>
  <c r="R15" i="7"/>
  <c r="R16" i="7"/>
  <c r="R17" i="7"/>
  <c r="R18" i="7"/>
  <c r="R19" i="7"/>
  <c r="R20" i="7"/>
  <c r="R21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AD20" i="7"/>
  <c r="AD21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AD113" i="7"/>
  <c r="AD115" i="7"/>
  <c r="AD116" i="7"/>
  <c r="AD117" i="7"/>
  <c r="AD147" i="7"/>
  <c r="AD4" i="7"/>
  <c r="AD114" i="7"/>
  <c r="R147" i="7"/>
  <c r="R4" i="7"/>
  <c r="Q5" i="7"/>
  <c r="Q6" i="7"/>
  <c r="D20" i="8" s="1"/>
  <c r="Q7" i="7"/>
  <c r="Q8" i="7"/>
  <c r="Q9" i="7"/>
  <c r="Q10" i="7"/>
  <c r="Q11" i="7"/>
  <c r="Q12" i="7"/>
  <c r="AC5" i="7"/>
  <c r="AC6" i="7"/>
  <c r="AC7" i="7"/>
  <c r="AC8" i="7"/>
  <c r="AC9" i="7"/>
  <c r="AC10" i="7"/>
  <c r="AC11" i="7"/>
  <c r="Q13" i="7"/>
  <c r="Q14" i="7"/>
  <c r="Q15" i="7"/>
  <c r="Q16" i="7"/>
  <c r="Q17" i="7"/>
  <c r="Q18" i="7"/>
  <c r="Q19" i="7"/>
  <c r="AC12" i="7"/>
  <c r="AC13" i="7"/>
  <c r="AC14" i="7"/>
  <c r="AC15" i="7"/>
  <c r="AC16" i="7"/>
  <c r="AC17" i="7"/>
  <c r="AC18" i="7"/>
  <c r="AC19" i="7"/>
  <c r="AC20" i="7"/>
  <c r="AC21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Q20" i="7"/>
  <c r="Q21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Q147" i="7"/>
  <c r="Q4" i="7"/>
  <c r="AC115" i="7"/>
  <c r="AC116" i="7"/>
  <c r="AC117" i="7"/>
  <c r="AC147" i="7"/>
  <c r="AC4" i="7"/>
  <c r="AB5" i="7"/>
  <c r="AB6" i="7"/>
  <c r="AB7" i="7"/>
  <c r="AB8" i="7"/>
  <c r="AB9" i="7"/>
  <c r="AB10" i="7"/>
  <c r="AB11" i="7"/>
  <c r="AB12" i="7"/>
  <c r="P5" i="7"/>
  <c r="P6" i="7"/>
  <c r="D19" i="8" s="1"/>
  <c r="P7" i="7"/>
  <c r="P8" i="7"/>
  <c r="P9" i="7"/>
  <c r="P10" i="7"/>
  <c r="P11" i="7"/>
  <c r="P12" i="7"/>
  <c r="AB13" i="7"/>
  <c r="AB14" i="7"/>
  <c r="AB15" i="7"/>
  <c r="AB16" i="7"/>
  <c r="AB17" i="7"/>
  <c r="AB18" i="7"/>
  <c r="AB19" i="7"/>
  <c r="P13" i="7"/>
  <c r="P14" i="7"/>
  <c r="P15" i="7"/>
  <c r="P16" i="7"/>
  <c r="P17" i="7"/>
  <c r="P18" i="7"/>
  <c r="P19" i="7"/>
  <c r="P20" i="7"/>
  <c r="P21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AB20" i="7"/>
  <c r="AB21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AB114" i="7"/>
  <c r="AB115" i="7"/>
  <c r="AB116" i="7"/>
  <c r="AB117" i="7"/>
  <c r="AB147" i="7"/>
  <c r="AB4" i="7"/>
  <c r="AB113" i="7"/>
  <c r="P147" i="7"/>
  <c r="P4" i="7"/>
  <c r="AH5" i="7"/>
  <c r="AH6" i="7"/>
  <c r="AH7" i="7"/>
  <c r="AH8" i="7"/>
  <c r="AH9" i="7"/>
  <c r="AH10" i="7"/>
  <c r="AH11" i="7"/>
  <c r="V5" i="7"/>
  <c r="V6" i="7"/>
  <c r="D25" i="8" s="1"/>
  <c r="V7" i="7"/>
  <c r="V8" i="7"/>
  <c r="V9" i="7"/>
  <c r="V10" i="7"/>
  <c r="V11" i="7"/>
  <c r="V12" i="7"/>
  <c r="AH12" i="7"/>
  <c r="AH13" i="7"/>
  <c r="AH14" i="7"/>
  <c r="AH15" i="7"/>
  <c r="AH16" i="7"/>
  <c r="AH17" i="7"/>
  <c r="AH18" i="7"/>
  <c r="AH19" i="7"/>
  <c r="V13" i="7"/>
  <c r="V14" i="7"/>
  <c r="V15" i="7"/>
  <c r="V16" i="7"/>
  <c r="V17" i="7"/>
  <c r="V18" i="7"/>
  <c r="V19" i="7"/>
  <c r="V20" i="7"/>
  <c r="V21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AH20" i="7"/>
  <c r="AH21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AH113" i="7"/>
  <c r="AH115" i="7"/>
  <c r="AH116" i="7"/>
  <c r="AH117" i="7"/>
  <c r="AH118" i="7"/>
  <c r="AH147" i="7"/>
  <c r="AH4" i="7"/>
  <c r="AH114" i="7"/>
  <c r="V115" i="7"/>
  <c r="V116" i="7"/>
  <c r="V117" i="7"/>
  <c r="V147" i="7"/>
  <c r="V4" i="7"/>
  <c r="D15" i="8"/>
  <c r="F18" i="7"/>
  <c r="F26" i="7"/>
  <c r="F30" i="7"/>
  <c r="F34" i="7"/>
  <c r="F17" i="7"/>
  <c r="F31" i="7"/>
  <c r="F27" i="7"/>
  <c r="F36" i="7"/>
  <c r="F40" i="7"/>
  <c r="F44" i="7"/>
  <c r="F48" i="7"/>
  <c r="F52" i="7"/>
  <c r="F56" i="7"/>
  <c r="F60" i="7"/>
  <c r="F64" i="7"/>
  <c r="F68" i="7"/>
  <c r="F72" i="7"/>
  <c r="F76" i="7"/>
  <c r="F80" i="7"/>
  <c r="F84" i="7"/>
  <c r="F88" i="7"/>
  <c r="F92" i="7"/>
  <c r="F96" i="7"/>
  <c r="F100" i="7"/>
  <c r="F73" i="7"/>
  <c r="F85" i="7"/>
  <c r="F97" i="7"/>
  <c r="F33" i="7"/>
  <c r="F20" i="7"/>
  <c r="F42" i="7"/>
  <c r="F54" i="7"/>
  <c r="F66" i="7"/>
  <c r="F78" i="7"/>
  <c r="F90" i="7"/>
  <c r="F23" i="7"/>
  <c r="F32" i="7"/>
  <c r="F28" i="7"/>
  <c r="F41" i="7"/>
  <c r="F49" i="7"/>
  <c r="F57" i="7"/>
  <c r="F65" i="7"/>
  <c r="F77" i="7"/>
  <c r="F89" i="7"/>
  <c r="F24" i="7"/>
  <c r="F29" i="7"/>
  <c r="F46" i="7"/>
  <c r="F58" i="7"/>
  <c r="F70" i="7"/>
  <c r="F82" i="7"/>
  <c r="F94" i="7"/>
  <c r="F43" i="7"/>
  <c r="F55" i="7"/>
  <c r="F63" i="7"/>
  <c r="F71" i="7"/>
  <c r="F75" i="7"/>
  <c r="F83" i="7"/>
  <c r="F91" i="7"/>
  <c r="F99" i="7"/>
  <c r="F19" i="7"/>
  <c r="F37" i="7"/>
  <c r="F45" i="7"/>
  <c r="F53" i="7"/>
  <c r="F61" i="7"/>
  <c r="F69" i="7"/>
  <c r="F81" i="7"/>
  <c r="F93" i="7"/>
  <c r="F38" i="7"/>
  <c r="F50" i="7"/>
  <c r="F62" i="7"/>
  <c r="F74" i="7"/>
  <c r="F86" i="7"/>
  <c r="F98" i="7"/>
  <c r="F25" i="7"/>
  <c r="F21" i="7"/>
  <c r="F35" i="7"/>
  <c r="F39" i="7"/>
  <c r="F47" i="7"/>
  <c r="F51" i="7"/>
  <c r="F59" i="7"/>
  <c r="F67" i="7"/>
  <c r="F79" i="7"/>
  <c r="F87" i="7"/>
  <c r="F95" i="7"/>
  <c r="J100" i="7"/>
  <c r="J11" i="7"/>
  <c r="J19" i="7"/>
  <c r="J27" i="7"/>
  <c r="J35" i="7"/>
  <c r="J43" i="7"/>
  <c r="J51" i="7"/>
  <c r="J59" i="7"/>
  <c r="J67" i="7"/>
  <c r="J75" i="7"/>
  <c r="J91" i="7"/>
  <c r="J36" i="7"/>
  <c r="J60" i="7"/>
  <c r="J84" i="7"/>
  <c r="J53" i="7"/>
  <c r="J85" i="7"/>
  <c r="J12" i="7"/>
  <c r="J20" i="7"/>
  <c r="J28" i="7"/>
  <c r="J52" i="7"/>
  <c r="J76" i="7"/>
  <c r="J69" i="7"/>
  <c r="J5" i="7"/>
  <c r="J13" i="7"/>
  <c r="J21" i="7"/>
  <c r="J29" i="7"/>
  <c r="J37" i="7"/>
  <c r="J45" i="7"/>
  <c r="J77" i="7"/>
  <c r="J6" i="7"/>
  <c r="J14" i="7"/>
  <c r="J30" i="7"/>
  <c r="J38" i="7"/>
  <c r="J46" i="7"/>
  <c r="J54" i="7"/>
  <c r="J62" i="7"/>
  <c r="J70" i="7"/>
  <c r="J78" i="7"/>
  <c r="J86" i="7"/>
  <c r="J94" i="7"/>
  <c r="J79" i="7"/>
  <c r="J95" i="7"/>
  <c r="J40" i="7"/>
  <c r="J64" i="7"/>
  <c r="J88" i="7"/>
  <c r="J49" i="7"/>
  <c r="J81" i="7"/>
  <c r="J7" i="7"/>
  <c r="J15" i="7"/>
  <c r="J23" i="7"/>
  <c r="J31" i="7"/>
  <c r="J39" i="7"/>
  <c r="J47" i="7"/>
  <c r="J55" i="7"/>
  <c r="J63" i="7"/>
  <c r="J71" i="7"/>
  <c r="J87" i="7"/>
  <c r="J32" i="7"/>
  <c r="J56" i="7"/>
  <c r="J80" i="7"/>
  <c r="J65" i="7"/>
  <c r="J97" i="7"/>
  <c r="J8" i="7"/>
  <c r="J16" i="7"/>
  <c r="J24" i="7"/>
  <c r="J48" i="7"/>
  <c r="J72" i="7"/>
  <c r="J96" i="7"/>
  <c r="J73" i="7"/>
  <c r="J9" i="7"/>
  <c r="J17" i="7"/>
  <c r="J25" i="7"/>
  <c r="J33" i="7"/>
  <c r="J41" i="7"/>
  <c r="J57" i="7"/>
  <c r="J89" i="7"/>
  <c r="J10" i="7"/>
  <c r="J18" i="7"/>
  <c r="J26" i="7"/>
  <c r="J34" i="7"/>
  <c r="J42" i="7"/>
  <c r="J50" i="7"/>
  <c r="J58" i="7"/>
  <c r="J66" i="7"/>
  <c r="J74" i="7"/>
  <c r="J82" i="7"/>
  <c r="J90" i="7"/>
  <c r="J98" i="7"/>
  <c r="J83" i="7"/>
  <c r="J99" i="7"/>
  <c r="J44" i="7"/>
  <c r="J68" i="7"/>
  <c r="J92" i="7"/>
  <c r="J61" i="7"/>
  <c r="J93" i="7"/>
  <c r="J4" i="7"/>
  <c r="D18" i="8"/>
  <c r="H149" i="7" l="1"/>
  <c r="F149" i="7"/>
  <c r="G149" i="7"/>
  <c r="T149" i="7"/>
  <c r="N183" i="6" s="1"/>
  <c r="AE149" i="7"/>
  <c r="V149" i="7"/>
  <c r="P149" i="7"/>
  <c r="AC149" i="7"/>
  <c r="R149" i="7"/>
  <c r="AI149" i="7"/>
  <c r="AG149" i="7"/>
  <c r="N149" i="7"/>
  <c r="AA149" i="7"/>
  <c r="Q149" i="7"/>
  <c r="AD149" i="7"/>
  <c r="S149" i="7"/>
  <c r="AF149" i="7"/>
  <c r="U149" i="7"/>
  <c r="Z149" i="7"/>
  <c r="O149" i="7"/>
  <c r="AH149" i="7"/>
  <c r="AB149" i="7"/>
  <c r="W149" i="7"/>
  <c r="J149" i="7"/>
  <c r="D27" i="8"/>
  <c r="D4" i="11" l="1"/>
  <c r="J28" i="11"/>
  <c r="F15" i="11"/>
  <c r="D13" i="11"/>
  <c r="D5" i="11"/>
  <c r="F20" i="11"/>
  <c r="F19" i="11"/>
  <c r="D3" i="11"/>
  <c r="N30" i="11"/>
  <c r="D11" i="11"/>
  <c r="F17" i="11"/>
  <c r="N31" i="11"/>
  <c r="D6" i="11"/>
  <c r="J27" i="11"/>
  <c r="D9" i="11"/>
  <c r="F16" i="11"/>
  <c r="F18" i="11"/>
  <c r="F21" i="11"/>
  <c r="H25" i="11"/>
  <c r="H32" i="11" s="1"/>
  <c r="L29" i="11"/>
  <c r="L32" i="11" s="1"/>
  <c r="F22" i="11"/>
  <c r="D7" i="11"/>
  <c r="D8" i="11"/>
  <c r="D10" i="11"/>
  <c r="D12" i="11"/>
  <c r="J32" i="11" l="1"/>
  <c r="N32" i="11"/>
  <c r="D39" i="11"/>
  <c r="D32" i="11"/>
  <c r="F14" i="11"/>
  <c r="F39" i="11" l="1"/>
  <c r="F32" i="11"/>
  <c r="D1" i="14"/>
  <c r="J151" i="7"/>
</calcChain>
</file>

<file path=xl/sharedStrings.xml><?xml version="1.0" encoding="utf-8"?>
<sst xmlns="http://schemas.openxmlformats.org/spreadsheetml/2006/main" count="12629" uniqueCount="3624">
  <si>
    <t>Child  Health Form (CHF)</t>
  </si>
  <si>
    <t>فرم سلامت کودک</t>
  </si>
  <si>
    <t>تاریخ بررسی :</t>
  </si>
  <si>
    <t xml:space="preserve">پسر </t>
  </si>
  <si>
    <t>جنسیت:</t>
  </si>
  <si>
    <t>نام و نام خانوادگی:</t>
  </si>
  <si>
    <t>asxax</t>
  </si>
  <si>
    <t xml:space="preserve">محل تولد: </t>
  </si>
  <si>
    <t>1392</t>
  </si>
  <si>
    <t>تاریخ تولد :</t>
  </si>
  <si>
    <t>دختر</t>
  </si>
  <si>
    <t>asxx</t>
  </si>
  <si>
    <t>محل صدور:</t>
  </si>
  <si>
    <t>نام پدر :</t>
  </si>
  <si>
    <t>kjhgff</t>
  </si>
  <si>
    <t>ش شناسنامه/کدملی:</t>
  </si>
  <si>
    <t xml:space="preserve">ناقص </t>
  </si>
  <si>
    <t xml:space="preserve">استان محل سکونت : </t>
  </si>
  <si>
    <t>کامل</t>
  </si>
  <si>
    <t>jhggfd</t>
  </si>
  <si>
    <t>آدرس محل سکونت :</t>
  </si>
  <si>
    <t>asads</t>
  </si>
  <si>
    <t>کدپستی:</t>
  </si>
  <si>
    <t>نمابر :</t>
  </si>
  <si>
    <t>تلفن :</t>
  </si>
  <si>
    <t>csdcdsc</t>
  </si>
  <si>
    <t>پست الکترونیکی :</t>
  </si>
  <si>
    <t>بررسی سوابق دانش آموز از وضعیت ایمنی تا 6 سالگی</t>
  </si>
  <si>
    <t>نوبت</t>
  </si>
  <si>
    <t xml:space="preserve">نوع واکسن ناقص </t>
  </si>
  <si>
    <t xml:space="preserve">ایمن سازی : </t>
  </si>
  <si>
    <t>درصورت ناقص بودن تاریخ تکمیل :</t>
  </si>
  <si>
    <t>سوابق بیماری</t>
  </si>
  <si>
    <t>توضیحات:</t>
  </si>
  <si>
    <t>آزمایشات یا چکاپ پزشکی</t>
  </si>
  <si>
    <t>اگر نیاز دارد، توضیحات :</t>
  </si>
  <si>
    <t>سایرموارد</t>
  </si>
  <si>
    <t xml:space="preserve">نیاز به خدمات خاصی ندارد </t>
  </si>
  <si>
    <t>اگردارد توضیحات:</t>
  </si>
  <si>
    <t>Child  Log  Format  (CLF)</t>
  </si>
  <si>
    <t>فرم مشخصات کودک</t>
  </si>
  <si>
    <t xml:space="preserve">  </t>
  </si>
  <si>
    <t>01</t>
  </si>
  <si>
    <t>معرفی توسط:</t>
  </si>
  <si>
    <t>تاریخ شروع سرپرستی :</t>
  </si>
  <si>
    <t>02</t>
  </si>
  <si>
    <t>کدمددجو :</t>
  </si>
  <si>
    <t>ghjj</t>
  </si>
  <si>
    <t>نام و نام خانوادگی :</t>
  </si>
  <si>
    <t>03</t>
  </si>
  <si>
    <t>1385</t>
  </si>
  <si>
    <t>تاریخ تولد:</t>
  </si>
  <si>
    <t>محل تولد :</t>
  </si>
  <si>
    <t>04</t>
  </si>
  <si>
    <t>bvc</t>
  </si>
  <si>
    <t>ش شناسنامه/کد ملی:</t>
  </si>
  <si>
    <t>05</t>
  </si>
  <si>
    <t>اول</t>
  </si>
  <si>
    <t>نام پدر:</t>
  </si>
  <si>
    <t>استان محل سکونت :</t>
  </si>
  <si>
    <t>06</t>
  </si>
  <si>
    <t>دوم</t>
  </si>
  <si>
    <t>ghhh</t>
  </si>
  <si>
    <t>07</t>
  </si>
  <si>
    <t>سوم</t>
  </si>
  <si>
    <t>ssss</t>
  </si>
  <si>
    <t>کد پستی:</t>
  </si>
  <si>
    <t>08</t>
  </si>
  <si>
    <t>چهارم</t>
  </si>
  <si>
    <t>eeee</t>
  </si>
  <si>
    <t>نمابر:</t>
  </si>
  <si>
    <t>09</t>
  </si>
  <si>
    <t>پنجم</t>
  </si>
  <si>
    <t>hodakashi@gmail.com</t>
  </si>
  <si>
    <t>پست الکترونیک :</t>
  </si>
  <si>
    <t>10</t>
  </si>
  <si>
    <t>ششم</t>
  </si>
  <si>
    <t>تحصیلات</t>
  </si>
  <si>
    <t>11</t>
  </si>
  <si>
    <t>هفتم</t>
  </si>
  <si>
    <t>معدل :</t>
  </si>
  <si>
    <t>رشته تحصیلی :</t>
  </si>
  <si>
    <t>مقطع تحصیلی :</t>
  </si>
  <si>
    <t>12</t>
  </si>
  <si>
    <t>هشتم</t>
  </si>
  <si>
    <t>آدرس محل تحصیل :</t>
  </si>
  <si>
    <t>13</t>
  </si>
  <si>
    <t>نهم</t>
  </si>
  <si>
    <t>14</t>
  </si>
  <si>
    <t>دهم</t>
  </si>
  <si>
    <t>تلفن /همراه :</t>
  </si>
  <si>
    <t>15</t>
  </si>
  <si>
    <t>یازدهم</t>
  </si>
  <si>
    <t>16</t>
  </si>
  <si>
    <t>دوازدهم</t>
  </si>
  <si>
    <t>سایر موارد</t>
  </si>
  <si>
    <t>17</t>
  </si>
  <si>
    <t>دانشجوی ترم1</t>
  </si>
  <si>
    <t>استعداد :</t>
  </si>
  <si>
    <t>18</t>
  </si>
  <si>
    <t>دانشجوی ترم2</t>
  </si>
  <si>
    <t>19</t>
  </si>
  <si>
    <t>دانشجوی ترم3</t>
  </si>
  <si>
    <t>20</t>
  </si>
  <si>
    <t>دانشجوی ترم 4</t>
  </si>
  <si>
    <t>21</t>
  </si>
  <si>
    <t>دانشجوی ترم5</t>
  </si>
  <si>
    <t>علاقه مندی :</t>
  </si>
  <si>
    <t>22</t>
  </si>
  <si>
    <t>دانشجوی ترم6</t>
  </si>
  <si>
    <t>23</t>
  </si>
  <si>
    <t>دانشجوی ترم 7</t>
  </si>
  <si>
    <t>24</t>
  </si>
  <si>
    <t>دانشجوی ترم 8</t>
  </si>
  <si>
    <t>25</t>
  </si>
  <si>
    <t>نیاز سنجی:</t>
  </si>
  <si>
    <t>26</t>
  </si>
  <si>
    <t>کمک هزینه تحصیلی (ابزار،پوشاک ،...)</t>
  </si>
  <si>
    <t>27</t>
  </si>
  <si>
    <t>هزینه پوشاک</t>
  </si>
  <si>
    <t>28</t>
  </si>
  <si>
    <t>هزینه پزشکی</t>
  </si>
  <si>
    <t>29</t>
  </si>
  <si>
    <t>توضیحات :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</si>
  <si>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</si>
  <si>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</si>
  <si>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</si>
  <si>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</si>
  <si>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</si>
  <si>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</si>
  <si>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</si>
  <si>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</si>
  <si>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</si>
  <si>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</si>
  <si>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</si>
  <si>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</si>
  <si>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</si>
  <si>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</si>
  <si>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</si>
  <si>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</si>
  <si>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</si>
  <si>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</si>
  <si>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</si>
  <si>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</si>
  <si>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</si>
  <si>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k1</t>
  </si>
  <si>
    <t>m1</t>
  </si>
  <si>
    <t>کد مددجو</t>
  </si>
  <si>
    <t>هزینه کلی موسسه</t>
  </si>
  <si>
    <t>هزینه کلی به مددجویان</t>
  </si>
  <si>
    <t>نام  و نام خانوادگی</t>
  </si>
  <si>
    <t>ریحانه نوری شفیق</t>
  </si>
  <si>
    <t>ریحانه طراقی فرد</t>
  </si>
  <si>
    <t>زهرا قهستانی</t>
  </si>
  <si>
    <t>مهلا قهستانی</t>
  </si>
  <si>
    <t>رقیه رضاپور</t>
  </si>
  <si>
    <t>راضیه رضاپور</t>
  </si>
  <si>
    <t>ربابه رضاپور</t>
  </si>
  <si>
    <t>پریسا اعتمادمنش</t>
  </si>
  <si>
    <t>فاطمه موسوی</t>
  </si>
  <si>
    <t>مریم رحمانی</t>
  </si>
  <si>
    <t>ناهید کمالی گروی</t>
  </si>
  <si>
    <t>الهام صمدی</t>
  </si>
  <si>
    <t>کوثر مولایی</t>
  </si>
  <si>
    <t>زهرا تاتاری</t>
  </si>
  <si>
    <t>یگانه رجایی سمرا</t>
  </si>
  <si>
    <t>یگانه خرمند سنجدبوری</t>
  </si>
  <si>
    <t>کوثر فارقی</t>
  </si>
  <si>
    <t>ریحانه نجفی</t>
  </si>
  <si>
    <t>نادیا احمدی</t>
  </si>
  <si>
    <t>پری زارع</t>
  </si>
  <si>
    <t>ملبکا نماز</t>
  </si>
  <si>
    <t>مهدبار نماز</t>
  </si>
  <si>
    <t>محمدرضا سروری</t>
  </si>
  <si>
    <t>کمیل سروری</t>
  </si>
  <si>
    <t>مبینا عباسی</t>
  </si>
  <si>
    <t>1385/05/06</t>
  </si>
  <si>
    <t>1386/05/13</t>
  </si>
  <si>
    <t>1386/01/04</t>
  </si>
  <si>
    <t>1386/05/30</t>
  </si>
  <si>
    <t>1386/01/18</t>
  </si>
  <si>
    <t>1385/06/28</t>
  </si>
  <si>
    <t>1384/02/04</t>
  </si>
  <si>
    <t>1383/09/14</t>
  </si>
  <si>
    <t>1385/09/18</t>
  </si>
  <si>
    <t>1385/02/06</t>
  </si>
  <si>
    <t>1385/12/15</t>
  </si>
  <si>
    <t>1384/10/21</t>
  </si>
  <si>
    <t>1385/11/02</t>
  </si>
  <si>
    <t>1384/09/09</t>
  </si>
  <si>
    <t>1395/03/29</t>
  </si>
  <si>
    <t>1390/09/24</t>
  </si>
  <si>
    <t>محل تولد</t>
  </si>
  <si>
    <t>مشهد</t>
  </si>
  <si>
    <t>افغانستان</t>
  </si>
  <si>
    <t>تهران</t>
  </si>
  <si>
    <t>شیروان</t>
  </si>
  <si>
    <t>تربت حیدریه</t>
  </si>
  <si>
    <t>نام پدر</t>
  </si>
  <si>
    <t>عبدالحکیم</t>
  </si>
  <si>
    <t>علی اکبر</t>
  </si>
  <si>
    <t>مجتبی</t>
  </si>
  <si>
    <t>حسین</t>
  </si>
  <si>
    <t>محمدرضا</t>
  </si>
  <si>
    <t>محمد</t>
  </si>
  <si>
    <t>میرحسین</t>
  </si>
  <si>
    <t>نعمت الله</t>
  </si>
  <si>
    <t>مهدی</t>
  </si>
  <si>
    <t>حسين</t>
  </si>
  <si>
    <t>سید حسين</t>
  </si>
  <si>
    <t>احمد</t>
  </si>
  <si>
    <t>غلامعلی</t>
  </si>
  <si>
    <t>جواد</t>
  </si>
  <si>
    <t>نام مادر</t>
  </si>
  <si>
    <t>آمنه قابمی</t>
  </si>
  <si>
    <t>فرزانه صدیقی</t>
  </si>
  <si>
    <t>عصمت قربانی</t>
  </si>
  <si>
    <t>زهرا مختاری</t>
  </si>
  <si>
    <t>-</t>
  </si>
  <si>
    <t>مرجان عمرانی</t>
  </si>
  <si>
    <t>جنسیت</t>
  </si>
  <si>
    <t>پسر</t>
  </si>
  <si>
    <t>شماره ملی / شماره شناسنامه</t>
  </si>
  <si>
    <t>0927335204-</t>
  </si>
  <si>
    <t>0928394174-</t>
  </si>
  <si>
    <t>0025909738-</t>
  </si>
  <si>
    <t>0928551113-</t>
  </si>
  <si>
    <t>0927912678-</t>
  </si>
  <si>
    <t>0928729826-</t>
  </si>
  <si>
    <t>0950047384-</t>
  </si>
  <si>
    <t>0929731451-</t>
  </si>
  <si>
    <t>0820611743-</t>
  </si>
  <si>
    <t>0970439210-</t>
  </si>
  <si>
    <t>معرف</t>
  </si>
  <si>
    <t>مدرسه حضرت خدیجه</t>
  </si>
  <si>
    <t>مدرسه آرمیتا مصلی نژاد- ناحیه تباتکان</t>
  </si>
  <si>
    <t>دبیرستان شاهد</t>
  </si>
  <si>
    <t>خانم سمییعی</t>
  </si>
  <si>
    <t>دبیرستان رستگارمقدم</t>
  </si>
  <si>
    <t>دبیرستان خدیجه</t>
  </si>
  <si>
    <t>مسعود خازنی</t>
  </si>
  <si>
    <t>خانم اورلی</t>
  </si>
  <si>
    <t>تاریخ شروع خدمات</t>
  </si>
  <si>
    <t>آدرس محل سکونت</t>
  </si>
  <si>
    <t>رسالت 136- خیابان امام خمینی- امام خمینی 2 پلاک 36</t>
  </si>
  <si>
    <t>رسالت 136- خیابان امام خمینی- امام خمینی 21- شهریار 4- پلاک 27</t>
  </si>
  <si>
    <t>رسالت 136- خیابان امام خمینی- امام خمینی 3- رخش بهار 8- پلاک 37</t>
  </si>
  <si>
    <t>رسالت 136- خیابان امام خمینی- امام خمینی 12- پلاک 6</t>
  </si>
  <si>
    <t>رسالت 134- خیابان شهید غلامی-کنار مسجد سیداشهدا</t>
  </si>
  <si>
    <t>توس 33- شکری 2- وسط کوچه- سمت راست- منزل نیمه کاره</t>
  </si>
  <si>
    <t>کشمیری 36- بعد از چهارراه اول پلاک 39</t>
  </si>
  <si>
    <t>رسالت 120- رجایی 6- پلاک 45</t>
  </si>
  <si>
    <t>غلامی 18- پلاک 21</t>
  </si>
  <si>
    <t>توس 97- الزهرا 10- ... 17- پلاک 38</t>
  </si>
  <si>
    <t>تربت حیدریه - روستای قلعه حسن خان</t>
  </si>
  <si>
    <t>توس 43 - غلامی 6- رادمرد 7 - انتهای کوچه سمت راست</t>
  </si>
  <si>
    <t>حر 13- کوچه 54- سردرب منزل(دعای کمیل)</t>
  </si>
  <si>
    <t>پنجتن 3- سلمان 6- پلاک 43</t>
  </si>
  <si>
    <t>حر 56</t>
  </si>
  <si>
    <t>رسالت 71 - درب قهوه ای - پلاک 23</t>
  </si>
  <si>
    <t>چهارراه مقدم - پروین اعتصامی 8- سلیمانی منش 10- پلاک 405</t>
  </si>
  <si>
    <t>کد پستی محل سکونت :</t>
  </si>
  <si>
    <t>معرفی توسط :</t>
  </si>
  <si>
    <t>خانم توکلی</t>
  </si>
  <si>
    <t>خانم ارمغان</t>
  </si>
  <si>
    <t>آقای نقیبی</t>
  </si>
  <si>
    <t>9228665372- 09357415452-09302849676</t>
  </si>
  <si>
    <t>9229983735- 09017614576-09157171782-09333752599</t>
  </si>
  <si>
    <t>03978969874-</t>
  </si>
  <si>
    <t>09380617293-09397976616-09057403341</t>
  </si>
  <si>
    <t>09152067310-09908878616</t>
  </si>
  <si>
    <t>09150090658-09156484356-09159095701</t>
  </si>
  <si>
    <t>09053110021-09398957719</t>
  </si>
  <si>
    <t>09945192457-0998177165</t>
  </si>
  <si>
    <t>09397686036-09353218951</t>
  </si>
  <si>
    <t>09046651101-09156286174</t>
  </si>
  <si>
    <t>09305985396-09360554032-09300610960</t>
  </si>
  <si>
    <t>09352584850-09156019826-09152548041</t>
  </si>
  <si>
    <t>09915317983-09352523868</t>
  </si>
  <si>
    <t>09159140096-09945583303</t>
  </si>
  <si>
    <t>09051762599-</t>
  </si>
  <si>
    <t xml:space="preserve">مقطع تحصیلی : </t>
  </si>
  <si>
    <t>دبیرستان سال یازدهم</t>
  </si>
  <si>
    <t>دبیرستان سال دهم</t>
  </si>
  <si>
    <t>دبیرستان سال دوازدهم</t>
  </si>
  <si>
    <t>دبستان کلاس اول</t>
  </si>
  <si>
    <t>دبستان کلاس پنجم</t>
  </si>
  <si>
    <t>دبستان کلاس چهارم</t>
  </si>
  <si>
    <t>ریاضی</t>
  </si>
  <si>
    <t>انسانی</t>
  </si>
  <si>
    <t>تجربی</t>
  </si>
  <si>
    <t xml:space="preserve">معدل : </t>
  </si>
  <si>
    <t>18/22</t>
  </si>
  <si>
    <t>19/62</t>
  </si>
  <si>
    <t>19/48</t>
  </si>
  <si>
    <t>19/24</t>
  </si>
  <si>
    <t>19/05</t>
  </si>
  <si>
    <t>17/99</t>
  </si>
  <si>
    <t>18/99</t>
  </si>
  <si>
    <t>18/68</t>
  </si>
  <si>
    <t>18/74</t>
  </si>
  <si>
    <t>18/47</t>
  </si>
  <si>
    <t>19/88</t>
  </si>
  <si>
    <t>18/10</t>
  </si>
  <si>
    <t>18/55</t>
  </si>
  <si>
    <t>19/02</t>
  </si>
  <si>
    <t>19/83</t>
  </si>
  <si>
    <t>خیلی خوب</t>
  </si>
  <si>
    <t>آدرس  محل تحصیل:</t>
  </si>
  <si>
    <t>مدرسه حضرت خدیجه- ناحیه تباتکان</t>
  </si>
  <si>
    <t>دبیرستان نرجس دولت آباد</t>
  </si>
  <si>
    <t>دبیرستان رستگار مقدم</t>
  </si>
  <si>
    <t>مدرسه بعثت</t>
  </si>
  <si>
    <t>مدرسه بهادرزاده</t>
  </si>
  <si>
    <t>تلفن محل تحصیل:</t>
  </si>
  <si>
    <t>زبان انگلیسی و کره ای</t>
  </si>
  <si>
    <t>کارآفرینی</t>
  </si>
  <si>
    <t>علاقمند به دبیری</t>
  </si>
  <si>
    <t>تحصیل در دانشگاه فرهنگیان</t>
  </si>
  <si>
    <t>علاقمند به رشته پزشکی</t>
  </si>
  <si>
    <t>علاقمند به رشته مهندسی کامپیوتر</t>
  </si>
  <si>
    <t>علاقمند به رشته وکالت</t>
  </si>
  <si>
    <t xml:space="preserve">علاقمند به </t>
  </si>
  <si>
    <t>علاقمند به پزشکی</t>
  </si>
  <si>
    <t>علاقمندی ندارد</t>
  </si>
  <si>
    <t>علاقمندی به پزشکی</t>
  </si>
  <si>
    <t>علاقمندی به گرافیک</t>
  </si>
  <si>
    <t>1401/06/15</t>
  </si>
  <si>
    <t>افسردگی و ناامیدی شدید</t>
  </si>
  <si>
    <t>توضیحات بیماری:</t>
  </si>
  <si>
    <t>ندارد</t>
  </si>
  <si>
    <t>افسردگی شدید</t>
  </si>
  <si>
    <t>دندانهایش توسط دکتر محسنیان عصب کشی گردید</t>
  </si>
  <si>
    <t>توضیحات آزمایش یا چکاپ :</t>
  </si>
  <si>
    <t>نیاز به خدمات خاصی</t>
  </si>
  <si>
    <t>در درس ریاضی احتیاج به کمک دارد.</t>
  </si>
  <si>
    <t>کتابهای کمک آموزشی لازم دارد</t>
  </si>
  <si>
    <t>سمعک لازم دارد</t>
  </si>
  <si>
    <t>توضیحات خدمات :</t>
  </si>
  <si>
    <t>نداد</t>
  </si>
  <si>
    <t>‍‍</t>
  </si>
  <si>
    <t>ردیف</t>
  </si>
  <si>
    <t>kkkk</t>
  </si>
  <si>
    <t>Column1</t>
  </si>
  <si>
    <t>کد</t>
  </si>
  <si>
    <t>نام ونام خانوادگی</t>
  </si>
  <si>
    <t>شرح هزینه</t>
  </si>
  <si>
    <t>تاریخ  هزینه</t>
  </si>
  <si>
    <t>شماره فیش</t>
  </si>
  <si>
    <t>مبلغ هزینه کرد</t>
  </si>
  <si>
    <t>1401/03/25</t>
  </si>
  <si>
    <t>1401/03/28</t>
  </si>
  <si>
    <t>خرید لباس فرم مدرسه</t>
  </si>
  <si>
    <t>1401/04/01</t>
  </si>
  <si>
    <t xml:space="preserve">خرید لباس فرم مدرسه </t>
  </si>
  <si>
    <t xml:space="preserve"> ثبت نام مدرسه</t>
  </si>
  <si>
    <t>کارمزد پیامک بانک</t>
  </si>
  <si>
    <t>1401/04/07</t>
  </si>
  <si>
    <t>خرید شیرینی برای بازدید از منازل</t>
  </si>
  <si>
    <t>1401/05/10</t>
  </si>
  <si>
    <t>خرید پنکه پایه دار</t>
  </si>
  <si>
    <t>1401/05/12</t>
  </si>
  <si>
    <t>هزینه پیک موتوری</t>
  </si>
  <si>
    <t xml:space="preserve">هزینه خرید گوشت و مرغ </t>
  </si>
  <si>
    <t>هزینه تعمیر گازمدرسه رستگار مقدم</t>
  </si>
  <si>
    <t>1401/06/14</t>
  </si>
  <si>
    <t>هزینه خرید گل آرمین متقی(توسط فرید برهان علمی)</t>
  </si>
  <si>
    <t>1401/06/12</t>
  </si>
  <si>
    <t>بابت پرینت تراکنشهای بانکی</t>
  </si>
  <si>
    <t>هزینه ثبت نام مدرسه مصلی نژاد</t>
  </si>
  <si>
    <t>1401/06/17</t>
  </si>
  <si>
    <t>خرید آذوقه برای 5 خانواده از مددجوها</t>
  </si>
  <si>
    <t>1401/06/23</t>
  </si>
  <si>
    <t>هزینه کرایه وانت جهت حمل به انبار(توسط بهنام بهرمن)</t>
  </si>
  <si>
    <t>1401/05/15</t>
  </si>
  <si>
    <t>تسویه هزینه تعمیر گازمدرسه رستگار مقدم</t>
  </si>
  <si>
    <t>خریدلوازم تحریر کودکان خیریه مهبد(ضرابی)</t>
  </si>
  <si>
    <t>خریدلوازم تحریر کودکان</t>
  </si>
  <si>
    <t>خرید کوله پشتی بچه ها</t>
  </si>
  <si>
    <t>سرویس ماشین لباسشویی مدرسه رستگارمقدم</t>
  </si>
  <si>
    <t>1401/06/24</t>
  </si>
  <si>
    <t xml:space="preserve">خرید کفش </t>
  </si>
  <si>
    <t>1401/06/29</t>
  </si>
  <si>
    <t>هزینه تعمیر جاروبرقی مدرسه رستگار مقدم(از کارت خودم پرداخت کرده بودم و جابجا کردم)</t>
  </si>
  <si>
    <t>1401/06/30</t>
  </si>
  <si>
    <t>خرید کارت تبریک و ....</t>
  </si>
  <si>
    <t>خرید لوازم التحریر برای خواهرش</t>
  </si>
  <si>
    <t>1401/06/31</t>
  </si>
  <si>
    <t>1401/07/02</t>
  </si>
  <si>
    <t xml:space="preserve">هزینه شنوایی سنجی </t>
  </si>
  <si>
    <t>1401/07/04</t>
  </si>
  <si>
    <t xml:space="preserve">الباقی هزینه شنوایی سنجی </t>
  </si>
  <si>
    <t>دارو</t>
  </si>
  <si>
    <t>هزینه مشاور تحصیلی آقای سرگلزایی</t>
  </si>
  <si>
    <t>1401/07/07</t>
  </si>
  <si>
    <t xml:space="preserve">خرید پاسخ برگ </t>
  </si>
  <si>
    <t>هزینه کلاس کنکور</t>
  </si>
  <si>
    <t>1401/07/11</t>
  </si>
  <si>
    <t>واریز بابت مابع التفاوت کلاس کنکور به کارت مادرش</t>
  </si>
  <si>
    <t>هزینه کتاب کمک درسی</t>
  </si>
  <si>
    <t>هزینه ایاب و ذهاب کلاس کنکور</t>
  </si>
  <si>
    <t>کتابهای کمک درسی</t>
  </si>
  <si>
    <t>1401/07/13</t>
  </si>
  <si>
    <t>کتابهای کمک درسی متعلق به خانم اورلی</t>
  </si>
  <si>
    <t>هزینه رادیولوژی دندان</t>
  </si>
  <si>
    <t>1401/07/10</t>
  </si>
  <si>
    <t>واریز بدهی خانم اورلی به بنیاد</t>
  </si>
  <si>
    <t>خرید لباس فرم مدرسه(به حساب پدرش واریز شد)</t>
  </si>
  <si>
    <t>1401/07/19</t>
  </si>
  <si>
    <t>هزینه ایاب و ذهاب به دندان پزشکی</t>
  </si>
  <si>
    <t>1401/07/21</t>
  </si>
  <si>
    <t>هزینه کتاب کمک درسی مدرسه خدیجه</t>
  </si>
  <si>
    <t>1401/07/22</t>
  </si>
  <si>
    <t xml:space="preserve">هزینه کتاب کمک درسی </t>
  </si>
  <si>
    <t>1401/07/26</t>
  </si>
  <si>
    <t>1401/08/04</t>
  </si>
  <si>
    <t>1401/08/09</t>
  </si>
  <si>
    <t>هزینه انتقال پول به کارتهای فروشگاهها</t>
  </si>
  <si>
    <t>1401/08/14</t>
  </si>
  <si>
    <t>1401/08/15</t>
  </si>
  <si>
    <t>ایاب و ذهاب به مدرسه</t>
  </si>
  <si>
    <t>1401/08/16</t>
  </si>
  <si>
    <t xml:space="preserve">هزینه کتاب متفرقه </t>
  </si>
  <si>
    <t>1401/08/19</t>
  </si>
  <si>
    <t>هزینه نهار(از کارت فریدبرهان علمی)</t>
  </si>
  <si>
    <t>1401/08/20</t>
  </si>
  <si>
    <t>1401/08/21</t>
  </si>
  <si>
    <t>هزینه کارگر روزمزد جهت مرتب کردن انبار(از کارت فریدبرهان علمی)</t>
  </si>
  <si>
    <t>1401/08/13</t>
  </si>
  <si>
    <t>فتوکپی</t>
  </si>
  <si>
    <t>1401/08/24</t>
  </si>
  <si>
    <t>هزینه شنوایی سنجی محمدطاها حسینی</t>
  </si>
  <si>
    <t>هزینه شنوایی سنجی عدنان ریگی</t>
  </si>
  <si>
    <t>قطره گوش عدنان ریگی (از کارت فریدبرهان علمی)</t>
  </si>
  <si>
    <t>هزینه بانکداری</t>
  </si>
  <si>
    <t>هزینه شنوایی سنجی کمند کامرانی(مدرسه رستگار)</t>
  </si>
  <si>
    <t>1401/09/03</t>
  </si>
  <si>
    <t>هزینه کتاب کمک درسی مدرسه خدیجه(به توصیه خانم قوامی مشاور تحصیلی)</t>
  </si>
  <si>
    <t>1401/09/09</t>
  </si>
  <si>
    <t xml:space="preserve">هزینه کتاب نجوم </t>
  </si>
  <si>
    <t>هزینه ثبت نام مدرسه مصلی نژاد و کلاس تقویتی</t>
  </si>
  <si>
    <t>1401/08/25</t>
  </si>
  <si>
    <t>هزینه شنوایی سنجی نیایش موسوی</t>
  </si>
  <si>
    <t>1401/08/30</t>
  </si>
  <si>
    <t>کمک به بابای مدرسه خدیجه</t>
  </si>
  <si>
    <t>جمع کل</t>
  </si>
  <si>
    <t>کل مانده</t>
  </si>
  <si>
    <t>نام و نام خانوادگی</t>
  </si>
  <si>
    <t>`</t>
  </si>
  <si>
    <t>نام</t>
  </si>
  <si>
    <t>نام خانوادگی</t>
  </si>
  <si>
    <t>تاریخ  واریزی</t>
  </si>
  <si>
    <t>شماره کارت</t>
  </si>
  <si>
    <t>ماه</t>
  </si>
  <si>
    <t>Column2</t>
  </si>
  <si>
    <t>سال</t>
  </si>
  <si>
    <t>مبلغ واریزی</t>
  </si>
  <si>
    <t>توضیحات ‍‍‍‍</t>
  </si>
  <si>
    <t>ok</t>
  </si>
  <si>
    <t>اکبر</t>
  </si>
  <si>
    <t>قدس روحانی</t>
  </si>
  <si>
    <t>1401/03/21</t>
  </si>
  <si>
    <t>خرداد</t>
  </si>
  <si>
    <t>فروردین</t>
  </si>
  <si>
    <t xml:space="preserve">بهنام </t>
  </si>
  <si>
    <t>بهرمن</t>
  </si>
  <si>
    <t>1401/03/23</t>
  </si>
  <si>
    <t>خاتم عطیه نادری</t>
  </si>
  <si>
    <t>اردیبهشت</t>
  </si>
  <si>
    <t>فرید</t>
  </si>
  <si>
    <t>برهان علمی</t>
  </si>
  <si>
    <t>فرهنگ</t>
  </si>
  <si>
    <t>بهلول</t>
  </si>
  <si>
    <t>1401/03/24</t>
  </si>
  <si>
    <t>تیر</t>
  </si>
  <si>
    <t>مسعود</t>
  </si>
  <si>
    <t>مهدیزاده</t>
  </si>
  <si>
    <t>مرداد</t>
  </si>
  <si>
    <t>صنوبری</t>
  </si>
  <si>
    <t>شهریور</t>
  </si>
  <si>
    <t xml:space="preserve">احسان </t>
  </si>
  <si>
    <t>خدیوی</t>
  </si>
  <si>
    <t>مهر</t>
  </si>
  <si>
    <t>داوود</t>
  </si>
  <si>
    <t>بامیری</t>
  </si>
  <si>
    <t>آبان</t>
  </si>
  <si>
    <t xml:space="preserve">مجتبی </t>
  </si>
  <si>
    <t>حسن آبادی</t>
  </si>
  <si>
    <t>آذر</t>
  </si>
  <si>
    <t xml:space="preserve">فرزاد </t>
  </si>
  <si>
    <t>فرشید</t>
  </si>
  <si>
    <t>1401/03/26</t>
  </si>
  <si>
    <t>-------</t>
  </si>
  <si>
    <t>دی</t>
  </si>
  <si>
    <t>رضا</t>
  </si>
  <si>
    <t>حسینی</t>
  </si>
  <si>
    <t>بهمن</t>
  </si>
  <si>
    <t xml:space="preserve">محمد </t>
  </si>
  <si>
    <t>رکن</t>
  </si>
  <si>
    <t>اسفند</t>
  </si>
  <si>
    <t>معدنی</t>
  </si>
  <si>
    <t>گل واریزی یک میلیون تومن برای 4 ماه</t>
  </si>
  <si>
    <t>زرنگیان</t>
  </si>
  <si>
    <t>حمید</t>
  </si>
  <si>
    <t>قربانی</t>
  </si>
  <si>
    <t>صاحبکار</t>
  </si>
  <si>
    <t>1401/03/29</t>
  </si>
  <si>
    <t>حمیدرضا</t>
  </si>
  <si>
    <t>شکوهی زاده</t>
  </si>
  <si>
    <t>آرش</t>
  </si>
  <si>
    <t>رجب پور</t>
  </si>
  <si>
    <t>کهلایی</t>
  </si>
  <si>
    <t>--------------</t>
  </si>
  <si>
    <t>برجسته</t>
  </si>
  <si>
    <t>1401/03/30</t>
  </si>
  <si>
    <t>واریز دوم</t>
  </si>
  <si>
    <t>موسوی</t>
  </si>
  <si>
    <t>1401/03/31</t>
  </si>
  <si>
    <t>عطا</t>
  </si>
  <si>
    <t>امیدوار</t>
  </si>
  <si>
    <t>علی</t>
  </si>
  <si>
    <t>مولایی</t>
  </si>
  <si>
    <t>سود</t>
  </si>
  <si>
    <t>بانکی</t>
  </si>
  <si>
    <t>----------------</t>
  </si>
  <si>
    <t>تولیت</t>
  </si>
  <si>
    <t>1401/04/30</t>
  </si>
  <si>
    <t>اصل واریزی 3/2 میلیون بوده که برای مرداد و تیر لحاظ شده است</t>
  </si>
  <si>
    <t>1401/04/06</t>
  </si>
  <si>
    <t/>
  </si>
  <si>
    <t>جعفری آزاد</t>
  </si>
  <si>
    <t xml:space="preserve"> </t>
  </si>
  <si>
    <t>محمد رضا</t>
  </si>
  <si>
    <t>پوررضایی</t>
  </si>
  <si>
    <t>پرواز</t>
  </si>
  <si>
    <t>1401/04/08</t>
  </si>
  <si>
    <t>1401/04/10</t>
  </si>
  <si>
    <t>1401/04/18</t>
  </si>
  <si>
    <t>عفت هروی(بهرمن)</t>
  </si>
  <si>
    <t>1401/04/14</t>
  </si>
  <si>
    <t>1401/04/16</t>
  </si>
  <si>
    <t>1401/04/19</t>
  </si>
  <si>
    <t>1401/04/21</t>
  </si>
  <si>
    <t>مهندس</t>
  </si>
  <si>
    <t>میربلوک</t>
  </si>
  <si>
    <t>عماد</t>
  </si>
  <si>
    <t>احتشام</t>
  </si>
  <si>
    <t>1401/04/23</t>
  </si>
  <si>
    <t>(900+100)</t>
  </si>
  <si>
    <t>مادر</t>
  </si>
  <si>
    <t>مهدی صنوبری</t>
  </si>
  <si>
    <t>1401/04/24</t>
  </si>
  <si>
    <t>خانم</t>
  </si>
  <si>
    <t>امین آقایی</t>
  </si>
  <si>
    <t>1401/04/25</t>
  </si>
  <si>
    <t>عطیه نادری</t>
  </si>
  <si>
    <t>دکتر</t>
  </si>
  <si>
    <t>صفایی</t>
  </si>
  <si>
    <t>1401/04/27</t>
  </si>
  <si>
    <t>1401/04/29</t>
  </si>
  <si>
    <t>فرخ</t>
  </si>
  <si>
    <t>قزلی</t>
  </si>
  <si>
    <t>1401/05/01</t>
  </si>
  <si>
    <t>از کارت فرزاد واریز شده است</t>
  </si>
  <si>
    <t>6219861902605756</t>
  </si>
  <si>
    <t>1401/07/27</t>
  </si>
  <si>
    <t>1401/06/01</t>
  </si>
  <si>
    <t>اصل فیش 3 میلیون بوده که 1/5 میلیون برای مرداد و تیر لحاظ شده</t>
  </si>
  <si>
    <t>1401/04/22</t>
  </si>
  <si>
    <t>6037997248149008</t>
  </si>
  <si>
    <t>6104338944218458</t>
  </si>
  <si>
    <t>5022291304273111</t>
  </si>
  <si>
    <t>1401/05/06</t>
  </si>
  <si>
    <t>6063731028949882</t>
  </si>
  <si>
    <t>امیر</t>
  </si>
  <si>
    <t>آقازاده</t>
  </si>
  <si>
    <t>1401/05/07</t>
  </si>
  <si>
    <t>6219861024434416</t>
  </si>
  <si>
    <t>1401/05/11</t>
  </si>
  <si>
    <t>6037991947370221</t>
  </si>
  <si>
    <t>6037997170998604</t>
  </si>
  <si>
    <t>1401/05/14</t>
  </si>
  <si>
    <t>6104338934864444</t>
  </si>
  <si>
    <t>بهرام</t>
  </si>
  <si>
    <t>هجرانی</t>
  </si>
  <si>
    <t>1401/05/18</t>
  </si>
  <si>
    <t>6362141126305029</t>
  </si>
  <si>
    <t>فیش واریزی 6 میلیون بوده که  برای ماههای مرداد و شهریور و مهر می باشد.</t>
  </si>
  <si>
    <t>علیرضا</t>
  </si>
  <si>
    <t>اعتضادی</t>
  </si>
  <si>
    <t>1401/05/17</t>
  </si>
  <si>
    <t>فیش واریزی 1 میلیون بوده که  برای ماههای شهریور و مرداد می باشد.</t>
  </si>
  <si>
    <t>بابت کرایه وانت  حمل اجناس به انبار خیریه</t>
  </si>
  <si>
    <t>1401/05/22</t>
  </si>
  <si>
    <t>1401/05/21</t>
  </si>
  <si>
    <t>6037691526531223</t>
  </si>
  <si>
    <t>احسان</t>
  </si>
  <si>
    <t>مهاجری</t>
  </si>
  <si>
    <t>6037697561226116</t>
  </si>
  <si>
    <t>6104337871897409</t>
  </si>
  <si>
    <t>1401/05/23</t>
  </si>
  <si>
    <t>5022291026904175</t>
  </si>
  <si>
    <t>نازنین</t>
  </si>
  <si>
    <t>سیستار</t>
  </si>
  <si>
    <t>1401/05/24</t>
  </si>
  <si>
    <t>1401/05/25</t>
  </si>
  <si>
    <t>1401/05/27</t>
  </si>
  <si>
    <t>5054161011779166</t>
  </si>
  <si>
    <t>1401/05/28</t>
  </si>
  <si>
    <t>1401/05/29</t>
  </si>
  <si>
    <t>1401/05/31</t>
  </si>
  <si>
    <t>5029081026862942</t>
  </si>
  <si>
    <t>مبین</t>
  </si>
  <si>
    <t>ایمانیان</t>
  </si>
  <si>
    <t>1401/06/04</t>
  </si>
  <si>
    <t>6037701530883187</t>
  </si>
  <si>
    <t>بابت تاج گل مسجد آرمین متقی</t>
  </si>
  <si>
    <t>6037697647873782</t>
  </si>
  <si>
    <t>1401/06/07</t>
  </si>
  <si>
    <t>5022291029404082</t>
  </si>
  <si>
    <t>-----------</t>
  </si>
  <si>
    <t>1401/05/03</t>
  </si>
  <si>
    <t>1401/06/21</t>
  </si>
  <si>
    <t>5022291500410806</t>
  </si>
  <si>
    <t>1401/06/02</t>
  </si>
  <si>
    <t>1401/06/03</t>
  </si>
  <si>
    <t>1401/06/05</t>
  </si>
  <si>
    <t>1401/06/08</t>
  </si>
  <si>
    <t>امینی</t>
  </si>
  <si>
    <t>1401/06/13</t>
  </si>
  <si>
    <t>بابک</t>
  </si>
  <si>
    <t>امیری</t>
  </si>
  <si>
    <t>50 دلار کانادا که به حساب فرید برهان علمی واریز کرده و من باید به حساب واریز کنم(11,500,000)</t>
  </si>
  <si>
    <t>پوستی</t>
  </si>
  <si>
    <t>1401/06/16</t>
  </si>
  <si>
    <t>شایا</t>
  </si>
  <si>
    <t>شاهرضایی</t>
  </si>
  <si>
    <t>محرابی</t>
  </si>
  <si>
    <t>589463*****8954</t>
  </si>
  <si>
    <t>فرزاد واریز  کرد(اصل واریزی 2 میلیون بوده که برای مهر و شهریور لحاظ شده است.)</t>
  </si>
  <si>
    <t>1401/06/20</t>
  </si>
  <si>
    <t>دوست</t>
  </si>
  <si>
    <t>خانم فرشید</t>
  </si>
  <si>
    <t>1401/06/25</t>
  </si>
  <si>
    <t>--</t>
  </si>
  <si>
    <t>دانشمند</t>
  </si>
  <si>
    <t>1401/06/26</t>
  </si>
  <si>
    <t>1401/06/27</t>
  </si>
  <si>
    <t>اصل فیش 1 میلیون بوده که 500 هزار برای شهریور و 500 هزار برای گلریزان لحاظ شده</t>
  </si>
  <si>
    <t>اصل فیش 2 میلیون بوده که 1 میلیون برای شهریور و 1 میلیون برای گلریزان لحاظ شده</t>
  </si>
  <si>
    <t xml:space="preserve">علی </t>
  </si>
  <si>
    <t>کارآموز</t>
  </si>
  <si>
    <t>خیر ناشناس؟؟؟؟</t>
  </si>
  <si>
    <t>1401/06/22</t>
  </si>
  <si>
    <t>1401/07/06</t>
  </si>
  <si>
    <t>1401/07/01</t>
  </si>
  <si>
    <t>1401/07/05</t>
  </si>
  <si>
    <t>1401/07/12</t>
  </si>
  <si>
    <t>نوید</t>
  </si>
  <si>
    <t>محراب زاده</t>
  </si>
  <si>
    <t>1401/07/14</t>
  </si>
  <si>
    <t>-----------------</t>
  </si>
  <si>
    <t>50 دلار کانادا که به حساب فرید برهان علمی واریز کرده و من باید به حساب واریز کنم(12,250,000)</t>
  </si>
  <si>
    <t>1401/07/28</t>
  </si>
  <si>
    <t>شاه حسینی</t>
  </si>
  <si>
    <t>1401/07/30</t>
  </si>
  <si>
    <t>1401/08/02</t>
  </si>
  <si>
    <t>6037697598049572</t>
  </si>
  <si>
    <t>اصل فیش 1 میلیون بوده که 500 هزار برای مهرو 500 هزار برای آبان لحاظ شده</t>
  </si>
  <si>
    <t>1401/08/03</t>
  </si>
  <si>
    <t>فیروزه</t>
  </si>
  <si>
    <t>آقای</t>
  </si>
  <si>
    <t>تجددیان</t>
  </si>
  <si>
    <t>گلریزان</t>
  </si>
  <si>
    <t>قدسی</t>
  </si>
  <si>
    <t>پناهی نژاد</t>
  </si>
  <si>
    <t>داراب منش</t>
  </si>
  <si>
    <t>1401/08/05</t>
  </si>
  <si>
    <t>زمانی سقازاده</t>
  </si>
  <si>
    <t>1401/07/29</t>
  </si>
  <si>
    <t>1401/07/20</t>
  </si>
  <si>
    <t>1401/08/18</t>
  </si>
  <si>
    <t>فیش واریزی 1 میلیون بوده که  برای ماههای مهر و آبان می باشد.</t>
  </si>
  <si>
    <t>1401/08/28</t>
  </si>
  <si>
    <t>1401/08/27</t>
  </si>
  <si>
    <t>6219861052116018</t>
  </si>
  <si>
    <t>گل واریزی یک میلیون و پانصد هزارتومن برای 6 ماه</t>
  </si>
  <si>
    <t>6219861917039199</t>
  </si>
  <si>
    <t>1401/09/02</t>
  </si>
  <si>
    <t>5022291044919304</t>
  </si>
  <si>
    <t>1401/08/01</t>
  </si>
  <si>
    <t>1401/08/08</t>
  </si>
  <si>
    <t>1401/08/12</t>
  </si>
  <si>
    <t>--------------------</t>
  </si>
  <si>
    <t>6104337849315005</t>
  </si>
  <si>
    <t>مجید</t>
  </si>
  <si>
    <t>عظیمی</t>
  </si>
  <si>
    <t>6037691525113759</t>
  </si>
  <si>
    <t>میمندی</t>
  </si>
  <si>
    <t>6037997582756426</t>
  </si>
  <si>
    <t>1401/08/22</t>
  </si>
  <si>
    <t>5057851003297345</t>
  </si>
  <si>
    <t>محمود</t>
  </si>
  <si>
    <t>زارعیان</t>
  </si>
  <si>
    <t>6037997228805629</t>
  </si>
  <si>
    <t>اکبرزاده</t>
  </si>
  <si>
    <t>6037997164591035</t>
  </si>
  <si>
    <t>هزینه انجام شده بابت کارگر روزمزد جهت تمیز کردن و مرتب کردن انبار</t>
  </si>
  <si>
    <t>هزینه انجام شده بابت نهار ریحانه نوری</t>
  </si>
  <si>
    <t>هزینه انجام شده بابت  قطره گوش عدنان ریگی</t>
  </si>
  <si>
    <t>1401/09/07</t>
  </si>
  <si>
    <t>5041721093267111</t>
  </si>
  <si>
    <t>1401/09/01</t>
  </si>
  <si>
    <t>ماموریان</t>
  </si>
  <si>
    <t>1401/09/05</t>
  </si>
  <si>
    <t>6274121194079877</t>
  </si>
  <si>
    <t>1401/09/06</t>
  </si>
  <si>
    <t>افشین</t>
  </si>
  <si>
    <t>پاکزادنیا</t>
  </si>
  <si>
    <t>کل واریزی</t>
  </si>
  <si>
    <t>جمع کل واریزی</t>
  </si>
  <si>
    <t>جمع واریزی های ماهیانه</t>
  </si>
  <si>
    <t>کد خیر</t>
  </si>
  <si>
    <t>بنام خدا</t>
  </si>
  <si>
    <t>باسلام:</t>
  </si>
  <si>
    <t>خیر گرامی جناب آقای / خانم</t>
  </si>
  <si>
    <t>بدین وسیله به استحضار میرساند لیست رداختی جناب عالی به بنیاد نیکوکاری حکمت به شرح ذیل میباشد.</t>
  </si>
  <si>
    <t>جمع</t>
  </si>
  <si>
    <t>خلاصله کل هزینه ها و واریزی ها در سال جاری</t>
  </si>
  <si>
    <t>واریزی</t>
  </si>
  <si>
    <t>هزینه</t>
  </si>
  <si>
    <t>فرودین</t>
  </si>
  <si>
    <t xml:space="preserve">جمع کل </t>
  </si>
  <si>
    <t>واریز</t>
  </si>
  <si>
    <t>21/3/1401</t>
  </si>
  <si>
    <t>31/05/1401</t>
  </si>
  <si>
    <t>01/06/1401</t>
  </si>
  <si>
    <t>30/07/1401</t>
  </si>
  <si>
    <t>01/08/1401</t>
  </si>
  <si>
    <t>06/09/1401</t>
  </si>
  <si>
    <t>07/09/1401</t>
  </si>
  <si>
    <t>12/09/1401</t>
  </si>
  <si>
    <t>1401/09/12</t>
  </si>
  <si>
    <t>1401/04/17</t>
  </si>
  <si>
    <t>1401/04/31</t>
  </si>
  <si>
    <t>1401/05/02</t>
  </si>
  <si>
    <t xml:space="preserve">واریزیهای  </t>
  </si>
  <si>
    <t>متفرقه</t>
  </si>
  <si>
    <t>شهرام</t>
  </si>
  <si>
    <t>تجلیلی</t>
  </si>
  <si>
    <t>فرزاد فرشید</t>
  </si>
  <si>
    <t>فرید برهان علمی</t>
  </si>
  <si>
    <t>بهنام بهرمن</t>
  </si>
  <si>
    <t>محمد امینی</t>
  </si>
  <si>
    <t xml:space="preserve">نام </t>
  </si>
  <si>
    <t>نسبت</t>
  </si>
  <si>
    <t>کمک غیرنقدی</t>
  </si>
  <si>
    <t>NA</t>
  </si>
  <si>
    <t>کمک نقدی (ریال)</t>
  </si>
  <si>
    <t>انجام امور پیگری واریزها و هماهنگی جلسات</t>
  </si>
  <si>
    <t>شوهر خواهر</t>
  </si>
  <si>
    <t>اختصاص فضای دفتر جهت جلسات گروه اجرایی</t>
  </si>
  <si>
    <t>فیروزه فرشید</t>
  </si>
  <si>
    <t>خواهر</t>
  </si>
  <si>
    <t>مشارکت در وظایف گروه اجرایی به میزان سه روز در هفته</t>
  </si>
  <si>
    <t>آرش رجب پور</t>
  </si>
  <si>
    <t>محمد برجسته</t>
  </si>
  <si>
    <t>علی مولایی</t>
  </si>
  <si>
    <t>مهندس میربلوک</t>
  </si>
  <si>
    <t>خانم امین آقایی</t>
  </si>
  <si>
    <t>دکتر صفایی</t>
  </si>
  <si>
    <t>امیر آقازاده</t>
  </si>
  <si>
    <t>بهرام هجرانی</t>
  </si>
  <si>
    <t>50 دلار کانادا که به حساب فرید برهان علمی واریز کرده و من باید به حساب واریز کنم(13,800,000)</t>
  </si>
  <si>
    <t>50 دلار کانادا که به حساب فرید برهان علمی واریز کرده و من باید به حساب واریز کنم(13,625,000)</t>
  </si>
  <si>
    <t>1401/09/25</t>
  </si>
  <si>
    <t>بابت تسویه حساب تا تاریخ آخر آذرماه</t>
  </si>
  <si>
    <t>انجام کارهای اجرایی بنیاد به صورت تمام وقت، انجام کارهای حسابداری و...</t>
  </si>
  <si>
    <t>داوود بامیری</t>
  </si>
  <si>
    <t>محمدرضا پوررضایی</t>
  </si>
  <si>
    <t>در اختیار قراردادن امکانات مجموعه آرمیتاژ جهت کمک به کارهای مربوط به ساخت و ساز برای محرومان</t>
  </si>
  <si>
    <t>اهدای موردی کفش و لباس از برند 361</t>
  </si>
  <si>
    <t>نازنین سیستار</t>
  </si>
  <si>
    <t>فراهم آوردن امکان کارآموزی دختران تحت پوشش در شرکت دندانسازی</t>
  </si>
  <si>
    <t>فرخ قزلی</t>
  </si>
  <si>
    <t>1401/09/24</t>
  </si>
  <si>
    <t>رضا پوررضایی</t>
  </si>
  <si>
    <t>علاوه بر هدیه ماهیانه،پرداخت مبلغ 6 میلیون تومان ماهیانه جهت اجاره محل دفتر مرکز مشاوره کودکان و خانواده های نیازمند</t>
  </si>
  <si>
    <t>بابک امیری</t>
  </si>
  <si>
    <t>شایا شاهرضایی</t>
  </si>
  <si>
    <t>حمید محرابی</t>
  </si>
  <si>
    <t>افشین پاکزادنیا</t>
  </si>
  <si>
    <t>خیرین ناشناس</t>
  </si>
  <si>
    <t>اکبر روحانی</t>
  </si>
  <si>
    <t>انجام کارهای مربوط به ثبت بنیاد و سرکشی به یکی از دختران بنیاد در تربت</t>
  </si>
  <si>
    <t>مادر مهدی صنوبری</t>
  </si>
  <si>
    <t>مهدی تولیت</t>
  </si>
  <si>
    <t>اهدای ظروف چینی مربوط به آشپزخانه دبیرستان رستگارمقدم</t>
  </si>
  <si>
    <t>جمع کل:</t>
  </si>
  <si>
    <t>حمید آقاجانی</t>
  </si>
  <si>
    <t>_</t>
  </si>
  <si>
    <t>اهدای کابینتهای آشپزخانه دبیرستان رستگارمقدم</t>
  </si>
  <si>
    <t>E- Transfer</t>
  </si>
  <si>
    <t>1401/09/13</t>
  </si>
  <si>
    <t>صدیقی</t>
  </si>
  <si>
    <t>1401/09/15</t>
  </si>
  <si>
    <t>1401/09/16</t>
  </si>
  <si>
    <t>1401/09/19</t>
  </si>
  <si>
    <t>1401/09/20</t>
  </si>
  <si>
    <t>1401/09/21</t>
  </si>
  <si>
    <t xml:space="preserve">مجید </t>
  </si>
  <si>
    <t>فرهمند</t>
  </si>
  <si>
    <t>1401/09/22</t>
  </si>
  <si>
    <t>قاسمی</t>
  </si>
  <si>
    <t>محمدمهدی</t>
  </si>
  <si>
    <t>1401/09/23</t>
  </si>
  <si>
    <t>امینیان حیدری</t>
  </si>
  <si>
    <t>منیری</t>
  </si>
  <si>
    <t>زهرا</t>
  </si>
  <si>
    <t>عین علی</t>
  </si>
  <si>
    <t>1401/09/26</t>
  </si>
  <si>
    <t>بابت هزینه در مدارس مشهد و خراسان معرفی شده از طرف سیدمحمد هاشمی</t>
  </si>
  <si>
    <t>خرید دختر برنامه ریزی جهت دختران مدرسه خدیجه(به توصیه خانم قوامی مشاور تحصیلی)</t>
  </si>
  <si>
    <t>1401/09/11</t>
  </si>
  <si>
    <t>هزینه شام بچه های مدرسه رستگارمقدم در بازدید نجوم</t>
  </si>
  <si>
    <t>هزینه شنوایی سنجی دو فرزند سوختانلو</t>
  </si>
  <si>
    <t>هزینه شنوایی سنجی و ساخت قالب گوش سالاری</t>
  </si>
  <si>
    <t>هزینه رفت و آمد آقای محمد امینی</t>
  </si>
  <si>
    <t>هزینه کلاس کنکور آوا راشدی</t>
  </si>
  <si>
    <t>هزینه رفت و آمد  بچه های مدرسه رستگارمقدم در بازدید نجوم(به آقای رستمی)</t>
  </si>
  <si>
    <t>هزینه رفت و آمد خانم مهدیار</t>
  </si>
  <si>
    <t>هزینه شنوایی سنجی زرنوخی</t>
  </si>
  <si>
    <t>هزینه شنوایی سنجی مهشید حوری سالاری</t>
  </si>
  <si>
    <t>هزینه رفت و آمد ماههای آبان و آذر به مدرسه مصلی نژاد</t>
  </si>
  <si>
    <t>1401/09/30</t>
  </si>
  <si>
    <t>شبا</t>
  </si>
  <si>
    <t>1401/10/01</t>
  </si>
  <si>
    <t>5859831018931567</t>
  </si>
  <si>
    <t>سمیه</t>
  </si>
  <si>
    <t>طاهرآبادی</t>
  </si>
  <si>
    <t>1401/10/02</t>
  </si>
  <si>
    <t>6221061208001216</t>
  </si>
  <si>
    <t>1401/10/03</t>
  </si>
  <si>
    <t>امید</t>
  </si>
  <si>
    <t>امینیان</t>
  </si>
  <si>
    <t>6037991940830221</t>
  </si>
  <si>
    <t>1401/10/05</t>
  </si>
  <si>
    <t>1401/10/06</t>
  </si>
  <si>
    <t>6104337549982278</t>
  </si>
  <si>
    <t>مرتضی</t>
  </si>
  <si>
    <t>مرزبان</t>
  </si>
  <si>
    <t>6037697431969390</t>
  </si>
  <si>
    <t>1401/10/07</t>
  </si>
  <si>
    <t>نذر مهشید برهان علمی بابت بسته های معیشتی شب یلدا</t>
  </si>
  <si>
    <t>1401/10/08</t>
  </si>
  <si>
    <t>اصل واریزی 1/5 میلیون بوده که برای ماههای آبان،آذر و دی 1401 می باشد.</t>
  </si>
  <si>
    <t>6104337758811143</t>
  </si>
  <si>
    <t>1401/10/11</t>
  </si>
  <si>
    <t>اصل واریزی 12 میلیون بوده که 2 میلیون آن بابت فرزاد فرشید می باشد.</t>
  </si>
  <si>
    <t>1401/10/14</t>
  </si>
  <si>
    <t>6104337496131275</t>
  </si>
  <si>
    <t>1401/10/17</t>
  </si>
  <si>
    <t>6037997136517738</t>
  </si>
  <si>
    <t>1401/10/18</t>
  </si>
  <si>
    <t>سروش</t>
  </si>
  <si>
    <t>ثقفی</t>
  </si>
  <si>
    <t>6037697664583868</t>
  </si>
  <si>
    <t>5859831202663190</t>
  </si>
  <si>
    <t>1401/10/19</t>
  </si>
  <si>
    <t>1401/10/20</t>
  </si>
  <si>
    <t>عربیان</t>
  </si>
  <si>
    <t>6037997395549448</t>
  </si>
  <si>
    <t>6219861021865570</t>
  </si>
  <si>
    <t>1401/10/21</t>
  </si>
  <si>
    <t>1401/10/22</t>
  </si>
  <si>
    <t>1401/10/23</t>
  </si>
  <si>
    <t>سالاری</t>
  </si>
  <si>
    <t>سمن</t>
  </si>
  <si>
    <t>6219861044023017</t>
  </si>
  <si>
    <t>1401/10/25</t>
  </si>
  <si>
    <t>اصل واریزی 2 میلیون بوده برای ماههای آبان و دی</t>
  </si>
  <si>
    <t>6104337886949674</t>
  </si>
  <si>
    <t>1401/10/26</t>
  </si>
  <si>
    <t>6037697540254171</t>
  </si>
  <si>
    <t>سیما</t>
  </si>
  <si>
    <t>نیک مان</t>
  </si>
  <si>
    <t>1401/10/28</t>
  </si>
  <si>
    <t>1401/10/29</t>
  </si>
  <si>
    <t>1401/10/30</t>
  </si>
  <si>
    <t>6037691584581045</t>
  </si>
  <si>
    <t>ربابه</t>
  </si>
  <si>
    <t>طاهریان</t>
  </si>
  <si>
    <t>1401/11/01</t>
  </si>
  <si>
    <t>6037691597381441</t>
  </si>
  <si>
    <t>6037697548464764</t>
  </si>
  <si>
    <t>5022291038702393</t>
  </si>
  <si>
    <t>1401/11/02</t>
  </si>
  <si>
    <t>اصل واریزی 1 میلیون بوده برای ماههای بهمن و دی</t>
  </si>
  <si>
    <t>رجب</t>
  </si>
  <si>
    <t>پوربوشهری</t>
  </si>
  <si>
    <t>1401/11/05</t>
  </si>
  <si>
    <t>6274881118543874</t>
  </si>
  <si>
    <t>1401/11/06</t>
  </si>
  <si>
    <t>1401/11/10</t>
  </si>
  <si>
    <t>وحدتی</t>
  </si>
  <si>
    <t>1401/11/12</t>
  </si>
  <si>
    <t>5022291013490113</t>
  </si>
  <si>
    <t>محمدعلی</t>
  </si>
  <si>
    <t>شکروی</t>
  </si>
  <si>
    <t>5859831160162011</t>
  </si>
  <si>
    <t>1401/11/15</t>
  </si>
  <si>
    <t>1401/11/18</t>
  </si>
  <si>
    <t>1401/11/19</t>
  </si>
  <si>
    <t xml:space="preserve">اصل واریزی 5/6 بوده که 600 هزار جهت مرداد، 2 میلبون جهت آذر و 3 میلیون بهمن </t>
  </si>
  <si>
    <t>1401/11/20</t>
  </si>
  <si>
    <t>1401/11/21</t>
  </si>
  <si>
    <t>عباس</t>
  </si>
  <si>
    <t>یزدانی</t>
  </si>
  <si>
    <t>1401/11/22</t>
  </si>
  <si>
    <t>6037997560050867</t>
  </si>
  <si>
    <t>1401/11/23</t>
  </si>
  <si>
    <t>1401/11/29</t>
  </si>
  <si>
    <t>1401/11/30</t>
  </si>
  <si>
    <t>1401/12/01</t>
  </si>
  <si>
    <t>اصل واریزی 400 هزار بوده که برای دوماه بهمن و اسفند</t>
  </si>
  <si>
    <t>1401/12/03</t>
  </si>
  <si>
    <t>6037691560457632</t>
  </si>
  <si>
    <t>1401/12/04</t>
  </si>
  <si>
    <t>تاریخ تولد</t>
  </si>
  <si>
    <t>کد ملی</t>
  </si>
  <si>
    <t>پایه تحصیلی</t>
  </si>
  <si>
    <t>رشته</t>
  </si>
  <si>
    <t>مدرسه</t>
  </si>
  <si>
    <t>آدرس</t>
  </si>
  <si>
    <t>شماره تلفن</t>
  </si>
  <si>
    <t>کتاب کمک درسی/غیردرسی</t>
  </si>
  <si>
    <t>کلاس کنکور</t>
  </si>
  <si>
    <t>مشاور تحصیلی</t>
  </si>
  <si>
    <t>معلم خصوصی</t>
  </si>
  <si>
    <t>خدمات درمانی</t>
  </si>
  <si>
    <t>توضیحات</t>
  </si>
  <si>
    <t>آدرس مدرسه</t>
  </si>
  <si>
    <t>ریحانه</t>
  </si>
  <si>
    <t>نوری شفیق</t>
  </si>
  <si>
    <t>لیلی ظهوریان شفیق</t>
  </si>
  <si>
    <t>0928177246</t>
  </si>
  <si>
    <t>حضرت خدیجه</t>
  </si>
  <si>
    <t>رسالت 136- خیابان امام خمینی- امام خمینی 2- پلاک 36</t>
  </si>
  <si>
    <t>09381233298/ 09398771647 خواهر</t>
  </si>
  <si>
    <t>سه عدد کتاب اقتصاد و فلسفه(شهر کتاب)-تست فیزیک
ریاضیات آمارواحتمال(جزوه)-شیمی-جزوه حرکت شناسی-جزوه هندسه-جزوه فیزیک(الکتریسیته جاری)-عربی-فیزیک-حسابان1</t>
  </si>
  <si>
    <t>ــــــــــــــ</t>
  </si>
  <si>
    <t>خانم قوامی</t>
  </si>
  <si>
    <t xml:space="preserve">نیاز شدید به مشاوره دارد و در حال حاضر همکاری نمی کند. </t>
  </si>
  <si>
    <t xml:space="preserve">ریحانه </t>
  </si>
  <si>
    <t>طراقی فرد</t>
  </si>
  <si>
    <t>سکینه رنجبر</t>
  </si>
  <si>
    <t>0928744272</t>
  </si>
  <si>
    <t>علوم انسانی</t>
  </si>
  <si>
    <t>رسالت 136-خیابان امام خمینی21-شهریار 4 پلاک 27</t>
  </si>
  <si>
    <t>09392569929
09025734904
مادر</t>
  </si>
  <si>
    <t xml:space="preserve">دروس طلایی*- منطق10* -ریاضی1 منودرسام*- عربی* -
اقتصاد- اقتصاد*- جامعه*- منطق10*- ریاضی-فنون دهم-
منطق*-
</t>
  </si>
  <si>
    <t>علاقمند به رشته دبیری است</t>
  </si>
  <si>
    <t xml:space="preserve">زهرا </t>
  </si>
  <si>
    <t>قهستانی</t>
  </si>
  <si>
    <t>نرگس قوی</t>
  </si>
  <si>
    <t>0928539733</t>
  </si>
  <si>
    <t>رسالت 138-امام خمینی 3-رخش بهار 8-پلاک 37</t>
  </si>
  <si>
    <t>09373250328
09363307472 پ
09360772378 م</t>
  </si>
  <si>
    <t>دروس طلایی تجربی*-منو درسام(انگلیسی)*</t>
  </si>
  <si>
    <t>علاقمند به تحصیل در دانشگاه فرهنگیان</t>
  </si>
  <si>
    <t>مهلا</t>
  </si>
  <si>
    <t>فاطمه ابراهیم پور</t>
  </si>
  <si>
    <t>0928779262</t>
  </si>
  <si>
    <t>رسالت 136-امام خمینی 12-پلاک 6</t>
  </si>
  <si>
    <t>09228665372
09357415452 پ
09302849676 م</t>
  </si>
  <si>
    <t>رقیه</t>
  </si>
  <si>
    <t>رضاپور</t>
  </si>
  <si>
    <t>بسته گل احمدی</t>
  </si>
  <si>
    <t>0671175866</t>
  </si>
  <si>
    <t>بجنورد</t>
  </si>
  <si>
    <t>رسالت 134-خیابان شهید غلامی-کنار مسجد سید الشهدا</t>
  </si>
  <si>
    <t>09929983735
09017614576 م
09157171782 م
09333752599 پ</t>
  </si>
  <si>
    <t>راضیه</t>
  </si>
  <si>
    <t>0671175841</t>
  </si>
  <si>
    <t>آرمیتا مصلی نژاد</t>
  </si>
  <si>
    <t>09157171782
09017614576 م
09333752599 پ</t>
  </si>
  <si>
    <t>09929568872
09017614576 م
09333752599 پ</t>
  </si>
  <si>
    <t xml:space="preserve">منطق10* -ر یاضی1 (منو درسام)* - اقتصاد-جامعه*-منطق*
</t>
  </si>
  <si>
    <t>علاقمند به وکالت</t>
  </si>
  <si>
    <t>پریسا</t>
  </si>
  <si>
    <t>اعتماد منش</t>
  </si>
  <si>
    <t>زهره عامری</t>
  </si>
  <si>
    <t>0928280098</t>
  </si>
  <si>
    <t>آرمیتا مصلی نزاد</t>
  </si>
  <si>
    <t>توس 33- شکری2-سه قطعه مانده به چهارراه اوت-سمت راست-طبقه 4</t>
  </si>
  <si>
    <t>09900785044
09035063996 پ</t>
  </si>
  <si>
    <t>سلامت و بهداشت-سه سطحی زبان3-سه سطحی فارسی3
موج آزمون عربی-زبان انگلیسی جامع کنکور*-جزوه عربی-زیست شناسی جامع-جزوه فیزیک پایه(10و11)ریاضیات تجربی جامع-دروس طلایی(کلیه دروس)</t>
  </si>
  <si>
    <t>فاطمه</t>
  </si>
  <si>
    <t>091020180399</t>
  </si>
  <si>
    <t>آخر خیابان رسالت-روستای قرقی سفلا-خیابان کشمیری 36-بعد از چهارراه اول-پلاک 39</t>
  </si>
  <si>
    <t>09378969874 م
09379706423 پ</t>
  </si>
  <si>
    <t>عربی جامع*-زبان انگلیسی جامع کنکور*-شیمی3(کنکور99)-حسابان2تست فیزیک-ریاضیات گسسته-کتاب نوروز ریاضی ج1-فیزیک پایه(10و11)فیزیک3(12)- جزوه زیست شناسی-زیست شناسی و آزمایشگاه2-زیست شناسی جامع-شیمی پایه(10و11)ریاضیات جامع-</t>
  </si>
  <si>
    <t>علاقمند به رشته پزشکی(متخصص مغز و اعصاب)</t>
  </si>
  <si>
    <t>مریم</t>
  </si>
  <si>
    <t>رحمانی</t>
  </si>
  <si>
    <t>طاهره شاه نقی</t>
  </si>
  <si>
    <t>0928335204</t>
  </si>
  <si>
    <t>رسالت 120-رجایی 6- پلاک 45(داخل میلان-کنار مدرسه غیرانتفاعی پسرانه-زنگ سوم</t>
  </si>
  <si>
    <t>09380617293
09057403341 م
09397976616 پ</t>
  </si>
  <si>
    <t xml:space="preserve">مجموعه کتابهای عطارد(دستور زبان فارسی)-جزوه عربی
سه سطحی شیمی پایه-3سطحی فیزیک-3سطحی ریاضیات گسسته و آمار-3سطحی هندسه-فیزیک دوازدهم(بانک تست)هندسه جامع-جامع ریاضیات گسسته و احتمال-جزوه آمارواحتمال-جزوه هندسه3-جزوه کنکور هندسه(10و11)-حسابان وریاضیات پایه ج1و2-موج آزمون هندسه-موج آزمون ریاضی-موج آزمون ریاضیات گسسته و..-شیمی جامع-فیزیک موج آزمون
</t>
  </si>
  <si>
    <t>ناهید</t>
  </si>
  <si>
    <t>کمالی گروی</t>
  </si>
  <si>
    <t>زینب مهربان رزگی</t>
  </si>
  <si>
    <t>0928394174</t>
  </si>
  <si>
    <t>رسالت 130-غلامی 18-پلاک 21</t>
  </si>
  <si>
    <t>09059908418
09152067310 م
09908878616 پ</t>
  </si>
  <si>
    <t xml:space="preserve"> واژگان ضروری انگلیسی-اقتصاد ویژه کنکور-علوم و فنون ادبی
عربی*-جامعه*-منطق*- 
</t>
  </si>
  <si>
    <t>الهام</t>
  </si>
  <si>
    <t>صمدی سعادت
 آباد</t>
  </si>
  <si>
    <t>هاشم</t>
  </si>
  <si>
    <t>فاطمه بخشی</t>
  </si>
  <si>
    <t>1385/07/22</t>
  </si>
  <si>
    <t>0721083781</t>
  </si>
  <si>
    <t>تربت جام</t>
  </si>
  <si>
    <t>توس 97-الزهرای 10-چهل حجره 17- پلاک 38</t>
  </si>
  <si>
    <t>09150090658
09940117245
09156484356 م
09159095701 پ</t>
  </si>
  <si>
    <t>با مادربزرگش زندگی میکند-مشکل گوش و چشم دارد-مادرش جدا شده است</t>
  </si>
  <si>
    <t>کوثر</t>
  </si>
  <si>
    <t>ستار</t>
  </si>
  <si>
    <t>فاطمه دارابی
شلم زار</t>
  </si>
  <si>
    <t>1383/12/14</t>
  </si>
  <si>
    <t>0927602172</t>
  </si>
  <si>
    <t>بلوار دوم طبرسی-طبرسی 4-نظام دوست 24-غفاری 30-پلاک 1-طبقه همکف</t>
  </si>
  <si>
    <t>09053110021
09398957719 م</t>
  </si>
  <si>
    <t>دور دنیا در 4ساعت(کل دروس تجربی)-سلامت و بهداشت
عربی جامع*-ادبیات جامع-حفظیات شیمی کنکور-دور دنیا در 4ساعت(12 دوره)
زیست شناسی پایه(10و11)-شیمی جامع-زیست شناسی پایه دهم و یازدهم</t>
  </si>
  <si>
    <t>تاتاری</t>
  </si>
  <si>
    <t>آمنه قایمی</t>
  </si>
  <si>
    <t>0025909738</t>
  </si>
  <si>
    <t>دبیرستان نرجس
(شهرستان زاوه-
شهر دولت آباد)</t>
  </si>
  <si>
    <t>خراسان رضوی-شهرستان زاوه-قلعه حسن خان</t>
  </si>
  <si>
    <t>09945192457
09908177165 م</t>
  </si>
  <si>
    <t>دروس طلایی-زیست</t>
  </si>
  <si>
    <t>معرف خانم سمیعی</t>
  </si>
  <si>
    <t>یگانه</t>
  </si>
  <si>
    <t>رجایی سمرا</t>
  </si>
  <si>
    <t>فرزانه صدیقی
(زبرخان)</t>
  </si>
  <si>
    <t>0928551113</t>
  </si>
  <si>
    <t>رستگار مقدم</t>
  </si>
  <si>
    <t>توس 43-غلامی6-رادمرد 7-انتهای کوچه-سمت راست</t>
  </si>
  <si>
    <t>09397686036
09353218951 م</t>
  </si>
  <si>
    <t>ناپدری نامرد-اختلافات شدید خانوادگی-معرف آقای نقیبی</t>
  </si>
  <si>
    <t>خردمند سنجد
بوری</t>
  </si>
  <si>
    <t>سید حسین</t>
  </si>
  <si>
    <t>0927912678</t>
  </si>
  <si>
    <t>حر13- کوچه 54-(سر درب منزل نوشته دعای کمیل)</t>
  </si>
  <si>
    <t>فیزیک(سیرتاپیاز)-دروس طلایی</t>
  </si>
  <si>
    <t>افسردگی شدید-(از دخترهای آقای نقیبی هستند)</t>
  </si>
  <si>
    <t>فارقی</t>
  </si>
  <si>
    <t>0928729826</t>
  </si>
  <si>
    <t>بابانظر 18-حسینی محراب 93-خادمی 6 پلاک 160 (پنجتن 3-سلمان 6-پلاک 160)</t>
  </si>
  <si>
    <t xml:space="preserve">09305985342
09360554032 خواهر
09300610960 م
09305985396
</t>
  </si>
  <si>
    <t>دو گربه</t>
  </si>
  <si>
    <t>نجفی</t>
  </si>
  <si>
    <t>0950047384</t>
  </si>
  <si>
    <t>شهرک شهید رجایی-حر 54/24- پلاک 108- طبقه دوم</t>
  </si>
  <si>
    <t>09152548041
09352584850
09156019826 خواهر</t>
  </si>
  <si>
    <t>سرخس بوده-پدر و مادر فوت کردن-شوهر خواهر در زندان-شرایط بسیار بدب دارد-از دادگاه حکم رشد گرفته است</t>
  </si>
  <si>
    <t>اروند 21</t>
  </si>
  <si>
    <t xml:space="preserve">نادیا </t>
  </si>
  <si>
    <t>احمدی</t>
  </si>
  <si>
    <t>عبدالرحمن</t>
  </si>
  <si>
    <t>رحیمه احمدی</t>
  </si>
  <si>
    <t>1383/01/15</t>
  </si>
  <si>
    <t>P03085763</t>
  </si>
  <si>
    <t>هرات</t>
  </si>
  <si>
    <t>جاده سیمان-رسالت 136-امام خمینی 21-شهریار 2- پلاک 26</t>
  </si>
  <si>
    <t>09159230957 م
09306154558 پ</t>
  </si>
  <si>
    <t>در طراحی و گرافیک بسیار بااستعداد-مشکل شنوایی دارد و نیاز به سمعک دارد-از نظر مکالمه و صحبت کردن مشکل دارد-علاقمند به کامپیوتر-برنامه نویس-طراحی پوستر و اینفو گرافی</t>
  </si>
  <si>
    <t>پری</t>
  </si>
  <si>
    <t>زارع</t>
  </si>
  <si>
    <t>شهناز دلدار</t>
  </si>
  <si>
    <t>0820611743</t>
  </si>
  <si>
    <t>09915317983
09352523868 م</t>
  </si>
  <si>
    <t>ملیکا</t>
  </si>
  <si>
    <t>نماز</t>
  </si>
  <si>
    <t>6500294351</t>
  </si>
  <si>
    <t>اول دبستان</t>
  </si>
  <si>
    <t>دبستان بعثت</t>
  </si>
  <si>
    <t>نخریسی-احزاب 9- پتاک 405 (چهارراه مقدم-پروین اعتصامی 8-سلیمانیمنش 10-پلاک 405)</t>
  </si>
  <si>
    <t>09159140096 م
09945583303 م</t>
  </si>
  <si>
    <t>معرف مسعود خازنی</t>
  </si>
  <si>
    <t>مهدیار</t>
  </si>
  <si>
    <t>0970439210</t>
  </si>
  <si>
    <t>پنجم دبستان</t>
  </si>
  <si>
    <t>دبستان بهادر
زاده</t>
  </si>
  <si>
    <t>معرف مسعود خازنی
پدر معتاد</t>
  </si>
  <si>
    <t>سروری</t>
  </si>
  <si>
    <t>نخریسی -احزاب 4-پلاک 471</t>
  </si>
  <si>
    <t>09051762599 م</t>
  </si>
  <si>
    <t>کمیل</t>
  </si>
  <si>
    <t>سوم دبستان</t>
  </si>
  <si>
    <t>نخریسی ا-حزاب 4-پلاک 471</t>
  </si>
  <si>
    <t>مبینا</t>
  </si>
  <si>
    <t>عباسی</t>
  </si>
  <si>
    <t>الناز</t>
  </si>
  <si>
    <t>حبیب زاده</t>
  </si>
  <si>
    <t>1383/11/06</t>
  </si>
  <si>
    <t>0927429055</t>
  </si>
  <si>
    <t>مصلی نزاد</t>
  </si>
  <si>
    <t>سه راه فردوسی-شاهنامه 35-شهید شعبانی 22</t>
  </si>
  <si>
    <t>09362939144
الناز و مادر
09353547499 پ</t>
  </si>
  <si>
    <t>منزل نیمه کاره در روستا</t>
  </si>
  <si>
    <t>نرگس</t>
  </si>
  <si>
    <t>علی نژاد یادگار</t>
  </si>
  <si>
    <t>تیمور</t>
  </si>
  <si>
    <t>1386/06/04</t>
  </si>
  <si>
    <t>0928807916</t>
  </si>
  <si>
    <t>توس 91-خالقی9-پلاک 47</t>
  </si>
  <si>
    <t>09376893476
09362616810 م</t>
  </si>
  <si>
    <t>نیاز به کلاسهای تقویتی دارد-علاقمند به پزشکی</t>
  </si>
  <si>
    <t>زینب</t>
  </si>
  <si>
    <t>ادبی یکه باغی</t>
  </si>
  <si>
    <t>شعبان</t>
  </si>
  <si>
    <t>1384/12/27</t>
  </si>
  <si>
    <t>0770332455</t>
  </si>
  <si>
    <t>توس 159-قبل از جاده خاکی-سمت چپ</t>
  </si>
  <si>
    <t>09932666021
09156920446 م</t>
  </si>
  <si>
    <t>علاقمکد به پزشکی-نیاز به مشاوره دارد-کتابهای خیلی سبز میخواند-علاقه به موسیقی و ورزش</t>
  </si>
  <si>
    <t>آتنا</t>
  </si>
  <si>
    <t>جر</t>
  </si>
  <si>
    <t>1384/07/25</t>
  </si>
  <si>
    <t>0927858983</t>
  </si>
  <si>
    <t>توس 117-اسماعیل آباد-روبروی مدرسه جواد المه-پلاک 17</t>
  </si>
  <si>
    <t>09020882279 م
05136655064 مدرسه</t>
  </si>
  <si>
    <t>تحت پوشش بهزیستی</t>
  </si>
  <si>
    <t>علیزاده</t>
  </si>
  <si>
    <t>09309861852</t>
  </si>
  <si>
    <t xml:space="preserve">یگانه </t>
  </si>
  <si>
    <t>محمد دوست</t>
  </si>
  <si>
    <t>حضرت زینب</t>
  </si>
  <si>
    <t>الزوینی</t>
  </si>
  <si>
    <t>1386/05/09</t>
  </si>
  <si>
    <t>9162124328</t>
  </si>
  <si>
    <t>جاده سیمان-همت آباد-رسالت 129-خیابان طالقانی دو-کوچه قبل دبیرستان-شهید مطهری-(بوستان) یک-بمبست اول-پلاک 1</t>
  </si>
  <si>
    <t>09368865778
09156969665 پ
09156468517 م</t>
  </si>
  <si>
    <t>دانش آموز زرنگ-مهاجر عراقی</t>
  </si>
  <si>
    <t>عارفه</t>
  </si>
  <si>
    <t>آذرنگ</t>
  </si>
  <si>
    <t>عفت</t>
  </si>
  <si>
    <t>1386/04/09</t>
  </si>
  <si>
    <t>0928708411</t>
  </si>
  <si>
    <t>جاده سیمان-رسالت 168-رسالت 168/9-پلاک 9</t>
  </si>
  <si>
    <t>09045886491
09358851503 پ</t>
  </si>
  <si>
    <t>عبدالله زاده</t>
  </si>
  <si>
    <t>09920748929</t>
  </si>
  <si>
    <t>یاور</t>
  </si>
  <si>
    <t>خیرالنسا</t>
  </si>
  <si>
    <t>1385/12/22</t>
  </si>
  <si>
    <t>0928635236</t>
  </si>
  <si>
    <t>شهرک شهید رجایی-روستای کنه بیست-تربیت 2</t>
  </si>
  <si>
    <t>علاقمند به دندانپزشکی-جراح فک و دهان</t>
  </si>
  <si>
    <t>1401/03/22</t>
  </si>
  <si>
    <t>کارمزد مانده گیری</t>
  </si>
  <si>
    <t>خرید آذوقه برای خانواده سروری</t>
  </si>
  <si>
    <t>خرید نان برای خانواده سروری</t>
  </si>
  <si>
    <t>تمبر بانکداری</t>
  </si>
  <si>
    <t>خرید بگ های پلاستیکی جهت بسته بندی هدایای شب یلدا</t>
  </si>
  <si>
    <t>1401/09/29</t>
  </si>
  <si>
    <t>هزینه ثبت نام در کارگاه زیست شناسی</t>
  </si>
  <si>
    <t>هزینه شنوایی سنجی زرنوخی (تسویه حساب)</t>
  </si>
  <si>
    <t>هزینه خرید مرغ جهت هدایای شب یلدا(2 میلیون توسط آقای بامیری پرداخت شده )</t>
  </si>
  <si>
    <t xml:space="preserve">پرداخت حق الزحمه خانم قوامی طبق توافق(ماه آذر 5/4 که در 3 قسط پرداخت خواهد شد) </t>
  </si>
  <si>
    <t>خرید ساندویچ و کیک برای دختران در کلاس تقویتی</t>
  </si>
  <si>
    <t>هزینه چاپ و تکثیر جزوات ریاضی برای دختران پایه دهم تجربی</t>
  </si>
  <si>
    <t>1401/10/10</t>
  </si>
  <si>
    <t>پرداخت حق الزحمه خانم قوامی طبق توافق(ماه آذر 5/4 که در 3 قسط پرداخت خواهد شد) قسط دوم</t>
  </si>
  <si>
    <t>هزینه اسنپ برگشت از کلاس تقویتی</t>
  </si>
  <si>
    <t>یادم نمیاد</t>
  </si>
  <si>
    <t>1401/10/12</t>
  </si>
  <si>
    <t>هزینه اسنپ برای برگشت سمعکها</t>
  </si>
  <si>
    <t>هزینه کلاس تقویتی مهدیار نماز</t>
  </si>
  <si>
    <t>پرداخت هزینه کلاسهای تقویتی مریم رحمانی که به کارت خانم توکلی واریز گردیده است.</t>
  </si>
  <si>
    <t>خرید کتاب زیست شناسی مبینا علیزاده</t>
  </si>
  <si>
    <t>هزینه کارگر نظافتی و نهار او برای دفتر بنیاد</t>
  </si>
  <si>
    <t>1401/10/15</t>
  </si>
  <si>
    <t>هزینه خرید ریموت و کلید یدک دفتر بنیاد</t>
  </si>
  <si>
    <t>هزینه اسنپ برای کلاس تقویتی  ریاضی منزل خانم یاسمن ثانی</t>
  </si>
  <si>
    <t>1401/10/16</t>
  </si>
  <si>
    <t>هزینه چاپ و تکثیر جزوات فیزیک برای دختران پایه دهم تجربی</t>
  </si>
  <si>
    <t>هزینه تعمیر سیستم تصفیه آب مدرسه خدیجه</t>
  </si>
  <si>
    <t>هزینه خرید کافی و چایی برای دفتر از قشم</t>
  </si>
  <si>
    <t>هزینه خرید لوازم آشپزخانه و پذیرایی دفتر</t>
  </si>
  <si>
    <t>1401/10/24</t>
  </si>
  <si>
    <t>هزینه دوسر پیک برای گرفتن جزوات فیزیک از مداد مشکی</t>
  </si>
  <si>
    <t>هزینه تهیه و ارسال کادوی تولد یگانه خردمند</t>
  </si>
  <si>
    <t>خرید مایع ظرفشویی و اسکاچ جهت دفتر</t>
  </si>
  <si>
    <t>خرید USB مودم جهت کامپیوتر دفتر</t>
  </si>
  <si>
    <t>خرید آبمعدنی جهت دفتر</t>
  </si>
  <si>
    <t>خرید مواد شوینده جهت دفتر(که توسط خانم مهدیار خرید شده که به کارت ایشان واریز گردید)</t>
  </si>
  <si>
    <t>خرید لوازم دفتری جهت دفتر(که توسط خانم مهدیار خرید شده که به کارت ایشان واریز گردید)</t>
  </si>
  <si>
    <t>خرید قند جهت دفتر(که توسط خانم مهدیار خرید شده که به کارت ایشان واریز گردید)</t>
  </si>
  <si>
    <t>خرید تعمیر کامپیوتر دفتر(که توسط آقای صتوبری انجام شده که به کارت ایشان واریز گردید)</t>
  </si>
  <si>
    <t>خرید هارد کامپیوتر دفتر(که توسط آقای صتوبری انجام شده که به کارت ایشان واریز گردید)</t>
  </si>
  <si>
    <t>خرید سرویس پرینتر دفتر(که توسط آقای صتوبری انجام شده که به کارت ایشان واریز گردید)</t>
  </si>
  <si>
    <t>هزینه کارگر نظافتی و نهار او برای دفتر بنیاد (که توسط آقای علمی انجام شده که به کارت ایشان واریز گردید)</t>
  </si>
  <si>
    <t>هزینه ثبت نام آزمون گزینه 2 دانش آموزان پایه دهم تجربی که توسط خانم قوامی انجام شد که به کارت ایشان واریز گردید.</t>
  </si>
  <si>
    <t>پرداخت قرض الحسنه به خانم سروری توسط خانم فرشید که به کارت ابشان واریز گردید</t>
  </si>
  <si>
    <t>خرید کیک و شیر برای آزمون 7 بهمن</t>
  </si>
  <si>
    <t>هزینه رفت و آمد الهام صمدی و نرگس علینژاد برای آزمون(اصل پرداختی 1/306/000 ریال بوده)</t>
  </si>
  <si>
    <t>1401/11/07</t>
  </si>
  <si>
    <t>هزینه رفت و آمد الهام صمدی و نرگس علینژاد برای آزمون</t>
  </si>
  <si>
    <t>هزینه پرینت پرسشنامه های آزمون</t>
  </si>
  <si>
    <t>پرداخت حق الزحمه خانم قوامی بابت دیماه 1401</t>
  </si>
  <si>
    <t>هزینه ویزیت دکتر مهران بیرقی برای زهرا مروی (دختر فلج مغزی)</t>
  </si>
  <si>
    <t>1401/11/08</t>
  </si>
  <si>
    <t>هزینه رفت و آمد یگانه رجایی برای آزمون</t>
  </si>
  <si>
    <t>پرداخت هزینه شارژ دفتر بنیاد دیماه 1401</t>
  </si>
  <si>
    <t>1401/11/09</t>
  </si>
  <si>
    <t>خرید باطری سمعک برای نادیا احمدی</t>
  </si>
  <si>
    <t>خرید مواد غذایی برای 15 خانوار یتیم روز پدر توسط مهدی صنوبری</t>
  </si>
  <si>
    <t>1401/11/13</t>
  </si>
  <si>
    <t>پرداخت قرض الحسنه به خانم سروری که به کارت ابشان واریز گردید</t>
  </si>
  <si>
    <t>1401/11/14</t>
  </si>
  <si>
    <t>خرید کیک و شیر برای آزمون 15بهمن پایه یازدهم</t>
  </si>
  <si>
    <t>هزینه اسنپ یگانه خردمند برای آزمون</t>
  </si>
  <si>
    <t>هزینه رفت و آمد زینب ادبی و آتنا جر برای آزمون(اصل پرداختی 520/000 ریال بوده)</t>
  </si>
  <si>
    <t>پرداخت حقوق و تسویه حساب کامل خانم مهدیار بابت 43 روز کارکرد</t>
  </si>
  <si>
    <t>1401/11/16</t>
  </si>
  <si>
    <t>خرید کتاب ماجرای شیمی دوازدهم</t>
  </si>
  <si>
    <t>هزینه رفت و آمد خانم مهدیار تسویه حساب کامل</t>
  </si>
  <si>
    <t>خرید جهت دفتر؟؟؟؟؟ توسط خانم مهدیار که به کارت ایشان واریز گردید</t>
  </si>
  <si>
    <t>خرید پلاستیک براق توسط آقای صنوبری که به کارت ایشان واریز گردید</t>
  </si>
  <si>
    <t>خرید کابل VGA توسط آقای صنوبری که به کارت ایشان واریز گردید</t>
  </si>
  <si>
    <t>پرداخت اجاره ماه اول مرکز مشاوره آموزش و پرورش ناحیه 5 مشهد</t>
  </si>
  <si>
    <t>پرداخت الباقی هزینه ثبت نام مدرسه مصلی نژاد</t>
  </si>
  <si>
    <t>1401/11/26</t>
  </si>
  <si>
    <t>خرید صبحانه برای ریحانه نجفی، پری زارع و آوا راشدی( آموزشگاه آرابشگری)</t>
  </si>
  <si>
    <t>1401/11/27</t>
  </si>
  <si>
    <t>خرید هدیه توسط مهشید  که به کارت ایشان واریز گردید(اصل واریز 7/000/000 ریال بوده)</t>
  </si>
  <si>
    <t>1401/11/28</t>
  </si>
  <si>
    <t>پرداخت هزینه شارژ دفتر بنیاد بهمن ماه 1401</t>
  </si>
  <si>
    <t>خرید چای جهت دفتر</t>
  </si>
  <si>
    <t>1401/12/06</t>
  </si>
  <si>
    <t>شارژ اکانت اسنپ برای رفت و آمد دختران</t>
  </si>
  <si>
    <t>یگانه عبدالله زاده</t>
  </si>
  <si>
    <t>نرگس علینژاد</t>
  </si>
  <si>
    <t>آتنا جر</t>
  </si>
  <si>
    <t>مبینا علیزاده</t>
  </si>
  <si>
    <t>الناز حبیب زاده</t>
  </si>
  <si>
    <t>زینب ادبی یکه باغی</t>
  </si>
  <si>
    <t>یگانه محمددوست</t>
  </si>
  <si>
    <t>رقیه الزوینی</t>
  </si>
  <si>
    <t>عارفه آذرنگ</t>
  </si>
  <si>
    <t>شماره تلفن ولی</t>
  </si>
  <si>
    <t>09309935285</t>
  </si>
  <si>
    <t>09152364032</t>
  </si>
  <si>
    <t xml:space="preserve">
09156286174 م</t>
  </si>
  <si>
    <t>09045235720</t>
  </si>
  <si>
    <t>1401/12/07</t>
  </si>
  <si>
    <t xml:space="preserve">اصل واریزی1 میلیون بوده که برای دوماه آذر و دی ماه بوده است </t>
  </si>
  <si>
    <t xml:space="preserve">اصل واریزی1 میلیون بوده که برای دوماه شهریور و مهرماه بوده است </t>
  </si>
  <si>
    <t>1401/12/09</t>
  </si>
  <si>
    <t>1401/12/11</t>
  </si>
  <si>
    <t>1401/12/14</t>
  </si>
  <si>
    <t>مربوط به فروردین سال 1402 می باشد</t>
  </si>
  <si>
    <t>1401/12/15</t>
  </si>
  <si>
    <t>فیش واریزی 2 میلیون بوده که  برای ماههای دی و بهمن می باشد.</t>
  </si>
  <si>
    <t>رجبی</t>
  </si>
  <si>
    <t>1401/12/16</t>
  </si>
  <si>
    <t>5041721022897285</t>
  </si>
  <si>
    <t xml:space="preserve">توسط مادر ایشان بابت هزینه جراحی دست آتنا جر واریز گردید. </t>
  </si>
  <si>
    <t xml:space="preserve">خرید سیم کارت تلفن همراه جهت بنیاد </t>
  </si>
  <si>
    <t>1401/12/08</t>
  </si>
  <si>
    <t>هزینه شارژ اینترنت شاتل دفتر</t>
  </si>
  <si>
    <t>خرید آبمعدنی و قندجهت دفتر</t>
  </si>
  <si>
    <t>هزینه رفت و آمد دانش آموزان برای جلسه مشاوره در دفتر</t>
  </si>
  <si>
    <t>هزینه شارژ خط تلفن موبایل دفتر</t>
  </si>
  <si>
    <t>1401/12/13</t>
  </si>
  <si>
    <t>خرید کتاب کمک درسی</t>
  </si>
  <si>
    <t>پرداخت حق الزحمه بهمن ماه خانم قوامی</t>
  </si>
  <si>
    <t>پرداخت الباقی حق الزحمه آذر ماه خانم قوامی( تسویه حساب)</t>
  </si>
  <si>
    <t xml:space="preserve">هزینه رفت و آمد دانش آموزان برای جلسه مشاوره در مدرسه مصلی </t>
  </si>
  <si>
    <t>فیش واریزی 1 میلیون بوده که  برای ماههای اسفند و بهمن می باشد.</t>
  </si>
  <si>
    <t>1401/12/17</t>
  </si>
  <si>
    <t>احمدزاده</t>
  </si>
  <si>
    <t>5859831152823182</t>
  </si>
  <si>
    <t>بابت گلریزان آخر سال</t>
  </si>
  <si>
    <t>6104337300978655</t>
  </si>
  <si>
    <t>1401/12/18</t>
  </si>
  <si>
    <t>5892101379050863</t>
  </si>
  <si>
    <t>اصل فیش 1 میلیون بوده که برای ماههای آذر وئ بهمن بوده است</t>
  </si>
  <si>
    <t>6221061079430403</t>
  </si>
  <si>
    <t>گلریزان آخر سال</t>
  </si>
  <si>
    <t>مهندس فرشید</t>
  </si>
  <si>
    <t>6104337301600241</t>
  </si>
  <si>
    <t>1401/12/19</t>
  </si>
  <si>
    <t>6221061202867851</t>
  </si>
  <si>
    <t>اسفند و گلریزان</t>
  </si>
  <si>
    <t>فیش واریزی 6 میلیون بوده که  برای ماههای آبان، آذر، دی، بهمن و اسفند  می باشد.</t>
  </si>
  <si>
    <t xml:space="preserve">  برای ماههای اسفند و گلریزان  می باشد.</t>
  </si>
  <si>
    <t>1401/12/20</t>
  </si>
  <si>
    <t>فیش واریزی 1300 میلیون بوده که  برای ماه اسفند و گلریزان می باشد.</t>
  </si>
  <si>
    <t>1401/12/21</t>
  </si>
  <si>
    <t>1401/12/22</t>
  </si>
  <si>
    <t>1401/12/23</t>
  </si>
  <si>
    <t xml:space="preserve">اسفند </t>
  </si>
  <si>
    <t>1401/12/24</t>
  </si>
  <si>
    <t>1401/12/26</t>
  </si>
  <si>
    <t>1401/12/28</t>
  </si>
  <si>
    <t>1401/12/29</t>
  </si>
  <si>
    <t>6274121171324601</t>
  </si>
  <si>
    <t>5029081015337955</t>
  </si>
  <si>
    <t>5022291086970116</t>
  </si>
  <si>
    <t>ارزانیان</t>
  </si>
  <si>
    <t>6037691628442139</t>
  </si>
  <si>
    <t xml:space="preserve">معصومه </t>
  </si>
  <si>
    <t>شخصی خازنی</t>
  </si>
  <si>
    <t xml:space="preserve">پگاه </t>
  </si>
  <si>
    <t>پیروز</t>
  </si>
  <si>
    <t>6274881118942647</t>
  </si>
  <si>
    <t>بهروز</t>
  </si>
  <si>
    <t>جلیلی ضمیری</t>
  </si>
  <si>
    <t>5041721081102924</t>
  </si>
  <si>
    <t>6037697574168529</t>
  </si>
  <si>
    <t>شمسی</t>
  </si>
  <si>
    <t>زیوری</t>
  </si>
  <si>
    <t>6037997482783603</t>
  </si>
  <si>
    <t>جلیلی خادم</t>
  </si>
  <si>
    <t>6280231381931087</t>
  </si>
  <si>
    <t>1401/12/25</t>
  </si>
  <si>
    <t>فیش واریزی 6 میلیون بوده که  4 میلیون برای ماه فروردین 1402 و  2 میلیون گلریزان می باشد.</t>
  </si>
  <si>
    <t>5892101403730944</t>
  </si>
  <si>
    <t>1402/01/01</t>
  </si>
  <si>
    <t>1402/01/04</t>
  </si>
  <si>
    <t>1402/01/03</t>
  </si>
  <si>
    <t>مرضیه</t>
  </si>
  <si>
    <t>یزدان مقدم</t>
  </si>
  <si>
    <t>1402/01/06</t>
  </si>
  <si>
    <t>6274121178917472</t>
  </si>
  <si>
    <t>پرداخت خرید لوله و لوله کشی برای مدرسه در روستای شرشر خانم راغبی</t>
  </si>
  <si>
    <t>اجاره موسسه مشاوره</t>
  </si>
  <si>
    <t>پرداخت هزینه سالن مطالعه کوثر مولایی</t>
  </si>
  <si>
    <t>فیش واریزی 20 میلیون بوده که برای ماه فروردین و اردیبهشت 1402  می باشد.</t>
  </si>
  <si>
    <t>1402/01/0/10</t>
  </si>
  <si>
    <t>6104337516205190</t>
  </si>
  <si>
    <t>فیش واریزی 600 هزار تومن بوده که برای ماه شهریور ومهر 1401  می باشد.</t>
  </si>
  <si>
    <t>ثبت نام آزمون گزینه 2 تاریخ 19 اسفند 1401</t>
  </si>
  <si>
    <t xml:space="preserve">خرید صبحانه </t>
  </si>
  <si>
    <t>هزینه شارژ اکانت اسنپ بنیاد</t>
  </si>
  <si>
    <t>هزینه چاپ پرسشنامه های آزمون 19 اسفند گزینه 2</t>
  </si>
  <si>
    <t>هزینه خرید صبحانه برای آزمون 19 اسفند گزینه 2</t>
  </si>
  <si>
    <t>S</t>
  </si>
  <si>
    <t>هزینه مربوط به تعمیرات مدارس از واریزی خانم عین علی</t>
  </si>
  <si>
    <t>هزینه  اسنپ جهت شرکت در آزمون آزمون 19 اسفند گزینه 2</t>
  </si>
  <si>
    <t>هزینه الباقی اسنپ جهت شرکت در آزمون آزمون 19 اسفند گزینه 2</t>
  </si>
  <si>
    <t>پرداخت از اکانت اسنپ بنیاد</t>
  </si>
  <si>
    <t>هزینه پیک جهت آوردن کامپیوتر از دفتر اقوام فرزاد فرشید</t>
  </si>
  <si>
    <t>برای پسر خانم مروی</t>
  </si>
  <si>
    <t>هزینه ئانت جهت بردن رادیاتورها از منزل آقای ارزانیان به انبار بنیاد</t>
  </si>
  <si>
    <t>هزینه خرید پلاستیک جهت توزیع بسته های معیشتی شب عید</t>
  </si>
  <si>
    <t>خرید 60 عدد مرغ جهت بسته های معیشتی شب عید</t>
  </si>
  <si>
    <t>خرید سه راهی برق جهت کامپیوتر پسر خانم مروری</t>
  </si>
  <si>
    <t>هزینه نظافت دفتر</t>
  </si>
  <si>
    <t>هزینه خرید کتاب کمک درسی</t>
  </si>
  <si>
    <t>هزینه  اسنپ جهت شرکت در کلاس مشاوره که به حساب خانم عباسی واریز کردم</t>
  </si>
  <si>
    <t>دو نوبت</t>
  </si>
  <si>
    <t>1402/01/08</t>
  </si>
  <si>
    <t>1402/01/14</t>
  </si>
  <si>
    <t>سه نوبت</t>
  </si>
  <si>
    <t>هزینه شارژ دفتر مربوط به اسفند ماه 1401</t>
  </si>
  <si>
    <t>پرداخت حقوق اسفند ماه خانم پروانه عباسی</t>
  </si>
  <si>
    <t xml:space="preserve">شارژ اینترنت موبایل بنیاد </t>
  </si>
  <si>
    <t xml:space="preserve">شارژ اعتبار موبایل بنیاد </t>
  </si>
  <si>
    <t>کل واریزی 1401</t>
  </si>
  <si>
    <t>کل واریزی 1402</t>
  </si>
  <si>
    <t>1402/01/10</t>
  </si>
  <si>
    <t>1402/01/15</t>
  </si>
  <si>
    <t>6104337649628052</t>
  </si>
  <si>
    <t>1402/01/20</t>
  </si>
  <si>
    <t xml:space="preserve">هدیه </t>
  </si>
  <si>
    <t>شجری ایزدی</t>
  </si>
  <si>
    <t>6104337678153295</t>
  </si>
  <si>
    <t>1402/01/21</t>
  </si>
  <si>
    <t>1402/01/26</t>
  </si>
  <si>
    <t>1402/01/27</t>
  </si>
  <si>
    <t>5054161014166601</t>
  </si>
  <si>
    <t>1402/01/30</t>
  </si>
  <si>
    <t>هزینه خرید کتاب کمک درسی و دفتر برنامه ریزی</t>
  </si>
  <si>
    <t>1402/02/04</t>
  </si>
  <si>
    <t>پرداخت حقوق فروردین ماه خانم پروانه عباسی</t>
  </si>
  <si>
    <t>1402/02/05</t>
  </si>
  <si>
    <t>1402/02/17</t>
  </si>
  <si>
    <t>1402/02/18</t>
  </si>
  <si>
    <t>1402/02/19</t>
  </si>
  <si>
    <t>1402/02/20</t>
  </si>
  <si>
    <t>1402/02/24</t>
  </si>
  <si>
    <t>1402/02/27</t>
  </si>
  <si>
    <t>1402/03/01</t>
  </si>
  <si>
    <t>پرداخت حقوق اردیبهشت ماه خانم پروانه عباسی</t>
  </si>
  <si>
    <t>ایاب و ذهاب خانم عباسی</t>
  </si>
  <si>
    <t>1402/03/04</t>
  </si>
  <si>
    <t>1402/03/09</t>
  </si>
  <si>
    <t>1402/03/23</t>
  </si>
  <si>
    <t>1402/02/01</t>
  </si>
  <si>
    <t>1402/02/02</t>
  </si>
  <si>
    <t xml:space="preserve">هدی </t>
  </si>
  <si>
    <t>کاشی</t>
  </si>
  <si>
    <t>6362141044496454</t>
  </si>
  <si>
    <t>1402/02/06</t>
  </si>
  <si>
    <t>1402/02/07</t>
  </si>
  <si>
    <t>6037697552572106</t>
  </si>
  <si>
    <t>6037991930237312</t>
  </si>
  <si>
    <t>واعظی</t>
  </si>
  <si>
    <t>6037691260323928</t>
  </si>
  <si>
    <t>1402/02/09</t>
  </si>
  <si>
    <t>6219861750538539</t>
  </si>
  <si>
    <t>فرامرز</t>
  </si>
  <si>
    <t>پور اصفهانی</t>
  </si>
  <si>
    <t>6219861022276942</t>
  </si>
  <si>
    <t>1402/02/10</t>
  </si>
  <si>
    <t>5022291038702293</t>
  </si>
  <si>
    <t>1402/02/13</t>
  </si>
  <si>
    <t>اینترنت بانک</t>
  </si>
  <si>
    <t>1402/02/15</t>
  </si>
  <si>
    <t>1402/02/21</t>
  </si>
  <si>
    <t>5894631593018294</t>
  </si>
  <si>
    <t>1402/02/22</t>
  </si>
  <si>
    <t>موبایل بانک</t>
  </si>
  <si>
    <t>1402/02/29</t>
  </si>
  <si>
    <t>1402/02/31</t>
  </si>
  <si>
    <t>1402/03/03</t>
  </si>
  <si>
    <t>1402/03/06</t>
  </si>
  <si>
    <t>1402/03/08</t>
  </si>
  <si>
    <t>1402/03/12</t>
  </si>
  <si>
    <t>1402/03/17</t>
  </si>
  <si>
    <t>1402/03/18</t>
  </si>
  <si>
    <t>6280231503124413</t>
  </si>
  <si>
    <t>1402/03/20</t>
  </si>
  <si>
    <t>5894631830633582</t>
  </si>
  <si>
    <t>1402/03/24</t>
  </si>
  <si>
    <t>5892101068229984</t>
  </si>
  <si>
    <t>اصل واریزی 1500000 تومان بوده که برای ماه های بهمن و اسفند 1401 و فروردین 1402 لحاظ شد</t>
  </si>
  <si>
    <t>هزینه ثبت نام آزمون گزینه 2 دانش آموزان اردیبهشت 1402</t>
  </si>
  <si>
    <t>خرید آب معدنی برای دفتر (به صورت کلی مبلغ 1153040 برای خانم عباسی واریز گردید)</t>
  </si>
  <si>
    <t>پرداخت قبض تلفن دفتر (به صورت کلی مبلغ 1153040 برای خانم عباسی واریز گردید)</t>
  </si>
  <si>
    <t>هزینه شارژ دفتر مربوط به فروردین ماه 1402 (به صورت کلی مبلغ 1153040 برای خانم عباسی واریز گردید)</t>
  </si>
  <si>
    <t>هزینه ثبت نام کتاب های درسی ملیکا نماز (به صورت کلی مبلغ 1153040 برای خانم عباسی واریز گردید)</t>
  </si>
  <si>
    <t>1402/02/12</t>
  </si>
  <si>
    <t>هزینه اسنپ دانش آموزان جهت کلاس مشاوره تحصیلی (به صورت کلی مبلغ 1153040 برای خانم عباسی واریز گردید)</t>
  </si>
  <si>
    <t>هزینه ثبت نام کتاب های درسی الهام صمدی (به صورت کلی مبلغ 1153040 برای خانم عباسی واریز گردید)</t>
  </si>
  <si>
    <t>هزینه ثبت نام کتاب های درسی مهدیار نماز (به صورت کلی مبلغ 1153040 برای خانم عباسی واریز گردید)</t>
  </si>
  <si>
    <t>هزینه اسنپ دانش آموزان جهت کلاس مشاوره تحصیلی  (به صورت کلی مبلغ 1153040 برای خانم عباسی واریز گردید)</t>
  </si>
  <si>
    <t>هزینه خرید آب معدنی برای دفتر (به صورت کلی مبلغ 1153040 برای خانم عباسی واریز گردید)</t>
  </si>
  <si>
    <t>هزینه پرینت و کپی پرسشنامه ها (به صورت کلی مبلغ 7676000 برای خانم عباسی واریز گردید)</t>
  </si>
  <si>
    <t>هزینه خرید کیک و شیر کاکائو برای آزمون گزینه 2 اردیبهشت 1402 (به صورت کلی مبلغ 7676000 برای خانم عباسی واریز گردید)</t>
  </si>
  <si>
    <t>هزینه اسنپ دانش آموزان جهت کلاس مشاوره تحصیلی (به صورت کلی مبلغ 7676000 برای خانم عباسی واریز گردید)</t>
  </si>
  <si>
    <t>هزینه اسنپ دانش آموزان جهت آزمون گزینه 2 (به صورت کلی مبلغ 7676000 برای خانم عباسی واریز گردید)</t>
  </si>
  <si>
    <t>پرداخت برای خانم نماز جهت شکستگی دست مهدیار نماز</t>
  </si>
  <si>
    <t>هزینه شارژ دفتر مربوط به اردیبهشت ماه 1402</t>
  </si>
  <si>
    <t>خرید آب معدنی و شوینده برای دفتر (به صورت کلی مبلغ 8706000 برای خانم عباسی واریز گردید)</t>
  </si>
  <si>
    <t>هزینه ثبت نام کلاس تقویتی الهام صمدی  (به صورت کلی مبلغ 8706000 برای خانم عباسی واریز گردید)</t>
  </si>
  <si>
    <t>پرداختی برای خانم عباسی جهت موارد ذکر شده</t>
  </si>
  <si>
    <t>دادخواه</t>
  </si>
  <si>
    <t>اصل واریزی 1500000 تومان بوده که برای ماه های فروردین و  اردیبهشت و خرداد 1402 لحاظ شد</t>
  </si>
  <si>
    <t>اصل واریزی 1000000 تومان بوده که برای ماه های اردیبهشت و خرداد 1402 لحاظ شد</t>
  </si>
  <si>
    <t>اصل واریزی 2000000 تومان بوده که برای ماه های فروردین و  اردیبهشت 1402 لحاظ شد</t>
  </si>
  <si>
    <t>اصل واریزی 5000000 تومان بوده که برای ماه های فروردین و اردیبهشت و خرداد و تیر و مرداد و شهریور و مهر و آبان و آذر و دی و بهمن و اسفند 1402 لحاظ شد</t>
  </si>
  <si>
    <t>Column3</t>
  </si>
  <si>
    <t>اصل فیش واریزی 500 هزار تومان بوده است که 200 هزار تومان برای تیرماه لحاظ میشود</t>
  </si>
  <si>
    <r>
      <rPr>
        <sz val="11"/>
        <color theme="1"/>
        <rFont val="B Nazanin"/>
        <charset val="178"/>
      </rPr>
      <t xml:space="preserve">مبلغ 200 هزار تومان از فیش خرداد و 100 هزار تومان از </t>
    </r>
    <r>
      <rPr>
        <sz val="11"/>
        <color theme="1"/>
        <rFont val="Calibri"/>
        <family val="2"/>
      </rPr>
      <t xml:space="preserve"> فیش 1/5میلیون بوده که برای تیر و مرداد و شهریور و مهر و آبان لحاظ شده و 200 هزار تومان برای آذر</t>
    </r>
  </si>
  <si>
    <t xml:space="preserve"> فیش 1/5میلیون بوده که برای تیر و مرداد و شهریور و مهر و آبان لحاظ شده و 200 هزار تومان برای آذر</t>
  </si>
  <si>
    <t xml:space="preserve"> فیش 1میلیون بوده که 100 هزار تومان برای آذر و مابقی برای دی و بهمن و اسفند لحاظ شد</t>
  </si>
  <si>
    <t>1402/03/22</t>
  </si>
  <si>
    <t>000000000000000</t>
  </si>
  <si>
    <t>1402/01/22</t>
  </si>
  <si>
    <t>0000000000000000</t>
  </si>
  <si>
    <t>00000000000000</t>
  </si>
  <si>
    <t>1402/03/30</t>
  </si>
  <si>
    <t>6219861064508566</t>
  </si>
  <si>
    <t>اصل واریزی 3000000 تومان بوده که برای ماه های اسفند 1401 و فروردین و اردیبهشت و خرداد 1402 لحاظ شد</t>
  </si>
  <si>
    <t>1402/03/31</t>
  </si>
  <si>
    <t>1402/04/01</t>
  </si>
  <si>
    <t>1402/04/03</t>
  </si>
  <si>
    <t>1402/04/04</t>
  </si>
  <si>
    <t>اصل واریزی 600000 تومان بوده که برای ماه های فروردین و اردیبهشت و خرداد 1402 لحاظ شد</t>
  </si>
  <si>
    <t>1402/04/05</t>
  </si>
  <si>
    <t>هزینه ثبتنام مدرسه مهدیار نماز</t>
  </si>
  <si>
    <t>هزینه شارژ دفتر مربوط به خرداد ماه 1402</t>
  </si>
  <si>
    <t>خرید میوه سالگرد تاسیس بنیاد (به صورت کلی مبلغ 1745400 تومان برای خانم عباسی واریز گردید)</t>
  </si>
  <si>
    <t>خرید آب معدنی و دو بسته قند برای دفتر (به صورت کلی مبلغ 1745400 تومان برای خانم عباسی واریز گردید)</t>
  </si>
  <si>
    <t>خرید شیرینی سالگرد تاسیس بنیاد (به صورت کلی مبلغ 1745400 تومان برای خانم عباسی واریز گردید)</t>
  </si>
  <si>
    <t>خرید آب معدنی سالگرد تاسیس بنیاد (به صورت کلی مبلغ 1745400 تومان برای خانم عباسی واریز گردید)</t>
  </si>
  <si>
    <t>خرید موز سالگرد تاسیس بنیاد (به صورت کلی مبلغ 1745400 تومان برای خانم عباسی واریز گردید)</t>
  </si>
  <si>
    <t>خرید کیک سالگرد تاسیس بنیاد (به صورت کلی مبلغ 1745400 تومان برای خانم عباسی واریز گردید)</t>
  </si>
  <si>
    <t>1402/04/06</t>
  </si>
  <si>
    <t>هزینه ثبتنام مدرسه ملیکا نماز</t>
  </si>
  <si>
    <t>پرداخت حقوق خرداد ماه خانم پروانه عباسی</t>
  </si>
  <si>
    <t>هزینه شارژ اینترنت موبایل</t>
  </si>
  <si>
    <t>هزینه پست سمعک به سیستان بلوچستان که برای خانم مهدیار واریز شد</t>
  </si>
  <si>
    <t>اصل واریزی 5000000 تومان بوده که برای بهمن و اسفند 1401 فروردین و اردیبهشت و خرداد 1402 لحاظ شد</t>
  </si>
  <si>
    <t>اصل واریزی 1میلیون تومان بوده که برای فروردین و اردیبهشت و خرداد 1402 لحاظ شد</t>
  </si>
  <si>
    <t>کارمزد تمدید پیامک برداشت از حساب</t>
  </si>
  <si>
    <t>واریز برای خانم سروری قرض الحسنه که در تاریخ 04/04/1402 برگردانده شد</t>
  </si>
  <si>
    <t>برگشت قرض الحسنه خانم سروری به حساب بنیاد</t>
  </si>
  <si>
    <t>باقیمانده واریزی آقای صاحبکار</t>
  </si>
  <si>
    <t>1000000-</t>
  </si>
  <si>
    <t>اصل واریزی 1 میلیون بوده که برای ماه های اسفند 1401 و فروردین 1402 لحاظ شد</t>
  </si>
  <si>
    <t>اصل واریزی مبلغ 3 میلیون تومان بوده که برای ماه های دی و بهمن و اسفند 1401 لحاظ شد</t>
  </si>
  <si>
    <t>اصل واریزی 800 هزار تومان بوده که برای ماه های خرداد و تیر 1402 لحاظ شد</t>
  </si>
  <si>
    <t>1402/04/07</t>
  </si>
  <si>
    <t>اصل واریزی 4 میلیون تومان بوده که برای ماه های فروردین و اردیبهشت و خرداد و تیر 1402 لحاظ شد</t>
  </si>
  <si>
    <t>1402/04/08</t>
  </si>
  <si>
    <t>1402/04/13</t>
  </si>
  <si>
    <t>علی اصغر</t>
  </si>
  <si>
    <t>1402/04/14</t>
  </si>
  <si>
    <t>6037997380534397</t>
  </si>
  <si>
    <t>1402/04/19</t>
  </si>
  <si>
    <t>1402/04/21</t>
  </si>
  <si>
    <t>610437886949674</t>
  </si>
  <si>
    <t>1402/04/22</t>
  </si>
  <si>
    <t>1402/04/25</t>
  </si>
  <si>
    <t>1402/04/10</t>
  </si>
  <si>
    <t>15010000-</t>
  </si>
  <si>
    <t>1402/04/11</t>
  </si>
  <si>
    <t>باز کردن حساب قرض الحسنه برای بنیاد</t>
  </si>
  <si>
    <t>1402/04/17</t>
  </si>
  <si>
    <t>1402/04/18</t>
  </si>
  <si>
    <t>واریز برای خانم عباسی جهت لوح تقدیر</t>
  </si>
  <si>
    <t>واریز هزینه برای خانم معصومیان</t>
  </si>
  <si>
    <t>واریز هزینه برای خانم نیرومند</t>
  </si>
  <si>
    <t>پرداخت هزینه بیمارستان یگانه عبدالله زاده به آقای فرشید</t>
  </si>
  <si>
    <t>هزینه اسنپ آتنا جر</t>
  </si>
  <si>
    <t>1402/04/27</t>
  </si>
  <si>
    <t>1402/04/28</t>
  </si>
  <si>
    <t>6221061219707819</t>
  </si>
  <si>
    <t>امیر مرادی</t>
  </si>
  <si>
    <t>1402/04/29</t>
  </si>
  <si>
    <t>6037997312916712</t>
  </si>
  <si>
    <t>1402/04/31</t>
  </si>
  <si>
    <t>5894631563315035</t>
  </si>
  <si>
    <t>1402/05/01</t>
  </si>
  <si>
    <t>پیام</t>
  </si>
  <si>
    <t>شاه رضائی</t>
  </si>
  <si>
    <t>5022291511398297</t>
  </si>
  <si>
    <t>6104337811368024</t>
  </si>
  <si>
    <t>تست های روانشناسی جهت بنیاد</t>
  </si>
  <si>
    <t>چاپ پوستر</t>
  </si>
  <si>
    <t>شیرینی برای بازدید</t>
  </si>
  <si>
    <t>اصل واریزی 1500000 تومان بوده است که برای ماه های اردیبهشت خرداد و تیر لحاظ گردید</t>
  </si>
  <si>
    <t>هزینه تعمیر تبلت اهدائی از کانادا</t>
  </si>
  <si>
    <t>1402/05/02</t>
  </si>
  <si>
    <t>1402/05/06</t>
  </si>
  <si>
    <t>1402/05/07</t>
  </si>
  <si>
    <t>1402/05/09</t>
  </si>
  <si>
    <t>6362141117350588</t>
  </si>
  <si>
    <t>1402/05/11</t>
  </si>
  <si>
    <t>1402/05/12</t>
  </si>
  <si>
    <t>61043389934864444</t>
  </si>
  <si>
    <t>5894631848058954</t>
  </si>
  <si>
    <t>6219861066703819</t>
  </si>
  <si>
    <t>1402/05/15</t>
  </si>
  <si>
    <t>1402/05/03</t>
  </si>
  <si>
    <t>1402/05/04</t>
  </si>
  <si>
    <t>1402/05/18</t>
  </si>
  <si>
    <t>پرداخت حقوق تیر ماه خانم پروانه عباسی</t>
  </si>
  <si>
    <t>هزینه ساخت مهر بنیاد</t>
  </si>
  <si>
    <t>افتتاح حساب پارسیان بنیاد</t>
  </si>
  <si>
    <t xml:space="preserve">خرید برنج بسته های معیشتی </t>
  </si>
  <si>
    <t>پرینت سربرگ رنگی بنیاد</t>
  </si>
  <si>
    <t>1402/05/13</t>
  </si>
  <si>
    <t>کارمزد بانک</t>
  </si>
  <si>
    <t>هزینه ثبت نام گزینه 2 زینب ادبی که برای خانم عباسی واریز شد</t>
  </si>
  <si>
    <t>هزینه کتاب کمک درسی نرگس علینژاد</t>
  </si>
  <si>
    <t>محمد امین</t>
  </si>
  <si>
    <t>حسین زاده</t>
  </si>
  <si>
    <t>1402/05/21</t>
  </si>
  <si>
    <t>6274121193079712</t>
  </si>
  <si>
    <t>1402/05/22</t>
  </si>
  <si>
    <t>1402/05/23</t>
  </si>
  <si>
    <t>1402/05/30</t>
  </si>
  <si>
    <t>1402/05/31</t>
  </si>
  <si>
    <t>1402/06/03</t>
  </si>
  <si>
    <t>افتتاح حساب</t>
  </si>
  <si>
    <t>جدید</t>
  </si>
  <si>
    <t>1402/05/17</t>
  </si>
  <si>
    <t>6274121169263647</t>
  </si>
  <si>
    <t>مهسا</t>
  </si>
  <si>
    <t>قربانزاده</t>
  </si>
  <si>
    <t>5859831100566818</t>
  </si>
  <si>
    <t>1402/05/19</t>
  </si>
  <si>
    <t>اشکان</t>
  </si>
  <si>
    <t>قریب</t>
  </si>
  <si>
    <t>6104337845440534</t>
  </si>
  <si>
    <t>1402/05/24</t>
  </si>
  <si>
    <t>1402/05/26</t>
  </si>
  <si>
    <t>**********</t>
  </si>
  <si>
    <t>1402/05/27</t>
  </si>
  <si>
    <t>6037997416809813</t>
  </si>
  <si>
    <t>6104337402601130</t>
  </si>
  <si>
    <t>1402/05/28</t>
  </si>
  <si>
    <t>1402/05/29</t>
  </si>
  <si>
    <t>6104337956006173</t>
  </si>
  <si>
    <t>1402/06/01</t>
  </si>
  <si>
    <t>1402/06/02</t>
  </si>
  <si>
    <t>6104337831398944</t>
  </si>
  <si>
    <t xml:space="preserve">سپیده </t>
  </si>
  <si>
    <t>میری حصاری</t>
  </si>
  <si>
    <t>6104337858714536</t>
  </si>
  <si>
    <t>کارمزد صدور کارت</t>
  </si>
  <si>
    <t>تمبر کارت مجازی</t>
  </si>
  <si>
    <t>تمبر مالیاتی انتقالی افتتاح حساب</t>
  </si>
  <si>
    <t>تمبر کارت حقوقی</t>
  </si>
  <si>
    <t>1402/06/04</t>
  </si>
  <si>
    <t>انتقال به کارت تنخواه</t>
  </si>
  <si>
    <t>کارمزد انتقال وجه</t>
  </si>
  <si>
    <t>**************</t>
  </si>
  <si>
    <t>شارژ دفتر</t>
  </si>
  <si>
    <t>اصل واریزی 5 میلیون تومان بوده که برای ماه های فروردین و اردیبهشت و خرداد و تیر و مرداد 1402 لحاظ شد</t>
  </si>
  <si>
    <t>1402/06/07</t>
  </si>
  <si>
    <t>1402/06/10</t>
  </si>
  <si>
    <t>سیدحسین</t>
  </si>
  <si>
    <t>میرسلیمی</t>
  </si>
  <si>
    <t>1402/06/12</t>
  </si>
  <si>
    <t>میرزایی</t>
  </si>
  <si>
    <t>یاسین</t>
  </si>
  <si>
    <t>1402/06/14</t>
  </si>
  <si>
    <t>1402/06/19</t>
  </si>
  <si>
    <t>1402/06/20</t>
  </si>
  <si>
    <t>فرانک</t>
  </si>
  <si>
    <t>فیضی</t>
  </si>
  <si>
    <t>1402/06/21</t>
  </si>
  <si>
    <t>6037997250314227</t>
  </si>
  <si>
    <t>1402/06/22</t>
  </si>
  <si>
    <t>1402/06/23</t>
  </si>
  <si>
    <t>1402/06/25</t>
  </si>
  <si>
    <t>فردین</t>
  </si>
  <si>
    <t>مقدم</t>
  </si>
  <si>
    <t>1402/06/26</t>
  </si>
  <si>
    <t>6219861935226554</t>
  </si>
  <si>
    <t>طاهره</t>
  </si>
  <si>
    <t>افشارپور</t>
  </si>
  <si>
    <t>6037691532810819</t>
  </si>
  <si>
    <t>تیموری</t>
  </si>
  <si>
    <t>6219861902829745</t>
  </si>
  <si>
    <t>نیما</t>
  </si>
  <si>
    <t>بلوکیان</t>
  </si>
  <si>
    <t>5022291073893347</t>
  </si>
  <si>
    <t>کیانا</t>
  </si>
  <si>
    <t>مولاپناه</t>
  </si>
  <si>
    <t>6219861932967333</t>
  </si>
  <si>
    <t>رخشی</t>
  </si>
  <si>
    <t>6362141056213326</t>
  </si>
  <si>
    <t>مظلوم</t>
  </si>
  <si>
    <t>سیده زهرا</t>
  </si>
  <si>
    <t>6104337512352806</t>
  </si>
  <si>
    <t>هلیا</t>
  </si>
  <si>
    <t>ارشادی راد</t>
  </si>
  <si>
    <t>5859831131402439</t>
  </si>
  <si>
    <t>1402/06/27</t>
  </si>
  <si>
    <t>سلیمانی</t>
  </si>
  <si>
    <t>6037997277895331</t>
  </si>
  <si>
    <t>1402/06/28</t>
  </si>
  <si>
    <t>1402/06/30</t>
  </si>
  <si>
    <t>6221061239336342</t>
  </si>
  <si>
    <t>1402/06/31</t>
  </si>
  <si>
    <t>1402/07/01</t>
  </si>
  <si>
    <t>6219861928717775</t>
  </si>
  <si>
    <t>مطهره</t>
  </si>
  <si>
    <t>یزدان طلب</t>
  </si>
  <si>
    <t>1402/07/03</t>
  </si>
  <si>
    <t>1402/07/04</t>
  </si>
  <si>
    <t>حسن</t>
  </si>
  <si>
    <t>گلستانی</t>
  </si>
  <si>
    <t>1402/07/05</t>
  </si>
  <si>
    <t>5022291308274941</t>
  </si>
  <si>
    <t>1402/07/06</t>
  </si>
  <si>
    <t>5022291029404083</t>
  </si>
  <si>
    <t>1402/07/08</t>
  </si>
  <si>
    <t>چک</t>
  </si>
  <si>
    <t>1402/07/10</t>
  </si>
  <si>
    <t>1402/07/19</t>
  </si>
  <si>
    <t>1402/07/22</t>
  </si>
  <si>
    <t>6104338642496927</t>
  </si>
  <si>
    <t>1402/07/24</t>
  </si>
  <si>
    <t>1402/07/25</t>
  </si>
  <si>
    <t>اصل واریزی 1 میلیون تومان بوده که برای ماه های تیر و مرداد و شهریور ومهر 1402 لحاظ شد</t>
  </si>
  <si>
    <t>اصل واریزی 2 میلیون تومان بوده که برای ماه های مرداد و شهریور 1402 لحاظ شد</t>
  </si>
  <si>
    <t>اصل واریزی 600 هزار تومان بوده که برای ماه های تیر و مرداد و شهریور 1402 لحاظ شد</t>
  </si>
  <si>
    <t>حقوق مرداد ماه خانم عباسی</t>
  </si>
  <si>
    <t>1402/06/08</t>
  </si>
  <si>
    <t>خرید لوازم تحریر ثنا پور دوران تربت جام</t>
  </si>
  <si>
    <t>بابت لوازم تحریر الهام صمدی</t>
  </si>
  <si>
    <t>خریدهای دفتر و ایاب ذهاب خانم عباسی</t>
  </si>
  <si>
    <t>بانک کسر کرده</t>
  </si>
  <si>
    <t>حقوق شهریور ماه خانم عباسی</t>
  </si>
  <si>
    <t>لباس فرم و لوازم هنر ثنا پور دوران تربت جام</t>
  </si>
  <si>
    <t>بابت خرید کیف و لوازم تحریر به اقای بامیری</t>
  </si>
  <si>
    <t>بابت خرید کارت هدیه دانش اموزان بورس حکمت به خانم عباسی</t>
  </si>
  <si>
    <t>خرید کتاب های اتنا جر واریز به کتابفروشی</t>
  </si>
  <si>
    <t>1402/07/12</t>
  </si>
  <si>
    <t>1402/07/17</t>
  </si>
  <si>
    <t>بابت هزینه نظافت دفتر و شارژ دفتر و لباس فرم بچه های خانم سروری به آقای مهندس فرشید که برای خانم عباسی واریز کردن</t>
  </si>
  <si>
    <t>هزینه چاپ رول اپ استند برای همایش</t>
  </si>
  <si>
    <t>بابت هزینه کتاب های الهام صمدی</t>
  </si>
  <si>
    <t>بابت هزینه کتاب های نرگس علینژاد</t>
  </si>
  <si>
    <t>ثبتنام سالن مطالعه الهام صمدی</t>
  </si>
  <si>
    <t>بابت خریدهای دفتر به خانم عباسی</t>
  </si>
  <si>
    <t>بابت هزینه کارت ویزیت و بروشور</t>
  </si>
  <si>
    <t>هزینه اگهی ترحیم</t>
  </si>
  <si>
    <t>1402/07/26</t>
  </si>
  <si>
    <t>ثنا پور دوران</t>
  </si>
  <si>
    <t>هدیه محمد پور جاغرق</t>
  </si>
  <si>
    <t>کوثر صفری</t>
  </si>
  <si>
    <t>حانیه دشتبانی</t>
  </si>
  <si>
    <t>فاطمه حیدرزاده</t>
  </si>
  <si>
    <t>سیده شقایق محمودی زاده</t>
  </si>
  <si>
    <t>مائده وفای فرخانی</t>
  </si>
  <si>
    <t>فرزانه خوشگفتار</t>
  </si>
  <si>
    <t>فرخنده خوشگفتار</t>
  </si>
  <si>
    <t>ریحانه منفردی</t>
  </si>
  <si>
    <t>احمد خاوری عدل</t>
  </si>
  <si>
    <t>صادق نجمی</t>
  </si>
  <si>
    <t>امیرحسین محمدزاده</t>
  </si>
  <si>
    <t>امیرحسین مودب</t>
  </si>
  <si>
    <t>متین شاملی</t>
  </si>
  <si>
    <t>امیر پارسا قویدل</t>
  </si>
  <si>
    <t>محمدسجاد طوسی گروهی</t>
  </si>
  <si>
    <t>امیرحسین بنا زاده</t>
  </si>
  <si>
    <t>محمد امین تاتاری</t>
  </si>
  <si>
    <t>فاطمه سادات سلطانی</t>
  </si>
  <si>
    <t>سحر خادم حقیقی</t>
  </si>
  <si>
    <t>سارینا داوری</t>
  </si>
  <si>
    <t>ثمین اکبری شاندیز</t>
  </si>
  <si>
    <t>ماهیانه</t>
  </si>
  <si>
    <t>موردی</t>
  </si>
  <si>
    <t>مرحمی</t>
  </si>
  <si>
    <t>بابت گل ریزان لوازم تحریر اول مهر</t>
  </si>
  <si>
    <t>1402/07/28</t>
  </si>
  <si>
    <t>1402/07/30</t>
  </si>
  <si>
    <t>1402/08/01</t>
  </si>
  <si>
    <t>1402/08/02</t>
  </si>
  <si>
    <t>1402/08/03</t>
  </si>
  <si>
    <t>5894631118200740</t>
  </si>
  <si>
    <t>1402/08/04</t>
  </si>
  <si>
    <t>0000</t>
  </si>
  <si>
    <t>1402/08/06</t>
  </si>
  <si>
    <t>1402/08/07</t>
  </si>
  <si>
    <t>1402/08/10</t>
  </si>
  <si>
    <t>6037991771590159</t>
  </si>
  <si>
    <t>1402/08/14</t>
  </si>
  <si>
    <t>1402/08/15</t>
  </si>
  <si>
    <t>1402/08/16</t>
  </si>
  <si>
    <t>1402/08/17</t>
  </si>
  <si>
    <t>1402/08/19</t>
  </si>
  <si>
    <t>1402/08/20</t>
  </si>
  <si>
    <t>1402/08/21</t>
  </si>
  <si>
    <t>1402/08/22</t>
  </si>
  <si>
    <t>1402/08/24</t>
  </si>
  <si>
    <t>1402/08/26</t>
  </si>
  <si>
    <t>1402/08/29</t>
  </si>
  <si>
    <t>6037697598049573</t>
  </si>
  <si>
    <t>6104337614201166</t>
  </si>
  <si>
    <t>نهال</t>
  </si>
  <si>
    <t>نفر</t>
  </si>
  <si>
    <t>1402/09/01</t>
  </si>
  <si>
    <t>1402/09/04</t>
  </si>
  <si>
    <t>0000000</t>
  </si>
  <si>
    <t>1402/09/05</t>
  </si>
  <si>
    <t>چکامک</t>
  </si>
  <si>
    <t>کریمی</t>
  </si>
  <si>
    <t>پایا</t>
  </si>
  <si>
    <t>6221061226893693</t>
  </si>
  <si>
    <t>1402/09/06</t>
  </si>
  <si>
    <t>1402/09/11</t>
  </si>
  <si>
    <t>6037998216845387</t>
  </si>
  <si>
    <t>1402/09/15</t>
  </si>
  <si>
    <t>1402/09/18</t>
  </si>
  <si>
    <t>1402/09/19</t>
  </si>
  <si>
    <t>1402/09/21</t>
  </si>
  <si>
    <t>1402/09/28</t>
  </si>
  <si>
    <t>1402/09/29</t>
  </si>
  <si>
    <t>1402/09/30</t>
  </si>
  <si>
    <t>5894631134330836</t>
  </si>
  <si>
    <t>شارژ ماهانه دفتر</t>
  </si>
  <si>
    <t>بسته معیشتی ماهانه ثنا پور دوران</t>
  </si>
  <si>
    <t>حقوق خانم عباسی</t>
  </si>
  <si>
    <t>بابت خرید کتاب های الهام صمدی و سحر محمدعلی نژاد</t>
  </si>
  <si>
    <t xml:space="preserve">خرید کارت هدیه </t>
  </si>
  <si>
    <t xml:space="preserve">هزینه جزوه الهام صمدی </t>
  </si>
  <si>
    <t>ماتفاوت هزینه تعویض کتابهای الهام صمدی</t>
  </si>
  <si>
    <t>1402/09/25</t>
  </si>
  <si>
    <t>هزینه پیک و خریدهای شرکت</t>
  </si>
  <si>
    <t>بابت هزینه ثبت نام المپیاد الهام صمدی</t>
  </si>
  <si>
    <t>1402/09/27</t>
  </si>
  <si>
    <t>1402/10/03</t>
  </si>
  <si>
    <t>1402/10/09</t>
  </si>
  <si>
    <t>1402/10/10</t>
  </si>
  <si>
    <t>1402/10/16</t>
  </si>
  <si>
    <t>ایاب و ذهاب و خرید و شارژ سیم کارت خانم عباسی</t>
  </si>
  <si>
    <t>خرید کتاب ها و لوازم ثنا پور دوران</t>
  </si>
  <si>
    <t>کسر بانک</t>
  </si>
  <si>
    <t>1402/10/01</t>
  </si>
  <si>
    <t>1402/10/02</t>
  </si>
  <si>
    <t>1402/10/04</t>
  </si>
  <si>
    <t>1402/10/06</t>
  </si>
  <si>
    <t>1402/10/11</t>
  </si>
  <si>
    <t>5029381036136646</t>
  </si>
  <si>
    <t>1402/10/12</t>
  </si>
  <si>
    <t>1402/10/15</t>
  </si>
  <si>
    <t>6362141808896493</t>
  </si>
  <si>
    <t>1402/10/18</t>
  </si>
  <si>
    <t>5859831225218022</t>
  </si>
  <si>
    <t>1402/10/19</t>
  </si>
  <si>
    <t>1402/10/20</t>
  </si>
  <si>
    <t>1402/10/22</t>
  </si>
  <si>
    <t>1402/10/23</t>
  </si>
  <si>
    <t>5892101388379188</t>
  </si>
  <si>
    <t>1402/10/24</t>
  </si>
  <si>
    <t>1402/10/29</t>
  </si>
  <si>
    <t>هومن</t>
  </si>
  <si>
    <t>طهرانی</t>
  </si>
  <si>
    <t>5859831219339842</t>
  </si>
  <si>
    <t>1402/11/01</t>
  </si>
  <si>
    <t>1402/11/03</t>
  </si>
  <si>
    <t>1402/11/04</t>
  </si>
  <si>
    <t>1402/11/05</t>
  </si>
  <si>
    <t>1402/11/08</t>
  </si>
  <si>
    <t>1402/11/10</t>
  </si>
  <si>
    <t>1402/11/15</t>
  </si>
  <si>
    <t>1402/11/17</t>
  </si>
  <si>
    <t>1402/11/18</t>
  </si>
  <si>
    <t>5029381037672045</t>
  </si>
  <si>
    <t>1402/11/22</t>
  </si>
  <si>
    <t>اصل واریزی 1500 هزار تومان بوده که برای ماه های دی و بهمن و اسفند لحاظ گردید.</t>
  </si>
  <si>
    <t>اصل واریزی 1500 هزار تومان بوده که برای ماه های مهر و ابان و اذر لحاظ گردید.</t>
  </si>
  <si>
    <t>اصل واریزی10  میلیون تومان بوده که برای ماه های مهر و شهریور 1402 لحاظ شد</t>
  </si>
  <si>
    <t>اصل واریزی 2500 بوده که برای ماه های آبان و اذر و دی و بهمن و اسفند لحاظ گردید.</t>
  </si>
  <si>
    <t>اصل واریزی 1500 بوده که برای ماه های شهریور و مهر و ابان لحاظ گردید</t>
  </si>
  <si>
    <t>اصل واریزی 2 میلیون بوده برای ماههای آبان و آذر و دی و بهمن</t>
  </si>
  <si>
    <t xml:space="preserve">. </t>
  </si>
  <si>
    <t xml:space="preserve">کمک هزینه ماهانه ثنا پور دوران </t>
  </si>
  <si>
    <t xml:space="preserve">پاداش خانم عباسی </t>
  </si>
  <si>
    <t>بابت هزینه کلاس های تقویتی دانش اموزان به مدرسه حضرت خدیجه</t>
  </si>
  <si>
    <t>1402/08/13</t>
  </si>
  <si>
    <t>خرید مرغ برای خانم مروی و پرینت معرفی نامه های جلسه و چای دفتر</t>
  </si>
  <si>
    <t>بابت هزینه کتاب و درس کار و فناوری ثنا پور دوران</t>
  </si>
  <si>
    <t>نظافت دفتر</t>
  </si>
  <si>
    <t>بسته معبشتی خانواده مروی به حساب خانم عباسی</t>
  </si>
  <si>
    <t>1402/08/27</t>
  </si>
  <si>
    <t>1402/08/30</t>
  </si>
  <si>
    <t>خرید پوشک برای خانواده مروی</t>
  </si>
  <si>
    <t>پماد سوختگی برای بچه خانواده مروی</t>
  </si>
  <si>
    <t xml:space="preserve">خرید کارت هدیه بورس حکمت </t>
  </si>
  <si>
    <t>کمک هزینه تحصیلی ماهانه ثنا پور دوران</t>
  </si>
  <si>
    <t>خرید اب معدنی و چای به حساب خانم عباسی</t>
  </si>
  <si>
    <t>1402/10/26</t>
  </si>
  <si>
    <t>خرید بسته معیشتی خانواده مروی و ایاب ذهاب خانم عباسی</t>
  </si>
  <si>
    <t>1402/11/11</t>
  </si>
  <si>
    <t>ایاب ذهاب خانم عباسی</t>
  </si>
  <si>
    <t>1402/11/24</t>
  </si>
  <si>
    <t>هزینه سالن مطالعه الهام صمدی</t>
  </si>
  <si>
    <t>1402/11/28</t>
  </si>
  <si>
    <t>شارژ سیم کارت و خرید اینترنت</t>
  </si>
  <si>
    <t>خرید اب معدنی و قند به حساب خانم عباسی</t>
  </si>
  <si>
    <t>1402/11/23</t>
  </si>
  <si>
    <t>6104337592048191</t>
  </si>
  <si>
    <t>5029381043451491</t>
  </si>
  <si>
    <t>1402/11/25</t>
  </si>
  <si>
    <t>احمدرضا</t>
  </si>
  <si>
    <t>بختیاری</t>
  </si>
  <si>
    <t>1402/11/26</t>
  </si>
  <si>
    <t>1402/11/27</t>
  </si>
  <si>
    <t>1402/11/29</t>
  </si>
  <si>
    <t>1402/11/30</t>
  </si>
  <si>
    <t>1402/12/01</t>
  </si>
  <si>
    <t>5022291041739010</t>
  </si>
  <si>
    <t xml:space="preserve">پوریا </t>
  </si>
  <si>
    <t>شایگان</t>
  </si>
  <si>
    <t>1402/12/02</t>
  </si>
  <si>
    <t>1402/12/03</t>
  </si>
  <si>
    <t>1402/12/04</t>
  </si>
  <si>
    <t>1402/12/05</t>
  </si>
  <si>
    <t>6274881117792746</t>
  </si>
  <si>
    <t>1402/12/09</t>
  </si>
  <si>
    <t>1402/12/10</t>
  </si>
  <si>
    <t>1402/12/11</t>
  </si>
  <si>
    <t>1402/12/12</t>
  </si>
  <si>
    <t>1402/12/13</t>
  </si>
  <si>
    <t>1402/12/15</t>
  </si>
  <si>
    <t>صدیقی مهری</t>
  </si>
  <si>
    <t>1402/12/17</t>
  </si>
  <si>
    <t>1402/12/19</t>
  </si>
  <si>
    <t>اصل مبلغ 2 میلیون بوده که برای تسویه بنگاه مرکز مشاوره شماره 2 پرداخت شده</t>
  </si>
  <si>
    <t>اصل مبلغ 8 میلیون بوده که برای ماه های مرداد تا اسفند لحاظ شد</t>
  </si>
  <si>
    <t>1402/12/23</t>
  </si>
  <si>
    <t>1402/12/24</t>
  </si>
  <si>
    <t>بسته معیشتی خانواده مروی به حساب خانم عباسی</t>
  </si>
  <si>
    <t>1402/12/26</t>
  </si>
  <si>
    <t>1402/12/27</t>
  </si>
  <si>
    <t>سپیده سادات</t>
  </si>
  <si>
    <t>سلطانی</t>
  </si>
  <si>
    <t>1402/12/28</t>
  </si>
  <si>
    <t>6104337534327489</t>
  </si>
  <si>
    <t>علی رضا</t>
  </si>
  <si>
    <t>سرشار</t>
  </si>
  <si>
    <t>6274121206249765</t>
  </si>
  <si>
    <t>1402/12/29</t>
  </si>
  <si>
    <t>جنتی</t>
  </si>
  <si>
    <t>6037998287820020</t>
  </si>
  <si>
    <t xml:space="preserve">جلال </t>
  </si>
  <si>
    <t>نصیری</t>
  </si>
  <si>
    <t>6221061067393001</t>
  </si>
  <si>
    <t>فائزه</t>
  </si>
  <si>
    <t>6037697577948844</t>
  </si>
  <si>
    <t>6037697658626475</t>
  </si>
  <si>
    <t>5892101203346230</t>
  </si>
  <si>
    <t>هزینه سالن مطالعه الهام صمدی فروردین و اردیبهشت</t>
  </si>
  <si>
    <t>ایاب و ذهاب و کارمزد بانک جهت کارت های هدیه برای خانم عباسی</t>
  </si>
  <si>
    <t>هزینه سالن مطالعه فاطمه سادات سلطانی</t>
  </si>
  <si>
    <t>خرید آب معدنی و شارژ سیم کارت خانم عباسی</t>
  </si>
  <si>
    <t>کل واریزی 1403</t>
  </si>
  <si>
    <t>کل واریزی 1404</t>
  </si>
  <si>
    <t>1403/01/30</t>
  </si>
  <si>
    <t>1403/01/27</t>
  </si>
  <si>
    <t>1403/01/26</t>
  </si>
  <si>
    <t>1403/01/25</t>
  </si>
  <si>
    <t>1403/01/19</t>
  </si>
  <si>
    <t>1403/01/14</t>
  </si>
  <si>
    <t>1403/01/10</t>
  </si>
  <si>
    <t>1403/01/05</t>
  </si>
  <si>
    <t>1403/01/04</t>
  </si>
  <si>
    <t>1403/01/31</t>
  </si>
  <si>
    <t>بهروز خباز ترشیزی</t>
  </si>
  <si>
    <t>1403/02/01</t>
  </si>
  <si>
    <t>1403/02/04</t>
  </si>
  <si>
    <t>1403/02/08</t>
  </si>
  <si>
    <t>1403/02/09</t>
  </si>
  <si>
    <t>1403/02/12</t>
  </si>
  <si>
    <t>1403/02/16</t>
  </si>
  <si>
    <t>1403/02/19</t>
  </si>
  <si>
    <t>1403/02/23</t>
  </si>
  <si>
    <t>1403/02/29</t>
  </si>
  <si>
    <t>6037</t>
  </si>
  <si>
    <t>1403/02/31</t>
  </si>
  <si>
    <t>1403/03/01</t>
  </si>
  <si>
    <t>1403/03/02</t>
  </si>
  <si>
    <t>1403/03/03</t>
  </si>
  <si>
    <t>1403/03/04</t>
  </si>
  <si>
    <t>خرید قاب پروانه تاسیس</t>
  </si>
  <si>
    <t>خرید پوشک برای دختر خانواده مروی</t>
  </si>
  <si>
    <t>1403/01/15</t>
  </si>
  <si>
    <t>1403/02/02</t>
  </si>
  <si>
    <t>1403/03/05</t>
  </si>
  <si>
    <t>1403/03/06</t>
  </si>
  <si>
    <t>1403/03/09</t>
  </si>
  <si>
    <t>1403/03/11</t>
  </si>
  <si>
    <t>6037997425257616</t>
  </si>
  <si>
    <t>بهجت</t>
  </si>
  <si>
    <t>نیری</t>
  </si>
  <si>
    <t>1403/03/12</t>
  </si>
  <si>
    <t>1403/03/19</t>
  </si>
  <si>
    <t>1403/03/20</t>
  </si>
  <si>
    <t>1403/03/21</t>
  </si>
  <si>
    <t>1403/03/23</t>
  </si>
  <si>
    <t>1403/03/28</t>
  </si>
  <si>
    <t>محمد جواد محمدرضا رستم بیک</t>
  </si>
  <si>
    <t>بازپرداخت وام</t>
  </si>
  <si>
    <t>آقای شخصی خازنی</t>
  </si>
  <si>
    <t>مریم محمدپور</t>
  </si>
  <si>
    <t>کربنات سدیم کاوه</t>
  </si>
  <si>
    <t>شرکت مهد سازان طوس - اصل واریزی مبلغ 10 میلیون تومان بوده است که در کل سال تقسیم شده</t>
  </si>
  <si>
    <t>اصل واریزی مبلغ 1 میلیون تومان بوده که برای ماه های مهر و آبان لحاظ شده</t>
  </si>
  <si>
    <t>اصل واریزی مبلغ 3 میلیون بوده که برای ماه های آذر و دی و بهمن و اسفند و فروردین و اردیبهشت لحاظ شده</t>
  </si>
  <si>
    <t>واریزی از طرف مهندس علمی</t>
  </si>
  <si>
    <t>1403/02/10</t>
  </si>
  <si>
    <t>هزینه ثبت نام کتاب های سال جدید الهام صمدی</t>
  </si>
  <si>
    <t>هزینه ثبت نام کتاب های سال جدید ملیکا نماز</t>
  </si>
  <si>
    <t>خرید مرغ برای خانواده مروی</t>
  </si>
  <si>
    <t>خرید آب معدنی و چای کیسه ای برای دفتر</t>
  </si>
  <si>
    <t>هزینه ایاب ذهاب کلاس های کمک آموزشی ثنا پور دوران</t>
  </si>
  <si>
    <t>زهرا مروی</t>
  </si>
  <si>
    <t>نوید مختاریه</t>
  </si>
  <si>
    <t>خرید پوشک برای زهرا مروی</t>
  </si>
  <si>
    <t>1403/03/07</t>
  </si>
  <si>
    <t xml:space="preserve">بابت اضافه حقوق فروردین ماه خانم عباسی - قبلا 4 میلیون واریز شده </t>
  </si>
  <si>
    <t>هزینه داروهای زهرا مروی</t>
  </si>
  <si>
    <t xml:space="preserve">حقوق خانم عباسی اردیبهشت ماه </t>
  </si>
  <si>
    <t>هزینه سالن مطالعه الهام صمدی خرداد و تیرماه</t>
  </si>
  <si>
    <t>بابت ایاب ذهاب و شارژ سیم کارت بنیاد</t>
  </si>
  <si>
    <t>هزینه ثبت نام کتاب های سال جدید ثنا پور دوران</t>
  </si>
  <si>
    <t>هزینه دکتر زهرا مروی</t>
  </si>
  <si>
    <t xml:space="preserve">بابت هزینه کمک تحصیلی ثنا پور دوران </t>
  </si>
  <si>
    <t xml:space="preserve">شارژ دفتر خرداد ماه </t>
  </si>
  <si>
    <t>هزینه دکتر نوید مختاریه</t>
  </si>
  <si>
    <t>هزینه خرید مرغ برای زهرا مروی و ویزیت دکتر نوید مختاریه</t>
  </si>
  <si>
    <t>خرید های دفتر</t>
  </si>
  <si>
    <t>هزینه بیمه مدرسه ملیکا نماز</t>
  </si>
  <si>
    <t>1403/03/29</t>
  </si>
  <si>
    <t>هزینه تعمیر پرینتر</t>
  </si>
  <si>
    <t>خرید قاب لوح تقدیرهای مدیران</t>
  </si>
  <si>
    <t>خرید پاکت های دعوتنامه های مدیران</t>
  </si>
  <si>
    <t>هزینه چاپ لوح تقدیرهای مدیران مدارس</t>
  </si>
  <si>
    <t>هزینه چاپ دعوتنامه مدیران مدارس</t>
  </si>
  <si>
    <t>1403/03/30</t>
  </si>
  <si>
    <t>خرید پوشک برای نوید مختاریه</t>
  </si>
  <si>
    <t>5859831148319162</t>
  </si>
  <si>
    <t>اصل واریزی مبلغ 3740000 تومان بوده که برای ماه های مرداد و شهریور و مهر لحاظ شد</t>
  </si>
  <si>
    <t>اصل واریزی مبلغ 3 میلیون تومان بوده که برای ماه های آبان و آذر و دی لحاظ گردید</t>
  </si>
  <si>
    <t>اصل مبلغ 3 میلیون تومان بوده که برای ماه های بهمن و اسفند 1402 و فروردین 1403 لحاظ گردید</t>
  </si>
  <si>
    <t>اصل واریزی 3000000 تومان بوده که برای ماه های مرداد و خرداد و تیر 1402 لحاظ شد</t>
  </si>
  <si>
    <t>اصل واریزی مبلغ 3740000 تومان بوده که برای ماه های اسفند و شهریور و مهر لحاظ شد</t>
  </si>
  <si>
    <t>اصل واریزی مبلغ 5 میلیون بوده که برای ماه های اسفند و اردیبهشت و خرداد لحاظ گردید</t>
  </si>
  <si>
    <t>اصل واریزی مبلغ 3 میلیون تومان بوده که برای ماه های اردیبهشت و تیر لحاظ گردید</t>
  </si>
  <si>
    <t>اصل واریزی مبلغ 1800 بوده که برای ماه های مهر تا اسفند 1402 و فروردین و اردیبهشت و خرداد 1403 لحاظ شد</t>
  </si>
  <si>
    <t>بورس حکمت متین شاملی خرداد ماه 1403</t>
  </si>
  <si>
    <t>بورس حکمت محمدسجاد طوسی خرداد ماه 1403</t>
  </si>
  <si>
    <t>بورس حکمت ثمین اکبری شاندیز خرداد ماه 1403</t>
  </si>
  <si>
    <t>بورس حکمت ریحانه منفردی خرداد ماه 1403</t>
  </si>
  <si>
    <t>بورس حکمت کوثر صفری خرداد ماه 1403</t>
  </si>
  <si>
    <t>بورس حکمت فرخنده خوش گفتار خرداد ماه 1403</t>
  </si>
  <si>
    <t>بورس حکمت فرزانه خوش گفتار خرداد ماه 1403</t>
  </si>
  <si>
    <t>بورس حکمت احمد خاوری عدل خرداد ماه 1403</t>
  </si>
  <si>
    <t>بورس حکمت امیرحسین مودب خرداد ماه 1403</t>
  </si>
  <si>
    <t>بورس حکمت سحر خادم حقیقی خرداد ماه 1403</t>
  </si>
  <si>
    <t>بورس حکمت فاطمه سادات سلطانی خرداد ماه 1403</t>
  </si>
  <si>
    <t>بورس حکمت هدیه محمدپور خرداد ماه 1403</t>
  </si>
  <si>
    <t>بورس حکمت صادق نجمی خرداد ماه 1403</t>
  </si>
  <si>
    <t>بورس حکمت مائده وفای خرداد ماه 1403</t>
  </si>
  <si>
    <t>بورس حکمت امیرحسین محمدزاده خرداد ماه 1403</t>
  </si>
  <si>
    <t>بورس حکمت محمد امین تاتاری خرداد ماه 1403</t>
  </si>
  <si>
    <t>بورس حکمت امیرپارسا قویدل خرداد ماه 1403</t>
  </si>
  <si>
    <t>بورس حکمت سارینا داوری خرداد ماه 1403</t>
  </si>
  <si>
    <t>بورس حکمت حانیه دشتبانی  خرداد ماه 1403</t>
  </si>
  <si>
    <t>بورس حکمت فاطمه حیدرزاده خرداد ماه 1403</t>
  </si>
  <si>
    <t>بورس حکمت بهروز خباز ترشیزی خرداد ماه 1403</t>
  </si>
  <si>
    <t>بورس حکمت امیرحسین بنا زاده خرداد ماه 1403</t>
  </si>
  <si>
    <t>بورس حکمت سارینا داوری اردیبهشت ماه 1403</t>
  </si>
  <si>
    <t>بورس حکمت فاطمه حیدرزاده اردیبهشت ماه 1403</t>
  </si>
  <si>
    <t>بورس حکمت بهروز خباز ترشیزی اردیبهشت ماه 1403</t>
  </si>
  <si>
    <t>بورس حکمت امیرحسین بنا زاده اردیبهشت ماه 1403</t>
  </si>
  <si>
    <t>بورس حکمت ثمین اکبری شاندیز اردیبهشت ماه 1403</t>
  </si>
  <si>
    <t>بورس حکمت ریحانه منفردی اردیبهشت ماه 1403</t>
  </si>
  <si>
    <t>بورس حکمت کوثر صفری اردیبهشت ماه 1403</t>
  </si>
  <si>
    <t>بورس حکمت فرخنده خوش گفتار اردیبهشت ماه 1403</t>
  </si>
  <si>
    <t>بورس حکمت فرزانه خوش گفتار اردیبهشت ماه 1403</t>
  </si>
  <si>
    <t>بورس حکمت احمد خاوری عدل اردیبهشت ماه 1403</t>
  </si>
  <si>
    <t>بورس حکمت امیرحسین مودب اردیبهشت ماه 1403</t>
  </si>
  <si>
    <t>بورس حکمت سحر خادم حقیقی اردیبهشت ماه 1403</t>
  </si>
  <si>
    <t>بورس حکمت فاطمه سادات سلطانی اردیبهشت ماه 1403</t>
  </si>
  <si>
    <t>بورس حکمت هدیه محمدپور اردیبهشت ماه 1403</t>
  </si>
  <si>
    <t>بورس حکمت صادق نجمی اردیبهشت ماه 1403</t>
  </si>
  <si>
    <t>بورس حکمت مائده وفای اردیبهشت ماه 1403</t>
  </si>
  <si>
    <t>بورس حکمت امیرحسین محمدزاده اردیبهشت ماه 1403</t>
  </si>
  <si>
    <t>بورس حکمت محمد امین تاتاری اردیبهشت ماه 1403</t>
  </si>
  <si>
    <t>بورس حکمت امیرپارسا قویدل اردیبهشت ماه 1403</t>
  </si>
  <si>
    <t>بورس حکمت متین شاملی اردیبهشت ماه 1403</t>
  </si>
  <si>
    <t>بورس حکمت سارینا داوری فروردین ماه 1403</t>
  </si>
  <si>
    <t>بورس حکمت حانیه دشتبانی  فروردین ماه 1403</t>
  </si>
  <si>
    <t>بورس حکمت فاطمه حیدرزاده فروردین ماه 1403</t>
  </si>
  <si>
    <t>بورس حکمت بهروز خباز ترشیزی فروردین ماه 1403</t>
  </si>
  <si>
    <t>بورس حکمت امیرحسین بنا زاده فروردین ماه 1403</t>
  </si>
  <si>
    <t>بورس حکمت ثمین اکبری شاندیز فروردین ماه 1403</t>
  </si>
  <si>
    <t>بورس حکمت ریحانه منفردی فروردین ماه 1403</t>
  </si>
  <si>
    <t>بورس حکمت کوثر صفری فروردین ماه 1403</t>
  </si>
  <si>
    <t>بورس حکمت فرزانه خوش گفتار فروردین ماه 1403</t>
  </si>
  <si>
    <t>بورس حکمت فرخنده خوش گفتار فروردین ماه 1403</t>
  </si>
  <si>
    <t>بورس حکمت احمد خاوری عدل فروردین ماه 1403</t>
  </si>
  <si>
    <t>بورس حکمت امیرحسین مودب فروردین ماه 1403</t>
  </si>
  <si>
    <t>بورس حکمت سحر خادم حقیقی فروردین ماه 1403</t>
  </si>
  <si>
    <t>بورس حکت فاطمه سادات سلطانی فروردین ماه 1403</t>
  </si>
  <si>
    <t>بورس حکمت هدیه محمدپور فروردین ماه 1403</t>
  </si>
  <si>
    <t>بورس حکمت صادق نجمی فروردین ماه 1403</t>
  </si>
  <si>
    <t>بورس حکمت مائده وفای فروردین ماه 1403</t>
  </si>
  <si>
    <t>بورس حکمت امیرحسین محمدزاده فروردین ماه 1403</t>
  </si>
  <si>
    <t>بورس حکمت محمد امین تاتاری فروردین ماه 1403</t>
  </si>
  <si>
    <t>بورس حکمت امیرپارسا قویدل فروردین ماه 1403</t>
  </si>
  <si>
    <t>بورس حکمت متین شاملی فروردین ماه 1403</t>
  </si>
  <si>
    <t>بورس حکمت سارینا داوری اسفند 1402</t>
  </si>
  <si>
    <t>بورس حکمت حانیه دشتبانی اسفند 1402</t>
  </si>
  <si>
    <t>بورس حکمت فاطمه حیدرزاده اسفند 1402</t>
  </si>
  <si>
    <t>بورس حکمت بهروز خباز ترشیزی اسفند 1402</t>
  </si>
  <si>
    <t>بورس حکمت امیرحسین بنا زاده اسفند 1402</t>
  </si>
  <si>
    <t>بورس حکمت ثمین اکبری شاندیز اسفند 1402</t>
  </si>
  <si>
    <t>بورس حکمت ریحانه منفردی اسفند 1402</t>
  </si>
  <si>
    <t>بورس حکمت کوثر صفری اسفند 1402</t>
  </si>
  <si>
    <t>بورس حکمت فرزانه خوش گفتار اسفند 1402</t>
  </si>
  <si>
    <t>بورس حکمت فرخنده خوش گفتار اسفند 1402</t>
  </si>
  <si>
    <t>بورس حکمت احمد خاوری عدل اسفند 1402</t>
  </si>
  <si>
    <t>بورس حکمت امیرحسین مودب اسفند 1402</t>
  </si>
  <si>
    <t>بورس حکمت سحر خادم حقیقی اسفند 1402</t>
  </si>
  <si>
    <t>بورس حکت فاطمه سادات سلطانی اسفند 1402</t>
  </si>
  <si>
    <t>بورس حکمت هدیه محمدپور اسفند 1402</t>
  </si>
  <si>
    <t>بورس حکمت صادق نجمی اسفند 1402</t>
  </si>
  <si>
    <t>بورس حکمت مائده وفای اسفند 1402</t>
  </si>
  <si>
    <t>بورس حکمت امیرحسین محمدزاده اسفند 1402</t>
  </si>
  <si>
    <t>بورس حکمت محمد امین تاتاری اسفند 1402</t>
  </si>
  <si>
    <t>بورس حکمت امیرپارسا قویدل اسفند 1402</t>
  </si>
  <si>
    <t>بورس حکمت متین شاملی اسفند 1402</t>
  </si>
  <si>
    <t>خرید کارت هدیه بورس حکمت محمد سجاد طوسی گروهی اسفند 1402</t>
  </si>
  <si>
    <t>خرید کارت هدیه بورس حکمت شقایق محمودی زاده اسفند 1402</t>
  </si>
  <si>
    <t>کمک هزینه تحصیلی ماهانه ثنا پور دوران اسفند 1402</t>
  </si>
  <si>
    <t>بورس حکمت امیرحسین بنا زاده بهمن 1402</t>
  </si>
  <si>
    <t>بورس حکمت بهروز خباز ترشیزی بهمن 1402</t>
  </si>
  <si>
    <t>بورس حکمت فاطمه حیدرزاده بهمن 1402</t>
  </si>
  <si>
    <t>بورس حکمت حانیه دشتبانی  بهمن 1402</t>
  </si>
  <si>
    <t>بورس حکمت سارینا داوری بهمن 1402</t>
  </si>
  <si>
    <t>بورس حکمت ثمین اکبری شاندیز بهمن 1402</t>
  </si>
  <si>
    <t>بورس حکمت ریحانه منفردی بهمن 1402</t>
  </si>
  <si>
    <t>بورس حکمت کوثر صفری بهمن 1402</t>
  </si>
  <si>
    <t>بورس حکمت فرزانه خوش گفتار بهمن 1402</t>
  </si>
  <si>
    <t>بورس حکمت فرخنده خوش گفتار بهمن 1402</t>
  </si>
  <si>
    <t>بورس حکمت احمد خاوری عدل بهمن 1402</t>
  </si>
  <si>
    <t>بورس حکمت امیرحسین مودب بهمن 1402</t>
  </si>
  <si>
    <t>بورس حکمت سحر خادم حقیقی بهمن 1402</t>
  </si>
  <si>
    <t>بورس حکت فاطمه سادات سلطانی بهمن 1402</t>
  </si>
  <si>
    <t>بورس حکمت هدیه محمدپور بهمن 1402</t>
  </si>
  <si>
    <t>بورس حکمت صادق نجمی بهمن 1402</t>
  </si>
  <si>
    <t>بورس حکمت مائده وفای بهمن 1402</t>
  </si>
  <si>
    <t>بورس حکمت امیرحسین محمدزاده بهمن 1402</t>
  </si>
  <si>
    <t>بورس حکمت محمد امین تاتاری بهمن 1402</t>
  </si>
  <si>
    <t>بورس حکمت امیرپارسا قویدل بهمن 1402</t>
  </si>
  <si>
    <t>بورس حکمت متین شاملی بهمن 1402</t>
  </si>
  <si>
    <t>بورس حکمت امیرحسین بنا زاده دی 1402</t>
  </si>
  <si>
    <t>بورس حکمت بهروز خباز ترشیزی دی 1402</t>
  </si>
  <si>
    <t>بورس حکمت فاطمه حیدرزاده دی 1402</t>
  </si>
  <si>
    <t>بورس حکمت حانیه دشتبانی  دی 1402</t>
  </si>
  <si>
    <t>بورس حکمت سارینا داوری دی 1402</t>
  </si>
  <si>
    <t>بورس حکمت ثمین اکبری شاندیز دی 1402</t>
  </si>
  <si>
    <t>بورس حکمت ریحانه منفردی دی 1402</t>
  </si>
  <si>
    <t>بورس حکمت کوثر صفری دی 1402</t>
  </si>
  <si>
    <t>بورس حکمت فرزانه خوش گفتار دی 1402</t>
  </si>
  <si>
    <t>بورس حکمت فرخنده خوش گفتار دی 1402</t>
  </si>
  <si>
    <t>بورس حکمت احمد خاوری عدل دی 1402</t>
  </si>
  <si>
    <t>بورس حکمت امیرحسین مودب دی 1402</t>
  </si>
  <si>
    <t>بورس حکمت سحر خادم حقیقی دی 1402</t>
  </si>
  <si>
    <t>بورس حکت فاطمه سادات سلطانی دی 1402</t>
  </si>
  <si>
    <t>بورس حکمت هدیه محمدپور دی 1402</t>
  </si>
  <si>
    <t>بورس حکمت صادق نجمی دی 1402</t>
  </si>
  <si>
    <t>بورس حکمت مائده وفای دی 1402</t>
  </si>
  <si>
    <t>بورس حکمت امیرحسین محمدزاده دی 1402</t>
  </si>
  <si>
    <t>بورس حکمت محمد امین تاتاری دی 1402</t>
  </si>
  <si>
    <t>بورس حکمت امیرپارسا قویدل دی 1402</t>
  </si>
  <si>
    <t>بورس حکمت متین شاملی دی 1402</t>
  </si>
  <si>
    <t>بورس حکمت ثمین اکبری شاندیز آذر 1402</t>
  </si>
  <si>
    <t>بورس حکمت ریحانه منفردی آذر 1402</t>
  </si>
  <si>
    <t>بورس حکمت کوثر صفری آذر 1402</t>
  </si>
  <si>
    <t>بورس حکمت فرزانه خوش گفتار آذر 1402</t>
  </si>
  <si>
    <t>بورس حکمت فرخنده خوش گفتار آذر 1402</t>
  </si>
  <si>
    <t>بورس حکمت احمد خاوری عدل آذر 1402</t>
  </si>
  <si>
    <t>بورس حکمت امیرحسین مودب آذر 1402</t>
  </si>
  <si>
    <t>بورس حکمت سحر خادم حقیقی آذر 1402</t>
  </si>
  <si>
    <t>بورس حکت فاطمه سادات سلطانی آذر 1402</t>
  </si>
  <si>
    <t>بورس حکمت هدیه محمدپور آذر 1402</t>
  </si>
  <si>
    <t>بورس حکمت صادق نجمی آذر 1402</t>
  </si>
  <si>
    <t>بورس حکمت مائده وفای آذر 1402</t>
  </si>
  <si>
    <t>بورس حکمت امیرحسین محمدزاده آذر 1402</t>
  </si>
  <si>
    <t>بورس حکمت محمد امین تاتاری آذر 1402</t>
  </si>
  <si>
    <t>بورس حکمت امیرپارسا قویدل آذر 1402</t>
  </si>
  <si>
    <t>بورس حکمت متین شاملی آذر 1402</t>
  </si>
  <si>
    <t>بورس حکمت ثمین اکبری شاندیز آبان 1402</t>
  </si>
  <si>
    <t>بورس حکمت ریحانه منفردی آبان 1402</t>
  </si>
  <si>
    <t>بورس حکمت کوثر صفری آبان 1402</t>
  </si>
  <si>
    <t>بورس حکمت فرزانه خوش گفتار آبان 1402</t>
  </si>
  <si>
    <t>بورس حکمت فرخنده خوش گفتار آبان 1402</t>
  </si>
  <si>
    <t>بورس حکمت احمد خاوری عدل آبان 1402</t>
  </si>
  <si>
    <t>بورس حکمت امیرحسین مودب آبان 1402</t>
  </si>
  <si>
    <t>بورس حکمت سحر خادم حقیقی آبان 1402</t>
  </si>
  <si>
    <t>بورس حکت فاطمه سادات سلطانی آبان 1402</t>
  </si>
  <si>
    <t>بورس حکمت هدیه محمدپور آبان 1402</t>
  </si>
  <si>
    <t>بورس حکمت صادق نجمی آبان 1402</t>
  </si>
  <si>
    <t>بورس حکمت مائده وفای آبان 1402</t>
  </si>
  <si>
    <t>بورس حکمت امیرحسین محمدزاده آبان 1402</t>
  </si>
  <si>
    <t>بورس حکمت محمد امین تاتاری آبان 1402</t>
  </si>
  <si>
    <t>بورس حکمت امیرپارسا قویدل آبان 1402</t>
  </si>
  <si>
    <t>بورس حکمت متین شاملی آبان 1402</t>
  </si>
  <si>
    <t>بورس حکمت ریحانه منفردی مهر 1402</t>
  </si>
  <si>
    <t>بورس حکمت کوثر صفری مهر 1402</t>
  </si>
  <si>
    <t>بورس حکمت فرزانه خوش گفتار مهر 1402</t>
  </si>
  <si>
    <t>بورس حکمت فرخنده خوش گفتار مهر 1402</t>
  </si>
  <si>
    <t>بورس حکمت احمد خاوری عدل مهر 1402</t>
  </si>
  <si>
    <t>بورس حکمت امیرحسین مودب مهر 1402</t>
  </si>
  <si>
    <t>بورس حکمت سحر خادم حقیقی مهر 1402</t>
  </si>
  <si>
    <t>بورس حکت فاطمه سادات سلطانی مهر 1402</t>
  </si>
  <si>
    <t>بورس حکمت هدیه محمدپور مهر 1402</t>
  </si>
  <si>
    <t>بورس حکمت صادق نجمی مهر 1402</t>
  </si>
  <si>
    <t>بورس حکمت مائده وفای مهر 1402</t>
  </si>
  <si>
    <t>بورس حکمت امیرحسین محمدزاده مهر 1402</t>
  </si>
  <si>
    <t>بورس حکمت محمد امین تاتاری مهر 1402</t>
  </si>
  <si>
    <t>بورس حکمت امیرپارسا قویدل مهر 1402</t>
  </si>
  <si>
    <t>بورس حکمت متین شاملی مهر 1402</t>
  </si>
  <si>
    <t>بورس حکمت امیرحسین مودب شهریور 1402</t>
  </si>
  <si>
    <t>بورس حکمت صادق نجمی شهریور 1402</t>
  </si>
  <si>
    <t>بورس حکمت امیرحسین محمدزاده شهریور 1402</t>
  </si>
  <si>
    <t>بورس حکمت متین شاملی شهریور 1402</t>
  </si>
  <si>
    <t>بورس حکت محمد امین تاتاری شهریور 1402</t>
  </si>
  <si>
    <t>بورس حکت فاطمه سادات سلطانی شهریور 1402</t>
  </si>
  <si>
    <t>بورس حکمت سحر خادم حقیقی شهریور 1402</t>
  </si>
  <si>
    <t>بورس حکمت هدیه محمدپور شهریور 1402</t>
  </si>
  <si>
    <t>بورس حکمت کوثر صفری شهریور 1402</t>
  </si>
  <si>
    <t>بورس حکمت مائده وفای شهریور 1402</t>
  </si>
  <si>
    <t>بورس حکمت فرزانه خوش گفتار شهریور 1402</t>
  </si>
  <si>
    <t>بورس حکمت فرخنده خوش گفتار شهریور 1402</t>
  </si>
  <si>
    <t>بورس حکمت ثمین اکبری شاندیز مهر 1402</t>
  </si>
  <si>
    <t>خرید کارت هدیه محمد سجاد طوسی به حساب مهندس علمی فروردین و اردیبهشت ماه</t>
  </si>
  <si>
    <t>خرید کارت هدیه شقایق محمودی زاده به حساب مهندس علمی فروردین و اردیبهشت ماه</t>
  </si>
  <si>
    <t>مبلغ کل 45260000 ریال بوده که کارت هدیه برای فروردین و اردیبهشت محمد سجاد طوسی و شقایق محمودی زاده خریداری شده . مبلغ کارمزد بانک 260000 ریال</t>
  </si>
  <si>
    <t>مبلغ کل ............. ریال بوده که کارت هدیه برای اسفند ماه محمد سجاد طوسی و شقایق محمودی زاده خریداری شده . مبلغ کارمزد بانک ........... ریال</t>
  </si>
  <si>
    <t>بورس حکمت حانیه دشتبانی  اردیبهشت ماه 1403</t>
  </si>
  <si>
    <t>بورس حکمت سیده شقایق محمودی زاده خرداد 1403</t>
  </si>
  <si>
    <t>هزینه کمک تحصیلی ماهانه ثنا پور دوران تیر ماه 1403</t>
  </si>
  <si>
    <t>1403/04/04</t>
  </si>
  <si>
    <t>بابت ثبت نامه کلاس های تقویتی کنکور الهام صمدی تیرماه 1403</t>
  </si>
  <si>
    <t>حقوق خرداد ماه خانم عباسی</t>
  </si>
  <si>
    <t>هزینه شارژ سیم کارت های دفتر</t>
  </si>
  <si>
    <t>شارژ دفتر تیر ماه 1403</t>
  </si>
  <si>
    <t>خرید میوه بابت جلسه مدیران مدارس 27 خرداد ماه 1403</t>
  </si>
  <si>
    <t>خرید پاکت دسته دار برای قاب های لوح تقدیر مدیران  جلسه 27 خرداد 1403</t>
  </si>
  <si>
    <t>خرید شیرینی بابت جلسه مدیران 27 خرداد 1403</t>
  </si>
  <si>
    <t>هزینه تعمیر پمپ آب دفتر</t>
  </si>
  <si>
    <t>1403/04/05</t>
  </si>
  <si>
    <t>1403/04/06</t>
  </si>
  <si>
    <t>1403/04/08</t>
  </si>
  <si>
    <t>1403/04/02</t>
  </si>
  <si>
    <t>6219861904806451</t>
  </si>
  <si>
    <t>6104338707084832</t>
  </si>
  <si>
    <t>خرید کارت هدیه بورس حکمت شقایق محمودی زاده بهمن 1402</t>
  </si>
  <si>
    <t>خرید کارت هدیه بورس حکمت محمد سجاد طوسی گروهی بهمن 1402</t>
  </si>
  <si>
    <t>مبلغ کل ............. ریال بوده که کارت هدیه برای بهمن ماه محمد سجاد طوسی و شقایق محمودی زاده خریداری شده . مبلغ کارمزد بانک ........... ریال</t>
  </si>
  <si>
    <t>مبلغ کل ............. ریال بوده که کارت هدیه برای دی ماه محمد سجاد طوسی و شقایق محمودی زاده و خریداری شده . مبلغ کارمزد بانک ........... ریال</t>
  </si>
  <si>
    <t>1403/04/10</t>
  </si>
  <si>
    <t>1403/04/13</t>
  </si>
  <si>
    <t>1403/04/19</t>
  </si>
  <si>
    <t>1403/04/21</t>
  </si>
  <si>
    <t>بابت کلاس زبان ثنا پور دوران تربت جام</t>
  </si>
  <si>
    <t>1403/04/12</t>
  </si>
  <si>
    <t>هزینه اردو المپیاد امیرحسین محمد زاده</t>
  </si>
  <si>
    <t>1403/04/14</t>
  </si>
  <si>
    <t>بابت ایاب ذهاب خانم عباسی</t>
  </si>
  <si>
    <t>1403/04/31</t>
  </si>
  <si>
    <t>بابت هزینه لباس فرم ملیکا نماز</t>
  </si>
  <si>
    <t>هزینه ثبتنام مهدیار نماز</t>
  </si>
  <si>
    <t>بابت پرداخت قبض برق بنیاد</t>
  </si>
  <si>
    <t>بابت خرید مرغ برای خانواده مروی</t>
  </si>
  <si>
    <t>بورس حکمت تیرماه 1403 سیده شقایق محمودی زاده</t>
  </si>
  <si>
    <t>بورس حکمت تیرماه 1403 امیرپارسا قویدل بزاز</t>
  </si>
  <si>
    <t>بورس حکمت تیرماه 1403 امیر حسین محمد زاده</t>
  </si>
  <si>
    <t>بورس حکمت تیرماه 1403  مائده وفای فرخانی</t>
  </si>
  <si>
    <t>بورس حکمت تیرماه 1403 صادق نجمی</t>
  </si>
  <si>
    <t xml:space="preserve">بورس حکمت تیرماه 1403 هدیه محمدپور </t>
  </si>
  <si>
    <t>بورس حکمت تیرماه 1403 فاطمه سادات سلطانی</t>
  </si>
  <si>
    <t>بورس حکمت تیرماه 1403 سحر خادم حقیقی</t>
  </si>
  <si>
    <t>بورس حکمت تیرماه 1403 امیرحسین مودب</t>
  </si>
  <si>
    <t>بورس حکمت تیرماه 1403 احمد خاوری عدل</t>
  </si>
  <si>
    <t>بورس حکمت تیرماه 1403 فرزانه خوش گفتار</t>
  </si>
  <si>
    <t>بورس حکمت تیرماه 1403 فرخنده خوش گفتار</t>
  </si>
  <si>
    <t>بورس حکمت تیرماه 1403 کوثر صفری</t>
  </si>
  <si>
    <t>بورس حکمت تیرماه 1403 ثمین اکبری شاندیز</t>
  </si>
  <si>
    <t>بورس حکمت تیرماه 1403 امیرحسین بنا زاده</t>
  </si>
  <si>
    <t>بورس حکمت تیرماه 1403 بهروز خباز ترشیزی</t>
  </si>
  <si>
    <t xml:space="preserve">بورس حکمت تیرماه 1403 فاطمه حیدر زاده </t>
  </si>
  <si>
    <t xml:space="preserve">بورس حکمت تیرماه 1403 حانیه دشتبانی </t>
  </si>
  <si>
    <t>بورس حکمت تیرماه 1403 سارینا داوری</t>
  </si>
  <si>
    <t>بورس حکمت تیرماه 1403 متین شاملی</t>
  </si>
  <si>
    <t>حقوق تیرماه خانم عباسی</t>
  </si>
  <si>
    <t>1403/05/01</t>
  </si>
  <si>
    <t>کمک هزینه تحصیلی ثنا پور دوران</t>
  </si>
  <si>
    <t>خرید کتاب برای الهام صمدی</t>
  </si>
  <si>
    <t>خرید کاغذ و پوشه برای بنیاد</t>
  </si>
  <si>
    <t>خرید آب معدنی برای بنیاد</t>
  </si>
  <si>
    <t>هزینه لباس فرم ثنا پور دوران</t>
  </si>
  <si>
    <t>1403/05/14</t>
  </si>
  <si>
    <t>شارژ سیم کارت بنیاد</t>
  </si>
  <si>
    <t>هزینه قبض برق بنیاد</t>
  </si>
  <si>
    <t>هزینه کلاس کنکور برای نرگس علینژاد</t>
  </si>
  <si>
    <t xml:space="preserve">هزینه چاپ بنر و پایه و چاپ لوح تسلیت و قاب </t>
  </si>
  <si>
    <t>1403/05/23</t>
  </si>
  <si>
    <t>خرید پایه جدید برای بنرها</t>
  </si>
  <si>
    <t>1403/05/27</t>
  </si>
  <si>
    <t>1403/04/27</t>
  </si>
  <si>
    <t>6037701151408223</t>
  </si>
  <si>
    <t xml:space="preserve">محمد علی </t>
  </si>
  <si>
    <t>غوثی</t>
  </si>
  <si>
    <t>آسایش</t>
  </si>
  <si>
    <t>1403/04/30</t>
  </si>
  <si>
    <t>5859831045174744</t>
  </si>
  <si>
    <t>ابراهیمی</t>
  </si>
  <si>
    <t>سیامک</t>
  </si>
  <si>
    <t>5859831102479226</t>
  </si>
  <si>
    <t>1403/05/02</t>
  </si>
  <si>
    <t>خیبری</t>
  </si>
  <si>
    <t>1403/05/03</t>
  </si>
  <si>
    <t>محمدپور</t>
  </si>
  <si>
    <t>1403/05/04</t>
  </si>
  <si>
    <t>1403/05/06</t>
  </si>
  <si>
    <t>1403/05/08</t>
  </si>
  <si>
    <t>5022291039323694</t>
  </si>
  <si>
    <t>1403/05/12</t>
  </si>
  <si>
    <t>1403/05/16</t>
  </si>
  <si>
    <t>1403/05/17</t>
  </si>
  <si>
    <t>1403/05/20</t>
  </si>
  <si>
    <t>1403/05/28</t>
  </si>
  <si>
    <t>سیده راضیه</t>
  </si>
  <si>
    <t>1403/06/01</t>
  </si>
  <si>
    <t>6393461017902244</t>
  </si>
  <si>
    <t>1403/06/02</t>
  </si>
  <si>
    <t>1403/06/03</t>
  </si>
  <si>
    <t>1403/06/04</t>
  </si>
  <si>
    <t>6221061048715876</t>
  </si>
  <si>
    <t>1403/06/05</t>
  </si>
  <si>
    <t>1403/06/06</t>
  </si>
  <si>
    <t>1403/06/07</t>
  </si>
  <si>
    <t>مانا صنعت</t>
  </si>
  <si>
    <t>داوین</t>
  </si>
  <si>
    <t>سراجیان</t>
  </si>
  <si>
    <t>مارال</t>
  </si>
  <si>
    <t>رستگار</t>
  </si>
  <si>
    <t>1403/06/08</t>
  </si>
  <si>
    <t>5054161010703340</t>
  </si>
  <si>
    <t>5892101442734428</t>
  </si>
  <si>
    <t>5859831032675802</t>
  </si>
  <si>
    <t>1403/06/11</t>
  </si>
  <si>
    <t>1403/06/13</t>
  </si>
  <si>
    <t>1403/06/15</t>
  </si>
  <si>
    <t>1403/06/18</t>
  </si>
  <si>
    <t>1403/06/19</t>
  </si>
  <si>
    <t>محمدجواد</t>
  </si>
  <si>
    <t>رستم بیک</t>
  </si>
  <si>
    <t>سدره نشین</t>
  </si>
  <si>
    <t>6037691667470785</t>
  </si>
  <si>
    <t>6362141811123810</t>
  </si>
  <si>
    <t>5022291067349306</t>
  </si>
  <si>
    <t>5057851025463636</t>
  </si>
  <si>
    <t>5894631213490956</t>
  </si>
  <si>
    <t>1403/06/25</t>
  </si>
  <si>
    <t>1403/06/26</t>
  </si>
  <si>
    <t>1403/06/27</t>
  </si>
  <si>
    <t>1403/06/29</t>
  </si>
  <si>
    <t>بی بی نرجس</t>
  </si>
  <si>
    <t>صدرالسادات</t>
  </si>
  <si>
    <t>راموییل</t>
  </si>
  <si>
    <t>یوحنایی</t>
  </si>
  <si>
    <t>غزال</t>
  </si>
  <si>
    <t>باباجانی</t>
  </si>
  <si>
    <t>میترا</t>
  </si>
  <si>
    <t>نیستانی</t>
  </si>
  <si>
    <t>جاویدی</t>
  </si>
  <si>
    <t>1403/06/31</t>
  </si>
  <si>
    <t>6037997374524636</t>
  </si>
  <si>
    <t>1403/07/01</t>
  </si>
  <si>
    <t>6219861047678213</t>
  </si>
  <si>
    <t>1403/07/03</t>
  </si>
  <si>
    <t>1403/07/04</t>
  </si>
  <si>
    <t>1403/07/05</t>
  </si>
  <si>
    <t>5894631598424927</t>
  </si>
  <si>
    <t>وجیهه</t>
  </si>
  <si>
    <t>1403/07/06</t>
  </si>
  <si>
    <t>1403/07/07</t>
  </si>
  <si>
    <t>1403/07/08</t>
  </si>
  <si>
    <t>فرجی</t>
  </si>
  <si>
    <t>1403/07/23</t>
  </si>
  <si>
    <t>1403/07/25</t>
  </si>
  <si>
    <t>1403/07/27</t>
  </si>
  <si>
    <t>1403/07/28</t>
  </si>
  <si>
    <t>1403/07/29</t>
  </si>
  <si>
    <t>بهرک</t>
  </si>
  <si>
    <t>6262141811123810</t>
  </si>
  <si>
    <t>6037998199067835</t>
  </si>
  <si>
    <t>1403/07/09</t>
  </si>
  <si>
    <t>1403/07/11</t>
  </si>
  <si>
    <t>5894631185411972</t>
  </si>
  <si>
    <t>1403/07/18</t>
  </si>
  <si>
    <t>1403/07/19</t>
  </si>
  <si>
    <t>1403/07/20</t>
  </si>
  <si>
    <t>6037991926096490</t>
  </si>
  <si>
    <t>6104337526619471</t>
  </si>
  <si>
    <t>5892101568506279</t>
  </si>
  <si>
    <t>6219861904629952</t>
  </si>
  <si>
    <t>محمدجعفر</t>
  </si>
  <si>
    <t>فرد حسینی</t>
  </si>
  <si>
    <t>محمدحسین</t>
  </si>
  <si>
    <t>1403/07/30</t>
  </si>
  <si>
    <t>5859471010618639</t>
  </si>
  <si>
    <t>فیروز</t>
  </si>
  <si>
    <t>آقا زاده</t>
  </si>
  <si>
    <t>رضاپناه</t>
  </si>
  <si>
    <t>5022291044819850</t>
  </si>
  <si>
    <t>پویا</t>
  </si>
  <si>
    <t>1403/08/01</t>
  </si>
  <si>
    <t>5022291092825221</t>
  </si>
  <si>
    <t>مهناز سادات</t>
  </si>
  <si>
    <t>رباط</t>
  </si>
  <si>
    <t>6037691597612225</t>
  </si>
  <si>
    <t>فرشته</t>
  </si>
  <si>
    <t>سعیدی فر</t>
  </si>
  <si>
    <t>6037997369346714</t>
  </si>
  <si>
    <t>1403/08/03</t>
  </si>
  <si>
    <t>محمد جواد</t>
  </si>
  <si>
    <t>1403/08/04</t>
  </si>
  <si>
    <t>6037691659960389</t>
  </si>
  <si>
    <t>5894631126974443</t>
  </si>
  <si>
    <t>6219861060861621</t>
  </si>
  <si>
    <t>6221061213021852</t>
  </si>
  <si>
    <t>لطفی</t>
  </si>
  <si>
    <t>صدیقه</t>
  </si>
  <si>
    <t>موسی</t>
  </si>
  <si>
    <t>آخوند زاده</t>
  </si>
  <si>
    <t>1403/08/05</t>
  </si>
  <si>
    <t>1403/08/06</t>
  </si>
  <si>
    <t>1403/08/07</t>
  </si>
  <si>
    <t>6037701193508873</t>
  </si>
  <si>
    <t>آقای علی سلیمانیان مقدم واریز کردند جهت فروش تاج گل های مراسم مادر مهندس فرشید</t>
  </si>
  <si>
    <t>فائقه</t>
  </si>
  <si>
    <t>سید محمد ضیا</t>
  </si>
  <si>
    <t>عرب زاده حسینی</t>
  </si>
  <si>
    <t>6063731027558155</t>
  </si>
  <si>
    <t>6104337903018628</t>
  </si>
  <si>
    <t>آزاده</t>
  </si>
  <si>
    <t>سلیمانی فر</t>
  </si>
  <si>
    <t>زارع سیف آباد</t>
  </si>
  <si>
    <t>1403/08/08</t>
  </si>
  <si>
    <t>6219861037044418</t>
  </si>
  <si>
    <t>6104337210060321</t>
  </si>
  <si>
    <t>6037697635748251</t>
  </si>
  <si>
    <t>میرزمانی</t>
  </si>
  <si>
    <t>ابراهیمی زاده</t>
  </si>
  <si>
    <t>محمد پور</t>
  </si>
  <si>
    <t>1403/08/09</t>
  </si>
  <si>
    <t>6104338650115161</t>
  </si>
  <si>
    <t>6037998272294371</t>
  </si>
  <si>
    <t>5022291314471432</t>
  </si>
  <si>
    <t>6219861046690359</t>
  </si>
  <si>
    <t>5022291077354155</t>
  </si>
  <si>
    <t>5054161016724654</t>
  </si>
  <si>
    <t>5022291005448046</t>
  </si>
  <si>
    <t>6104338951938584</t>
  </si>
  <si>
    <t>محسن</t>
  </si>
  <si>
    <t>رام</t>
  </si>
  <si>
    <t>شانس</t>
  </si>
  <si>
    <t>ابراهیم</t>
  </si>
  <si>
    <t>جعفر زاده</t>
  </si>
  <si>
    <t>تینا</t>
  </si>
  <si>
    <t>یعقوبی</t>
  </si>
  <si>
    <t>هدی</t>
  </si>
  <si>
    <t>5022291049604364</t>
  </si>
  <si>
    <t>6362141100949214</t>
  </si>
  <si>
    <t>6274121193058252</t>
  </si>
  <si>
    <t>جاویدانی</t>
  </si>
  <si>
    <t>شروین</t>
  </si>
  <si>
    <t>مهاجر</t>
  </si>
  <si>
    <t>صفائی</t>
  </si>
  <si>
    <t xml:space="preserve"> خدیوی</t>
  </si>
  <si>
    <t>گلاره</t>
  </si>
  <si>
    <t>نوائی</t>
  </si>
  <si>
    <t>یاسر</t>
  </si>
  <si>
    <t>1403/08/10</t>
  </si>
  <si>
    <t>5859831183098762</t>
  </si>
  <si>
    <t>5859471010730582</t>
  </si>
  <si>
    <t>6037991713854929</t>
  </si>
  <si>
    <t>6219861066584052</t>
  </si>
  <si>
    <t>6104337839017553</t>
  </si>
  <si>
    <t>کاظم</t>
  </si>
  <si>
    <t>فخاریان</t>
  </si>
  <si>
    <t>مریم سادات</t>
  </si>
  <si>
    <t>نیک جوی</t>
  </si>
  <si>
    <t>محسن و غلامرضا</t>
  </si>
  <si>
    <t>شهسوار</t>
  </si>
  <si>
    <t>هلن</t>
  </si>
  <si>
    <t>نصوحیان</t>
  </si>
  <si>
    <t>چشمه</t>
  </si>
  <si>
    <t>پرهام</t>
  </si>
  <si>
    <t>نوری</t>
  </si>
  <si>
    <t>6037997169180438</t>
  </si>
  <si>
    <t>5859471024213096</t>
  </si>
  <si>
    <t>6362141117041518</t>
  </si>
  <si>
    <t>5022291329496739</t>
  </si>
  <si>
    <t>6104337799527971</t>
  </si>
  <si>
    <t>6037998249243006</t>
  </si>
  <si>
    <t>بهاره</t>
  </si>
  <si>
    <t>حبیبی</t>
  </si>
  <si>
    <t>ندا</t>
  </si>
  <si>
    <t>شیخ</t>
  </si>
  <si>
    <t>نیوشا</t>
  </si>
  <si>
    <t>لشگر شکن</t>
  </si>
  <si>
    <t>رسول</t>
  </si>
  <si>
    <t>تجددیان فر</t>
  </si>
  <si>
    <t>فرامرزی نیا</t>
  </si>
  <si>
    <t>1403/08/11</t>
  </si>
  <si>
    <t>محمد مهدی</t>
  </si>
  <si>
    <t>صفایی رحیم</t>
  </si>
  <si>
    <t>سید مجید</t>
  </si>
  <si>
    <t>فرحمند</t>
  </si>
  <si>
    <t>نازنین زهرا</t>
  </si>
  <si>
    <t>طلائی</t>
  </si>
  <si>
    <t xml:space="preserve">سارا </t>
  </si>
  <si>
    <t>حاجیان</t>
  </si>
  <si>
    <t>6274881119575289</t>
  </si>
  <si>
    <t>6037997321576929</t>
  </si>
  <si>
    <t>6219861991263103</t>
  </si>
  <si>
    <t>6219861962797196</t>
  </si>
  <si>
    <t>5022291045380738</t>
  </si>
  <si>
    <t>محمود رضا</t>
  </si>
  <si>
    <t>آسیابان</t>
  </si>
  <si>
    <t>جوراب باف</t>
  </si>
  <si>
    <t>جهانبانی</t>
  </si>
  <si>
    <t>محمد حسین</t>
  </si>
  <si>
    <t>1403/08/12</t>
  </si>
  <si>
    <t>5859831040181827</t>
  </si>
  <si>
    <t>6277601284188545</t>
  </si>
  <si>
    <t>6037691625598594</t>
  </si>
  <si>
    <t>6104338659016584</t>
  </si>
  <si>
    <t>جعفر کرمانی</t>
  </si>
  <si>
    <t>1403/08/14</t>
  </si>
  <si>
    <t>1403/08/15</t>
  </si>
  <si>
    <t>6219861964077647</t>
  </si>
  <si>
    <t>1403/08/17</t>
  </si>
  <si>
    <t>1403/08/19</t>
  </si>
  <si>
    <t>1403/08/21</t>
  </si>
  <si>
    <t>6221061103550127</t>
  </si>
  <si>
    <t>1403/08/23</t>
  </si>
  <si>
    <t>1403/08/27</t>
  </si>
  <si>
    <t>1403/08/30</t>
  </si>
  <si>
    <t>1403/09/01</t>
  </si>
  <si>
    <t>6274121203169529</t>
  </si>
  <si>
    <t>1403/09/02</t>
  </si>
  <si>
    <t>1403/09/04</t>
  </si>
  <si>
    <t>مهرآفرین</t>
  </si>
  <si>
    <t>6037697629678241</t>
  </si>
  <si>
    <t>1403/09/05</t>
  </si>
  <si>
    <t>1403/09/08</t>
  </si>
  <si>
    <t>1403/09/09</t>
  </si>
  <si>
    <t>1403/09/10</t>
  </si>
  <si>
    <t>1403/09/11</t>
  </si>
  <si>
    <t>1403/09/12</t>
  </si>
  <si>
    <t>1403/09/13</t>
  </si>
  <si>
    <t>1403/09/19</t>
  </si>
  <si>
    <t>ابراهیم زاده</t>
  </si>
  <si>
    <t>1403/09/20</t>
  </si>
  <si>
    <t>1403/09/21</t>
  </si>
  <si>
    <t>5022291055113961</t>
  </si>
  <si>
    <t>امیرحسین</t>
  </si>
  <si>
    <t>فداییان</t>
  </si>
  <si>
    <t>5859831054583587</t>
  </si>
  <si>
    <t>1403/09/23</t>
  </si>
  <si>
    <t>1403/09/24</t>
  </si>
  <si>
    <t>5029081070260761</t>
  </si>
  <si>
    <t>1403/09/29</t>
  </si>
  <si>
    <t>1403/09/30</t>
  </si>
  <si>
    <t>1403/10/01</t>
  </si>
  <si>
    <t>1403/10/02</t>
  </si>
  <si>
    <t>1403/10/04</t>
  </si>
  <si>
    <t>5047061088606179</t>
  </si>
  <si>
    <t>1403/10/07</t>
  </si>
  <si>
    <t>1403/10/11</t>
  </si>
  <si>
    <t>6362141810901620</t>
  </si>
  <si>
    <t>1403/10/15</t>
  </si>
  <si>
    <t>1403/10/16</t>
  </si>
  <si>
    <t>1403/10/17</t>
  </si>
  <si>
    <t>1403/10/19</t>
  </si>
  <si>
    <t>1403/10/22</t>
  </si>
  <si>
    <t>1403/10/23</t>
  </si>
  <si>
    <t>6396071211003454</t>
  </si>
  <si>
    <t>1403/10/30</t>
  </si>
  <si>
    <t>دربان</t>
  </si>
  <si>
    <t>6037701144230171</t>
  </si>
  <si>
    <t>1403/11/01</t>
  </si>
  <si>
    <t>1403/11/04</t>
  </si>
  <si>
    <t>1403/11/07</t>
  </si>
  <si>
    <t>1403/11/13</t>
  </si>
  <si>
    <t>1403/11/17</t>
  </si>
  <si>
    <t>5859471010724858</t>
  </si>
  <si>
    <t>1403/11/18</t>
  </si>
  <si>
    <t>1403/11/23</t>
  </si>
  <si>
    <t>ربیعی</t>
  </si>
  <si>
    <t>1403/11/27</t>
  </si>
  <si>
    <t>5041721063335989</t>
  </si>
  <si>
    <t>آرزو</t>
  </si>
  <si>
    <t>بلوچ زهی</t>
  </si>
  <si>
    <t>سید احسان</t>
  </si>
  <si>
    <t>شریعتی</t>
  </si>
  <si>
    <t>بابت هزینه ثبت نام دانشگاه کوثر مولایی</t>
  </si>
  <si>
    <t>بابت هزینه کمک به روستای متسنگ</t>
  </si>
  <si>
    <t>سلیمی</t>
  </si>
  <si>
    <t>حیدری</t>
  </si>
  <si>
    <t>سجاد</t>
  </si>
  <si>
    <t>بلوچی</t>
  </si>
  <si>
    <t>هادی</t>
  </si>
  <si>
    <t>پرکی</t>
  </si>
  <si>
    <t>رییسی</t>
  </si>
  <si>
    <t>سید نادر</t>
  </si>
  <si>
    <t>منیره</t>
  </si>
  <si>
    <t>رضیه</t>
  </si>
  <si>
    <t>ویدادی</t>
  </si>
  <si>
    <t>سیده سمیه</t>
  </si>
  <si>
    <t>قوامی</t>
  </si>
  <si>
    <t>بهادری</t>
  </si>
  <si>
    <t>مزیدی</t>
  </si>
  <si>
    <t>فرضی</t>
  </si>
  <si>
    <t>1403/11/28</t>
  </si>
  <si>
    <t>رامین</t>
  </si>
  <si>
    <t>طاهری</t>
  </si>
  <si>
    <t>بارانی</t>
  </si>
  <si>
    <t>انسیه</t>
  </si>
  <si>
    <t>انسان دوست</t>
  </si>
  <si>
    <t>صابر مولایی</t>
  </si>
  <si>
    <t>معصومه</t>
  </si>
  <si>
    <t>حاجی علی احمد</t>
  </si>
  <si>
    <t>رئوف</t>
  </si>
  <si>
    <t>غزاله</t>
  </si>
  <si>
    <t>ثابت</t>
  </si>
  <si>
    <t>اعظم</t>
  </si>
  <si>
    <t>کمالی</t>
  </si>
  <si>
    <t>مرجان</t>
  </si>
  <si>
    <t>سلیمان پور</t>
  </si>
  <si>
    <t>1403/11/29</t>
  </si>
  <si>
    <t>راشدی</t>
  </si>
  <si>
    <t>کورش</t>
  </si>
  <si>
    <t>بهارلو</t>
  </si>
  <si>
    <t>ایمان</t>
  </si>
  <si>
    <t>حسنی</t>
  </si>
  <si>
    <t>رهنمای</t>
  </si>
  <si>
    <t>سلگی</t>
  </si>
  <si>
    <t>زهره</t>
  </si>
  <si>
    <t>نری میسا</t>
  </si>
  <si>
    <t>یزدان پناه</t>
  </si>
  <si>
    <t>یوسف</t>
  </si>
  <si>
    <t>کوهساریان</t>
  </si>
  <si>
    <t>سید هادی</t>
  </si>
  <si>
    <t>میرباقری</t>
  </si>
  <si>
    <t>فرشچیان</t>
  </si>
  <si>
    <t>منهاج الدین</t>
  </si>
  <si>
    <t>صبوری</t>
  </si>
  <si>
    <t>شیرین</t>
  </si>
  <si>
    <t>نانوا باشی</t>
  </si>
  <si>
    <t>سید بهنام</t>
  </si>
  <si>
    <t>اسلامی</t>
  </si>
  <si>
    <t>بهناز</t>
  </si>
  <si>
    <t>فلاحت</t>
  </si>
  <si>
    <t>مزینانی</t>
  </si>
  <si>
    <t>مصطفی</t>
  </si>
  <si>
    <t>کلانتری</t>
  </si>
  <si>
    <t>شیخ الواعظین</t>
  </si>
  <si>
    <t>اقبالیان</t>
  </si>
  <si>
    <t>سیده مرضیه</t>
  </si>
  <si>
    <t>هاشمی</t>
  </si>
  <si>
    <t>آمنه</t>
  </si>
  <si>
    <t>کریمیان</t>
  </si>
  <si>
    <t>1403/11/30</t>
  </si>
  <si>
    <t>ندا سادات</t>
  </si>
  <si>
    <t>جهان تاب</t>
  </si>
  <si>
    <t>فاطمه سادات</t>
  </si>
  <si>
    <t>عبیدالله</t>
  </si>
  <si>
    <t>ملازهی</t>
  </si>
  <si>
    <t>1403/12/01</t>
  </si>
  <si>
    <t>بادزهره</t>
  </si>
  <si>
    <t>جهان بین</t>
  </si>
  <si>
    <t>سیده آیدا</t>
  </si>
  <si>
    <t>سید ابوترابی</t>
  </si>
  <si>
    <t>رباب</t>
  </si>
  <si>
    <t>رویا</t>
  </si>
  <si>
    <t>آزاد کیا</t>
  </si>
  <si>
    <t>1403/12/02</t>
  </si>
  <si>
    <t>دهواری</t>
  </si>
  <si>
    <t>فاروق</t>
  </si>
  <si>
    <t>امیدی</t>
  </si>
  <si>
    <t>عبدالباسط</t>
  </si>
  <si>
    <t>چاکرزهی</t>
  </si>
  <si>
    <t>منصور</t>
  </si>
  <si>
    <t>جواهرپسند</t>
  </si>
  <si>
    <t>سمیرا</t>
  </si>
  <si>
    <t>تقی زاده</t>
  </si>
  <si>
    <t>میلاد</t>
  </si>
  <si>
    <t>رئیسی</t>
  </si>
  <si>
    <t>عبید الرحمان</t>
  </si>
  <si>
    <t>درازهی</t>
  </si>
  <si>
    <t>بامری</t>
  </si>
  <si>
    <t>مصیب</t>
  </si>
  <si>
    <t>حذیفه</t>
  </si>
  <si>
    <t>سابکزیی</t>
  </si>
  <si>
    <t>ذاکر</t>
  </si>
  <si>
    <t>راه پیما</t>
  </si>
  <si>
    <t>آرین</t>
  </si>
  <si>
    <t>جدگال</t>
  </si>
  <si>
    <t>نسیم</t>
  </si>
  <si>
    <t>سیاهوئی</t>
  </si>
  <si>
    <t>دباغ</t>
  </si>
  <si>
    <t>عاطفه</t>
  </si>
  <si>
    <t>الیاسی</t>
  </si>
  <si>
    <t>اویس</t>
  </si>
  <si>
    <t>امانی نیا</t>
  </si>
  <si>
    <t>1403/12/03</t>
  </si>
  <si>
    <t>صفی الله</t>
  </si>
  <si>
    <t>کیهازی</t>
  </si>
  <si>
    <t>عباسی مقدم</t>
  </si>
  <si>
    <t>جان محمد</t>
  </si>
  <si>
    <t>دهقانی</t>
  </si>
  <si>
    <t>شیرازی</t>
  </si>
  <si>
    <t>سمرین</t>
  </si>
  <si>
    <t>بلیده</t>
  </si>
  <si>
    <t>شهرزاد</t>
  </si>
  <si>
    <t>مقصودی</t>
  </si>
  <si>
    <t>نگار</t>
  </si>
  <si>
    <t>رنجبریان</t>
  </si>
  <si>
    <t>نصری</t>
  </si>
  <si>
    <t>ناصرپور</t>
  </si>
  <si>
    <t>1403/12/04</t>
  </si>
  <si>
    <t>غلامیان</t>
  </si>
  <si>
    <t>کاوه</t>
  </si>
  <si>
    <t>حدادی</t>
  </si>
  <si>
    <t>عبدالمعز</t>
  </si>
  <si>
    <t>بادپا</t>
  </si>
  <si>
    <t>1403/12/05</t>
  </si>
  <si>
    <t>1403/12/06</t>
  </si>
  <si>
    <t>1403/12/07</t>
  </si>
  <si>
    <t>دهقان بهابادی</t>
  </si>
  <si>
    <t>1403/12/08</t>
  </si>
  <si>
    <t>1403/12/09</t>
  </si>
  <si>
    <t>1403/12/10</t>
  </si>
  <si>
    <t>مجیباالرحمن</t>
  </si>
  <si>
    <t>سازواری</t>
  </si>
  <si>
    <t>1403/12/11</t>
  </si>
  <si>
    <t>1403/12/12</t>
  </si>
  <si>
    <t>1403/12/15</t>
  </si>
  <si>
    <t>1403/12/16</t>
  </si>
  <si>
    <t>جمشیدی</t>
  </si>
  <si>
    <t>آسیه</t>
  </si>
  <si>
    <t>دوستکانی</t>
  </si>
  <si>
    <t>اسدی نیا</t>
  </si>
  <si>
    <t>حقوق مرداد ماه خانم فرتاش</t>
  </si>
  <si>
    <t>هزینه جزوه الهام صمدی</t>
  </si>
  <si>
    <t>1403/06/10</t>
  </si>
  <si>
    <t>جزوه الهام صمدی</t>
  </si>
  <si>
    <t>بازسازی جاده موکی</t>
  </si>
  <si>
    <t>هزینه دکتر برای زهرا مروی</t>
  </si>
  <si>
    <t>کمک هزینه کلاس کنکور نرگس علی نژاد</t>
  </si>
  <si>
    <t>1403/07/02</t>
  </si>
  <si>
    <t>داروهای زهرا مروی</t>
  </si>
  <si>
    <t>هزینه لوازم تحریر برای انجمن نابینابان</t>
  </si>
  <si>
    <t>حقوق شهریور ماه خانم فرتاش</t>
  </si>
  <si>
    <t>بورس حکمت شهریور 1403 امیرحسین مودب</t>
  </si>
  <si>
    <t>بورس حکمت شهریور 1403 احمد خاوری</t>
  </si>
  <si>
    <t>بورس حکمت شهریور 1403 متین شاملی</t>
  </si>
  <si>
    <t>بورس حکمت شهریور 1403 صادق نجمی</t>
  </si>
  <si>
    <t>بورس حکمت شهریور 1403 مائده وفای</t>
  </si>
  <si>
    <t>بورس حکمت شهریور 1403 کوثر صفری</t>
  </si>
  <si>
    <t>بورس حکمت شهریور 1403 شقایق محمودی زاده</t>
  </si>
  <si>
    <t>بورس حکمت شهریور 1403 هدیه محمدپور</t>
  </si>
  <si>
    <t>بورس حکمت شهریور 1403 حانیه دشتبانی</t>
  </si>
  <si>
    <t>بورس حکمت شهریور 1403 ثمین اکبری شاندیز</t>
  </si>
  <si>
    <t>بورس حکمت شهریور 1403 سارینا داوری</t>
  </si>
  <si>
    <t>بورس حکمت شهریور 1403 سحر خادم حقیقی</t>
  </si>
  <si>
    <t>بورس حکمت شهریور 1403 فاطمه حیدرزاده</t>
  </si>
  <si>
    <t>بورس حکمت شهریور 1403 فاطمه سادات سلطانی</t>
  </si>
  <si>
    <t>بورس حکمت شهریور 1403 امیرحسین بنا زاده</t>
  </si>
  <si>
    <t>بورس حکمت شهریور 1403 بهروز خباز ترشیزی</t>
  </si>
  <si>
    <t>بورس حکمت شهریور 1403 امیرحسین محمدزاده</t>
  </si>
  <si>
    <t>قبض برق بنیاد</t>
  </si>
  <si>
    <t>هزینه ارسال لوح تسلیت</t>
  </si>
  <si>
    <t>کمک هزینه کلاس کنکور الهام صمدی</t>
  </si>
  <si>
    <t>1403/07/16</t>
  </si>
  <si>
    <t>خرید لوازم تحریر دفتر</t>
  </si>
  <si>
    <t>1403/07/21</t>
  </si>
  <si>
    <t>اجاره مهرماه خانم کمالی زاده</t>
  </si>
  <si>
    <t>قبض آب بنیاد</t>
  </si>
  <si>
    <t>ثبت نام مدرسه ملیکا نماز</t>
  </si>
  <si>
    <t>کتاب کمک درسی ثنا پور دوران</t>
  </si>
  <si>
    <t>پوشک برای نوید مختاریه</t>
  </si>
  <si>
    <t>پوشک برای زهرا مروی</t>
  </si>
  <si>
    <t>هزینه پرینت سوگندنامه ها</t>
  </si>
  <si>
    <t>هزینه پیک برای ارسال قاب ها</t>
  </si>
  <si>
    <t>هزینه خرید قاب برای سوگندنامه ها</t>
  </si>
  <si>
    <t>بورس حکمت مهر 1403 احمد خاوری</t>
  </si>
  <si>
    <t>بورس حکمت مهر 1403 متین شاملی</t>
  </si>
  <si>
    <t>بورس حکمت مهر 1403 صادق نجمی</t>
  </si>
  <si>
    <t>بورس حکمت مهر 1403 مائده وفای</t>
  </si>
  <si>
    <t>بورس حکمت مهر 1403 کوثر صفری</t>
  </si>
  <si>
    <t>بورس حکمت مهر 1403 شقایق محمودی زاده</t>
  </si>
  <si>
    <t>بورس حکمت مهر 1403 هدیه محمدپور</t>
  </si>
  <si>
    <t>بورس حکمت مهر 1403 حانیه دشتبانی</t>
  </si>
  <si>
    <t>بورس حکمت مهر 1403 ثمین اکبری شاندیز</t>
  </si>
  <si>
    <t>بورس حکمت مهر 1403 سارینا داوری</t>
  </si>
  <si>
    <t>بورس حکمت مهر 1403 سحر خادم حقیقی</t>
  </si>
  <si>
    <t>بورس حکمت مهر 1403 فاطمه حیدرزاده</t>
  </si>
  <si>
    <t>بورس حکمت مهر 1403 فاطمه سادات سلطانی</t>
  </si>
  <si>
    <t>بورس حکمت مهر 1403 امیرحسین بنا زاده</t>
  </si>
  <si>
    <t>بورس حکمت مهر 1403 بهروز خباز ترشیزی</t>
  </si>
  <si>
    <t>بورس حکمت مهر 1403 امیرحسین محمدزاده</t>
  </si>
  <si>
    <t>حقوق مهرماه 1403 خانم عباسی</t>
  </si>
  <si>
    <t>حقوق مهرماه 1403 خانم فرتاش</t>
  </si>
  <si>
    <t>هزینه خرید پوشه و گیره و سوزن</t>
  </si>
  <si>
    <t>کمک هزینه تحصیلی نرگس علی نژاد</t>
  </si>
  <si>
    <t>کمک هزینه ثبتنام دانشگاه کوثر مولایی</t>
  </si>
  <si>
    <t>هزینه کرایه تاج گل و هزینه حمل</t>
  </si>
  <si>
    <t>هزینه چاپ بنرهای ترحیم</t>
  </si>
  <si>
    <t>هزینه خرید لوازم درس کار و فناوری ثنا پور دوران</t>
  </si>
  <si>
    <t>هزینه اسنپ ارسال بنرها</t>
  </si>
  <si>
    <t>هزینه چاپ بنر آقای دباغی</t>
  </si>
  <si>
    <t>اهدا به بازسازی کتابخانه (خانم نادری)</t>
  </si>
  <si>
    <t>هزینه پوشک نوید مختاریه</t>
  </si>
  <si>
    <t>هزینه پوشک زهرا مروی</t>
  </si>
  <si>
    <t>اجاره آبان ماه 1403 خانم کمالی زاده</t>
  </si>
  <si>
    <t>کمک هزینه ثبتنام دانشگاه کوثر مولایی از طرف مهندس بهرمن</t>
  </si>
  <si>
    <t>1403/08/20</t>
  </si>
  <si>
    <t>بورس حکمت مهر 1403 امیرحسین مودب</t>
  </si>
  <si>
    <t>1403/09/06</t>
  </si>
  <si>
    <t>حقوق آبان ماه 1403 خانم عباسی</t>
  </si>
  <si>
    <t>حقوق آبان ماه 1403 خانم فرتاش</t>
  </si>
  <si>
    <t xml:space="preserve">هزینه کمک تحصیلی ماهانه ثنا پور دوران </t>
  </si>
  <si>
    <t>هزینه کمک تحصیلی نرگس علی نژاد</t>
  </si>
  <si>
    <t>پاداش خانم عباسی</t>
  </si>
  <si>
    <t>بورس حکمت آبان 1403 امیرحسین مودب</t>
  </si>
  <si>
    <t>بورس حکمت آبان 1403 احمد خاوری</t>
  </si>
  <si>
    <t>بورس حکمت آبان 1403 متین شاملی</t>
  </si>
  <si>
    <t>بورس حکمت آبان 1403 صادق نجمی</t>
  </si>
  <si>
    <t>بورس حکمت آبان 1403 مائده وفای</t>
  </si>
  <si>
    <t>بورس حکمت آبان 1403 کوثر صفری</t>
  </si>
  <si>
    <t>بورس حکمت آبان 1403 شقایق محمودی زاده</t>
  </si>
  <si>
    <t>بورس حکمت آبان 1403 هدیه محمدپور</t>
  </si>
  <si>
    <t>بورس حکمت آبان 1403 حانیه دشتبانی</t>
  </si>
  <si>
    <t>بورس حکمت آبان 1403 ثمین اکبری شاندیز</t>
  </si>
  <si>
    <t>بورس حکمت آبان 1403 سارینا داوری</t>
  </si>
  <si>
    <t>بورس حکمت آبان 1403 سحر خادم حقیقی</t>
  </si>
  <si>
    <t>بورس حکمت آبان 1403 فاطمه حیدرزاده</t>
  </si>
  <si>
    <t>بورس حکمت آبان 1403 فاطمه سادات سلطانی</t>
  </si>
  <si>
    <t>بورس حکمت آبان 1403 امیرحسین بنا زاده</t>
  </si>
  <si>
    <t>بورس حکمت آبان 1403 بهروز خباز ترشیزی</t>
  </si>
  <si>
    <t>بورس حکمت آبان 1403 امیرحسین محمدزاده</t>
  </si>
  <si>
    <t>بورس حکمت آبان 1403 محمد مهدی برسلانی</t>
  </si>
  <si>
    <t>بورس حکمت آبان 1403 کوثر آدینی</t>
  </si>
  <si>
    <t>بورس حکمت آبان 1403 عدنان یوسفخانی</t>
  </si>
  <si>
    <t>بورس حکمت آبان 1403 آیدا سلیمانی</t>
  </si>
  <si>
    <t>1403/09/26</t>
  </si>
  <si>
    <t>1403/09/28</t>
  </si>
  <si>
    <t>بورس حکمت آبان 1403 مهسا ارژنگی</t>
  </si>
  <si>
    <t>بورس حکمت آبان 1403 محمد حسام کاظمی</t>
  </si>
  <si>
    <t>بورس حکمت آبان 1403 نازیلا آبشتن</t>
  </si>
  <si>
    <t>بورس حکمت آبان 1403 ایمان رسولی خوانی</t>
  </si>
  <si>
    <t>بورس حکمت آبان 1403 مرتضی شریفی</t>
  </si>
  <si>
    <t>بورس حکمت آبان 1403 ابوالفضل نیستانی</t>
  </si>
  <si>
    <t>بورس حکمت آبان 1403 محمد حسن حاکمی</t>
  </si>
  <si>
    <t>بورس حکمت آبان 1403 زهرا رضایی</t>
  </si>
  <si>
    <t>بورس حکمت آبان 1403 فاطمه سادات جوادی</t>
  </si>
  <si>
    <t>بورس حکمت آبان 1403 نیایش بلوریان</t>
  </si>
  <si>
    <t>بورس حکمت آبان 1403 نازنین زهرا آقایی</t>
  </si>
  <si>
    <t>بورس حکمت آبان 1403 لیلا محمدی</t>
  </si>
  <si>
    <t>بورس حکمت آبان 1403 پارسا پرهیزکار</t>
  </si>
  <si>
    <t>بورس حکمت آبان 1403 حسنا عظیمی</t>
  </si>
  <si>
    <t>بورس حکمت آبان 1403 فرزانه عبدی</t>
  </si>
  <si>
    <t>بورس حکمت آبان 1403 نازنین زهرا گوهری</t>
  </si>
  <si>
    <t>بورس حکمت آبان 1403 محمد حسام عباسی</t>
  </si>
  <si>
    <t>بورس حکمت آبان 1403 صالح ذوالفقاری</t>
  </si>
  <si>
    <t>بورس حکمت آبان 1403 ستایش کارگر مقدم</t>
  </si>
  <si>
    <t>بورس حکمت آبان 1403 الهام اکبرزاده</t>
  </si>
  <si>
    <t>بورس حکمت آبان 1403 مریم قرئی</t>
  </si>
  <si>
    <t>اجاره خانم کمالی زاده</t>
  </si>
  <si>
    <t>بورس حکمت آبان 1403 مهرزاد بلوچ</t>
  </si>
  <si>
    <t>بورس حکمت آبان 1403 زهرا ضماند</t>
  </si>
  <si>
    <t>بورس حکمت آبان 1403 الهام نقیب</t>
  </si>
  <si>
    <t>بورس حکمت آبان 1403 فرهاد باقرپور</t>
  </si>
  <si>
    <t>بورس حکمت آبان 1403 نازنین زینب محمدپور</t>
  </si>
  <si>
    <t>بورس حکمت آبان 1403 امیرمحمد احمدزاده</t>
  </si>
  <si>
    <t>بورس حکمت آبان 1403 رضا محمد صابر</t>
  </si>
  <si>
    <t>بورس حکمت آبان 1403 فاطمه قاسم زاده</t>
  </si>
  <si>
    <t>بورس حکمت آبان 1403 یلدا صبوحی</t>
  </si>
  <si>
    <t>بورس حکمت آبان 1403 معصومه صفدریان</t>
  </si>
  <si>
    <t>بورس حکمت آبان 1403 سید محمد جواد محبتی</t>
  </si>
  <si>
    <t>بورس حکمت آبان 1403 مطهره مبارز</t>
  </si>
  <si>
    <t>بورس حکمت آبان 1403 ریحانه حقانی</t>
  </si>
  <si>
    <t>خرید مصالح برای بازسازی پل روستای کهنانیکیش</t>
  </si>
  <si>
    <t>بورس حکمت آذر 1403 امیرحسین مودب</t>
  </si>
  <si>
    <t>بورس حکمت آذر 1403 احمد خاوری</t>
  </si>
  <si>
    <t>بورس حکمت آذر 1403 متین شاملی</t>
  </si>
  <si>
    <t>بورس حکمت آذر 1403 صادق نجمی</t>
  </si>
  <si>
    <t>بورس حکمت آذر 1403 مائده وفای</t>
  </si>
  <si>
    <t>بورس حکمت آذر 1403 کوثر صفری</t>
  </si>
  <si>
    <t>بورس حکمت آذر 1403 شقایق محمودی زاده</t>
  </si>
  <si>
    <t>بورس حکمت آذر 1403 هدیه محمدپور</t>
  </si>
  <si>
    <t>بورس حکمت آذر 1403 حانیه دشتبانی</t>
  </si>
  <si>
    <t>بورس حکمت آذر 1403 ثمین اکبری شاندیز</t>
  </si>
  <si>
    <t>بورس حکمت آذر 1403 سارینا داوری</t>
  </si>
  <si>
    <t>بورس حکمت آذر 1403 سحر خادم حقیقی</t>
  </si>
  <si>
    <t>بورس حکمت آذر 1403 فاطمه حیدرزاده</t>
  </si>
  <si>
    <t>بورس حکمت آذر 1403 فاطمه سادات سلطانی</t>
  </si>
  <si>
    <t>بورس حکمت آذر 1403 امیرحسین بنا زاده</t>
  </si>
  <si>
    <t>بورس حکمت آذر 1403 بهروز خباز ترشیزی</t>
  </si>
  <si>
    <t>بورس حکمت آذر 1403 امیرحسین محمدزاده</t>
  </si>
  <si>
    <t>ساخت زمین بازی و حیاط سیستان و بلوچستان</t>
  </si>
  <si>
    <t>1403/10/05</t>
  </si>
  <si>
    <t>حقوق آذر ماه خانم فرتاش</t>
  </si>
  <si>
    <t>اجاره دی ماه خانم کمالی زاده</t>
  </si>
  <si>
    <t>هزینه خرید کاغذ</t>
  </si>
  <si>
    <t>حقوق آذر ماه خانم عباسی</t>
  </si>
  <si>
    <t>هزینه کلاس کنکور الهام صمدی</t>
  </si>
  <si>
    <t>هزینه چاپ لوح های تسلیت</t>
  </si>
  <si>
    <t>هزینه چاپ بنرهای تسلیت</t>
  </si>
  <si>
    <t>هزینه ماهانه ثنا پور دوران</t>
  </si>
  <si>
    <t>هزینه کتاب کمک درسی الهام صمدی</t>
  </si>
  <si>
    <t>هزینه سفارش تاج گل برای مهندس بهرمن</t>
  </si>
  <si>
    <t>هزینه پیک برای ارسال بنر از چاپخانه</t>
  </si>
  <si>
    <t>هزینه پیک برای ارسال بنرها به مراسم</t>
  </si>
  <si>
    <t>هزینه بنر برای مراسم آقای مهاجری</t>
  </si>
  <si>
    <t>کارمزد چک های اقای روحانی</t>
  </si>
  <si>
    <t>تامین فضای آموزشی آموزشگاه رضوی پنگر</t>
  </si>
  <si>
    <t>بورس حکمت آذر 1403 محمد مهدی برسلانی</t>
  </si>
  <si>
    <t>بورس حکمت آذر 1403 کوثر آدینی</t>
  </si>
  <si>
    <t>بورس حکمت آذر 1403 عدنان یوسفخانی</t>
  </si>
  <si>
    <t>بورس حکمت آذر 1403 آیدا سلیمانی</t>
  </si>
  <si>
    <t>بورس حکمت آذر 1403 مهسا ارژنگی</t>
  </si>
  <si>
    <t>بورس حکمت آذر 1403 محمد حسام کاظمی</t>
  </si>
  <si>
    <t>بورس حکمت آذر 1403 نازیلا آبشتن</t>
  </si>
  <si>
    <t>بورس حکمت آذر 1403 ایمان رسولی خوانی</t>
  </si>
  <si>
    <t>بورس حکمت آذر 1403 مرتضی شریفی</t>
  </si>
  <si>
    <t>بورس حکمت آذر 1403 ابوالفضل نیستانی</t>
  </si>
  <si>
    <t>بورس حکمت آذر 1403 محمد حسن حاکمی</t>
  </si>
  <si>
    <t>بورس حکمت آذر 1403 زهرا رضایی</t>
  </si>
  <si>
    <t>بورس حکمت آذر 1403 فاطمه سادات جوادی</t>
  </si>
  <si>
    <t>بورس حکمت آذر 1403 نیایش بلوریان</t>
  </si>
  <si>
    <t>بورس حکمت آذر 1403 نازنین زهرا آقایی</t>
  </si>
  <si>
    <t>بورس حکمت آذر 1403 فرزانه جواهری فرد</t>
  </si>
  <si>
    <t>بورس حکمت آذر 1403 فاطمه جواهری فرد</t>
  </si>
  <si>
    <t>بورس حکمت آذر 1403 ریحانه حقانی</t>
  </si>
  <si>
    <t>بورس حکمت آذر 1403 مطهره مبارز</t>
  </si>
  <si>
    <t>بورس حکمت آذر 1403 سید محمد جواد محبتی</t>
  </si>
  <si>
    <t>بورس حکمت آذر 1403 معصومه صفدریان</t>
  </si>
  <si>
    <t>بورس حکمت آذر 1403 یلدا صبوحی</t>
  </si>
  <si>
    <t>بورس حکمت آذر 1403 فاطمه قاسم زاده</t>
  </si>
  <si>
    <t>بورس حکمت آذر 1403 رضا محمد صابر</t>
  </si>
  <si>
    <t>بورس حکمت آذر 1403 امیرمحمد احمدزاده</t>
  </si>
  <si>
    <t>بورس حکمت آذر 1403 نازنین زینب محمدپور</t>
  </si>
  <si>
    <t>بورس حکمت آذر 1403 فرهاد باقرپور</t>
  </si>
  <si>
    <t>بورس حکمت آذر 1403 الهام نقیب</t>
  </si>
  <si>
    <t>بورس حکمت آذر 1403 زهرا ضماند</t>
  </si>
  <si>
    <t>بورس حکمت آذر 1403 مهرزاد بلوچ</t>
  </si>
  <si>
    <t>بورس حکمت آذر 1403 مریم قرئی</t>
  </si>
  <si>
    <t>بورس حکمت آذر 1403 الهام اکبرزاده</t>
  </si>
  <si>
    <t>بورس حکمت آذر 1403 ستایش کارگر مقدم</t>
  </si>
  <si>
    <t>بورس حکمت آذر 1403 صالح ذوالفقاری</t>
  </si>
  <si>
    <t>بورس حکمت آذر 1403 محمد حسام عباسی</t>
  </si>
  <si>
    <t>بورس حکمت آذر 1403 نازنین زهرا گوهری</t>
  </si>
  <si>
    <t>بورس حکمت آذر 1403 فرزانه عبدی</t>
  </si>
  <si>
    <t>بورس حکمت آذر 1403 حسنا عظیمی</t>
  </si>
  <si>
    <t>بورس حکمت آذر 1403 پارسا پرهیزکار</t>
  </si>
  <si>
    <t>بورس حکمت آذر 1403 لیلا محمدی</t>
  </si>
  <si>
    <t>بورس حکمت دی 1403 فرزانه جواهری فرد</t>
  </si>
  <si>
    <t>بورس حکمت دی 1403 فاطمه جواهری فرد</t>
  </si>
  <si>
    <t>بورس حکمت دی 1403 ریحانه حقانی</t>
  </si>
  <si>
    <t>بورس حکمت دی 1403 مطهره مبارز</t>
  </si>
  <si>
    <t>بورس حکمت دی 1403 سید محمد جواد محبتی</t>
  </si>
  <si>
    <t>بورس حکمت دی 1403 معصومه صفدریان</t>
  </si>
  <si>
    <t>بورس حکمت دی 1403 یلدا صبوحی</t>
  </si>
  <si>
    <t>بورس حکمت دی 1403 فاطمه قاسم زاده</t>
  </si>
  <si>
    <t>بورس حکمت دی 1403 رضا محمد صابر</t>
  </si>
  <si>
    <t>بورس حکمت دی 1403 امیرمحمد احمدزاده</t>
  </si>
  <si>
    <t>بورس حکمت دی 1403 نازنین زینب محمدپور</t>
  </si>
  <si>
    <t>بورس حکمت دی 1403 فرهاد باقرپور</t>
  </si>
  <si>
    <t>بورس حکمت دی 1403 الهام نقیب</t>
  </si>
  <si>
    <t>بورس حکمت دی 1403 زهرا ضماند</t>
  </si>
  <si>
    <t>بورس حکمت دی 1403 مهرزاد بلوچ</t>
  </si>
  <si>
    <t>بورس حکمت دی 1403 مریم قرئی</t>
  </si>
  <si>
    <t>بورس حکمت دی 1403 الهام اکبرزاده</t>
  </si>
  <si>
    <t>بورس حکمت دی 1403 ستایش کارگر مقدم</t>
  </si>
  <si>
    <t>بورس حکمت دی 1403 صالح ذوالفقاری</t>
  </si>
  <si>
    <t>بورس حکمت دی 1403 محمد حسام عباسی</t>
  </si>
  <si>
    <t>بورس حکمت دی 1403 نازنین زهرا گوهری</t>
  </si>
  <si>
    <t>بورس حکمت دی 1403 فرزانه عبدی</t>
  </si>
  <si>
    <t>بورس حکمت دی 1403 حسنا عظیمی</t>
  </si>
  <si>
    <t>بورس حکمت دی 1403 پارسا پرهیزکار</t>
  </si>
  <si>
    <t>بورس حکمت دی 1403 لیلا محمدی</t>
  </si>
  <si>
    <t>بورس حکمت دی 1403 نازنین زهرا آقایی</t>
  </si>
  <si>
    <t>بورس حکمت دی 1403 نیایش بلوریان</t>
  </si>
  <si>
    <t>بورس حکمت دی 1403 فاطمه سادات جوادی</t>
  </si>
  <si>
    <t>بورس حکمت دی 1403 زهرا رضایی</t>
  </si>
  <si>
    <t>بورس حکمت دی 1403 محمد حسن حاکمی</t>
  </si>
  <si>
    <t>بورس حکمت دی 1403 ابوالفضل نیستانی</t>
  </si>
  <si>
    <t>بورس حکمت دی 1403 مرتضی شریفی</t>
  </si>
  <si>
    <t>بورس حکمت دی 1403 ایمان رسولی خوانی</t>
  </si>
  <si>
    <t>بورس حکمت دی 1403 نازیلا آبشتن</t>
  </si>
  <si>
    <t>بورس حکمت دی 1403 محمد حسام کاظمی</t>
  </si>
  <si>
    <t>بورس حکمت دی 1403 مهسا ارژنگی</t>
  </si>
  <si>
    <t>بورس حکمت دی 1403 آیدا سلیمانی</t>
  </si>
  <si>
    <t>بورس حکمت دی 1403 عدنان یوسفخانی</t>
  </si>
  <si>
    <t>بورس حکمت دی 1403 کوثر آدینی</t>
  </si>
  <si>
    <t>بورس حکمت دی 1403 محمد مهدی برسلانی</t>
  </si>
  <si>
    <t>بورس حکمت دی 1403 امیرحسین محمدزاده</t>
  </si>
  <si>
    <t>بورس حکمت دی 1403 بهروز خباز ترشیزی</t>
  </si>
  <si>
    <t>بورس حکمت دی 1403 امیرحسین بنا زاده</t>
  </si>
  <si>
    <t>بورس حکمت دی 1403 فاطمه سادات سلطانی</t>
  </si>
  <si>
    <t>بورس حکمت دی 1403 فاطمه حیدرزاده</t>
  </si>
  <si>
    <t>بورس حکمت دی 1403 سحر خادم حقیقی</t>
  </si>
  <si>
    <t>بورس حکمت دی 1403 سارینا داوری</t>
  </si>
  <si>
    <t>بورس حکمت دی 1403 ثمین اکبری شاندیز</t>
  </si>
  <si>
    <t>بورس حکمت دی 1403 حانیه دشتبانی</t>
  </si>
  <si>
    <t>بورس حکمت دی 1403 هدیه محمدپور</t>
  </si>
  <si>
    <t>بورس حکمت دی 1403 شقایق محمودی زاده</t>
  </si>
  <si>
    <t>بورس حکمت دی 1403 کوثر صفری</t>
  </si>
  <si>
    <t>بورس حکمت دی 1403 مائده وفای</t>
  </si>
  <si>
    <t>بورس حکمت دی 1403 صادق نجمی</t>
  </si>
  <si>
    <t>بورس حکمت دی 1403 متین شاملی</t>
  </si>
  <si>
    <t>بورس حکمت دی 1403 احمد خاوری</t>
  </si>
  <si>
    <t>بورس حکمت دی 1403 امیرحسین مودب</t>
  </si>
  <si>
    <t>هزینه کمک تحصیلی الهام صمدی</t>
  </si>
  <si>
    <t>آب معدنی برای دفتر</t>
  </si>
  <si>
    <t>اجاره بهمن ماه خانم کمالی زاده</t>
  </si>
  <si>
    <t>شارژ بهمن ماه دفتر بنیاد</t>
  </si>
  <si>
    <t>حقوق دی ماه خانم فرتاش</t>
  </si>
  <si>
    <t>حقوق دی ماه خانم عباسی</t>
  </si>
  <si>
    <t>ثبتنام دانشگاه کوثر مولایی</t>
  </si>
  <si>
    <t>اجاره تاج گل از طرف مهندس بهرمن</t>
  </si>
  <si>
    <t>1403/11/11</t>
  </si>
  <si>
    <t>هزینه قبض گاز بنیاد</t>
  </si>
  <si>
    <t>هزینه کتاب های کلاس زبان رقیه رضاپور</t>
  </si>
  <si>
    <t>هزینه ثبتنام دانشگاه کوثر مولایی</t>
  </si>
  <si>
    <t>1403/11/21</t>
  </si>
  <si>
    <t>بورس حکمت بهمن 1403 امیرحسین مودب</t>
  </si>
  <si>
    <t>بورس حکمت بهمن 1403 احمد خاوری</t>
  </si>
  <si>
    <t>بورس حکمت بهمن 1403 متین شاملی</t>
  </si>
  <si>
    <t>بورس حکمت بهمن 1403 صادق نجمی</t>
  </si>
  <si>
    <t>بورس حکمت بهمن 1403 مائده وفای</t>
  </si>
  <si>
    <t>بورس حکمت بهمن 1403 کوثر صفری</t>
  </si>
  <si>
    <t>بورس حکمت بهمن 1403 شقایق محمودی زاده</t>
  </si>
  <si>
    <t>بورس حکمت بهمن 1403 هدیه محمدپور</t>
  </si>
  <si>
    <t>بورس حکمت بهمن 1403 حانیه دشتبانی</t>
  </si>
  <si>
    <t>بورس حکمت بهمن 1403 ثمین اکبری شاندیز</t>
  </si>
  <si>
    <t>بورس حکمت بهمن 1403 سارینا داوری</t>
  </si>
  <si>
    <t>بورس حکمت بهمن 1403 سحر خادم حقیقی</t>
  </si>
  <si>
    <t>بورس حکمت بهمن 1403 فاطمه حیدرزاده</t>
  </si>
  <si>
    <t>بورس حکمت بهمن 1403 فاطمه سادات سلطانی</t>
  </si>
  <si>
    <t>بورس حکمت بهمن 1403 امیرحسین بنا زاده</t>
  </si>
  <si>
    <t>بورس حکمت بهمن 1403 بهروز خباز ترشیزی</t>
  </si>
  <si>
    <t>بورس حکمت بهمن 1403 امیرحسین محمدزاده</t>
  </si>
  <si>
    <t>بورس حکمت بهمن 1403 محمد مهدی برسلانی</t>
  </si>
  <si>
    <t>بورس حکمت بهمن 1403 کوثر آدینی</t>
  </si>
  <si>
    <t>بورس حکمت بهمن 1403 عدنان یوسفخانی</t>
  </si>
  <si>
    <t>بورس حکمت بهمن 1403 آیدا سلیمانی</t>
  </si>
  <si>
    <t>بورس حکمت بهمن 1403 مهسا ارژنگی</t>
  </si>
  <si>
    <t>بورس حکمت بهمن 1403 محمد حسام کاظمی</t>
  </si>
  <si>
    <t>بورس حکمت بهمن 1403 نازیلا آبشتن</t>
  </si>
  <si>
    <t>بورس حکمت بهمن 1403 ایمان رسولی خوانی</t>
  </si>
  <si>
    <t>بورس حکمت بهمن 1403 مرتضی شریفی</t>
  </si>
  <si>
    <t>بورس حکمت بهمن 1403 ابوالفضل نیستانی</t>
  </si>
  <si>
    <t>بورس حکمت بهمن 1403 محمد حسن حاکمی</t>
  </si>
  <si>
    <t>بورس حکمت بهمن 1403 زهرا رضایی</t>
  </si>
  <si>
    <t>بورس حکمت بهمن 1403 فاطمه سادات جوادی</t>
  </si>
  <si>
    <t>بورس حکمت بهمن 1403 نیایش بلوریان</t>
  </si>
  <si>
    <t>بورس حکمت بهمن 1403 نازنین زهرا آقایی</t>
  </si>
  <si>
    <t>بورس حکمت بهمن 1403 لیلا محمدی</t>
  </si>
  <si>
    <t>بورس حکمت بهمن 1403 پارسا پرهیزکار</t>
  </si>
  <si>
    <t>بورس حکمت بهمن 1403 حسنا عظیمی</t>
  </si>
  <si>
    <t>بورس حکمت بهمن 1403 فرزانه عبدی</t>
  </si>
  <si>
    <t>بورس حکمت بهمن 1403 نازنین زهرا گوهری</t>
  </si>
  <si>
    <t>بورس حکمت بهمن 1403 محمد حسام عباسی</t>
  </si>
  <si>
    <t>بورس حکمت بهمن 1403 صالح ذوالفقاری</t>
  </si>
  <si>
    <t>بورس حکمت بهمن 1403 ستایش کارگر مقدم</t>
  </si>
  <si>
    <t>بورس حکمت بهمن 1403 الهام اکبرزاده</t>
  </si>
  <si>
    <t>بورس حکمت بهمن 1403 مریم قرئی</t>
  </si>
  <si>
    <t>بورس حکمت بهمن 1403 مهرزاد بلوچ</t>
  </si>
  <si>
    <t>بورس حکمت بهمن 1403 زهرا ضماند</t>
  </si>
  <si>
    <t>بورس حکمت بهمن 1403 الهام نقیب</t>
  </si>
  <si>
    <t>بورس حکمت بهمن 1403 فرهاد باقرپور</t>
  </si>
  <si>
    <t>بورس حکمت بهمن 1403 نازنین زینب محمدپور</t>
  </si>
  <si>
    <t>بورس حکمت بهمن 1403 امیرمحمد احمدزاده</t>
  </si>
  <si>
    <t>بورس حکمت بهمن 1403 رضا محمد صابر</t>
  </si>
  <si>
    <t>بورس حکمت بهمن 1403 فاطمه قاسم زاده</t>
  </si>
  <si>
    <t>بورس حکمت بهمن 1403 یلدا صبوحی</t>
  </si>
  <si>
    <t>بورس حکمت بهمن 1403 معصومه صفدریان</t>
  </si>
  <si>
    <t>بورس حکمت بهمن 1403 سید محمد جواد محبتی</t>
  </si>
  <si>
    <t>بورس حکمت بهمن 1403 مطهره مبارز</t>
  </si>
  <si>
    <t>بورس حکمت بهمن 1403 ریحانه حقانی</t>
  </si>
  <si>
    <t>بورس حکمت بهمن 1403 فاطمه جواهری فرد</t>
  </si>
  <si>
    <t>بورس حکمت بهمن 1403 فرزانه جواهری فرد</t>
  </si>
  <si>
    <t>صفدری</t>
  </si>
  <si>
    <t>1404/01/27</t>
  </si>
  <si>
    <t>6037701431563847</t>
  </si>
  <si>
    <t>1404/01/25</t>
  </si>
  <si>
    <t>1404/01/24</t>
  </si>
  <si>
    <t>1404/01/23</t>
  </si>
  <si>
    <t>توکلی</t>
  </si>
  <si>
    <t>ک</t>
  </si>
  <si>
    <t>1404/01/22</t>
  </si>
  <si>
    <t>1404/01/19</t>
  </si>
  <si>
    <t>1404/01/18</t>
  </si>
  <si>
    <t>1404/01/17</t>
  </si>
  <si>
    <t>1404/01/16</t>
  </si>
  <si>
    <t>1404/01/14</t>
  </si>
  <si>
    <t>1404/01/13</t>
  </si>
  <si>
    <t>غلامحسن</t>
  </si>
  <si>
    <t>سبحانی</t>
  </si>
  <si>
    <t>1404/01/09</t>
  </si>
  <si>
    <t>1404/01/05</t>
  </si>
  <si>
    <t xml:space="preserve">تاج خاتون </t>
  </si>
  <si>
    <t>رگ</t>
  </si>
  <si>
    <t>1404/01/04</t>
  </si>
  <si>
    <t>1404/01/03</t>
  </si>
  <si>
    <t>1404/01/02</t>
  </si>
  <si>
    <t>1404/01/01</t>
  </si>
  <si>
    <t>1404/02/16</t>
  </si>
  <si>
    <t>1404/02/14</t>
  </si>
  <si>
    <t>1404/02/13</t>
  </si>
  <si>
    <t>طیبه</t>
  </si>
  <si>
    <t>حکیمی</t>
  </si>
  <si>
    <t>1404/02/11</t>
  </si>
  <si>
    <t>1404/02/10</t>
  </si>
  <si>
    <t>1404/02/09</t>
  </si>
  <si>
    <t>1404/02/07</t>
  </si>
  <si>
    <t>قرایی</t>
  </si>
  <si>
    <t>1404/02/05</t>
  </si>
  <si>
    <t>1404/02/04</t>
  </si>
  <si>
    <t>اکرم</t>
  </si>
  <si>
    <t>اسماعیلی</t>
  </si>
  <si>
    <t>1404/02/03</t>
  </si>
  <si>
    <t>1404/02/02</t>
  </si>
  <si>
    <t>1404/02/01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</si>
  <si>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</si>
  <si>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</si>
  <si>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</si>
  <si>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</si>
  <si>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</si>
  <si>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</si>
  <si>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</si>
  <si>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</si>
  <si>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</si>
  <si>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1403/12/29</t>
  </si>
  <si>
    <t>1403/12/30</t>
  </si>
  <si>
    <t>سعیده</t>
  </si>
  <si>
    <t>شاهسوند</t>
  </si>
  <si>
    <t>عارف</t>
  </si>
  <si>
    <t>شهجا</t>
  </si>
  <si>
    <t>عمادزاده</t>
  </si>
  <si>
    <t>بخشایش</t>
  </si>
  <si>
    <t>ترشیزی</t>
  </si>
  <si>
    <t>میر سلیمی</t>
  </si>
  <si>
    <t>شرکت حرارت</t>
  </si>
  <si>
    <t>سازه مبنا</t>
  </si>
  <si>
    <t>نسرین</t>
  </si>
  <si>
    <t>ظفرامیلی</t>
  </si>
  <si>
    <t>بهین</t>
  </si>
  <si>
    <t>1404/02/18</t>
  </si>
  <si>
    <t>1404/02/19</t>
  </si>
  <si>
    <t>1404/02/21</t>
  </si>
  <si>
    <t>1404/02/22</t>
  </si>
  <si>
    <t>منا</t>
  </si>
  <si>
    <t>پاک سیما</t>
  </si>
  <si>
    <t>1404/02/28</t>
  </si>
  <si>
    <t>1404/02/30</t>
  </si>
  <si>
    <t>1404/02/31</t>
  </si>
  <si>
    <t>معزی</t>
  </si>
  <si>
    <t>1404/03/01</t>
  </si>
  <si>
    <t>1404/03/02</t>
  </si>
  <si>
    <t>موسوی چاشمی</t>
  </si>
  <si>
    <t>1404/03/04</t>
  </si>
  <si>
    <t>1404/03/07</t>
  </si>
  <si>
    <t>1404/03/08</t>
  </si>
  <si>
    <t>1404/03/10</t>
  </si>
  <si>
    <t>1404/03/11</t>
  </si>
  <si>
    <t>1404/03/14</t>
  </si>
  <si>
    <t>1404/03/15</t>
  </si>
  <si>
    <t>1404/03/18</t>
  </si>
  <si>
    <t>1404/03/19</t>
  </si>
  <si>
    <t>1404/03/20</t>
  </si>
  <si>
    <t>سید امین</t>
  </si>
  <si>
    <t>میردامادیان</t>
  </si>
  <si>
    <t>1404/03/22</t>
  </si>
  <si>
    <t>1404/03/24</t>
  </si>
  <si>
    <t>1404/03/28</t>
  </si>
  <si>
    <t>نوروزی</t>
  </si>
  <si>
    <t>1404/04/01</t>
  </si>
  <si>
    <t>اصغر</t>
  </si>
  <si>
    <t>مهدوی</t>
  </si>
  <si>
    <t>1404/04/03</t>
  </si>
  <si>
    <t>1404/04/04</t>
  </si>
  <si>
    <t>1404/04/09</t>
  </si>
  <si>
    <t>1404/04/10</t>
  </si>
  <si>
    <t>1404/04/11</t>
  </si>
  <si>
    <t>مراد</t>
  </si>
  <si>
    <t>1404/04/16</t>
  </si>
  <si>
    <t>1404/04/17</t>
  </si>
  <si>
    <t>1404/04/18</t>
  </si>
  <si>
    <t>عطیه</t>
  </si>
  <si>
    <t>محمد تقی</t>
  </si>
  <si>
    <t>امیرجهادی</t>
  </si>
  <si>
    <t>1404/04/21</t>
  </si>
  <si>
    <t>1404/04/23</t>
  </si>
  <si>
    <t>1404/04/24</t>
  </si>
  <si>
    <t>1404/04/27</t>
  </si>
  <si>
    <t>1404/05/01</t>
  </si>
  <si>
    <t>1404/06/01</t>
  </si>
  <si>
    <t>1404/05/02</t>
  </si>
  <si>
    <t>خطیب زاده</t>
  </si>
  <si>
    <t>سهیل</t>
  </si>
  <si>
    <t>محمدی</t>
  </si>
  <si>
    <t>1404/05/03</t>
  </si>
  <si>
    <t>1404/05/04</t>
  </si>
  <si>
    <t>1404/05/05</t>
  </si>
  <si>
    <t>مچید</t>
  </si>
  <si>
    <t>1404/05/06</t>
  </si>
  <si>
    <t>1404/05/07</t>
  </si>
  <si>
    <t>1404/05/09</t>
  </si>
  <si>
    <t>1404/05/14</t>
  </si>
  <si>
    <t>1404/05/15</t>
  </si>
  <si>
    <t>1404/05/19</t>
  </si>
  <si>
    <t>1404/05/21</t>
  </si>
  <si>
    <t>1404/05/22</t>
  </si>
  <si>
    <t>1404/05/28</t>
  </si>
  <si>
    <t>1404/05/29</t>
  </si>
  <si>
    <t>1404/06/02</t>
  </si>
  <si>
    <t>1404/06/04</t>
  </si>
  <si>
    <t>1404/06/06</t>
  </si>
  <si>
    <t>1404/06/07</t>
  </si>
  <si>
    <t>1404/06/08</t>
  </si>
  <si>
    <t>1404/06/09</t>
  </si>
  <si>
    <t>1404/06/11</t>
  </si>
  <si>
    <t>1404/06/13</t>
  </si>
  <si>
    <t>بهزاد</t>
  </si>
  <si>
    <t>1404/06/14</t>
  </si>
  <si>
    <t>1404/06/15</t>
  </si>
  <si>
    <t>امیری کاشانی</t>
  </si>
  <si>
    <t>نوری جمشیدی</t>
  </si>
  <si>
    <t>1404/06/16</t>
  </si>
  <si>
    <t>1404/06/17</t>
  </si>
  <si>
    <t>1404/06/19</t>
  </si>
  <si>
    <t>1404/06/22</t>
  </si>
  <si>
    <t>1404/06/25</t>
  </si>
  <si>
    <t>1404/06/26</t>
  </si>
  <si>
    <t>فهندژ</t>
  </si>
  <si>
    <t>فایزه</t>
  </si>
  <si>
    <t>سمانه</t>
  </si>
  <si>
    <t>سبزواری پور</t>
  </si>
  <si>
    <t>نازیتا</t>
  </si>
  <si>
    <t>کلالی</t>
  </si>
  <si>
    <t>شاهین</t>
  </si>
  <si>
    <t>شیرنگی</t>
  </si>
  <si>
    <t>1404/06/27</t>
  </si>
  <si>
    <t>1404/06/29</t>
  </si>
  <si>
    <t>1404/06/31</t>
  </si>
  <si>
    <t>محمدعثمان</t>
  </si>
  <si>
    <t>1404/07/01</t>
  </si>
  <si>
    <t>1404/07/02</t>
  </si>
  <si>
    <t>1404/07/03</t>
  </si>
  <si>
    <t>1404/07/04</t>
  </si>
  <si>
    <t>1404/07/05</t>
  </si>
  <si>
    <t>درخشانی</t>
  </si>
  <si>
    <t>امیدی کاشانی</t>
  </si>
  <si>
    <t>سارا</t>
  </si>
  <si>
    <t>1404/07/06</t>
  </si>
  <si>
    <t>1404/07/09</t>
  </si>
  <si>
    <t>1404/07/12</t>
  </si>
  <si>
    <t>1404/07/13</t>
  </si>
  <si>
    <t>1404/07/16</t>
  </si>
  <si>
    <t>1404/07/17</t>
  </si>
  <si>
    <t>1404/07/19</t>
  </si>
  <si>
    <t>1404/07/20</t>
  </si>
  <si>
    <t>1404/07/21</t>
  </si>
  <si>
    <t>امیرلو</t>
  </si>
  <si>
    <t>توتونچی</t>
  </si>
  <si>
    <t>کریمایی</t>
  </si>
  <si>
    <t>راسترو</t>
  </si>
  <si>
    <t>کمریی</t>
  </si>
  <si>
    <t>مهرداد</t>
  </si>
  <si>
    <t>باقری</t>
  </si>
  <si>
    <t>1404/07/22</t>
  </si>
  <si>
    <t>1404/07/23</t>
  </si>
  <si>
    <t>1404/07/26</t>
  </si>
  <si>
    <t>1404/07/27</t>
  </si>
  <si>
    <t>1404/07/28</t>
  </si>
  <si>
    <t>سعید</t>
  </si>
  <si>
    <t>خدایی</t>
  </si>
  <si>
    <t>محضری</t>
  </si>
  <si>
    <t>1404/07/30</t>
  </si>
  <si>
    <t>1404/08/01</t>
  </si>
  <si>
    <t>1404/08/02</t>
  </si>
  <si>
    <t>1404/08/04</t>
  </si>
  <si>
    <t>فرح ناز</t>
  </si>
  <si>
    <t>حافظی</t>
  </si>
  <si>
    <t>1404/08/05</t>
  </si>
  <si>
    <t>1404/08/06</t>
  </si>
  <si>
    <t>1404/08/07</t>
  </si>
  <si>
    <t>1404/08/12</t>
  </si>
  <si>
    <t>1404/08/13</t>
  </si>
  <si>
    <t>1404/08/14</t>
  </si>
  <si>
    <t>1404/08/18</t>
  </si>
  <si>
    <t>1404/08/19</t>
  </si>
  <si>
    <t>1404/08/20</t>
  </si>
  <si>
    <t>1404/08/23</t>
  </si>
  <si>
    <t>1404/08/25</t>
  </si>
  <si>
    <t>1404/08/26</t>
  </si>
  <si>
    <t>1404/08/27</t>
  </si>
  <si>
    <t>1404/08/29</t>
  </si>
  <si>
    <t>1404/09/01</t>
  </si>
  <si>
    <t>1404/09/02</t>
  </si>
  <si>
    <t>1404/09/03</t>
  </si>
  <si>
    <t>1404/09/04</t>
  </si>
  <si>
    <t>صادق</t>
  </si>
  <si>
    <t>میرزا محمدی</t>
  </si>
  <si>
    <t>1404/09/09</t>
  </si>
  <si>
    <t>1404/09/10</t>
  </si>
  <si>
    <t>1404/09/12</t>
  </si>
  <si>
    <t>1404/09/15</t>
  </si>
  <si>
    <t>پتروشیمی</t>
  </si>
  <si>
    <t>خلیج فارس</t>
  </si>
  <si>
    <t>1404/09/18</t>
  </si>
  <si>
    <t>1404/09/19</t>
  </si>
  <si>
    <t>1404/09/25</t>
  </si>
  <si>
    <t>روژان</t>
  </si>
  <si>
    <t>صنعت البرز</t>
  </si>
  <si>
    <t>1404/09/26</t>
  </si>
  <si>
    <t>1404/09/28</t>
  </si>
  <si>
    <t>1404/09/30</t>
  </si>
  <si>
    <t>شارژ فروردین ماه دفتر بنیاد</t>
  </si>
  <si>
    <t>هزینه بنر و پایه برای مراسم آقای قربانی</t>
  </si>
  <si>
    <t>بورس حکمت فروردین ماه صالح ذوالفقاری</t>
  </si>
  <si>
    <t>بورس حکمت فروردین ماه  سید محمد جواد محبتی</t>
  </si>
  <si>
    <t>بورس حکمت فروردین ماه  ستایش کارگر مقدم</t>
  </si>
  <si>
    <t>بورس حکمت فروردین ماه  زهرا ضماند</t>
  </si>
  <si>
    <t>بورس حکمت فروردین ماه زهرا رضایی</t>
  </si>
  <si>
    <t>بورس حکمت فروردین ماه ریحانه حقانی</t>
  </si>
  <si>
    <t>بورس حکمت فروردین ماه رضا محمدی صابر</t>
  </si>
  <si>
    <t>بورس حکمت فروردین ماه حسنا عظیمی خراسانی</t>
  </si>
  <si>
    <t>بورس حکمت فروردین ماه پارسا پرهیزکار</t>
  </si>
  <si>
    <t>بورس حکمت فروردین ماه آیدا سلیمانی</t>
  </si>
  <si>
    <t>1404/01/28</t>
  </si>
  <si>
    <t>بورس حکمت فروردین ماه ایمان رسولی</t>
  </si>
  <si>
    <t>بورس حکمت فروردین ماه امیرمحمد احمدزاده</t>
  </si>
  <si>
    <t>بورس حکمت فروردین ماه الهام نقیب</t>
  </si>
  <si>
    <t>بورس حکمت فروردین ماه الهام اکبرزاده</t>
  </si>
  <si>
    <t>بورس حکمت فروردین ماه ابوالفضل نیستانی</t>
  </si>
  <si>
    <t>بورس حکمت فروردین ماه معصومه صفدریان</t>
  </si>
  <si>
    <t>بورس حکمت فروردین ماه مطهره مبارز</t>
  </si>
  <si>
    <t>بورس حکمت فروردین ماه مریم قریی</t>
  </si>
  <si>
    <t>بورس حکمت فروردین ماه مرتضی شریفی</t>
  </si>
  <si>
    <t>بورس حکمت فروردین ماه محمدمهدی برسلانی</t>
  </si>
  <si>
    <t>بورس حکمت فروردین ماه محمدحسن حاکمی</t>
  </si>
  <si>
    <t>بورس حکمت فروردین ماه محمدحسام کاظمی</t>
  </si>
  <si>
    <t>بورس حکمت فروردین ماه محمد حسام عباسی</t>
  </si>
  <si>
    <t>بورس حکمت فروردین ماه لیلا محمدی</t>
  </si>
  <si>
    <t>بورس حکمت فروردین ماه کوثر آدینی</t>
  </si>
  <si>
    <t>بورس حکمت فروردین ماه فرهاد باقرپور</t>
  </si>
  <si>
    <t>بورس حکمت فروردین ماه فرزانه عبدی</t>
  </si>
  <si>
    <t>بورس حکمت فروردین ماه فاطمه قاسم زاده</t>
  </si>
  <si>
    <t>بورس حکمت فروردین ماه فاطمه سادات جوادی</t>
  </si>
  <si>
    <t>بورس حکمت فروردین ماه عدنان یوسف خانی</t>
  </si>
  <si>
    <t xml:space="preserve">بورس حکمت فروردین ماه فاطمه حیدرزاده </t>
  </si>
  <si>
    <t>بورس حکمت فروردین ماه فاطمه سادات سلطانی</t>
  </si>
  <si>
    <t>1404/02/15</t>
  </si>
  <si>
    <t>بورس حکمت فروردین ماه امیرحسین بنا زاده</t>
  </si>
  <si>
    <t>بورس حکمت فروردین ماه بهروز خباز ترشیزی</t>
  </si>
  <si>
    <t>بورس حکمت فروردین ماه امیرحسین محمدزاده</t>
  </si>
  <si>
    <t>بورس حکمت فروردین ماه فاطمه جواهری</t>
  </si>
  <si>
    <t>بورس حکمت فروردین ماه نازنین زینب محمدپور</t>
  </si>
  <si>
    <t>بورس حکمت فروردین ماه نازنین زهرا گوهری</t>
  </si>
  <si>
    <t>بورس حکمت فروردین ماه نازنین زهرا آقایی</t>
  </si>
  <si>
    <t>بورس حکمت فروردین ماه مهسا ارژنگی</t>
  </si>
  <si>
    <t>بورس حکمت فروردین ماه مهرزاد بلوچ</t>
  </si>
  <si>
    <t>بورس حکمت فروردین ماه امیرحسین مودب</t>
  </si>
  <si>
    <t>بورس حکمت فروردین ماه احمد خاوری</t>
  </si>
  <si>
    <t>بورس حکمت فروردین ماه متین شاملی</t>
  </si>
  <si>
    <t>بورس حکمت فروردین ماه صادق نجمی</t>
  </si>
  <si>
    <t>بورس حکمت فروردین ماه مایده وفای</t>
  </si>
  <si>
    <t>بورس حکمت فروردین ماه شقایق محمودی زاده</t>
  </si>
  <si>
    <t>بورس حکمت فروردین ماه کوثر صفری</t>
  </si>
  <si>
    <t>بورس حکمت فروردین ماه حانیه دشتبانی</t>
  </si>
  <si>
    <t>بورس حکمت فروردین ماه ثمین اکبری</t>
  </si>
  <si>
    <t>بورس حکمت فروردین ماه سارینا داوری</t>
  </si>
  <si>
    <t>بورس حکمت فروردین ماه سحر خادم حقیقی</t>
  </si>
  <si>
    <t>هزینه پرینت تقدیرنامه ها</t>
  </si>
  <si>
    <t>حقوق فروردین ماه خانم فرتاش</t>
  </si>
  <si>
    <t>حقوق فروردین ماه خانم عباسی</t>
  </si>
  <si>
    <t>هزینه اجاره خانم کمالی زاده</t>
  </si>
  <si>
    <t>شارژ اردیبهشت ماه دفتر بنیاد</t>
  </si>
  <si>
    <t>هزینه خرید باتری برای کولرها</t>
  </si>
  <si>
    <t>هزینه تعمیر قفل در بنیاد</t>
  </si>
  <si>
    <t>بورس حکمت فروردین ماه فرخنده خوش گفتار</t>
  </si>
  <si>
    <t>بورس حکمت فروردین ماه فرزنه خوش گفتار</t>
  </si>
  <si>
    <t>بورس حکمت فروردین ماه فرزانه جواهری</t>
  </si>
  <si>
    <t>بورس حکمت فروردین ماه  یلدا صبوحی</t>
  </si>
  <si>
    <t>بورس حکمت فروردین ماه  نیایش بلوریان</t>
  </si>
  <si>
    <t>بورس حکمت فروردین ماه نازیلا آبشتن</t>
  </si>
  <si>
    <t>هزینه ثبت نام کتاب های ملیکا نماز</t>
  </si>
  <si>
    <t>هزینه پاکت برای قاب های گمرک و خانم اورلی</t>
  </si>
  <si>
    <t>هزینه بنر آقای توکلی</t>
  </si>
  <si>
    <t>هزینه پرینت لوح ها روی کاغذ گلاسه</t>
  </si>
  <si>
    <t>هزینه پیک برای ارسال بنرهای خانم آرین و دکتر کهلایی</t>
  </si>
  <si>
    <t>هزینه خرید پوشک برای نوید مختاریه</t>
  </si>
  <si>
    <t>هزینه خرید پوشک برای زهرا مروی</t>
  </si>
  <si>
    <t xml:space="preserve">هزینه پیک برای ارسال پوشک ها از فروشگاه </t>
  </si>
  <si>
    <t>هزینه پیک برای ارسال ینرهای دکتر قربانی</t>
  </si>
  <si>
    <t>هزینه خرید قاب برای لوح های گمرک و خانم اولی</t>
  </si>
  <si>
    <t>1404/02/24</t>
  </si>
  <si>
    <t>بورس حکمت اردیبهشت ماه صالح ذوالفقاری</t>
  </si>
  <si>
    <t>بورس حکمت اردیبهشت ماه  سید محمد جواد محبتی</t>
  </si>
  <si>
    <t>بورس حکمت اردیبهشت ماه  ستایش کارگر مقدم</t>
  </si>
  <si>
    <t>بورس حکمت اردیبهشت ماه  زهرا ضماند</t>
  </si>
  <si>
    <t>بورس حکمت اردیبهشت ماه زهرا رضایی</t>
  </si>
  <si>
    <t>بورس حکمت اردیبهشت ماه ریحانه حقانی</t>
  </si>
  <si>
    <t>بورس حکمت اردیبهشت ماه رضا محمدی صابر</t>
  </si>
  <si>
    <t>بورس حکمت اردیبهشت ماه حسنا عظیمی خراسانی</t>
  </si>
  <si>
    <t>بورس حکمت اردیبهشت ماه پارسا پرهیزکار</t>
  </si>
  <si>
    <t>بورس حکمت اردیبهشت ماه آیدا سلیمانی</t>
  </si>
  <si>
    <t>بورس حکمت اردیبهشت ماه ایمان رسولی</t>
  </si>
  <si>
    <t>بورس حکمت اردیبهشت ماه امیرمحمد احمدزاده</t>
  </si>
  <si>
    <t>بورس حکمت اردیبهشت ماه الهام نقیب</t>
  </si>
  <si>
    <t>بورس حکمت اردیبهشت ماه الهام اکبرزاده</t>
  </si>
  <si>
    <t>بورس حکمت اردیبهشت ماه ابوالفضل نیستانی</t>
  </si>
  <si>
    <t>بورس حکمت اردیبهشت ماه معصومه صفدریان</t>
  </si>
  <si>
    <t>بورس حکمت اردیبهشت ماه مطهره مبارز</t>
  </si>
  <si>
    <t>بورس حکمت اردیبهشت ماه مریم قریی</t>
  </si>
  <si>
    <t>بورس حکمت اردیبهشت ماه مرتضی شریفی</t>
  </si>
  <si>
    <t>بورس حکمت اردیبهشت ماه محمدمهدی برسلانی</t>
  </si>
  <si>
    <t>بورس حکمت اردیبهشت ماه محمدحسن حاکمی</t>
  </si>
  <si>
    <t>بورس حکمت اردیبهشت ماه محمدحسام کاظمی</t>
  </si>
  <si>
    <t>بورس حکمت اردیبهشت ماه محمد حسام عباسی</t>
  </si>
  <si>
    <t>بورس حکمت اردیبهشت ماه لیلا محمدی</t>
  </si>
  <si>
    <t>بورس حکمت اردیبهشت ماه کوثر آدینی</t>
  </si>
  <si>
    <t>بورس حکمت اردیبهشت ماه فرهاد باقرپور</t>
  </si>
  <si>
    <t>بورس حکمت اردیبهشت ماه فرزانه عبدی</t>
  </si>
  <si>
    <t>بورس حکمت اردیبهشت ماه فاطمه قاسم زاده</t>
  </si>
  <si>
    <t>بورس حکمت اردیبهشت ماه فاطمه سادات جوادی</t>
  </si>
  <si>
    <t>بورس حکمت اردیبهشت ماه عدنان یوسف خانی</t>
  </si>
  <si>
    <t xml:space="preserve">بورس حکمت اردیبهشت ماه فاطمه حیدرزاده </t>
  </si>
  <si>
    <t>بورس حکمت اردیبهشت ماه فاطمه سادات سلطانی</t>
  </si>
  <si>
    <t>بورس حکمت اردیبهشت ماه امیرحسین بنا زاده</t>
  </si>
  <si>
    <t>بورس حکمت اردیبهشت ماه بهروز خباز ترشیزی</t>
  </si>
  <si>
    <t>بورس حکمت اردیبهشت ماه امیرحسین محمدزاده</t>
  </si>
  <si>
    <t>بورس حکمت اردیبهشت ماه فاطمه جواهری</t>
  </si>
  <si>
    <t>بورس حکمت اردیبهشت ماه نازنین زینب محمدپور</t>
  </si>
  <si>
    <t>بورس حکمت اردیبهشت ماه نازنین زهرا گوهری</t>
  </si>
  <si>
    <t>بورس حکمت اردیبهشت ماه نازنین زهرا آقایی</t>
  </si>
  <si>
    <t>بورس حکمت اردیبهشت ماه مهسا ارژنگی</t>
  </si>
  <si>
    <t>بورس حکمت اردیبهشت ماه مهرزاد بلوچ</t>
  </si>
  <si>
    <t>بورس حکمت اردیبهشت ماه امیرحسین مودب</t>
  </si>
  <si>
    <t>بورس حکمت اردیبهشت ماه احمد خاوری</t>
  </si>
  <si>
    <t>بورس حکمت اردیبهشت ماه متین شاملی</t>
  </si>
  <si>
    <t>بورس حکمت اردیبهشت ماه صادق نجمی</t>
  </si>
  <si>
    <t>بورس حکمت اردیبهشت ماه مایده وفای</t>
  </si>
  <si>
    <t>بورس حکمت اردیبهشت ماه شقایق محمودی زاده</t>
  </si>
  <si>
    <t>بورس حکمت اردیبهشت ماه کوثر صفری</t>
  </si>
  <si>
    <t>بورس حکمت اردیبهشت ماه حانیه دشتبانی</t>
  </si>
  <si>
    <t>بورس حکمت اردیبهشت ماه ثمین اکبری</t>
  </si>
  <si>
    <t>بورس حکمت اردیبهشت ماه سارینا داوری</t>
  </si>
  <si>
    <t>بورس حکمت اردیبهشت ماه سحر خادم حقیقی</t>
  </si>
  <si>
    <t>بورس حکمت اردیبهشت ماه فرخنده خوش گفتار</t>
  </si>
  <si>
    <t>بورس حکمت اردیبهشت ماه فرزنه خوش گفتار</t>
  </si>
  <si>
    <t>بورس حکمت اردیبهشت ماه فرزانه جواهری</t>
  </si>
  <si>
    <t>بورس حکمت اردیبهشت ماه  یلدا صبوحی</t>
  </si>
  <si>
    <t>بورس حکمت اردیبهشت ماه  نیایش بلوریان</t>
  </si>
  <si>
    <t>بورس حکمت اردیبهشت ماه نازیلا آبشتن</t>
  </si>
  <si>
    <t>هزینه ثبت نام کتاب های ثنا پور دوران</t>
  </si>
  <si>
    <t>1404/03/06</t>
  </si>
  <si>
    <t>هزینه پیک ارسال بنرها</t>
  </si>
  <si>
    <t>هزینه بنر برای تسلیت به دبیر دبیرستان حکمت</t>
  </si>
  <si>
    <t>هزینه ایاب ذهاب خانم عباسی</t>
  </si>
  <si>
    <t>هزینه شارژ کارتریج</t>
  </si>
  <si>
    <t>هزینه خرید آب معدنی برای دفتر</t>
  </si>
  <si>
    <t>هزینه شارژ سیم کارت</t>
  </si>
  <si>
    <t>حقوق اردیبهشت ماه خانم فرتاش</t>
  </si>
  <si>
    <t>حقوق اردیبهشت ماه خانم عباسی</t>
  </si>
  <si>
    <t>کمک هزینه تحصیلی الهام صمدی</t>
  </si>
  <si>
    <t>هدیه آقای کهلایی جهت مدرسه افغانستانیها</t>
  </si>
  <si>
    <t>هزینه تحویل پرونده ملیکا نماز</t>
  </si>
  <si>
    <t>هزینه ثبت نام کلاس چهارم ملیکا نماز</t>
  </si>
  <si>
    <t>هزینه کمک تحصیلی برای المپیاد محمد حسام کاظمی</t>
  </si>
  <si>
    <t>حقوق خرداد ماه خانم فرتاش</t>
  </si>
  <si>
    <t>هزینه خرید پوشک نوید مختاریه</t>
  </si>
  <si>
    <t>هزینه خرید پوشک زهرا مروی</t>
  </si>
  <si>
    <t>شارژ تیرماه دفتر</t>
  </si>
  <si>
    <t>1404/04/19</t>
  </si>
  <si>
    <t>1404/04/28</t>
  </si>
  <si>
    <t>بورس حکمت خرداد ماه صالح ذوالفقاری</t>
  </si>
  <si>
    <t>بورس حکمت خرداد ماه  سید محمد جواد محبتی</t>
  </si>
  <si>
    <t>بورس حکمت خرداد ماه  ستایش کارگر مقدم</t>
  </si>
  <si>
    <t>بورس حکمت خرداد ماه  زهرا ضماند</t>
  </si>
  <si>
    <t>بورس حکمت خرداد ماه زهرا رضایی</t>
  </si>
  <si>
    <t>بورس حکمت خرداد ماه ریحانه حقانی</t>
  </si>
  <si>
    <t>بورس حکمت خرداد ماه رضا محمدی صابر</t>
  </si>
  <si>
    <t>بورس حکمت خرداد ماه حسنا عظیمی خراسانی</t>
  </si>
  <si>
    <t>بورس حکمت خرداد ماه پارسا پرهیزکار</t>
  </si>
  <si>
    <t>بورس حکمت خرداد ماه آیدا سلیمانی</t>
  </si>
  <si>
    <t>بورس حکمت خرداد ماه ایمان رسولی</t>
  </si>
  <si>
    <t>بورس حکمت خرداد ماه امیرمحمد احمدزاده</t>
  </si>
  <si>
    <t>بورس حکمت خرداد ماه الهام نقیب</t>
  </si>
  <si>
    <t>بورس حکمت خرداد ماه الهام اکبرزاده</t>
  </si>
  <si>
    <t>بورس حکمت خرداد ماه ابوالفضل نیستانی</t>
  </si>
  <si>
    <t>بورس حکمت خرداد ماه معصومه صفدریان</t>
  </si>
  <si>
    <t>بورس حکمت خرداد ماه مطهره مبارز</t>
  </si>
  <si>
    <t>بورس حکمت خرداد ماه مریم قریی</t>
  </si>
  <si>
    <t>بورس حکمت خرداد ماه مرتضی شریفی</t>
  </si>
  <si>
    <t>بورس حکمت خرداد ماه محمدمهدی برسلانی</t>
  </si>
  <si>
    <t>بورس حکمت خرداد ماه محمدحسن حاکمی</t>
  </si>
  <si>
    <t>بورس حکمت خرداد ماه محمدحسام کاظمی</t>
  </si>
  <si>
    <t>بورس حکمت خرداد ماه محمد حسام عباسی</t>
  </si>
  <si>
    <t>بورس حکمت خرداد ماه لیلا محمدی</t>
  </si>
  <si>
    <t>بورس حکمت خرداد ماه کوثر آدینی</t>
  </si>
  <si>
    <t>بورس حکمت خرداد ماه فرهاد باقرپور</t>
  </si>
  <si>
    <t>بورس حکمت خرداد ماه فرزانه عبدی</t>
  </si>
  <si>
    <t>بورس حکمت خرداد ماه فاطمه قاسم زاده</t>
  </si>
  <si>
    <t>بورس حکمت خرداد ماه فاطمه سادات جوادی</t>
  </si>
  <si>
    <t>بورس حکمت خرداد ماه عدنان یوسف خانی</t>
  </si>
  <si>
    <t xml:space="preserve">بورس حکمت خرداد ماه فاطمه حیدرزاده </t>
  </si>
  <si>
    <t>بورس حکمت خرداد ماه فاطمه سادات سلطانی</t>
  </si>
  <si>
    <t>بورس حکمت خرداد ماه امیرحسین بنا زاده</t>
  </si>
  <si>
    <t>بورس حکمت خرداد ماه بهروز خباز ترشیزی</t>
  </si>
  <si>
    <t>بورس حکمت خرداد ماه امیرحسین محمدزاده</t>
  </si>
  <si>
    <t>بورس حکمت خرداد ماه فاطمه جواهری</t>
  </si>
  <si>
    <t>بورس حکمت خرداد ماه نازنین زینب محمدپور</t>
  </si>
  <si>
    <t>بورس حکمت خرداد ماه نازنین زهرا گوهری</t>
  </si>
  <si>
    <t>بورس حکمت خرداد ماه نازنین زهرا آقایی</t>
  </si>
  <si>
    <t>بورس حکمت خرداد ماه مهسا ارژنگی</t>
  </si>
  <si>
    <t>بورس حکمت خرداد ماه مهرزاد بلوچ</t>
  </si>
  <si>
    <t>بورس حکمت خرداد ماه امیرحسین مودب</t>
  </si>
  <si>
    <t>بورس حکمت خرداد ماه احمد خاوری</t>
  </si>
  <si>
    <t>بورس حکمت خرداد ماه متین شاملی</t>
  </si>
  <si>
    <t>بورس حکمت خرداد ماه صادق نجمی</t>
  </si>
  <si>
    <t>بورس حکمت خرداد ماه مایده وفای</t>
  </si>
  <si>
    <t>بورس حکمت خرداد ماه شقایق محمودی زاده</t>
  </si>
  <si>
    <t>بورس حکمت خرداد ماه کوثر صفری</t>
  </si>
  <si>
    <t>بورس حکمت خرداد ماه حانیه دشتبانی</t>
  </si>
  <si>
    <t>بورس حکمت خرداد ماه ثمین اکبری</t>
  </si>
  <si>
    <t>بورس حکمت خرداد ماه سارینا داوری</t>
  </si>
  <si>
    <t>بورس حکمت خرداد ماه سحر خادم حقیقی</t>
  </si>
  <si>
    <t>بورس حکمت خرداد ماه فرخنده خوش گفتار</t>
  </si>
  <si>
    <t>بورس حکمت خرداد ماه فرزنه خوش گفتار</t>
  </si>
  <si>
    <t>بورس حکمت خرداد ماه فرزانه جواهری</t>
  </si>
  <si>
    <t>بورس حکمت خرداد ماه  یلدا صبوحی</t>
  </si>
  <si>
    <t>بورس حکمت خرداد ماه  نیایش بلوریان</t>
  </si>
  <si>
    <t>بورس حکمت خرداد ماه نازیلا آبشتن</t>
  </si>
  <si>
    <t>بابت هزینه درمانی خانم معصومه خیابانی</t>
  </si>
  <si>
    <t>هزینه بیمه مدرسه و کتاب های مهدیار نماز</t>
  </si>
  <si>
    <t>فاکتور ارسالی توسط خانم نادری</t>
  </si>
  <si>
    <t>هزینه پیک برای ارسال بنر دکتر وحید سپهر</t>
  </si>
  <si>
    <t>هزینه چاپ بنر دکتر وحید سپهر</t>
  </si>
  <si>
    <t>حقوق تیرماه خانم فرتاش</t>
  </si>
  <si>
    <t>هزینه قبض آب بنیاد</t>
  </si>
  <si>
    <t>خرید چای و آب معدنی برای دفتر</t>
  </si>
  <si>
    <t>خرید طی و درپوش چاه برای دفتر</t>
  </si>
  <si>
    <t>هزینه چاپ بنر مراسم آقای مهندس مولایی</t>
  </si>
  <si>
    <t>هزینه چاپ بنرهای مراسک آقای مهندس مولایی</t>
  </si>
  <si>
    <t>هزینه خرید ۳ عدد کلربوک برای دفتر</t>
  </si>
  <si>
    <t>هزینه چاپ بنر برای مراسم مهندس میربلوک</t>
  </si>
  <si>
    <t>1404/06/21</t>
  </si>
  <si>
    <t>هزینه لباس فرم مهدیار نماز</t>
  </si>
  <si>
    <t>هزینه کیک و آبمیوه برای آزمایش خون الهام صمدی</t>
  </si>
  <si>
    <t>هزینه بینایی سنجی و ویزیت دکتر قوامی</t>
  </si>
  <si>
    <t>هزینه آزمایش خون قبل ا ز عمل</t>
  </si>
  <si>
    <t>1404/06/24</t>
  </si>
  <si>
    <t>هزینه تصویربرداری چشم الهام صمدی</t>
  </si>
  <si>
    <t>هزینه مقنعه ملیکا نماز</t>
  </si>
  <si>
    <t>هزینه بورسیه شهریور ماه نازیلا آیشتن</t>
  </si>
  <si>
    <t>هزینه بورسیه شهریور ماه صادق نجمی</t>
  </si>
  <si>
    <t>1404/06/28</t>
  </si>
  <si>
    <t>هزینه بورسیه شهریور ماه امیرحسین بنا زاده</t>
  </si>
  <si>
    <t>هزینه بورسیه شهریور ماه مایده وفای</t>
  </si>
  <si>
    <t>هزینه بورسیه شهریور ماه  الهام صمدی</t>
  </si>
  <si>
    <t>هزینه بورسیه شهریور ماه ویانا وحیدی</t>
  </si>
  <si>
    <t>هزینه بورسیه شهریور ماه  ثنا پور دوران</t>
  </si>
  <si>
    <t>هزینه بورسیه شهریور ماه فرخنده خوشگفتار</t>
  </si>
  <si>
    <t>هزینه بورسیه شهریور ماه فرزانه خوشگفتار</t>
  </si>
  <si>
    <t>هزینه بورسیه شهریور ماه شقایق محمودی زاده</t>
  </si>
  <si>
    <t>هزینه بورسیه شهریور ماه حانیه دشتبانی</t>
  </si>
  <si>
    <t>هزینه بورسیه شهریور ماه سارینا داوری</t>
  </si>
  <si>
    <t>هزینه بورسیه شهریور ماه سحر خادم حقیقی</t>
  </si>
  <si>
    <t>هزینه بورسیه شهریور ماه فاطمه حیدرزاده</t>
  </si>
  <si>
    <t>هزینه بورسیه شهریور ماه فاطمه جواهری</t>
  </si>
  <si>
    <t>هزینه بورسیه شهریور ماه فرزانه جواهری</t>
  </si>
  <si>
    <t>هزینه بورسیه شهریور ماه نیایش بلوریان</t>
  </si>
  <si>
    <t>هزینه بورسیه شهریور ماه نازنین زینب محمدپور</t>
  </si>
  <si>
    <t>هزینه بورسیه شهریور ماه نازنین زهرا گوهری</t>
  </si>
  <si>
    <t>هزینه بورسیه شهریور ماه نازنین زهرا آقایی</t>
  </si>
  <si>
    <t>هزینه بورسیه شهریور ماه آیدا سلیمانی</t>
  </si>
  <si>
    <t>هزینه بورسیه شهریور ماه ایمان رسولی</t>
  </si>
  <si>
    <t>هزینه بورسیه شهریور ماه الهام نقیب</t>
  </si>
  <si>
    <t>هزینه بورسیه شهریور ماه الهام اکبرزاده</t>
  </si>
  <si>
    <t>هزینه بورسیه شهریور ماه ابوالفضل نیستانی</t>
  </si>
  <si>
    <t>هزینه بورسیه شهریور ماه مهسا ارژنگی</t>
  </si>
  <si>
    <t>هزینه بورسیه شهریور ماه مهرزاد بلوچ</t>
  </si>
  <si>
    <t>هزینه بورسیه شهریور ماه معصومه صفدریان</t>
  </si>
  <si>
    <t>هزینه بورسیه شهریور ماه مطهره مبارز</t>
  </si>
  <si>
    <t>هزینه بورسیه شهریور ماه مریم قریی</t>
  </si>
  <si>
    <t>هزینه بورسیه شهریور ماه محمد مهدی برسلانی</t>
  </si>
  <si>
    <t>هزینه بورسیه شهریور ماه محمد حسام کاظمی</t>
  </si>
  <si>
    <t>هزینه بورسیه شهریور ماه لیلا محمدی</t>
  </si>
  <si>
    <t>هزینه بورسیه شهریور ماه کوثر آدینی</t>
  </si>
  <si>
    <t>هزینه بورسیه شهریور ماه فرهاد باقرپور</t>
  </si>
  <si>
    <t>هزینه بورسیه شهریور ماه فرزانه عبدی</t>
  </si>
  <si>
    <t>هزینه بورسیه شهریور ماه فاطمه قاسم زاده</t>
  </si>
  <si>
    <t>هزینه بورسیه شهریور ماه فاطمه سادات جوادی</t>
  </si>
  <si>
    <t>هزینه بورسیه شهریور ماه سید محمد جواد محبتی</t>
  </si>
  <si>
    <t>هزینه بورسیه شهریور ماه زهرا ضماند</t>
  </si>
  <si>
    <t>هزینه بورسیه شهریور ماه زهرا رضایی</t>
  </si>
  <si>
    <t>هزینه بورسیه شهریور ماه ریحانه حقانی</t>
  </si>
  <si>
    <t>هزینه بورسیه شهریور ماه  رضا محمدی صابر</t>
  </si>
  <si>
    <t>هزینه بورسیه شهریور ماه حسنا عظیمی خراسانی</t>
  </si>
  <si>
    <t>هزینه بورسیه شهریور ماه پارسا پرهیزکار</t>
  </si>
  <si>
    <t>هزینه لباس فرم یلدا قدیمی</t>
  </si>
  <si>
    <t>هزینه لباس فرم امیر قدیمی</t>
  </si>
  <si>
    <t>هزینه ثبتنام دانشکده کوثر مولایی</t>
  </si>
  <si>
    <t>هزینه خرید میوه برای عیادت از الهام صمدی</t>
  </si>
  <si>
    <t>هزینه داروخانه برای الهام صمدی</t>
  </si>
  <si>
    <t>هزینه ترخیص الهام صمدی</t>
  </si>
  <si>
    <t>هزینه لباس بستری الهام صمدی</t>
  </si>
  <si>
    <t>هزینه دکتر بیهوشی الهام صمدی</t>
  </si>
  <si>
    <t>هینه ثبتنام مدرسه امیر قدیمی</t>
  </si>
  <si>
    <t>هزینه مدرسه یلدا قدیمی</t>
  </si>
  <si>
    <t>هزینه کرایه راه تاکسی برای دکتر و بیمارستان الهام صمدی</t>
  </si>
  <si>
    <t>هزینه درمانگاه الهام صمدی</t>
  </si>
  <si>
    <t>هزینه ویزیت دکتر الهام صمدی</t>
  </si>
  <si>
    <t>وام قرض الحسنه آقای شخصی خازنی</t>
  </si>
  <si>
    <t>هزینه خرید لوازم تحریر برای پویش مهر</t>
  </si>
  <si>
    <t>1404/07/11</t>
  </si>
  <si>
    <t>هزینه آگهی تسلیت برای آقای کاشانی</t>
  </si>
  <si>
    <t>1404/07/15</t>
  </si>
  <si>
    <t>هزینه نیروی کمکی برای بسته بندی لوازم دفتر</t>
  </si>
  <si>
    <t>هزینه تعمیر یخچال و ماشین لباسشویی خانواده قدیمی</t>
  </si>
  <si>
    <t>کمک هزینه تحصیلی برای ثنا پور دوران</t>
  </si>
  <si>
    <t>هزینه جزوه برای ثنا پور دوران</t>
  </si>
  <si>
    <t>هزینه روپوش مدرسه برای ثنا پور دوران</t>
  </si>
  <si>
    <t>هزینه بنر برا ی مراسم آقای صنوبری</t>
  </si>
  <si>
    <t>هزینه وانت برای جابجایی مبل های دفتر به منزل خانم قدیمی</t>
  </si>
  <si>
    <t>هزینه اسنپ جهت عکس های بنر تسلیت</t>
  </si>
  <si>
    <t>هینه ارسال بنرها به مسجد</t>
  </si>
  <si>
    <t>هزینه چاپ بنرهای تسلیت مراسم آقای لقمانی</t>
  </si>
  <si>
    <t>هزینه ایاب ذهاب به بیمارستان الهام صمدی</t>
  </si>
  <si>
    <t>مابقی هزینه تعمیر یخچال و ماشین لباسشویی خانم قدیمی</t>
  </si>
  <si>
    <t>1404/07/24</t>
  </si>
  <si>
    <t>هزینه کتاب پایش برای ثنا پور دوران</t>
  </si>
  <si>
    <t>هزینه تعمیر دفتر جدید مهندس بهرمن وازیر کردند به بنیاد</t>
  </si>
  <si>
    <t>واریز هزینه وام برای دانش آموز بنیامین صدیقی مهندس بهرمن واریز کردند به بنیاد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</si>
</sst>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000]d\ mmmm\ yyyy"/>
    <numFmt numFmtId="165" formatCode="mm/dd/yyyy"/>
  </numFmts>
  <fonts count="5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theme="1"/>
      <name val="B Nazanin"/>
      <charset val="178"/>
    </font>
    <font>
      <b/>
      <sz val="14"/>
      <color theme="1"/>
      <name val="B Elham"/>
      <charset val="178"/>
    </font>
    <font>
      <sz val="11"/>
      <color theme="1"/>
      <name val="Calibri"/>
      <family val="2"/>
      <scheme val="minor"/>
    </font>
    <font>
      <sz val="10"/>
      <color theme="1"/>
      <name val="B Nazanin"/>
      <charset val="178"/>
    </font>
    <font>
      <b/>
      <sz val="8"/>
      <color theme="1"/>
      <name val="Arial"/>
      <family val="2"/>
    </font>
    <font>
      <sz val="8"/>
      <color theme="1"/>
      <name val="B Nazanin"/>
      <charset val="178"/>
    </font>
    <font>
      <sz val="9"/>
      <color theme="1"/>
      <name val="B Nazanin"/>
      <charset val="178"/>
    </font>
    <font>
      <b/>
      <sz val="10"/>
      <color theme="1"/>
      <name val="Arial"/>
      <family val="2"/>
    </font>
    <font>
      <b/>
      <sz val="9"/>
      <color theme="1"/>
      <name val="B Nazanin"/>
      <charset val="178"/>
    </font>
    <font>
      <b/>
      <sz val="10"/>
      <color theme="1"/>
      <name val="B Nazanin"/>
      <charset val="178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u/>
      <sz val="10"/>
      <color rgb="FF0000FF"/>
      <name val="Arial"/>
      <family val="2"/>
    </font>
    <font>
      <sz val="11"/>
      <color theme="1"/>
      <name val="B Nazanin"/>
      <charset val="178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Lobster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</font>
    <font>
      <sz val="2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00B050"/>
        <bgColor rgb="FF00B050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0000"/>
      </patternFill>
    </fill>
    <fill>
      <patternFill patternType="solid">
        <fgColor rgb="FF00B050"/>
        <bgColor rgb="FFFF0000"/>
      </patternFill>
    </fill>
    <fill>
      <patternFill patternType="solid">
        <fgColor rgb="FF66FF33"/>
        <bgColor indexed="64"/>
      </patternFill>
    </fill>
    <fill>
      <patternFill patternType="solid">
        <fgColor rgb="FF66FF33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E2EFD9"/>
      </patternFill>
    </fill>
    <fill>
      <patternFill patternType="solid">
        <fgColor theme="8" tint="0.59999389629810485"/>
        <bgColor rgb="FF00FFFF"/>
      </patternFill>
    </fill>
    <fill>
      <patternFill patternType="solid">
        <fgColor rgb="FFFF0000"/>
        <bgColor rgb="FFFFE599"/>
      </patternFill>
    </fill>
    <fill>
      <patternFill patternType="solid">
        <fgColor rgb="FFFF0000"/>
        <bgColor rgb="FFE2EFD9"/>
      </patternFill>
    </fill>
    <fill>
      <patternFill patternType="solid">
        <fgColor rgb="FFFF0000"/>
        <bgColor rgb="FF00FF0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FCE5CD"/>
      </patternFill>
    </fill>
    <fill>
      <patternFill patternType="solid">
        <fgColor theme="7" tint="0.59999389629810485"/>
        <bgColor rgb="FFFFE599"/>
      </patternFill>
    </fill>
    <fill>
      <patternFill patternType="solid">
        <fgColor theme="7" tint="0.79998168889431442"/>
        <bgColor rgb="FFFFE599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rgb="FFE2EFD9"/>
      </patternFill>
    </fill>
    <fill>
      <patternFill patternType="solid">
        <fgColor rgb="FFFFFF00"/>
        <bgColor rgb="FF00FF00"/>
      </patternFill>
    </fill>
  </fills>
  <borders count="10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dotted">
        <color rgb="FFA5A5A5"/>
      </top>
      <bottom/>
      <diagonal/>
    </border>
    <border>
      <left/>
      <right/>
      <top style="medium">
        <color rgb="FF000000"/>
      </top>
      <bottom style="dotted">
        <color rgb="FFBFBFBF"/>
      </bottom>
      <diagonal/>
    </border>
    <border>
      <left style="medium">
        <color rgb="FF000000"/>
      </left>
      <right/>
      <top style="dotted">
        <color rgb="FFBFBFBF"/>
      </top>
      <bottom style="dotted">
        <color rgb="FFBFBFBF"/>
      </bottom>
      <diagonal/>
    </border>
    <border>
      <left/>
      <right/>
      <top style="dotted">
        <color rgb="FFBFBFBF"/>
      </top>
      <bottom style="dotted">
        <color rgb="FFBFBFBF"/>
      </bottom>
      <diagonal/>
    </border>
    <border>
      <left/>
      <right style="medium">
        <color rgb="FF000000"/>
      </right>
      <top style="dotted">
        <color rgb="FFBFBFBF"/>
      </top>
      <bottom style="dotted">
        <color rgb="FFBFBFBF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dotted">
        <color rgb="FF7F7F7F"/>
      </top>
      <bottom/>
      <diagonal/>
    </border>
    <border>
      <left style="medium">
        <color rgb="FF000000"/>
      </left>
      <right/>
      <top/>
      <bottom style="dotted">
        <color rgb="FFA5A5A5"/>
      </bottom>
      <diagonal/>
    </border>
    <border>
      <left/>
      <right/>
      <top/>
      <bottom style="dotted">
        <color rgb="FFA5A5A5"/>
      </bottom>
      <diagonal/>
    </border>
    <border>
      <left/>
      <right style="medium">
        <color rgb="FF000000"/>
      </right>
      <top/>
      <bottom style="dotted">
        <color rgb="FFA5A5A5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dotted">
        <color rgb="FFA5A5A5"/>
      </top>
      <bottom style="dotted">
        <color rgb="FFA5A5A5"/>
      </bottom>
      <diagonal/>
    </border>
    <border>
      <left/>
      <right/>
      <top style="dotted">
        <color rgb="FFA5A5A5"/>
      </top>
      <bottom style="dotted">
        <color rgb="FFA5A5A5"/>
      </bottom>
      <diagonal/>
    </border>
    <border>
      <left/>
      <right style="medium">
        <color rgb="FF000000"/>
      </right>
      <top style="dotted">
        <color rgb="FFA5A5A5"/>
      </top>
      <bottom style="dotted">
        <color rgb="FFA5A5A5"/>
      </bottom>
      <diagonal/>
    </border>
    <border>
      <left style="medium">
        <color rgb="FF000000"/>
      </left>
      <right/>
      <top/>
      <bottom style="dotted">
        <color rgb="FFC0C0C0"/>
      </bottom>
      <diagonal/>
    </border>
    <border>
      <left/>
      <right/>
      <top/>
      <bottom style="dotted">
        <color rgb="FFC0C0C0"/>
      </bottom>
      <diagonal/>
    </border>
    <border>
      <left style="medium">
        <color rgb="FF000000"/>
      </left>
      <right/>
      <top style="dotted">
        <color rgb="FFC0C0C0"/>
      </top>
      <bottom style="dotted">
        <color rgb="FFC0C0C0"/>
      </bottom>
      <diagonal/>
    </border>
    <border>
      <left/>
      <right/>
      <top style="dotted">
        <color rgb="FFC0C0C0"/>
      </top>
      <bottom style="dotted">
        <color rgb="FFC0C0C0"/>
      </bottom>
      <diagonal/>
    </border>
    <border>
      <left style="medium">
        <color rgb="FF000000"/>
      </left>
      <right/>
      <top style="dotted">
        <color rgb="FFC0C0C0"/>
      </top>
      <bottom/>
      <diagonal/>
    </border>
    <border>
      <left/>
      <right/>
      <top style="dotted">
        <color rgb="FFC0C0C0"/>
      </top>
      <bottom/>
      <diagonal/>
    </border>
    <border>
      <left/>
      <right style="medium">
        <color rgb="FF000000"/>
      </right>
      <top style="dotted">
        <color rgb="FFA5A5A5"/>
      </top>
      <bottom/>
      <diagonal/>
    </border>
    <border>
      <left/>
      <right style="medium">
        <color rgb="FF000000"/>
      </right>
      <top style="dotted">
        <color rgb="FFC0C0C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7F7F7F"/>
      </bottom>
      <diagonal/>
    </border>
    <border>
      <left/>
      <right/>
      <top style="medium">
        <color rgb="FF000000"/>
      </top>
      <bottom style="dotted">
        <color rgb="FF7F7F7F"/>
      </bottom>
      <diagonal/>
    </border>
    <border>
      <left style="medium">
        <color rgb="FF000000"/>
      </left>
      <right/>
      <top style="dotted">
        <color rgb="FF7F7F7F"/>
      </top>
      <bottom style="dotted">
        <color rgb="FF7F7F7F"/>
      </bottom>
      <diagonal/>
    </border>
    <border>
      <left/>
      <right/>
      <top style="dotted">
        <color rgb="FF7F7F7F"/>
      </top>
      <bottom style="dotted">
        <color rgb="FF7F7F7F"/>
      </bottom>
      <diagonal/>
    </border>
    <border>
      <left/>
      <right style="medium">
        <color rgb="FF000000"/>
      </right>
      <top style="dotted">
        <color rgb="FF7F7F7F"/>
      </top>
      <bottom style="dotted">
        <color rgb="FF7F7F7F"/>
      </bottom>
      <diagonal/>
    </border>
    <border>
      <left style="medium">
        <color rgb="FF000000"/>
      </left>
      <right/>
      <top style="dotted">
        <color rgb="FF7F7F7F"/>
      </top>
      <bottom style="medium">
        <color rgb="FF000000"/>
      </bottom>
      <diagonal/>
    </border>
    <border>
      <left/>
      <right/>
      <top style="dotted">
        <color rgb="FF7F7F7F"/>
      </top>
      <bottom style="medium">
        <color rgb="FF000000"/>
      </bottom>
      <diagonal/>
    </border>
    <border>
      <left/>
      <right style="medium">
        <color rgb="FF000000"/>
      </right>
      <top style="dotted">
        <color rgb="FF7F7F7F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/>
      <right/>
      <top style="dotted">
        <color rgb="FF7F7F7F"/>
      </top>
      <bottom style="dotted">
        <color rgb="FFA5A5A5"/>
      </bottom>
      <diagonal/>
    </border>
    <border>
      <left/>
      <right style="medium">
        <color rgb="FF000000"/>
      </right>
      <top style="dotted">
        <color rgb="FF7F7F7F"/>
      </top>
      <bottom style="dotted">
        <color rgb="FFA5A5A5"/>
      </bottom>
      <diagonal/>
    </border>
    <border>
      <left/>
      <right/>
      <top style="dotted">
        <color rgb="FFA5A5A5"/>
      </top>
      <bottom style="medium">
        <color rgb="FF000000"/>
      </bottom>
      <diagonal/>
    </border>
    <border>
      <left/>
      <right style="medium">
        <color rgb="FF000000"/>
      </right>
      <top style="dotted">
        <color rgb="FFA5A5A5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47" fillId="0" borderId="53"/>
    <xf numFmtId="0" fontId="49" fillId="0" borderId="53" applyNumberFormat="0" applyFill="0" applyBorder="0" applyAlignment="0" applyProtection="0"/>
    <xf numFmtId="0" fontId="6" fillId="0" borderId="53"/>
  </cellStyleXfs>
  <cellXfs count="533">
    <xf numFmtId="0" fontId="0" fillId="0" borderId="0" xfId="0"/>
    <xf numFmtId="0" fontId="11" fillId="0" borderId="2" xfId="0" applyFont="1" applyBorder="1"/>
    <xf numFmtId="0" fontId="12" fillId="0" borderId="2" xfId="0" applyFont="1" applyBorder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7" fillId="0" borderId="5" xfId="0" applyFont="1" applyBorder="1" applyAlignment="1">
      <alignment horizontal="center" vertical="center"/>
    </xf>
    <xf numFmtId="0" fontId="18" fillId="0" borderId="5" xfId="0" applyFont="1" applyBorder="1"/>
    <xf numFmtId="0" fontId="11" fillId="0" borderId="5" xfId="0" applyFont="1" applyBorder="1"/>
    <xf numFmtId="0" fontId="19" fillId="0" borderId="5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20" fillId="0" borderId="7" xfId="0" applyFont="1" applyBorder="1"/>
    <xf numFmtId="0" fontId="12" fillId="0" borderId="7" xfId="0" applyFont="1" applyBorder="1"/>
    <xf numFmtId="0" fontId="20" fillId="0" borderId="7" xfId="0" applyFont="1" applyBorder="1" applyAlignment="1">
      <alignment horizontal="right"/>
    </xf>
    <xf numFmtId="0" fontId="21" fillId="0" borderId="3" xfId="0" applyFont="1" applyBorder="1" applyAlignment="1">
      <alignment horizontal="right" vertical="center"/>
    </xf>
    <xf numFmtId="0" fontId="22" fillId="0" borderId="0" xfId="0" applyFont="1"/>
    <xf numFmtId="0" fontId="21" fillId="0" borderId="10" xfId="0" applyFont="1" applyBorder="1"/>
    <xf numFmtId="0" fontId="21" fillId="0" borderId="10" xfId="0" applyFont="1" applyBorder="1" applyAlignment="1">
      <alignment horizontal="center" vertical="center"/>
    </xf>
    <xf numFmtId="0" fontId="20" fillId="0" borderId="11" xfId="0" applyFont="1" applyBorder="1"/>
    <xf numFmtId="0" fontId="21" fillId="0" borderId="10" xfId="0" applyFont="1" applyBorder="1" applyAlignment="1">
      <alignment horizontal="right"/>
    </xf>
    <xf numFmtId="0" fontId="15" fillId="0" borderId="11" xfId="0" applyFont="1" applyBorder="1" applyAlignment="1">
      <alignment horizontal="right"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9" xfId="0" applyFont="1" applyBorder="1"/>
    <xf numFmtId="0" fontId="21" fillId="0" borderId="12" xfId="0" applyFont="1" applyBorder="1"/>
    <xf numFmtId="0" fontId="21" fillId="0" borderId="0" xfId="0" applyFont="1"/>
    <xf numFmtId="0" fontId="20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0" fillId="0" borderId="15" xfId="0" applyFont="1" applyBorder="1"/>
    <xf numFmtId="0" fontId="12" fillId="0" borderId="16" xfId="0" applyFont="1" applyBorder="1"/>
    <xf numFmtId="0" fontId="21" fillId="0" borderId="17" xfId="0" applyFont="1" applyBorder="1"/>
    <xf numFmtId="0" fontId="20" fillId="0" borderId="0" xfId="0" applyFont="1"/>
    <xf numFmtId="0" fontId="11" fillId="0" borderId="10" xfId="0" applyFont="1" applyBorder="1"/>
    <xf numFmtId="0" fontId="20" fillId="0" borderId="10" xfId="0" applyFont="1" applyBorder="1"/>
    <xf numFmtId="0" fontId="11" fillId="0" borderId="0" xfId="0" applyFont="1"/>
    <xf numFmtId="0" fontId="21" fillId="0" borderId="18" xfId="0" applyFont="1" applyBorder="1"/>
    <xf numFmtId="0" fontId="21" fillId="0" borderId="19" xfId="0" applyFont="1" applyBorder="1"/>
    <xf numFmtId="0" fontId="20" fillId="0" borderId="19" xfId="0" applyFont="1" applyBorder="1"/>
    <xf numFmtId="0" fontId="20" fillId="0" borderId="20" xfId="0" applyFont="1" applyBorder="1"/>
    <xf numFmtId="0" fontId="12" fillId="0" borderId="12" xfId="0" applyFont="1" applyBorder="1"/>
    <xf numFmtId="0" fontId="12" fillId="0" borderId="0" xfId="0" applyFont="1"/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2" fillId="0" borderId="24" xfId="0" applyFont="1" applyBorder="1"/>
    <xf numFmtId="0" fontId="21" fillId="0" borderId="24" xfId="0" applyFont="1" applyBorder="1"/>
    <xf numFmtId="0" fontId="21" fillId="0" borderId="25" xfId="0" applyFont="1" applyBorder="1"/>
    <xf numFmtId="0" fontId="12" fillId="0" borderId="26" xfId="0" applyFont="1" applyBorder="1"/>
    <xf numFmtId="0" fontId="12" fillId="0" borderId="27" xfId="0" applyFont="1" applyBorder="1"/>
    <xf numFmtId="0" fontId="21" fillId="0" borderId="13" xfId="0" applyFont="1" applyBorder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0" fontId="21" fillId="0" borderId="7" xfId="0" applyFont="1" applyBorder="1"/>
    <xf numFmtId="0" fontId="21" fillId="0" borderId="32" xfId="0" applyFont="1" applyBorder="1"/>
    <xf numFmtId="0" fontId="12" fillId="0" borderId="9" xfId="0" applyFont="1" applyBorder="1"/>
    <xf numFmtId="0" fontId="12" fillId="0" borderId="10" xfId="0" applyFont="1" applyBorder="1"/>
    <xf numFmtId="0" fontId="21" fillId="0" borderId="11" xfId="0" applyFont="1" applyBorder="1"/>
    <xf numFmtId="0" fontId="20" fillId="0" borderId="31" xfId="0" applyFont="1" applyBorder="1"/>
    <xf numFmtId="0" fontId="21" fillId="0" borderId="31" xfId="0" applyFont="1" applyBorder="1"/>
    <xf numFmtId="0" fontId="21" fillId="0" borderId="33" xfId="0" applyFont="1" applyBorder="1"/>
    <xf numFmtId="0" fontId="23" fillId="0" borderId="12" xfId="0" applyFont="1" applyBorder="1"/>
    <xf numFmtId="0" fontId="23" fillId="0" borderId="0" xfId="0" applyFont="1"/>
    <xf numFmtId="0" fontId="12" fillId="0" borderId="13" xfId="0" applyFont="1" applyBorder="1"/>
    <xf numFmtId="0" fontId="23" fillId="0" borderId="34" xfId="0" applyFont="1" applyBorder="1"/>
    <xf numFmtId="0" fontId="23" fillId="0" borderId="35" xfId="0" applyFont="1" applyBorder="1"/>
    <xf numFmtId="0" fontId="23" fillId="0" borderId="36" xfId="0" applyFont="1" applyBorder="1"/>
    <xf numFmtId="0" fontId="19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19" fillId="0" borderId="13" xfId="0" applyFont="1" applyBorder="1" applyAlignment="1">
      <alignment horizontal="left" vertical="center"/>
    </xf>
    <xf numFmtId="0" fontId="11" fillId="0" borderId="4" xfId="0" applyFont="1" applyBorder="1"/>
    <xf numFmtId="0" fontId="11" fillId="0" borderId="6" xfId="0" applyFont="1" applyBorder="1"/>
    <xf numFmtId="49" fontId="15" fillId="0" borderId="0" xfId="0" applyNumberFormat="1" applyFont="1"/>
    <xf numFmtId="0" fontId="12" fillId="0" borderId="37" xfId="0" applyFont="1" applyBorder="1" applyAlignment="1">
      <alignment horizontal="right" vertical="center"/>
    </xf>
    <xf numFmtId="0" fontId="11" fillId="0" borderId="38" xfId="0" applyFont="1" applyBorder="1" applyAlignment="1">
      <alignment horizontal="right" vertical="center"/>
    </xf>
    <xf numFmtId="0" fontId="15" fillId="0" borderId="38" xfId="0" applyFont="1" applyBorder="1" applyAlignment="1">
      <alignment horizontal="right" vertical="center"/>
    </xf>
    <xf numFmtId="164" fontId="15" fillId="0" borderId="38" xfId="0" applyNumberFormat="1" applyFont="1" applyBorder="1" applyAlignment="1">
      <alignment horizontal="right" vertical="center"/>
    </xf>
    <xf numFmtId="49" fontId="15" fillId="0" borderId="38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right" vertical="center"/>
    </xf>
    <xf numFmtId="0" fontId="12" fillId="0" borderId="39" xfId="0" applyFont="1" applyBorder="1" applyAlignment="1">
      <alignment horizontal="right" vertical="center"/>
    </xf>
    <xf numFmtId="0" fontId="11" fillId="0" borderId="40" xfId="0" applyFont="1" applyBorder="1" applyAlignment="1">
      <alignment horizontal="right" vertical="center"/>
    </xf>
    <xf numFmtId="0" fontId="15" fillId="0" borderId="40" xfId="0" applyFont="1" applyBorder="1" applyAlignment="1">
      <alignment horizontal="right" vertical="center"/>
    </xf>
    <xf numFmtId="0" fontId="11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right" vertical="center"/>
    </xf>
    <xf numFmtId="0" fontId="20" fillId="0" borderId="39" xfId="0" applyFont="1" applyBorder="1" applyAlignment="1">
      <alignment horizontal="right" vertical="center"/>
    </xf>
    <xf numFmtId="49" fontId="15" fillId="0" borderId="40" xfId="0" applyNumberFormat="1" applyFont="1" applyBorder="1" applyAlignment="1">
      <alignment horizontal="right" vertical="center"/>
    </xf>
    <xf numFmtId="0" fontId="18" fillId="0" borderId="40" xfId="0" applyFont="1" applyBorder="1" applyAlignment="1">
      <alignment horizontal="right" vertical="center"/>
    </xf>
    <xf numFmtId="0" fontId="21" fillId="0" borderId="39" xfId="0" applyFont="1" applyBorder="1"/>
    <xf numFmtId="0" fontId="21" fillId="0" borderId="40" xfId="0" applyFont="1" applyBorder="1"/>
    <xf numFmtId="0" fontId="15" fillId="0" borderId="44" xfId="0" applyFont="1" applyBorder="1" applyAlignment="1">
      <alignment horizontal="right" vertical="center"/>
    </xf>
    <xf numFmtId="0" fontId="21" fillId="0" borderId="37" xfId="0" applyFont="1" applyBorder="1" applyAlignment="1">
      <alignment horizontal="right" vertical="center"/>
    </xf>
    <xf numFmtId="0" fontId="15" fillId="0" borderId="45" xfId="0" applyFont="1" applyBorder="1" applyAlignment="1">
      <alignment horizontal="right" vertical="center"/>
    </xf>
    <xf numFmtId="0" fontId="15" fillId="0" borderId="47" xfId="0" applyFont="1" applyBorder="1" applyAlignment="1">
      <alignment horizontal="right" vertical="center"/>
    </xf>
    <xf numFmtId="0" fontId="21" fillId="0" borderId="23" xfId="0" applyFont="1" applyBorder="1" applyAlignment="1">
      <alignment horizontal="right" vertical="center"/>
    </xf>
    <xf numFmtId="0" fontId="11" fillId="0" borderId="24" xfId="0" applyFont="1" applyBorder="1" applyAlignment="1">
      <alignment horizontal="right" vertical="center"/>
    </xf>
    <xf numFmtId="0" fontId="20" fillId="0" borderId="24" xfId="0" applyFont="1" applyBorder="1" applyAlignment="1">
      <alignment horizontal="right" vertical="center"/>
    </xf>
    <xf numFmtId="0" fontId="15" fillId="0" borderId="25" xfId="0" applyFont="1" applyBorder="1" applyAlignment="1">
      <alignment horizontal="right" vertical="center"/>
    </xf>
    <xf numFmtId="0" fontId="21" fillId="0" borderId="23" xfId="0" applyFont="1" applyBorder="1"/>
    <xf numFmtId="0" fontId="20" fillId="0" borderId="48" xfId="0" applyFont="1" applyBorder="1" applyAlignment="1">
      <alignment horizontal="right" vertical="center"/>
    </xf>
    <xf numFmtId="0" fontId="11" fillId="0" borderId="48" xfId="0" applyFont="1" applyBorder="1" applyAlignment="1">
      <alignment horizontal="right" vertical="center"/>
    </xf>
    <xf numFmtId="0" fontId="15" fillId="0" borderId="49" xfId="0" applyFont="1" applyBorder="1" applyAlignment="1">
      <alignment horizontal="right" vertical="center"/>
    </xf>
    <xf numFmtId="0" fontId="12" fillId="0" borderId="13" xfId="0" applyFont="1" applyBorder="1" applyAlignment="1">
      <alignment horizontal="right" vertical="center"/>
    </xf>
    <xf numFmtId="0" fontId="12" fillId="0" borderId="50" xfId="0" applyFont="1" applyBorder="1"/>
    <xf numFmtId="0" fontId="25" fillId="0" borderId="21" xfId="0" applyFont="1" applyBorder="1"/>
    <xf numFmtId="0" fontId="21" fillId="0" borderId="21" xfId="0" applyFont="1" applyBorder="1"/>
    <xf numFmtId="0" fontId="25" fillId="0" borderId="0" xfId="0" applyFont="1"/>
    <xf numFmtId="0" fontId="23" fillId="0" borderId="4" xfId="0" applyFont="1" applyBorder="1"/>
    <xf numFmtId="0" fontId="23" fillId="0" borderId="5" xfId="0" applyFont="1" applyBorder="1"/>
    <xf numFmtId="0" fontId="23" fillId="0" borderId="6" xfId="0" applyFont="1" applyBorder="1"/>
    <xf numFmtId="49" fontId="11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4" fontId="22" fillId="0" borderId="51" xfId="0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 shrinkToFit="1"/>
    </xf>
    <xf numFmtId="0" fontId="22" fillId="3" borderId="51" xfId="0" applyFont="1" applyFill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2" fillId="0" borderId="51" xfId="0" applyFont="1" applyBorder="1"/>
    <xf numFmtId="0" fontId="22" fillId="5" borderId="51" xfId="0" applyFont="1" applyFill="1" applyBorder="1"/>
    <xf numFmtId="0" fontId="22" fillId="5" borderId="53" xfId="0" applyFont="1" applyFill="1" applyBorder="1"/>
    <xf numFmtId="0" fontId="29" fillId="0" borderId="0" xfId="0" applyFont="1" applyAlignment="1">
      <alignment horizontal="center"/>
    </xf>
    <xf numFmtId="0" fontId="29" fillId="7" borderId="51" xfId="0" applyFont="1" applyFill="1" applyBorder="1" applyAlignment="1">
      <alignment horizontal="center"/>
    </xf>
    <xf numFmtId="0" fontId="29" fillId="7" borderId="54" xfId="0" applyFont="1" applyFill="1" applyBorder="1" applyAlignment="1">
      <alignment horizontal="center"/>
    </xf>
    <xf numFmtId="0" fontId="22" fillId="8" borderId="51" xfId="0" applyFont="1" applyFill="1" applyBorder="1" applyAlignment="1">
      <alignment horizontal="center" vertical="center"/>
    </xf>
    <xf numFmtId="0" fontId="22" fillId="5" borderId="51" xfId="0" applyFont="1" applyFill="1" applyBorder="1" applyAlignment="1">
      <alignment horizontal="center" vertical="center"/>
    </xf>
    <xf numFmtId="14" fontId="22" fillId="9" borderId="51" xfId="0" applyNumberFormat="1" applyFont="1" applyFill="1" applyBorder="1" applyAlignment="1">
      <alignment horizontal="center" vertical="center"/>
    </xf>
    <xf numFmtId="1" fontId="30" fillId="9" borderId="51" xfId="0" applyNumberFormat="1" applyFont="1" applyFill="1" applyBorder="1" applyAlignment="1">
      <alignment horizontal="center" vertical="center"/>
    </xf>
    <xf numFmtId="0" fontId="22" fillId="9" borderId="51" xfId="0" applyFont="1" applyFill="1" applyBorder="1" applyAlignment="1">
      <alignment horizontal="center" vertical="center"/>
    </xf>
    <xf numFmtId="0" fontId="22" fillId="4" borderId="51" xfId="0" applyFont="1" applyFill="1" applyBorder="1" applyAlignment="1">
      <alignment horizontal="center" vertical="center"/>
    </xf>
    <xf numFmtId="3" fontId="31" fillId="9" borderId="51" xfId="0" applyNumberFormat="1" applyFont="1" applyFill="1" applyBorder="1" applyAlignment="1">
      <alignment horizontal="center" vertical="center"/>
    </xf>
    <xf numFmtId="0" fontId="22" fillId="10" borderId="54" xfId="0" applyFont="1" applyFill="1" applyBorder="1" applyAlignment="1">
      <alignment horizontal="center" vertical="center"/>
    </xf>
    <xf numFmtId="0" fontId="32" fillId="5" borderId="51" xfId="0" applyFont="1" applyFill="1" applyBorder="1" applyAlignment="1">
      <alignment horizontal="center" vertical="center"/>
    </xf>
    <xf numFmtId="0" fontId="32" fillId="9" borderId="51" xfId="0" applyFont="1" applyFill="1" applyBorder="1" applyAlignment="1">
      <alignment horizontal="center" vertical="center"/>
    </xf>
    <xf numFmtId="0" fontId="32" fillId="10" borderId="54" xfId="0" applyFont="1" applyFill="1" applyBorder="1" applyAlignment="1">
      <alignment horizontal="center" vertical="center"/>
    </xf>
    <xf numFmtId="0" fontId="22" fillId="5" borderId="54" xfId="0" applyFont="1" applyFill="1" applyBorder="1" applyAlignment="1">
      <alignment horizontal="center" vertical="center"/>
    </xf>
    <xf numFmtId="0" fontId="22" fillId="5" borderId="51" xfId="0" applyFont="1" applyFill="1" applyBorder="1" applyAlignment="1">
      <alignment horizontal="center"/>
    </xf>
    <xf numFmtId="0" fontId="22" fillId="10" borderId="52" xfId="0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51" xfId="0" applyFont="1" applyBorder="1" applyAlignment="1">
      <alignment horizontal="center"/>
    </xf>
    <xf numFmtId="0" fontId="14" fillId="5" borderId="0" xfId="0" applyFont="1" applyFill="1"/>
    <xf numFmtId="0" fontId="29" fillId="7" borderId="58" xfId="0" applyFont="1" applyFill="1" applyBorder="1" applyAlignment="1">
      <alignment horizontal="center" vertical="center"/>
    </xf>
    <xf numFmtId="3" fontId="31" fillId="5" borderId="51" xfId="0" applyNumberFormat="1" applyFont="1" applyFill="1" applyBorder="1" applyAlignment="1">
      <alignment horizontal="center" vertical="center"/>
    </xf>
    <xf numFmtId="0" fontId="26" fillId="9" borderId="51" xfId="0" applyFont="1" applyFill="1" applyBorder="1" applyAlignment="1">
      <alignment horizontal="center"/>
    </xf>
    <xf numFmtId="3" fontId="33" fillId="0" borderId="51" xfId="0" applyNumberFormat="1" applyFont="1" applyBorder="1" applyAlignment="1">
      <alignment horizontal="center" vertical="center"/>
    </xf>
    <xf numFmtId="0" fontId="22" fillId="11" borderId="53" xfId="0" applyFont="1" applyFill="1" applyBorder="1"/>
    <xf numFmtId="0" fontId="22" fillId="12" borderId="53" xfId="0" applyFont="1" applyFill="1" applyBorder="1"/>
    <xf numFmtId="0" fontId="22" fillId="0" borderId="59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3" fontId="22" fillId="0" borderId="63" xfId="0" applyNumberFormat="1" applyFont="1" applyBorder="1" applyAlignment="1">
      <alignment horizontal="center" vertical="center"/>
    </xf>
    <xf numFmtId="3" fontId="22" fillId="0" borderId="66" xfId="0" applyNumberFormat="1" applyFont="1" applyBorder="1" applyAlignment="1">
      <alignment horizontal="center" vertical="center"/>
    </xf>
    <xf numFmtId="3" fontId="22" fillId="0" borderId="67" xfId="0" applyNumberFormat="1" applyFont="1" applyBorder="1" applyAlignment="1">
      <alignment horizontal="center" vertical="center"/>
    </xf>
    <xf numFmtId="165" fontId="14" fillId="0" borderId="0" xfId="0" applyNumberFormat="1" applyFont="1" applyAlignment="1">
      <alignment horizontal="center"/>
    </xf>
    <xf numFmtId="0" fontId="22" fillId="5" borderId="56" xfId="0" applyFont="1" applyFill="1" applyBorder="1" applyAlignment="1">
      <alignment horizontal="center" vertical="center"/>
    </xf>
    <xf numFmtId="3" fontId="0" fillId="0" borderId="0" xfId="0" applyNumberFormat="1"/>
    <xf numFmtId="0" fontId="22" fillId="8" borderId="56" xfId="0" applyFont="1" applyFill="1" applyBorder="1" applyAlignment="1">
      <alignment horizontal="center" vertical="center"/>
    </xf>
    <xf numFmtId="0" fontId="29" fillId="7" borderId="51" xfId="0" applyFont="1" applyFill="1" applyBorder="1" applyAlignment="1">
      <alignment horizontal="center" vertical="center" shrinkToFit="1"/>
    </xf>
    <xf numFmtId="3" fontId="22" fillId="0" borderId="51" xfId="0" applyNumberFormat="1" applyFont="1" applyBorder="1" applyAlignment="1">
      <alignment horizontal="center" vertical="center" shrinkToFit="1"/>
    </xf>
    <xf numFmtId="3" fontId="31" fillId="0" borderId="51" xfId="0" applyNumberFormat="1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22" fillId="0" borderId="55" xfId="0" applyFont="1" applyBorder="1"/>
    <xf numFmtId="0" fontId="22" fillId="8" borderId="51" xfId="0" applyFont="1" applyFill="1" applyBorder="1" applyAlignment="1">
      <alignment horizontal="center"/>
    </xf>
    <xf numFmtId="14" fontId="22" fillId="9" borderId="51" xfId="0" applyNumberFormat="1" applyFont="1" applyFill="1" applyBorder="1" applyAlignment="1">
      <alignment horizontal="center"/>
    </xf>
    <xf numFmtId="14" fontId="22" fillId="9" borderId="56" xfId="0" applyNumberFormat="1" applyFont="1" applyFill="1" applyBorder="1" applyAlignment="1">
      <alignment horizontal="center" vertical="center"/>
    </xf>
    <xf numFmtId="0" fontId="22" fillId="9" borderId="51" xfId="0" applyFont="1" applyFill="1" applyBorder="1" applyAlignment="1">
      <alignment horizontal="center"/>
    </xf>
    <xf numFmtId="0" fontId="22" fillId="9" borderId="56" xfId="0" applyFont="1" applyFill="1" applyBorder="1" applyAlignment="1">
      <alignment horizontal="center" vertical="center"/>
    </xf>
    <xf numFmtId="0" fontId="22" fillId="4" borderId="51" xfId="0" applyFont="1" applyFill="1" applyBorder="1" applyAlignment="1">
      <alignment horizontal="center"/>
    </xf>
    <xf numFmtId="0" fontId="22" fillId="4" borderId="56" xfId="0" applyFont="1" applyFill="1" applyBorder="1" applyAlignment="1">
      <alignment horizontal="center" vertical="center"/>
    </xf>
    <xf numFmtId="3" fontId="31" fillId="9" borderId="51" xfId="0" applyNumberFormat="1" applyFont="1" applyFill="1" applyBorder="1" applyAlignment="1">
      <alignment horizontal="center"/>
    </xf>
    <xf numFmtId="3" fontId="31" fillId="9" borderId="56" xfId="0" applyNumberFormat="1" applyFont="1" applyFill="1" applyBorder="1" applyAlignment="1">
      <alignment horizontal="center" vertical="center"/>
    </xf>
    <xf numFmtId="0" fontId="22" fillId="10" borderId="54" xfId="0" applyFont="1" applyFill="1" applyBorder="1" applyAlignment="1">
      <alignment horizontal="center"/>
    </xf>
    <xf numFmtId="0" fontId="32" fillId="5" borderId="51" xfId="0" applyFont="1" applyFill="1" applyBorder="1" applyAlignment="1">
      <alignment horizontal="center"/>
    </xf>
    <xf numFmtId="14" fontId="36" fillId="9" borderId="51" xfId="0" applyNumberFormat="1" applyFont="1" applyFill="1" applyBorder="1" applyAlignment="1">
      <alignment horizontal="center" vertical="center"/>
    </xf>
    <xf numFmtId="3" fontId="37" fillId="0" borderId="0" xfId="0" applyNumberFormat="1" applyFont="1"/>
    <xf numFmtId="0" fontId="22" fillId="13" borderId="0" xfId="0" applyFont="1" applyFill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10" borderId="54" xfId="0" applyFont="1" applyFill="1" applyBorder="1" applyAlignment="1">
      <alignment horizontal="center" vertical="center"/>
    </xf>
    <xf numFmtId="0" fontId="36" fillId="8" borderId="51" xfId="0" applyFont="1" applyFill="1" applyBorder="1" applyAlignment="1">
      <alignment horizontal="center" vertical="center"/>
    </xf>
    <xf numFmtId="0" fontId="36" fillId="5" borderId="51" xfId="0" applyFont="1" applyFill="1" applyBorder="1" applyAlignment="1">
      <alignment horizontal="center" vertical="center"/>
    </xf>
    <xf numFmtId="0" fontId="36" fillId="9" borderId="51" xfId="0" applyFont="1" applyFill="1" applyBorder="1" applyAlignment="1">
      <alignment horizontal="center" vertical="center"/>
    </xf>
    <xf numFmtId="0" fontId="36" fillId="4" borderId="51" xfId="0" applyFont="1" applyFill="1" applyBorder="1" applyAlignment="1">
      <alignment horizontal="center" vertical="center"/>
    </xf>
    <xf numFmtId="3" fontId="40" fillId="9" borderId="51" xfId="0" applyNumberFormat="1" applyFont="1" applyFill="1" applyBorder="1" applyAlignment="1">
      <alignment horizontal="center" vertical="center"/>
    </xf>
    <xf numFmtId="0" fontId="22" fillId="0" borderId="53" xfId="0" applyFont="1" applyBorder="1"/>
    <xf numFmtId="3" fontId="0" fillId="0" borderId="51" xfId="0" applyNumberFormat="1" applyBorder="1" applyAlignment="1">
      <alignment horizontal="center" vertical="center"/>
    </xf>
    <xf numFmtId="0" fontId="22" fillId="8" borderId="68" xfId="0" applyFont="1" applyFill="1" applyBorder="1" applyAlignment="1">
      <alignment horizontal="center" vertical="center"/>
    </xf>
    <xf numFmtId="0" fontId="22" fillId="9" borderId="68" xfId="0" applyFont="1" applyFill="1" applyBorder="1" applyAlignment="1">
      <alignment horizontal="center" vertical="center"/>
    </xf>
    <xf numFmtId="0" fontId="22" fillId="4" borderId="68" xfId="0" applyFont="1" applyFill="1" applyBorder="1" applyAlignment="1">
      <alignment horizontal="center" vertical="center"/>
    </xf>
    <xf numFmtId="0" fontId="22" fillId="10" borderId="69" xfId="0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 wrapText="1"/>
    </xf>
    <xf numFmtId="0" fontId="38" fillId="0" borderId="74" xfId="0" applyFont="1" applyBorder="1" applyAlignment="1">
      <alignment horizontal="center" vertical="center" wrapText="1"/>
    </xf>
    <xf numFmtId="0" fontId="41" fillId="0" borderId="71" xfId="0" applyFont="1" applyBorder="1" applyAlignment="1">
      <alignment horizontal="center" vertical="center" wrapText="1"/>
    </xf>
    <xf numFmtId="0" fontId="41" fillId="0" borderId="72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38" fillId="0" borderId="73" xfId="0" applyFont="1" applyBorder="1" applyAlignment="1">
      <alignment horizontal="center" vertical="center" wrapText="1"/>
    </xf>
    <xf numFmtId="3" fontId="38" fillId="0" borderId="74" xfId="0" applyNumberFormat="1" applyFont="1" applyBorder="1" applyAlignment="1">
      <alignment horizontal="center" vertical="center" wrapText="1"/>
    </xf>
    <xf numFmtId="3" fontId="8" fillId="0" borderId="7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8" fillId="0" borderId="74" xfId="0" applyNumberFormat="1" applyFont="1" applyBorder="1" applyAlignment="1">
      <alignment horizontal="center" vertical="center" wrapText="1"/>
    </xf>
    <xf numFmtId="3" fontId="0" fillId="0" borderId="74" xfId="0" applyNumberFormat="1" applyBorder="1" applyAlignment="1">
      <alignment vertical="center" wrapText="1"/>
    </xf>
    <xf numFmtId="3" fontId="0" fillId="0" borderId="75" xfId="0" applyNumberFormat="1" applyBorder="1" applyAlignment="1">
      <alignment vertical="center" wrapText="1"/>
    </xf>
    <xf numFmtId="0" fontId="8" fillId="0" borderId="76" xfId="0" applyFont="1" applyBorder="1" applyAlignment="1">
      <alignment horizontal="center" vertical="center" wrapText="1"/>
    </xf>
    <xf numFmtId="3" fontId="8" fillId="0" borderId="78" xfId="0" applyNumberFormat="1" applyFont="1" applyBorder="1" applyAlignment="1">
      <alignment horizontal="center" vertical="center" wrapText="1"/>
    </xf>
    <xf numFmtId="3" fontId="38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42" fillId="16" borderId="73" xfId="0" applyFont="1" applyFill="1" applyBorder="1" applyAlignment="1">
      <alignment horizontal="center" vertical="center" wrapText="1"/>
    </xf>
    <xf numFmtId="0" fontId="42" fillId="16" borderId="74" xfId="0" applyFont="1" applyFill="1" applyBorder="1" applyAlignment="1">
      <alignment horizontal="center" vertical="center" wrapText="1"/>
    </xf>
    <xf numFmtId="3" fontId="42" fillId="16" borderId="74" xfId="0" applyNumberFormat="1" applyFont="1" applyFill="1" applyBorder="1" applyAlignment="1">
      <alignment horizontal="center" vertical="center" wrapText="1"/>
    </xf>
    <xf numFmtId="3" fontId="42" fillId="16" borderId="75" xfId="0" applyNumberFormat="1" applyFont="1" applyFill="1" applyBorder="1" applyAlignment="1">
      <alignment horizontal="center" vertical="center" wrapText="1"/>
    </xf>
    <xf numFmtId="0" fontId="38" fillId="15" borderId="74" xfId="0" applyFont="1" applyFill="1" applyBorder="1" applyAlignment="1">
      <alignment horizontal="center" vertical="center" wrapText="1"/>
    </xf>
    <xf numFmtId="0" fontId="38" fillId="17" borderId="74" xfId="0" applyFont="1" applyFill="1" applyBorder="1" applyAlignment="1">
      <alignment horizontal="center" vertical="center" wrapText="1"/>
    </xf>
    <xf numFmtId="0" fontId="38" fillId="0" borderId="77" xfId="0" applyFont="1" applyBorder="1" applyAlignment="1">
      <alignment horizontal="center" vertical="center" wrapText="1"/>
    </xf>
    <xf numFmtId="0" fontId="38" fillId="18" borderId="74" xfId="0" applyFont="1" applyFill="1" applyBorder="1" applyAlignment="1">
      <alignment horizontal="center" vertical="center" wrapText="1"/>
    </xf>
    <xf numFmtId="0" fontId="38" fillId="19" borderId="74" xfId="0" applyFont="1" applyFill="1" applyBorder="1" applyAlignment="1">
      <alignment horizontal="center" vertical="center" wrapText="1"/>
    </xf>
    <xf numFmtId="0" fontId="38" fillId="20" borderId="74" xfId="0" applyFont="1" applyFill="1" applyBorder="1" applyAlignment="1">
      <alignment horizontal="center" vertical="center" wrapText="1"/>
    </xf>
    <xf numFmtId="0" fontId="38" fillId="14" borderId="74" xfId="0" applyFont="1" applyFill="1" applyBorder="1" applyAlignment="1">
      <alignment horizontal="center" vertical="center" wrapText="1"/>
    </xf>
    <xf numFmtId="3" fontId="42" fillId="0" borderId="77" xfId="0" applyNumberFormat="1" applyFont="1" applyBorder="1" applyAlignment="1">
      <alignment horizontal="center" vertical="center" wrapText="1"/>
    </xf>
    <xf numFmtId="0" fontId="42" fillId="0" borderId="77" xfId="0" applyFont="1" applyBorder="1" applyAlignment="1">
      <alignment horizontal="center" vertical="center" wrapText="1"/>
    </xf>
    <xf numFmtId="0" fontId="43" fillId="0" borderId="77" xfId="0" applyFont="1" applyBorder="1" applyAlignment="1">
      <alignment horizontal="center" vertical="center" wrapText="1"/>
    </xf>
    <xf numFmtId="0" fontId="14" fillId="21" borderId="0" xfId="0" applyFont="1" applyFill="1"/>
    <xf numFmtId="0" fontId="44" fillId="8" borderId="51" xfId="0" applyFont="1" applyFill="1" applyBorder="1" applyAlignment="1">
      <alignment horizontal="center" vertical="center"/>
    </xf>
    <xf numFmtId="0" fontId="44" fillId="9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/>
    </xf>
    <xf numFmtId="3" fontId="46" fillId="9" borderId="51" xfId="0" applyNumberFormat="1" applyFont="1" applyFill="1" applyBorder="1" applyAlignment="1">
      <alignment horizontal="center" vertical="center"/>
    </xf>
    <xf numFmtId="0" fontId="44" fillId="10" borderId="54" xfId="0" applyFont="1" applyFill="1" applyBorder="1" applyAlignment="1">
      <alignment horizontal="center" vertical="center"/>
    </xf>
    <xf numFmtId="0" fontId="22" fillId="10" borderId="56" xfId="0" applyFont="1" applyFill="1" applyBorder="1" applyAlignment="1">
      <alignment horizontal="center" vertical="center"/>
    </xf>
    <xf numFmtId="0" fontId="44" fillId="9" borderId="68" xfId="0" applyFont="1" applyFill="1" applyBorder="1" applyAlignment="1">
      <alignment horizontal="center" vertical="center"/>
    </xf>
    <xf numFmtId="49" fontId="29" fillId="7" borderId="51" xfId="0" applyNumberFormat="1" applyFont="1" applyFill="1" applyBorder="1" applyAlignment="1">
      <alignment horizontal="center"/>
    </xf>
    <xf numFmtId="49" fontId="30" fillId="9" borderId="51" xfId="0" applyNumberFormat="1" applyFont="1" applyFill="1" applyBorder="1" applyAlignment="1">
      <alignment horizontal="center" vertical="center"/>
    </xf>
    <xf numFmtId="49" fontId="30" fillId="9" borderId="56" xfId="0" applyNumberFormat="1" applyFont="1" applyFill="1" applyBorder="1" applyAlignment="1">
      <alignment horizontal="center" vertical="center"/>
    </xf>
    <xf numFmtId="49" fontId="39" fillId="9" borderId="51" xfId="0" applyNumberFormat="1" applyFont="1" applyFill="1" applyBorder="1" applyAlignment="1">
      <alignment horizontal="center" vertical="center"/>
    </xf>
    <xf numFmtId="49" fontId="22" fillId="9" borderId="51" xfId="0" applyNumberFormat="1" applyFont="1" applyFill="1" applyBorder="1" applyAlignment="1">
      <alignment horizontal="center" vertical="center"/>
    </xf>
    <xf numFmtId="49" fontId="30" fillId="9" borderId="51" xfId="0" applyNumberFormat="1" applyFont="1" applyFill="1" applyBorder="1" applyAlignment="1">
      <alignment horizontal="center"/>
    </xf>
    <xf numFmtId="49" fontId="30" fillId="9" borderId="68" xfId="0" applyNumberFormat="1" applyFont="1" applyFill="1" applyBorder="1" applyAlignment="1">
      <alignment horizontal="center" vertical="center"/>
    </xf>
    <xf numFmtId="49" fontId="45" fillId="9" borderId="51" xfId="0" applyNumberFormat="1" applyFont="1" applyFill="1" applyBorder="1" applyAlignment="1">
      <alignment horizontal="center" vertical="center"/>
    </xf>
    <xf numFmtId="49" fontId="33" fillId="0" borderId="51" xfId="0" applyNumberFormat="1" applyFont="1" applyBorder="1" applyAlignment="1">
      <alignment horizontal="center"/>
    </xf>
    <xf numFmtId="49" fontId="22" fillId="0" borderId="0" xfId="0" applyNumberFormat="1" applyFont="1"/>
    <xf numFmtId="49" fontId="0" fillId="0" borderId="0" xfId="0" applyNumberFormat="1"/>
    <xf numFmtId="0" fontId="22" fillId="10" borderId="57" xfId="0" applyFont="1" applyFill="1" applyBorder="1" applyAlignment="1">
      <alignment horizontal="center" vertical="center"/>
    </xf>
    <xf numFmtId="14" fontId="22" fillId="9" borderId="68" xfId="0" applyNumberFormat="1" applyFont="1" applyFill="1" applyBorder="1" applyAlignment="1">
      <alignment horizontal="center" vertical="center"/>
    </xf>
    <xf numFmtId="3" fontId="31" fillId="9" borderId="68" xfId="0" applyNumberFormat="1" applyFont="1" applyFill="1" applyBorder="1" applyAlignment="1">
      <alignment horizontal="center" vertical="center"/>
    </xf>
    <xf numFmtId="0" fontId="22" fillId="10" borderId="70" xfId="0" applyFont="1" applyFill="1" applyBorder="1" applyAlignment="1">
      <alignment horizontal="center" vertical="center"/>
    </xf>
    <xf numFmtId="0" fontId="0" fillId="0" borderId="53" xfId="1" applyFont="1"/>
    <xf numFmtId="0" fontId="50" fillId="22" borderId="71" xfId="1" applyFont="1" applyFill="1" applyBorder="1" applyAlignment="1">
      <alignment horizontal="center" vertical="center"/>
    </xf>
    <xf numFmtId="0" fontId="50" fillId="6" borderId="72" xfId="1" applyFont="1" applyFill="1" applyBorder="1" applyAlignment="1">
      <alignment horizontal="center" vertical="center"/>
    </xf>
    <xf numFmtId="49" fontId="50" fillId="23" borderId="72" xfId="1" applyNumberFormat="1" applyFont="1" applyFill="1" applyBorder="1" applyAlignment="1">
      <alignment horizontal="center" vertical="center" wrapText="1"/>
    </xf>
    <xf numFmtId="0" fontId="50" fillId="23" borderId="72" xfId="1" applyFont="1" applyFill="1" applyBorder="1" applyAlignment="1">
      <alignment horizontal="center" vertical="center"/>
    </xf>
    <xf numFmtId="0" fontId="44" fillId="23" borderId="72" xfId="1" applyFont="1" applyFill="1" applyBorder="1" applyAlignment="1">
      <alignment horizontal="center" vertical="center"/>
    </xf>
    <xf numFmtId="0" fontId="50" fillId="23" borderId="72" xfId="1" applyFont="1" applyFill="1" applyBorder="1" applyAlignment="1">
      <alignment horizontal="center" vertical="center" wrapText="1"/>
    </xf>
    <xf numFmtId="0" fontId="44" fillId="23" borderId="83" xfId="1" applyFont="1" applyFill="1" applyBorder="1" applyAlignment="1">
      <alignment horizontal="center" vertical="center"/>
    </xf>
    <xf numFmtId="0" fontId="44" fillId="0" borderId="73" xfId="1" applyFont="1" applyBorder="1" applyAlignment="1">
      <alignment horizontal="center" vertical="center"/>
    </xf>
    <xf numFmtId="0" fontId="49" fillId="0" borderId="74" xfId="2" applyBorder="1" applyAlignment="1">
      <alignment horizontal="center" vertical="center"/>
    </xf>
    <xf numFmtId="0" fontId="46" fillId="0" borderId="74" xfId="1" applyFont="1" applyBorder="1" applyAlignment="1">
      <alignment horizontal="center" vertical="center"/>
    </xf>
    <xf numFmtId="0" fontId="44" fillId="0" borderId="74" xfId="1" applyFont="1" applyBorder="1" applyAlignment="1">
      <alignment horizontal="center" vertical="center"/>
    </xf>
    <xf numFmtId="49" fontId="44" fillId="0" borderId="74" xfId="1" applyNumberFormat="1" applyFont="1" applyBorder="1" applyAlignment="1">
      <alignment horizontal="center" vertical="center"/>
    </xf>
    <xf numFmtId="0" fontId="46" fillId="0" borderId="74" xfId="1" applyFont="1" applyBorder="1" applyAlignment="1">
      <alignment horizontal="center" vertical="center" wrapText="1"/>
    </xf>
    <xf numFmtId="49" fontId="46" fillId="0" borderId="74" xfId="1" applyNumberFormat="1" applyFont="1" applyBorder="1" applyAlignment="1">
      <alignment horizontal="center" vertical="center" wrapText="1"/>
    </xf>
    <xf numFmtId="0" fontId="44" fillId="0" borderId="74" xfId="1" applyFont="1" applyBorder="1" applyAlignment="1">
      <alignment horizontal="center" vertical="center" wrapText="1"/>
    </xf>
    <xf numFmtId="0" fontId="44" fillId="0" borderId="75" xfId="1" applyFont="1" applyBorder="1" applyAlignment="1">
      <alignment horizontal="center" vertical="center"/>
    </xf>
    <xf numFmtId="0" fontId="51" fillId="0" borderId="53" xfId="1" quotePrefix="1" applyFont="1" applyAlignment="1">
      <alignment horizontal="center" vertical="center"/>
    </xf>
    <xf numFmtId="0" fontId="44" fillId="0" borderId="76" xfId="1" applyFont="1" applyBorder="1" applyAlignment="1">
      <alignment horizontal="center" vertical="center"/>
    </xf>
    <xf numFmtId="0" fontId="44" fillId="0" borderId="77" xfId="1" applyFont="1" applyBorder="1" applyAlignment="1">
      <alignment horizontal="center" vertical="center"/>
    </xf>
    <xf numFmtId="0" fontId="46" fillId="0" borderId="77" xfId="1" applyFont="1" applyBorder="1" applyAlignment="1">
      <alignment horizontal="center" vertical="center"/>
    </xf>
    <xf numFmtId="49" fontId="44" fillId="0" borderId="77" xfId="1" applyNumberFormat="1" applyFont="1" applyBorder="1" applyAlignment="1">
      <alignment horizontal="center" vertical="center"/>
    </xf>
    <xf numFmtId="0" fontId="46" fillId="0" borderId="77" xfId="1" applyFont="1" applyBorder="1" applyAlignment="1">
      <alignment horizontal="center" vertical="center" wrapText="1"/>
    </xf>
    <xf numFmtId="49" fontId="46" fillId="0" borderId="77" xfId="1" applyNumberFormat="1" applyFont="1" applyBorder="1" applyAlignment="1">
      <alignment horizontal="center" vertical="center" wrapText="1"/>
    </xf>
    <xf numFmtId="0" fontId="44" fillId="0" borderId="77" xfId="1" applyFont="1" applyBorder="1" applyAlignment="1">
      <alignment horizontal="center" vertical="center" wrapText="1"/>
    </xf>
    <xf numFmtId="0" fontId="44" fillId="0" borderId="78" xfId="1" applyFont="1" applyBorder="1" applyAlignment="1">
      <alignment horizontal="center" vertical="center"/>
    </xf>
    <xf numFmtId="0" fontId="44" fillId="0" borderId="53" xfId="1" applyFont="1" applyAlignment="1">
      <alignment horizontal="center" vertical="center"/>
    </xf>
    <xf numFmtId="0" fontId="46" fillId="0" borderId="53" xfId="1" applyFont="1" applyAlignment="1">
      <alignment horizontal="center" vertical="center"/>
    </xf>
    <xf numFmtId="49" fontId="44" fillId="0" borderId="53" xfId="1" applyNumberFormat="1" applyFont="1" applyAlignment="1">
      <alignment horizontal="center" vertical="center"/>
    </xf>
    <xf numFmtId="0" fontId="46" fillId="0" borderId="53" xfId="1" applyFont="1" applyAlignment="1">
      <alignment horizontal="center" vertical="center" wrapText="1"/>
    </xf>
    <xf numFmtId="49" fontId="46" fillId="0" borderId="53" xfId="1" applyNumberFormat="1" applyFont="1" applyAlignment="1">
      <alignment horizontal="center" vertical="center" wrapText="1"/>
    </xf>
    <xf numFmtId="0" fontId="44" fillId="0" borderId="53" xfId="1" applyFont="1" applyAlignment="1">
      <alignment horizontal="center" vertical="center" wrapText="1"/>
    </xf>
    <xf numFmtId="0" fontId="46" fillId="0" borderId="53" xfId="1" applyFont="1"/>
    <xf numFmtId="49" fontId="44" fillId="0" borderId="53" xfId="1" applyNumberFormat="1" applyFont="1"/>
    <xf numFmtId="0" fontId="42" fillId="13" borderId="84" xfId="1" applyFont="1" applyFill="1" applyBorder="1" applyAlignment="1">
      <alignment horizontal="center" vertical="center"/>
    </xf>
    <xf numFmtId="0" fontId="42" fillId="13" borderId="53" xfId="1" applyFont="1" applyFill="1"/>
    <xf numFmtId="0" fontId="31" fillId="0" borderId="74" xfId="1" applyFont="1" applyBorder="1" applyAlignment="1">
      <alignment horizontal="center"/>
    </xf>
    <xf numFmtId="0" fontId="48" fillId="13" borderId="74" xfId="1" applyFont="1" applyFill="1" applyBorder="1" applyAlignment="1">
      <alignment wrapText="1"/>
    </xf>
    <xf numFmtId="0" fontId="31" fillId="5" borderId="74" xfId="1" applyFont="1" applyFill="1" applyBorder="1" applyAlignment="1">
      <alignment horizontal="right"/>
    </xf>
    <xf numFmtId="0" fontId="48" fillId="13" borderId="74" xfId="1" applyFont="1" applyFill="1" applyBorder="1" applyAlignment="1">
      <alignment horizontal="right" vertical="center" wrapText="1"/>
    </xf>
    <xf numFmtId="0" fontId="48" fillId="13" borderId="74" xfId="1" applyFont="1" applyFill="1" applyBorder="1" applyAlignment="1">
      <alignment horizontal="center" vertical="center"/>
    </xf>
    <xf numFmtId="0" fontId="48" fillId="0" borderId="74" xfId="1" applyFont="1" applyBorder="1"/>
    <xf numFmtId="0" fontId="48" fillId="0" borderId="74" xfId="1" applyFont="1" applyBorder="1" applyAlignment="1">
      <alignment horizontal="right" vertical="center" wrapText="1"/>
    </xf>
    <xf numFmtId="0" fontId="48" fillId="0" borderId="74" xfId="1" applyFont="1" applyBorder="1" applyAlignment="1">
      <alignment horizontal="center" vertical="center"/>
    </xf>
    <xf numFmtId="0" fontId="22" fillId="0" borderId="53" xfId="1" applyFont="1"/>
    <xf numFmtId="0" fontId="31" fillId="0" borderId="74" xfId="1" applyFont="1" applyBorder="1" applyAlignment="1">
      <alignment horizontal="center" vertical="center"/>
    </xf>
    <xf numFmtId="0" fontId="31" fillId="5" borderId="74" xfId="1" applyFont="1" applyFill="1" applyBorder="1"/>
    <xf numFmtId="0" fontId="31" fillId="0" borderId="74" xfId="1" applyFont="1" applyBorder="1" applyAlignment="1">
      <alignment horizontal="right" vertical="center" wrapText="1"/>
    </xf>
    <xf numFmtId="0" fontId="0" fillId="0" borderId="84" xfId="1" applyFont="1" applyBorder="1"/>
    <xf numFmtId="0" fontId="31" fillId="16" borderId="74" xfId="1" applyFont="1" applyFill="1" applyBorder="1" applyAlignment="1">
      <alignment horizontal="center" vertical="center"/>
    </xf>
    <xf numFmtId="0" fontId="31" fillId="16" borderId="74" xfId="1" applyFont="1" applyFill="1" applyBorder="1" applyAlignment="1">
      <alignment horizontal="right" vertical="center" wrapText="1"/>
    </xf>
    <xf numFmtId="0" fontId="27" fillId="0" borderId="85" xfId="1" applyFont="1" applyBorder="1" applyAlignment="1">
      <alignment horizontal="center" vertical="center"/>
    </xf>
    <xf numFmtId="0" fontId="27" fillId="0" borderId="53" xfId="1" applyFont="1"/>
    <xf numFmtId="0" fontId="0" fillId="0" borderId="53" xfId="1" applyFont="1" applyAlignment="1">
      <alignment horizontal="center"/>
    </xf>
    <xf numFmtId="0" fontId="7" fillId="0" borderId="53" xfId="1" applyFont="1" applyAlignment="1">
      <alignment horizontal="center"/>
    </xf>
    <xf numFmtId="0" fontId="7" fillId="0" borderId="53" xfId="1" applyFont="1" applyAlignment="1">
      <alignment horizontal="right"/>
    </xf>
    <xf numFmtId="0" fontId="0" fillId="0" borderId="53" xfId="1" applyFont="1" applyAlignment="1">
      <alignment horizontal="right" vertical="center" wrapText="1"/>
    </xf>
    <xf numFmtId="0" fontId="7" fillId="0" borderId="53" xfId="1" applyFont="1" applyAlignment="1">
      <alignment horizontal="center" vertical="center"/>
    </xf>
    <xf numFmtId="0" fontId="0" fillId="0" borderId="53" xfId="1" applyFont="1" applyAlignment="1">
      <alignment horizontal="center" vertical="center"/>
    </xf>
    <xf numFmtId="14" fontId="31" fillId="0" borderId="74" xfId="1" applyNumberFormat="1" applyFont="1" applyBorder="1" applyAlignment="1">
      <alignment horizontal="center"/>
    </xf>
    <xf numFmtId="0" fontId="31" fillId="5" borderId="74" xfId="1" applyFont="1" applyFill="1" applyBorder="1" applyAlignment="1">
      <alignment horizontal="center"/>
    </xf>
    <xf numFmtId="14" fontId="31" fillId="16" borderId="74" xfId="1" applyNumberFormat="1" applyFont="1" applyFill="1" applyBorder="1" applyAlignment="1">
      <alignment horizontal="center"/>
    </xf>
    <xf numFmtId="0" fontId="48" fillId="13" borderId="74" xfId="1" applyFont="1" applyFill="1" applyBorder="1" applyAlignment="1">
      <alignment horizontal="center" vertical="center" wrapText="1"/>
    </xf>
    <xf numFmtId="0" fontId="31" fillId="5" borderId="74" xfId="1" applyFont="1" applyFill="1" applyBorder="1" applyAlignment="1">
      <alignment horizontal="center" vertical="center"/>
    </xf>
    <xf numFmtId="0" fontId="42" fillId="26" borderId="84" xfId="1" applyFont="1" applyFill="1" applyBorder="1" applyAlignment="1">
      <alignment horizontal="center" vertical="center"/>
    </xf>
    <xf numFmtId="0" fontId="31" fillId="26" borderId="74" xfId="1" applyFont="1" applyFill="1" applyBorder="1" applyAlignment="1">
      <alignment horizontal="center"/>
    </xf>
    <xf numFmtId="0" fontId="48" fillId="26" borderId="74" xfId="1" applyFont="1" applyFill="1" applyBorder="1"/>
    <xf numFmtId="0" fontId="48" fillId="26" borderId="74" xfId="1" applyFont="1" applyFill="1" applyBorder="1" applyAlignment="1">
      <alignment horizontal="center" vertical="center"/>
    </xf>
    <xf numFmtId="0" fontId="31" fillId="27" borderId="74" xfId="1" applyFont="1" applyFill="1" applyBorder="1" applyAlignment="1">
      <alignment horizontal="right"/>
    </xf>
    <xf numFmtId="0" fontId="48" fillId="26" borderId="74" xfId="1" applyFont="1" applyFill="1" applyBorder="1" applyAlignment="1">
      <alignment horizontal="right" vertical="center" wrapText="1"/>
    </xf>
    <xf numFmtId="14" fontId="31" fillId="26" borderId="74" xfId="1" applyNumberFormat="1" applyFont="1" applyFill="1" applyBorder="1" applyAlignment="1">
      <alignment horizontal="center"/>
    </xf>
    <xf numFmtId="3" fontId="7" fillId="0" borderId="53" xfId="1" applyNumberFormat="1" applyFont="1" applyAlignment="1">
      <alignment horizontal="center"/>
    </xf>
    <xf numFmtId="3" fontId="0" fillId="0" borderId="53" xfId="1" applyNumberFormat="1" applyFont="1" applyAlignment="1">
      <alignment horizontal="center"/>
    </xf>
    <xf numFmtId="0" fontId="22" fillId="0" borderId="53" xfId="3" applyFont="1" applyAlignment="1">
      <alignment horizontal="center" vertical="center"/>
    </xf>
    <xf numFmtId="0" fontId="22" fillId="0" borderId="51" xfId="3" applyFont="1" applyBorder="1" applyAlignment="1">
      <alignment horizontal="center" vertical="center"/>
    </xf>
    <xf numFmtId="3" fontId="28" fillId="5" borderId="51" xfId="3" applyNumberFormat="1" applyFont="1" applyFill="1" applyBorder="1" applyAlignment="1">
      <alignment horizontal="center" vertical="center"/>
    </xf>
    <xf numFmtId="0" fontId="6" fillId="0" borderId="53" xfId="3"/>
    <xf numFmtId="3" fontId="22" fillId="5" borderId="51" xfId="3" applyNumberFormat="1" applyFont="1" applyFill="1" applyBorder="1" applyAlignment="1">
      <alignment horizontal="center" vertical="center"/>
    </xf>
    <xf numFmtId="3" fontId="22" fillId="0" borderId="53" xfId="3" applyNumberFormat="1" applyFont="1" applyAlignment="1">
      <alignment horizontal="center" vertical="center"/>
    </xf>
    <xf numFmtId="0" fontId="42" fillId="24" borderId="85" xfId="1" applyFont="1" applyFill="1" applyBorder="1" applyAlignment="1">
      <alignment horizontal="center" vertical="center"/>
    </xf>
    <xf numFmtId="0" fontId="48" fillId="13" borderId="85" xfId="1" applyFont="1" applyFill="1" applyBorder="1" applyAlignment="1">
      <alignment horizontal="center" vertical="center"/>
    </xf>
    <xf numFmtId="0" fontId="48" fillId="0" borderId="85" xfId="1" applyFont="1" applyBorder="1" applyAlignment="1">
      <alignment horizontal="center" vertical="center"/>
    </xf>
    <xf numFmtId="0" fontId="42" fillId="13" borderId="86" xfId="1" applyFont="1" applyFill="1" applyBorder="1" applyAlignment="1">
      <alignment horizontal="center" vertical="center"/>
    </xf>
    <xf numFmtId="0" fontId="28" fillId="24" borderId="72" xfId="1" applyFont="1" applyFill="1" applyBorder="1" applyAlignment="1">
      <alignment horizontal="center"/>
    </xf>
    <xf numFmtId="0" fontId="28" fillId="25" borderId="72" xfId="1" applyFont="1" applyFill="1" applyBorder="1"/>
    <xf numFmtId="0" fontId="28" fillId="24" borderId="72" xfId="1" applyFont="1" applyFill="1" applyBorder="1" applyAlignment="1">
      <alignment horizontal="center" vertical="center"/>
    </xf>
    <xf numFmtId="0" fontId="28" fillId="24" borderId="72" xfId="1" applyFont="1" applyFill="1" applyBorder="1" applyAlignment="1">
      <alignment horizontal="right" vertical="center" wrapText="1"/>
    </xf>
    <xf numFmtId="3" fontId="48" fillId="13" borderId="75" xfId="1" applyNumberFormat="1" applyFont="1" applyFill="1" applyBorder="1" applyAlignment="1">
      <alignment horizontal="center"/>
    </xf>
    <xf numFmtId="3" fontId="48" fillId="0" borderId="75" xfId="1" applyNumberFormat="1" applyFont="1" applyBorder="1" applyAlignment="1">
      <alignment horizontal="center"/>
    </xf>
    <xf numFmtId="3" fontId="48" fillId="26" borderId="75" xfId="1" applyNumberFormat="1" applyFont="1" applyFill="1" applyBorder="1" applyAlignment="1">
      <alignment horizontal="center"/>
    </xf>
    <xf numFmtId="3" fontId="31" fillId="5" borderId="75" xfId="1" applyNumberFormat="1" applyFont="1" applyFill="1" applyBorder="1" applyAlignment="1">
      <alignment horizontal="center"/>
    </xf>
    <xf numFmtId="3" fontId="31" fillId="0" borderId="75" xfId="1" applyNumberFormat="1" applyFont="1" applyBorder="1" applyAlignment="1">
      <alignment horizontal="center"/>
    </xf>
    <xf numFmtId="3" fontId="31" fillId="16" borderId="75" xfId="1" applyNumberFormat="1" applyFont="1" applyFill="1" applyBorder="1" applyAlignment="1">
      <alignment horizontal="center"/>
    </xf>
    <xf numFmtId="0" fontId="27" fillId="0" borderId="87" xfId="1" applyFont="1" applyBorder="1"/>
    <xf numFmtId="0" fontId="48" fillId="0" borderId="77" xfId="1" applyFont="1" applyBorder="1"/>
    <xf numFmtId="0" fontId="27" fillId="0" borderId="77" xfId="1" applyFont="1" applyBorder="1" applyAlignment="1">
      <alignment horizontal="right" vertical="center" wrapText="1"/>
    </xf>
    <xf numFmtId="0" fontId="27" fillId="0" borderId="77" xfId="1" applyFont="1" applyBorder="1" applyAlignment="1">
      <alignment horizontal="center"/>
    </xf>
    <xf numFmtId="0" fontId="27" fillId="0" borderId="77" xfId="1" applyFont="1" applyBorder="1" applyAlignment="1">
      <alignment horizontal="center" vertical="center"/>
    </xf>
    <xf numFmtId="3" fontId="27" fillId="0" borderId="78" xfId="1" applyNumberFormat="1" applyFont="1" applyBorder="1" applyAlignment="1">
      <alignment horizontal="center"/>
    </xf>
    <xf numFmtId="0" fontId="14" fillId="0" borderId="53" xfId="0" applyFont="1" applyBorder="1"/>
    <xf numFmtId="0" fontId="14" fillId="0" borderId="55" xfId="0" applyFont="1" applyBorder="1"/>
    <xf numFmtId="0" fontId="44" fillId="5" borderId="51" xfId="0" applyFont="1" applyFill="1" applyBorder="1" applyAlignment="1">
      <alignment horizontal="center" vertical="center"/>
    </xf>
    <xf numFmtId="0" fontId="44" fillId="10" borderId="57" xfId="0" applyFont="1" applyFill="1" applyBorder="1" applyAlignment="1">
      <alignment horizontal="center" vertical="center"/>
    </xf>
    <xf numFmtId="0" fontId="44" fillId="0" borderId="91" xfId="1" applyFont="1" applyBorder="1" applyAlignment="1">
      <alignment horizontal="center" vertical="center"/>
    </xf>
    <xf numFmtId="0" fontId="46" fillId="0" borderId="91" xfId="1" applyFont="1" applyBorder="1" applyAlignment="1">
      <alignment horizontal="center" vertical="center"/>
    </xf>
    <xf numFmtId="49" fontId="44" fillId="0" borderId="91" xfId="1" applyNumberFormat="1" applyFont="1" applyBorder="1" applyAlignment="1">
      <alignment horizontal="center" vertical="center"/>
    </xf>
    <xf numFmtId="0" fontId="46" fillId="0" borderId="91" xfId="1" applyFont="1" applyBorder="1" applyAlignment="1">
      <alignment horizontal="center" vertical="center" wrapText="1"/>
    </xf>
    <xf numFmtId="0" fontId="44" fillId="8" borderId="68" xfId="0" applyFont="1" applyFill="1" applyBorder="1" applyAlignment="1">
      <alignment horizontal="center" vertical="center"/>
    </xf>
    <xf numFmtId="49" fontId="45" fillId="9" borderId="68" xfId="0" applyNumberFormat="1" applyFont="1" applyFill="1" applyBorder="1" applyAlignment="1">
      <alignment horizontal="center" vertical="center"/>
    </xf>
    <xf numFmtId="0" fontId="44" fillId="4" borderId="68" xfId="0" applyFont="1" applyFill="1" applyBorder="1" applyAlignment="1">
      <alignment horizontal="center" vertical="center"/>
    </xf>
    <xf numFmtId="3" fontId="46" fillId="9" borderId="68" xfId="0" applyNumberFormat="1" applyFont="1" applyFill="1" applyBorder="1" applyAlignment="1">
      <alignment horizontal="center" vertical="center"/>
    </xf>
    <xf numFmtId="0" fontId="44" fillId="10" borderId="56" xfId="0" applyFont="1" applyFill="1" applyBorder="1" applyAlignment="1">
      <alignment horizontal="center" vertical="center"/>
    </xf>
    <xf numFmtId="14" fontId="44" fillId="9" borderId="51" xfId="0" applyNumberFormat="1" applyFont="1" applyFill="1" applyBorder="1" applyAlignment="1">
      <alignment horizontal="center" vertical="center"/>
    </xf>
    <xf numFmtId="0" fontId="44" fillId="5" borderId="68" xfId="0" applyFont="1" applyFill="1" applyBorder="1" applyAlignment="1">
      <alignment horizontal="center" vertical="center"/>
    </xf>
    <xf numFmtId="14" fontId="44" fillId="9" borderId="68" xfId="0" applyNumberFormat="1" applyFont="1" applyFill="1" applyBorder="1" applyAlignment="1">
      <alignment horizontal="center" vertical="center"/>
    </xf>
    <xf numFmtId="0" fontId="44" fillId="10" borderId="70" xfId="0" applyFont="1" applyFill="1" applyBorder="1" applyAlignment="1">
      <alignment horizontal="center" vertical="center"/>
    </xf>
    <xf numFmtId="0" fontId="22" fillId="9" borderId="21" xfId="0" applyFont="1" applyFill="1" applyBorder="1" applyAlignment="1">
      <alignment horizontal="center" vertical="center"/>
    </xf>
    <xf numFmtId="0" fontId="22" fillId="9" borderId="69" xfId="0" applyFont="1" applyFill="1" applyBorder="1" applyAlignment="1">
      <alignment horizontal="center" vertical="center"/>
    </xf>
    <xf numFmtId="0" fontId="22" fillId="9" borderId="74" xfId="0" applyFont="1" applyFill="1" applyBorder="1" applyAlignment="1">
      <alignment horizontal="center" vertical="center"/>
    </xf>
    <xf numFmtId="0" fontId="22" fillId="9" borderId="93" xfId="0" applyFont="1" applyFill="1" applyBorder="1" applyAlignment="1">
      <alignment horizontal="center" vertical="center"/>
    </xf>
    <xf numFmtId="3" fontId="34" fillId="0" borderId="95" xfId="0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3" xfId="3" applyFont="1" applyAlignment="1">
      <alignment horizontal="center" vertical="center" wrapText="1"/>
    </xf>
    <xf numFmtId="0" fontId="6" fillId="0" borderId="53" xfId="3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3" fontId="33" fillId="0" borderId="53" xfId="0" applyNumberFormat="1" applyFont="1" applyBorder="1" applyAlignment="1">
      <alignment horizontal="center" vertical="center"/>
    </xf>
    <xf numFmtId="0" fontId="33" fillId="0" borderId="57" xfId="0" applyFont="1" applyBorder="1" applyAlignment="1">
      <alignment horizontal="center"/>
    </xf>
    <xf numFmtId="0" fontId="33" fillId="0" borderId="96" xfId="0" applyFont="1" applyBorder="1"/>
    <xf numFmtId="0" fontId="33" fillId="0" borderId="97" xfId="0" applyFont="1" applyBorder="1" applyAlignment="1">
      <alignment horizontal="center" vertical="center"/>
    </xf>
    <xf numFmtId="0" fontId="10" fillId="0" borderId="85" xfId="0" applyFont="1" applyBorder="1"/>
    <xf numFmtId="0" fontId="27" fillId="0" borderId="0" xfId="0" applyFont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0" fontId="29" fillId="28" borderId="51" xfId="0" applyFont="1" applyFill="1" applyBorder="1" applyAlignment="1">
      <alignment horizontal="center" vertical="center" shrinkToFit="1"/>
    </xf>
    <xf numFmtId="0" fontId="22" fillId="29" borderId="53" xfId="0" applyFont="1" applyFill="1" applyBorder="1" applyAlignment="1">
      <alignment horizontal="center" vertical="center"/>
    </xf>
    <xf numFmtId="3" fontId="31" fillId="30" borderId="53" xfId="0" applyNumberFormat="1" applyFont="1" applyFill="1" applyBorder="1" applyAlignment="1">
      <alignment horizontal="center" vertical="center"/>
    </xf>
    <xf numFmtId="3" fontId="31" fillId="30" borderId="95" xfId="0" applyNumberFormat="1" applyFont="1" applyFill="1" applyBorder="1" applyAlignment="1">
      <alignment horizontal="center" vertical="center"/>
    </xf>
    <xf numFmtId="0" fontId="22" fillId="31" borderId="53" xfId="0" applyFont="1" applyFill="1" applyBorder="1" applyAlignment="1">
      <alignment horizontal="center" vertical="center"/>
    </xf>
    <xf numFmtId="0" fontId="0" fillId="21" borderId="0" xfId="0" applyFill="1"/>
    <xf numFmtId="3" fontId="22" fillId="21" borderId="51" xfId="0" applyNumberFormat="1" applyFont="1" applyFill="1" applyBorder="1" applyAlignment="1">
      <alignment horizontal="center" vertical="center" shrinkToFit="1"/>
    </xf>
    <xf numFmtId="3" fontId="22" fillId="21" borderId="53" xfId="0" applyNumberFormat="1" applyFont="1" applyFill="1" applyBorder="1" applyAlignment="1">
      <alignment horizontal="center" vertical="center" shrinkToFit="1"/>
    </xf>
    <xf numFmtId="3" fontId="0" fillId="0" borderId="0" xfId="0" applyNumberFormat="1" applyAlignment="1">
      <alignment horizontal="center" vertical="center"/>
    </xf>
    <xf numFmtId="3" fontId="52" fillId="0" borderId="51" xfId="0" applyNumberFormat="1" applyFont="1" applyBorder="1" applyAlignment="1">
      <alignment horizontal="center" vertical="center"/>
    </xf>
    <xf numFmtId="0" fontId="22" fillId="21" borderId="53" xfId="0" applyFont="1" applyFill="1" applyBorder="1"/>
    <xf numFmtId="0" fontId="36" fillId="31" borderId="68" xfId="0" applyFont="1" applyFill="1" applyBorder="1" applyAlignment="1">
      <alignment horizontal="center" vertical="center"/>
    </xf>
    <xf numFmtId="0" fontId="36" fillId="30" borderId="68" xfId="0" applyFont="1" applyFill="1" applyBorder="1" applyAlignment="1">
      <alignment horizontal="center" vertical="center"/>
    </xf>
    <xf numFmtId="14" fontId="36" fillId="29" borderId="68" xfId="0" applyNumberFormat="1" applyFont="1" applyFill="1" applyBorder="1" applyAlignment="1">
      <alignment horizontal="center" vertical="center"/>
    </xf>
    <xf numFmtId="49" fontId="39" fillId="29" borderId="68" xfId="0" applyNumberFormat="1" applyFont="1" applyFill="1" applyBorder="1" applyAlignment="1">
      <alignment horizontal="center" vertical="center"/>
    </xf>
    <xf numFmtId="0" fontId="36" fillId="29" borderId="68" xfId="0" applyFont="1" applyFill="1" applyBorder="1" applyAlignment="1">
      <alignment horizontal="center" vertical="center"/>
    </xf>
    <xf numFmtId="0" fontId="36" fillId="32" borderId="68" xfId="0" applyFont="1" applyFill="1" applyBorder="1" applyAlignment="1">
      <alignment horizontal="center" vertical="center"/>
    </xf>
    <xf numFmtId="3" fontId="40" fillId="29" borderId="68" xfId="0" applyNumberFormat="1" applyFont="1" applyFill="1" applyBorder="1" applyAlignment="1">
      <alignment horizontal="center" vertical="center"/>
    </xf>
    <xf numFmtId="0" fontId="36" fillId="33" borderId="69" xfId="0" applyFont="1" applyFill="1" applyBorder="1" applyAlignment="1">
      <alignment horizontal="center" vertical="center"/>
    </xf>
    <xf numFmtId="0" fontId="22" fillId="8" borderId="56" xfId="0" applyFont="1" applyFill="1" applyBorder="1" applyAlignment="1">
      <alignment horizontal="center"/>
    </xf>
    <xf numFmtId="0" fontId="22" fillId="5" borderId="56" xfId="0" applyFont="1" applyFill="1" applyBorder="1" applyAlignment="1">
      <alignment horizontal="center"/>
    </xf>
    <xf numFmtId="0" fontId="44" fillId="5" borderId="74" xfId="0" applyFont="1" applyFill="1" applyBorder="1" applyAlignment="1">
      <alignment horizontal="center" vertical="center"/>
    </xf>
    <xf numFmtId="0" fontId="22" fillId="5" borderId="74" xfId="0" applyFont="1" applyFill="1" applyBorder="1" applyAlignment="1">
      <alignment horizontal="center" vertical="center"/>
    </xf>
    <xf numFmtId="14" fontId="22" fillId="9" borderId="56" xfId="0" applyNumberFormat="1" applyFont="1" applyFill="1" applyBorder="1" applyAlignment="1">
      <alignment horizontal="center"/>
    </xf>
    <xf numFmtId="49" fontId="30" fillId="9" borderId="56" xfId="0" applyNumberFormat="1" applyFont="1" applyFill="1" applyBorder="1" applyAlignment="1">
      <alignment horizontal="center"/>
    </xf>
    <xf numFmtId="0" fontId="44" fillId="9" borderId="56" xfId="0" applyFont="1" applyFill="1" applyBorder="1" applyAlignment="1">
      <alignment horizontal="center" vertical="center"/>
    </xf>
    <xf numFmtId="0" fontId="22" fillId="4" borderId="56" xfId="0" applyFont="1" applyFill="1" applyBorder="1" applyAlignment="1">
      <alignment horizontal="center"/>
    </xf>
    <xf numFmtId="0" fontId="22" fillId="9" borderId="56" xfId="0" applyFont="1" applyFill="1" applyBorder="1" applyAlignment="1">
      <alignment horizontal="center"/>
    </xf>
    <xf numFmtId="3" fontId="31" fillId="9" borderId="56" xfId="0" applyNumberFormat="1" applyFont="1" applyFill="1" applyBorder="1" applyAlignment="1">
      <alignment horizontal="center"/>
    </xf>
    <xf numFmtId="0" fontId="22" fillId="10" borderId="52" xfId="0" applyFont="1" applyFill="1" applyBorder="1"/>
    <xf numFmtId="0" fontId="32" fillId="10" borderId="56" xfId="0" applyFont="1" applyFill="1" applyBorder="1" applyAlignment="1">
      <alignment horizontal="center" vertical="center"/>
    </xf>
    <xf numFmtId="0" fontId="44" fillId="10" borderId="69" xfId="0" applyFont="1" applyFill="1" applyBorder="1" applyAlignment="1">
      <alignment horizontal="center" vertical="center"/>
    </xf>
    <xf numFmtId="0" fontId="32" fillId="10" borderId="70" xfId="0" applyFont="1" applyFill="1" applyBorder="1" applyAlignment="1">
      <alignment horizontal="center" vertical="center"/>
    </xf>
    <xf numFmtId="0" fontId="36" fillId="10" borderId="56" xfId="0" applyFont="1" applyFill="1" applyBorder="1" applyAlignment="1">
      <alignment horizontal="center" vertical="center"/>
    </xf>
    <xf numFmtId="0" fontId="22" fillId="10" borderId="56" xfId="0" applyFont="1" applyFill="1" applyBorder="1" applyAlignment="1">
      <alignment horizontal="center" vertical="center" wrapText="1"/>
    </xf>
    <xf numFmtId="0" fontId="53" fillId="7" borderId="98" xfId="0" applyFont="1" applyFill="1" applyBorder="1" applyAlignment="1">
      <alignment horizontal="center"/>
    </xf>
    <xf numFmtId="0" fontId="22" fillId="10" borderId="54" xfId="0" applyFont="1" applyFill="1" applyBorder="1" applyAlignment="1">
      <alignment horizontal="center" vertical="center" wrapText="1"/>
    </xf>
    <xf numFmtId="0" fontId="5" fillId="0" borderId="0" xfId="0" applyFont="1"/>
    <xf numFmtId="0" fontId="44" fillId="10" borderId="56" xfId="0" applyFont="1" applyFill="1" applyBorder="1" applyAlignment="1">
      <alignment horizontal="center" vertical="center" wrapText="1"/>
    </xf>
    <xf numFmtId="0" fontId="4" fillId="0" borderId="0" xfId="0" applyFont="1"/>
    <xf numFmtId="0" fontId="22" fillId="10" borderId="57" xfId="0" applyFont="1" applyFill="1" applyBorder="1" applyAlignment="1">
      <alignment horizontal="center" vertical="center" wrapText="1"/>
    </xf>
    <xf numFmtId="0" fontId="3" fillId="0" borderId="0" xfId="0" applyFont="1"/>
    <xf numFmtId="14" fontId="22" fillId="34" borderId="51" xfId="0" applyNumberFormat="1" applyFont="1" applyFill="1" applyBorder="1" applyAlignment="1">
      <alignment horizontal="center" vertical="center"/>
    </xf>
    <xf numFmtId="0" fontId="22" fillId="35" borderId="51" xfId="0" applyFont="1" applyFill="1" applyBorder="1" applyAlignment="1">
      <alignment horizontal="center" vertical="center"/>
    </xf>
    <xf numFmtId="14" fontId="22" fillId="35" borderId="51" xfId="0" applyNumberFormat="1" applyFont="1" applyFill="1" applyBorder="1" applyAlignment="1">
      <alignment horizontal="center" vertical="center"/>
    </xf>
    <xf numFmtId="49" fontId="45" fillId="35" borderId="51" xfId="0" applyNumberFormat="1" applyFont="1" applyFill="1" applyBorder="1" applyAlignment="1">
      <alignment horizontal="center" vertical="center"/>
    </xf>
    <xf numFmtId="0" fontId="44" fillId="35" borderId="51" xfId="0" applyFont="1" applyFill="1" applyBorder="1" applyAlignment="1">
      <alignment horizontal="center" vertical="center"/>
    </xf>
    <xf numFmtId="0" fontId="22" fillId="35" borderId="74" xfId="0" applyFont="1" applyFill="1" applyBorder="1" applyAlignment="1">
      <alignment horizontal="center" vertical="center"/>
    </xf>
    <xf numFmtId="0" fontId="44" fillId="36" borderId="51" xfId="0" applyFont="1" applyFill="1" applyBorder="1" applyAlignment="1">
      <alignment horizontal="center" vertical="center"/>
    </xf>
    <xf numFmtId="0" fontId="22" fillId="36" borderId="51" xfId="0" applyFont="1" applyFill="1" applyBorder="1" applyAlignment="1">
      <alignment horizontal="center" vertical="center"/>
    </xf>
    <xf numFmtId="3" fontId="31" fillId="35" borderId="51" xfId="0" applyNumberFormat="1" applyFont="1" applyFill="1" applyBorder="1" applyAlignment="1">
      <alignment horizontal="center" vertical="center"/>
    </xf>
    <xf numFmtId="0" fontId="26" fillId="35" borderId="51" xfId="0" applyFont="1" applyFill="1" applyBorder="1" applyAlignment="1">
      <alignment horizontal="center"/>
    </xf>
    <xf numFmtId="3" fontId="46" fillId="37" borderId="51" xfId="0" applyNumberFormat="1" applyFont="1" applyFill="1" applyBorder="1" applyAlignment="1">
      <alignment horizontal="center" vertical="center"/>
    </xf>
    <xf numFmtId="0" fontId="44" fillId="38" borderId="51" xfId="0" applyFont="1" applyFill="1" applyBorder="1" applyAlignment="1">
      <alignment horizontal="center" vertical="center"/>
    </xf>
    <xf numFmtId="49" fontId="22" fillId="35" borderId="51" xfId="0" applyNumberFormat="1" applyFont="1" applyFill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14" fontId="22" fillId="0" borderId="56" xfId="0" applyNumberFormat="1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 shrinkToFit="1"/>
    </xf>
    <xf numFmtId="0" fontId="22" fillId="3" borderId="56" xfId="0" applyFont="1" applyFill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0" fillId="0" borderId="53" xfId="0" applyBorder="1"/>
    <xf numFmtId="0" fontId="0" fillId="0" borderId="74" xfId="0" applyBorder="1"/>
    <xf numFmtId="0" fontId="0" fillId="0" borderId="74" xfId="0" applyBorder="1" applyAlignment="1">
      <alignment horizontal="center" vertical="center"/>
    </xf>
    <xf numFmtId="0" fontId="22" fillId="8" borderId="21" xfId="0" applyFont="1" applyFill="1" applyBorder="1" applyAlignment="1">
      <alignment horizontal="center" vertical="center"/>
    </xf>
    <xf numFmtId="0" fontId="22" fillId="9" borderId="99" xfId="0" applyFont="1" applyFill="1" applyBorder="1" applyAlignment="1">
      <alignment horizontal="center" vertical="center"/>
    </xf>
    <xf numFmtId="0" fontId="22" fillId="9" borderId="85" xfId="0" applyFont="1" applyFill="1" applyBorder="1" applyAlignment="1">
      <alignment horizontal="center" vertical="center"/>
    </xf>
    <xf numFmtId="0" fontId="44" fillId="5" borderId="57" xfId="0" applyFont="1" applyFill="1" applyBorder="1" applyAlignment="1">
      <alignment horizontal="center" vertical="center"/>
    </xf>
    <xf numFmtId="0" fontId="22" fillId="8" borderId="74" xfId="0" applyFont="1" applyFill="1" applyBorder="1" applyAlignment="1">
      <alignment horizontal="center" vertical="center"/>
    </xf>
    <xf numFmtId="0" fontId="10" fillId="39" borderId="5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8" fillId="24" borderId="72" xfId="1" applyFont="1" applyFill="1" applyBorder="1" applyAlignment="1">
      <alignment horizontal="right" vertical="center"/>
    </xf>
    <xf numFmtId="3" fontId="28" fillId="24" borderId="83" xfId="1" applyNumberFormat="1" applyFont="1" applyFill="1" applyBorder="1" applyAlignment="1">
      <alignment horizontal="center" vertical="center"/>
    </xf>
    <xf numFmtId="0" fontId="31" fillId="5" borderId="74" xfId="1" applyFont="1" applyFill="1" applyBorder="1" applyAlignment="1">
      <alignment horizontal="right" vertical="center"/>
    </xf>
    <xf numFmtId="14" fontId="31" fillId="0" borderId="74" xfId="1" applyNumberFormat="1" applyFont="1" applyBorder="1" applyAlignment="1">
      <alignment horizontal="center" vertical="center"/>
    </xf>
    <xf numFmtId="3" fontId="31" fillId="0" borderId="75" xfId="1" applyNumberFormat="1" applyFont="1" applyBorder="1" applyAlignment="1">
      <alignment horizontal="center" vertical="center"/>
    </xf>
    <xf numFmtId="0" fontId="0" fillId="0" borderId="74" xfId="1" applyFont="1" applyBorder="1"/>
    <xf numFmtId="3" fontId="31" fillId="0" borderId="74" xfId="1" applyNumberFormat="1" applyFont="1" applyBorder="1" applyAlignment="1">
      <alignment horizontal="center"/>
    </xf>
    <xf numFmtId="0" fontId="0" fillId="0" borderId="74" xfId="1" applyFont="1" applyBorder="1" applyAlignment="1">
      <alignment horizontal="center"/>
    </xf>
    <xf numFmtId="0" fontId="0" fillId="0" borderId="74" xfId="1" applyFont="1" applyBorder="1" applyAlignment="1">
      <alignment horizontal="center" vertical="center"/>
    </xf>
    <xf numFmtId="0" fontId="0" fillId="0" borderId="74" xfId="1" applyFont="1" applyBorder="1" applyAlignment="1">
      <alignment horizontal="right" vertical="center" wrapText="1"/>
    </xf>
    <xf numFmtId="0" fontId="7" fillId="0" borderId="74" xfId="1" applyFont="1" applyBorder="1" applyAlignment="1">
      <alignment horizontal="center" vertical="center"/>
    </xf>
    <xf numFmtId="0" fontId="7" fillId="0" borderId="74" xfId="1" applyFont="1" applyBorder="1" applyAlignment="1">
      <alignment horizontal="right"/>
    </xf>
    <xf numFmtId="0" fontId="7" fillId="0" borderId="74" xfId="1" applyFont="1" applyBorder="1" applyAlignment="1">
      <alignment horizontal="center"/>
    </xf>
    <xf numFmtId="3" fontId="7" fillId="0" borderId="74" xfId="1" applyNumberFormat="1" applyFont="1" applyBorder="1" applyAlignment="1">
      <alignment horizontal="center"/>
    </xf>
    <xf numFmtId="0" fontId="41" fillId="14" borderId="79" xfId="0" applyFont="1" applyFill="1" applyBorder="1" applyAlignment="1">
      <alignment horizontal="center" vertical="center" wrapText="1"/>
    </xf>
    <xf numFmtId="0" fontId="41" fillId="14" borderId="80" xfId="0" applyFont="1" applyFill="1" applyBorder="1" applyAlignment="1">
      <alignment horizontal="center" vertical="center" wrapText="1"/>
    </xf>
    <xf numFmtId="0" fontId="41" fillId="14" borderId="81" xfId="0" applyFont="1" applyFill="1" applyBorder="1" applyAlignment="1">
      <alignment horizontal="center" vertical="center" wrapText="1"/>
    </xf>
    <xf numFmtId="3" fontId="41" fillId="14" borderId="79" xfId="0" applyNumberFormat="1" applyFont="1" applyFill="1" applyBorder="1" applyAlignment="1">
      <alignment horizontal="center" vertical="center" wrapText="1"/>
    </xf>
    <xf numFmtId="3" fontId="41" fillId="14" borderId="81" xfId="0" applyNumberFormat="1" applyFont="1" applyFill="1" applyBorder="1" applyAlignment="1">
      <alignment horizontal="center" vertical="center" wrapText="1"/>
    </xf>
    <xf numFmtId="3" fontId="41" fillId="14" borderId="82" xfId="0" applyNumberFormat="1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right" vertical="center" wrapText="1"/>
    </xf>
    <xf numFmtId="0" fontId="10" fillId="0" borderId="10" xfId="0" applyFont="1" applyBorder="1"/>
    <xf numFmtId="0" fontId="21" fillId="0" borderId="10" xfId="0" applyFont="1" applyBorder="1" applyAlignment="1">
      <alignment horizontal="right" vertical="center" wrapText="1"/>
    </xf>
    <xf numFmtId="0" fontId="21" fillId="0" borderId="5" xfId="0" applyFont="1" applyBorder="1" applyAlignment="1">
      <alignment horizontal="right" vertical="center" wrapText="1"/>
    </xf>
    <xf numFmtId="0" fontId="10" fillId="0" borderId="5" xfId="0" applyFont="1" applyBorder="1"/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/>
    <xf numFmtId="0" fontId="13" fillId="0" borderId="2" xfId="0" applyFont="1" applyBorder="1" applyAlignment="1">
      <alignment horizontal="right" vertical="center" wrapText="1"/>
    </xf>
    <xf numFmtId="0" fontId="10" fillId="0" borderId="3" xfId="0" applyFont="1" applyBorder="1"/>
    <xf numFmtId="0" fontId="16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right" vertical="center" wrapText="1"/>
    </xf>
    <xf numFmtId="0" fontId="20" fillId="0" borderId="8" xfId="0" applyFont="1" applyBorder="1" applyAlignment="1">
      <alignment horizontal="right" vertical="center" wrapText="1"/>
    </xf>
    <xf numFmtId="0" fontId="10" fillId="0" borderId="8" xfId="0" applyFont="1" applyBorder="1"/>
    <xf numFmtId="0" fontId="16" fillId="0" borderId="12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 applyAlignment="1">
      <alignment horizontal="right" vertical="center" wrapText="1"/>
    </xf>
    <xf numFmtId="0" fontId="20" fillId="0" borderId="40" xfId="0" applyFont="1" applyBorder="1" applyAlignment="1">
      <alignment horizontal="right" vertical="center" wrapText="1"/>
    </xf>
    <xf numFmtId="0" fontId="10" fillId="0" borderId="40" xfId="0" applyFont="1" applyBorder="1"/>
    <xf numFmtId="0" fontId="20" fillId="0" borderId="39" xfId="0" applyFont="1" applyBorder="1" applyAlignment="1">
      <alignment horizontal="right" vertical="center" wrapText="1"/>
    </xf>
    <xf numFmtId="0" fontId="15" fillId="0" borderId="40" xfId="0" applyFont="1" applyBorder="1" applyAlignment="1">
      <alignment horizontal="right" vertical="center" wrapText="1"/>
    </xf>
    <xf numFmtId="0" fontId="24" fillId="0" borderId="42" xfId="0" applyFont="1" applyBorder="1" applyAlignment="1">
      <alignment horizontal="right" vertical="center" wrapText="1"/>
    </xf>
    <xf numFmtId="0" fontId="10" fillId="0" borderId="43" xfId="0" applyFont="1" applyBorder="1"/>
    <xf numFmtId="0" fontId="21" fillId="0" borderId="39" xfId="0" applyFont="1" applyBorder="1" applyAlignment="1">
      <alignment horizontal="right" vertical="center" wrapText="1"/>
    </xf>
    <xf numFmtId="0" fontId="11" fillId="0" borderId="38" xfId="0" applyFont="1" applyBorder="1" applyAlignment="1">
      <alignment horizontal="right" vertical="center" wrapText="1"/>
    </xf>
    <xf numFmtId="0" fontId="10" fillId="0" borderId="38" xfId="0" applyFont="1" applyBorder="1"/>
    <xf numFmtId="0" fontId="21" fillId="0" borderId="38" xfId="0" applyFont="1" applyBorder="1" applyAlignment="1">
      <alignment horizontal="right" vertical="center" wrapText="1"/>
    </xf>
    <xf numFmtId="0" fontId="20" fillId="0" borderId="38" xfId="0" applyFont="1" applyBorder="1" applyAlignment="1">
      <alignment horizontal="right" vertical="center" wrapText="1"/>
    </xf>
    <xf numFmtId="0" fontId="15" fillId="0" borderId="38" xfId="0" applyFont="1" applyBorder="1" applyAlignment="1">
      <alignment horizontal="right" vertical="center" wrapText="1"/>
    </xf>
    <xf numFmtId="0" fontId="20" fillId="0" borderId="46" xfId="0" applyFont="1" applyBorder="1" applyAlignment="1">
      <alignment horizontal="right" vertical="center" wrapText="1"/>
    </xf>
    <xf numFmtId="0" fontId="10" fillId="0" borderId="46" xfId="0" applyFont="1" applyBorder="1"/>
    <xf numFmtId="0" fontId="11" fillId="0" borderId="48" xfId="0" applyFont="1" applyBorder="1" applyAlignment="1">
      <alignment horizontal="right" vertical="center" wrapText="1"/>
    </xf>
    <xf numFmtId="0" fontId="10" fillId="0" borderId="48" xfId="0" applyFont="1" applyBorder="1"/>
    <xf numFmtId="0" fontId="12" fillId="0" borderId="1" xfId="0" applyFont="1" applyBorder="1" applyAlignment="1">
      <alignment horizontal="right" vertical="center" wrapText="1"/>
    </xf>
    <xf numFmtId="0" fontId="12" fillId="0" borderId="12" xfId="0" applyFont="1" applyBorder="1" applyAlignment="1">
      <alignment horizontal="right" vertical="center" wrapText="1"/>
    </xf>
    <xf numFmtId="0" fontId="10" fillId="0" borderId="13" xfId="0" applyFont="1" applyBorder="1"/>
    <xf numFmtId="0" fontId="23" fillId="0" borderId="12" xfId="0" applyFont="1" applyBorder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7" fillId="0" borderId="88" xfId="1" applyFont="1" applyBorder="1" applyAlignment="1">
      <alignment horizontal="center" vertical="center"/>
    </xf>
    <xf numFmtId="0" fontId="27" fillId="0" borderId="89" xfId="1" applyFont="1" applyBorder="1" applyAlignment="1">
      <alignment horizontal="center" vertical="center"/>
    </xf>
    <xf numFmtId="0" fontId="27" fillId="0" borderId="90" xfId="1" applyFont="1" applyBorder="1" applyAlignment="1">
      <alignment horizontal="center" vertical="center"/>
    </xf>
    <xf numFmtId="0" fontId="34" fillId="0" borderId="94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10" fillId="0" borderId="35" xfId="0" applyFont="1" applyBorder="1"/>
    <xf numFmtId="0" fontId="10" fillId="0" borderId="92" xfId="0" applyFont="1" applyBorder="1"/>
    <xf numFmtId="0" fontId="33" fillId="0" borderId="56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10" fillId="0" borderId="52" xfId="0" applyFont="1" applyBorder="1"/>
    <xf numFmtId="0" fontId="10" fillId="0" borderId="57" xfId="0" applyFont="1" applyBorder="1"/>
    <xf numFmtId="3" fontId="22" fillId="0" borderId="56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10" fillId="0" borderId="65" xfId="0" applyFont="1" applyBorder="1"/>
  </cellXfs>
  <cellStyles count="4">
    <cellStyle name="Hyperlink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15"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CE5CD"/>
          <bgColor rgb="FFFCE5C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E2EFD9"/>
          <bgColor rgb="FFE2EF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E2EFD9"/>
          <bgColor rgb="FFE2EF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00FF00"/>
          <bgColor rgb="FF00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rgb="FF00FFFF"/>
          <bgColor rgb="FF00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257175</xdr:colOff>
      <xdr:row>0</xdr:row>
      <xdr:rowOff>9525</xdr:rowOff>
    </xdr:from>
    <xdr:ext cx="809625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523875</xdr:colOff>
      <xdr:row>0</xdr:row>
      <xdr:rowOff>19050</xdr:rowOff>
    </xdr:from>
    <xdr:ext cx="819150" cy="7048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133350</xdr:colOff>
      <xdr:row>1</xdr:row>
      <xdr:rowOff>152400</xdr:rowOff>
    </xdr:from>
    <xdr:ext cx="809625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1</xdr:row>
      <xdr:rowOff>85725</xdr:rowOff>
    </xdr:from>
    <xdr:ext cx="809625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1601;&#1575;&#1610;&#1604;%20&#1606;&#1607;&#1575;&#1610;&#1610;%20&#1582;&#1610;&#1585;&#1610;&#160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XXX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1605;&#1588;&#1582;&#1589;&#1575;&#1578;%20&#1605;&#1583;&#1583;&#1580;&#1608;&#1607;&#1575;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وزن دهی تاثیر اعضای هیت موسس"/>
      <sheetName val="فرم سلامت کودک"/>
      <sheetName val=" فرم مشخصات کودک"/>
      <sheetName val=" اطلاعات ورودد مددجو"/>
      <sheetName val="ریزهزینه کرد مددجوها"/>
      <sheetName val="خلاصه هزینه کرد مددجوها"/>
      <sheetName val="لیست واریزی ماهیانه"/>
      <sheetName val="لیست واریزی کل خیرین"/>
      <sheetName val="گزارش رداخت خیرین"/>
      <sheetName val="روکش"/>
      <sheetName val="Sheet1"/>
      <sheetName val="جدول کلی مددجوها"/>
      <sheetName val="ریزهزینه کرد مددجوها (2)"/>
    </sheetNames>
    <sheetDataSet>
      <sheetData sheetId="0"/>
      <sheetData sheetId="1"/>
      <sheetData sheetId="2"/>
      <sheetData sheetId="3">
        <row r="1">
          <cell r="A1">
            <v>0</v>
          </cell>
          <cell r="B1" t="str">
            <v>k1</v>
          </cell>
          <cell r="C1" t="str">
            <v>m1</v>
          </cell>
          <cell r="D1">
            <v>0</v>
          </cell>
          <cell r="E1" t="str">
            <v>کد مددجو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</row>
        <row r="2">
          <cell r="A2">
            <v>1</v>
          </cell>
          <cell r="B2" t="str">
            <v>هزینه کلی موسسه</v>
          </cell>
          <cell r="C2" t="str">
            <v>هزینه کلی به مددجویان</v>
          </cell>
          <cell r="D2">
            <v>0</v>
          </cell>
          <cell r="E2" t="str">
            <v>نام  و نام خانوادگی</v>
          </cell>
          <cell r="F2" t="str">
            <v>ریحانه نوری شفیق</v>
          </cell>
          <cell r="G2" t="str">
            <v>ریحانه طراقی فرد</v>
          </cell>
          <cell r="H2" t="str">
            <v>زهرا قهستانی</v>
          </cell>
          <cell r="I2" t="str">
            <v>مهلا قهستانی</v>
          </cell>
          <cell r="J2" t="str">
            <v>رقیه رضاپور</v>
          </cell>
          <cell r="K2" t="str">
            <v>راضیه رضاپور</v>
          </cell>
          <cell r="L2" t="str">
            <v>ربابه رضاپور</v>
          </cell>
          <cell r="M2" t="str">
            <v>پریسا اعتمادمنش</v>
          </cell>
          <cell r="N2" t="str">
            <v>فاطمه موسوی</v>
          </cell>
          <cell r="O2" t="str">
            <v>مریم رحمانی</v>
          </cell>
          <cell r="P2" t="str">
            <v>ناهید کمالی گروی</v>
          </cell>
          <cell r="Q2" t="str">
            <v>الهام صمدی</v>
          </cell>
          <cell r="R2" t="str">
            <v>کوثر مولایی</v>
          </cell>
          <cell r="S2" t="str">
            <v>زهرا تاتاری</v>
          </cell>
          <cell r="T2" t="str">
            <v>یگانه رجایی سمرا</v>
          </cell>
          <cell r="U2" t="str">
            <v>یگانه خرمند سنجدبوری</v>
          </cell>
          <cell r="V2" t="str">
            <v>کوثر فارقی</v>
          </cell>
          <cell r="W2" t="str">
            <v>ریحانه نجفی</v>
          </cell>
          <cell r="X2" t="str">
            <v>نادیا احمدی</v>
          </cell>
          <cell r="Y2" t="str">
            <v>پری زارع</v>
          </cell>
          <cell r="Z2" t="str">
            <v>ملبکا نماز</v>
          </cell>
          <cell r="AA2" t="str">
            <v>مهدبار نماز</v>
          </cell>
          <cell r="AB2" t="str">
            <v>محمدرضا سروری</v>
          </cell>
          <cell r="AC2" t="str">
            <v>کمیل سروری</v>
          </cell>
          <cell r="AD2" t="str">
            <v>مبینا عباسی</v>
          </cell>
        </row>
        <row r="3">
          <cell r="A3">
            <v>2</v>
          </cell>
          <cell r="B3">
            <v>0</v>
          </cell>
          <cell r="C3">
            <v>0</v>
          </cell>
          <cell r="D3" t="str">
            <v>1385/05/06</v>
          </cell>
          <cell r="E3" t="str">
            <v>تاریخ تولد :</v>
          </cell>
          <cell r="F3" t="str">
            <v>1385/05/06</v>
          </cell>
          <cell r="G3" t="str">
            <v>1386/05/13</v>
          </cell>
          <cell r="H3" t="str">
            <v>1386/01/04</v>
          </cell>
          <cell r="I3" t="str">
            <v>1386/05/30</v>
          </cell>
          <cell r="J3" t="str">
            <v>1386/01/18</v>
          </cell>
          <cell r="K3" t="str">
            <v>1386/01/18</v>
          </cell>
          <cell r="L3" t="str">
            <v>1386/01/18</v>
          </cell>
          <cell r="M3" t="str">
            <v>1385/06/28</v>
          </cell>
          <cell r="N3" t="str">
            <v>1384/02/04</v>
          </cell>
          <cell r="O3" t="str">
            <v>1383/09/14</v>
          </cell>
          <cell r="P3" t="str">
            <v>1385/09/18</v>
          </cell>
          <cell r="Q3" t="str">
            <v>1383/09/14</v>
          </cell>
          <cell r="R3">
            <v>0</v>
          </cell>
          <cell r="S3" t="str">
            <v>1385/02/06</v>
          </cell>
          <cell r="T3" t="str">
            <v>1385/12/15</v>
          </cell>
          <cell r="U3" t="str">
            <v>1384/10/21</v>
          </cell>
          <cell r="V3">
            <v>0</v>
          </cell>
          <cell r="W3" t="str">
            <v>1385/11/02</v>
          </cell>
          <cell r="X3">
            <v>0</v>
          </cell>
          <cell r="Y3" t="str">
            <v>1384/09/09</v>
          </cell>
          <cell r="Z3" t="str">
            <v>1395/03/29</v>
          </cell>
          <cell r="AA3" t="str">
            <v>1390/09/24</v>
          </cell>
          <cell r="AB3">
            <v>0</v>
          </cell>
          <cell r="AC3">
            <v>0</v>
          </cell>
          <cell r="AD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 t="str">
            <v>محل تولد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 t="str">
            <v>مشهد</v>
          </cell>
          <cell r="N4" t="str">
            <v>افغانستان</v>
          </cell>
          <cell r="O4" t="str">
            <v>مشهد</v>
          </cell>
          <cell r="P4" t="str">
            <v>مشهد</v>
          </cell>
          <cell r="Q4">
            <v>0</v>
          </cell>
          <cell r="R4">
            <v>0</v>
          </cell>
          <cell r="S4" t="str">
            <v>تهران</v>
          </cell>
          <cell r="T4" t="str">
            <v>مشهد</v>
          </cell>
          <cell r="U4" t="str">
            <v>مشهد</v>
          </cell>
          <cell r="V4">
            <v>0</v>
          </cell>
          <cell r="W4" t="str">
            <v>مشهد</v>
          </cell>
          <cell r="X4">
            <v>0</v>
          </cell>
          <cell r="Y4" t="str">
            <v>شیروان</v>
          </cell>
          <cell r="Z4" t="str">
            <v>تربت حیدریه</v>
          </cell>
          <cell r="AA4" t="str">
            <v>مشهد</v>
          </cell>
          <cell r="AB4">
            <v>0</v>
          </cell>
          <cell r="AC4">
            <v>0</v>
          </cell>
          <cell r="AD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 t="str">
            <v>محل صدور: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 t="str">
            <v>مشهد</v>
          </cell>
          <cell r="N5">
            <v>0</v>
          </cell>
          <cell r="O5" t="str">
            <v>مشهد</v>
          </cell>
          <cell r="P5" t="str">
            <v>مشهد</v>
          </cell>
          <cell r="Q5">
            <v>0</v>
          </cell>
          <cell r="R5">
            <v>0</v>
          </cell>
          <cell r="S5" t="str">
            <v>تهران</v>
          </cell>
          <cell r="T5" t="str">
            <v>مشهد</v>
          </cell>
          <cell r="U5" t="str">
            <v>مشهد</v>
          </cell>
          <cell r="V5">
            <v>0</v>
          </cell>
          <cell r="W5" t="str">
            <v>مشهد</v>
          </cell>
          <cell r="X5">
            <v>0</v>
          </cell>
          <cell r="Y5" t="str">
            <v>شیروان</v>
          </cell>
          <cell r="Z5" t="str">
            <v>تربت حیدریه</v>
          </cell>
          <cell r="AA5" t="str">
            <v>مشهد</v>
          </cell>
          <cell r="AB5">
            <v>0</v>
          </cell>
          <cell r="AC5">
            <v>0</v>
          </cell>
          <cell r="AD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 t="str">
            <v>عبدالحکیم</v>
          </cell>
          <cell r="E6" t="str">
            <v>نام پدر</v>
          </cell>
          <cell r="F6" t="str">
            <v>عبدالحکیم</v>
          </cell>
          <cell r="G6" t="str">
            <v>علی اکبر</v>
          </cell>
          <cell r="H6" t="str">
            <v>مجتبی</v>
          </cell>
          <cell r="I6" t="str">
            <v>حسین</v>
          </cell>
          <cell r="J6" t="str">
            <v>محمدرضا</v>
          </cell>
          <cell r="K6" t="str">
            <v>محمدرضا</v>
          </cell>
          <cell r="L6" t="str">
            <v>محمدرضا</v>
          </cell>
          <cell r="M6" t="str">
            <v>محمد</v>
          </cell>
          <cell r="N6" t="str">
            <v>میرحسین</v>
          </cell>
          <cell r="O6" t="str">
            <v>نعمت الله</v>
          </cell>
          <cell r="P6" t="str">
            <v>حسین</v>
          </cell>
          <cell r="Q6">
            <v>0</v>
          </cell>
          <cell r="R6">
            <v>0</v>
          </cell>
          <cell r="S6" t="str">
            <v>مهدی</v>
          </cell>
          <cell r="T6" t="str">
            <v>حسين</v>
          </cell>
          <cell r="U6" t="str">
            <v>سید حسين</v>
          </cell>
          <cell r="V6">
            <v>0</v>
          </cell>
          <cell r="W6" t="str">
            <v>احمد</v>
          </cell>
          <cell r="X6">
            <v>0</v>
          </cell>
          <cell r="Y6" t="str">
            <v>غلامعلی</v>
          </cell>
          <cell r="Z6" t="str">
            <v>جواد</v>
          </cell>
          <cell r="AA6" t="str">
            <v>جواد</v>
          </cell>
          <cell r="AB6">
            <v>0</v>
          </cell>
          <cell r="AC6">
            <v>0</v>
          </cell>
          <cell r="AD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 t="str">
            <v>نام مادر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 t="str">
            <v>آمنه قابمی</v>
          </cell>
          <cell r="T7" t="str">
            <v>فرزانه صدیقی</v>
          </cell>
          <cell r="U7" t="str">
            <v>عصمت قربانی</v>
          </cell>
          <cell r="V7" t="str">
            <v>زهرا مختاری</v>
          </cell>
          <cell r="W7" t="str">
            <v>-</v>
          </cell>
          <cell r="X7">
            <v>0</v>
          </cell>
          <cell r="Y7" t="str">
            <v>-</v>
          </cell>
          <cell r="Z7" t="str">
            <v>مرجان عمرانی</v>
          </cell>
          <cell r="AA7" t="str">
            <v>مرجان عمرانی</v>
          </cell>
          <cell r="AB7">
            <v>0</v>
          </cell>
          <cell r="AC7">
            <v>0</v>
          </cell>
          <cell r="AD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 t="str">
            <v>دختر</v>
          </cell>
          <cell r="E8" t="str">
            <v>جنسیت</v>
          </cell>
          <cell r="F8" t="str">
            <v>دختر</v>
          </cell>
          <cell r="G8" t="str">
            <v>دختر</v>
          </cell>
          <cell r="H8" t="str">
            <v>دختر</v>
          </cell>
          <cell r="I8" t="str">
            <v>دختر</v>
          </cell>
          <cell r="J8" t="str">
            <v>دختر</v>
          </cell>
          <cell r="K8" t="str">
            <v>دختر</v>
          </cell>
          <cell r="L8" t="str">
            <v>دختر</v>
          </cell>
          <cell r="M8" t="str">
            <v>دختر</v>
          </cell>
          <cell r="N8" t="str">
            <v>دختر</v>
          </cell>
          <cell r="O8" t="str">
            <v>دختر</v>
          </cell>
          <cell r="P8" t="str">
            <v>دختر</v>
          </cell>
          <cell r="Q8" t="str">
            <v>دختر</v>
          </cell>
          <cell r="R8" t="str">
            <v>دختر</v>
          </cell>
          <cell r="S8" t="str">
            <v>دختر</v>
          </cell>
          <cell r="T8" t="str">
            <v>دختر</v>
          </cell>
          <cell r="U8" t="str">
            <v>دختر</v>
          </cell>
          <cell r="V8" t="str">
            <v>دختر</v>
          </cell>
          <cell r="W8" t="str">
            <v>دختر</v>
          </cell>
          <cell r="X8" t="str">
            <v>دختر</v>
          </cell>
          <cell r="Y8" t="str">
            <v>دختر</v>
          </cell>
          <cell r="Z8" t="str">
            <v>دختر</v>
          </cell>
          <cell r="AA8" t="str">
            <v>دختر</v>
          </cell>
          <cell r="AB8" t="str">
            <v>پسر</v>
          </cell>
          <cell r="AC8" t="str">
            <v>پسر</v>
          </cell>
          <cell r="AD8" t="str">
            <v>دختر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 t="str">
            <v>شماره ملی / شماره شناسنامه</v>
          </cell>
          <cell r="F9">
            <v>0</v>
          </cell>
          <cell r="G9">
            <v>928744272</v>
          </cell>
          <cell r="H9">
            <v>928539733</v>
          </cell>
          <cell r="I9">
            <v>928779262</v>
          </cell>
          <cell r="J9">
            <v>0</v>
          </cell>
          <cell r="K9">
            <v>0</v>
          </cell>
          <cell r="L9">
            <v>0</v>
          </cell>
          <cell r="M9">
            <v>928280098</v>
          </cell>
          <cell r="N9">
            <v>91020180399</v>
          </cell>
          <cell r="O9" t="str">
            <v>0927335204-</v>
          </cell>
          <cell r="P9" t="str">
            <v>0928394174-</v>
          </cell>
          <cell r="Q9">
            <v>0</v>
          </cell>
          <cell r="R9">
            <v>0</v>
          </cell>
          <cell r="S9" t="str">
            <v>0025909738-</v>
          </cell>
          <cell r="T9" t="str">
            <v>0928551113-</v>
          </cell>
          <cell r="U9" t="str">
            <v>0927912678-</v>
          </cell>
          <cell r="V9" t="str">
            <v>0928729826-</v>
          </cell>
          <cell r="W9" t="str">
            <v>0950047384-</v>
          </cell>
          <cell r="X9" t="str">
            <v>0929731451-</v>
          </cell>
          <cell r="Y9" t="str">
            <v>0820611743-</v>
          </cell>
          <cell r="Z9">
            <v>6500294351</v>
          </cell>
          <cell r="AA9" t="str">
            <v>0970439210-</v>
          </cell>
          <cell r="AB9">
            <v>0</v>
          </cell>
          <cell r="AC9">
            <v>0</v>
          </cell>
          <cell r="AD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 t="str">
            <v>مدرسه حضرت خدیجه</v>
          </cell>
          <cell r="E10" t="str">
            <v>معرف</v>
          </cell>
          <cell r="F10" t="str">
            <v>مدرسه حضرت خدیجه</v>
          </cell>
          <cell r="G10" t="str">
            <v>مدرسه حضرت خدیجه</v>
          </cell>
          <cell r="H10" t="str">
            <v>مدرسه حضرت خدیجه</v>
          </cell>
          <cell r="I10" t="str">
            <v>مدرسه حضرت خدیجه</v>
          </cell>
          <cell r="J10" t="str">
            <v>مدرسه حضرت خدیجه</v>
          </cell>
          <cell r="K10" t="str">
            <v>مدرسه حضرت خدیجه</v>
          </cell>
          <cell r="L10" t="str">
            <v>مدرسه حضرت خدیجه</v>
          </cell>
          <cell r="M10" t="str">
            <v>مدرسه آرمیتا مصلی نژاد- ناحیه تباتکان</v>
          </cell>
          <cell r="N10" t="str">
            <v>مدرسه حضرت خدیجه</v>
          </cell>
          <cell r="O10" t="str">
            <v>مدرسه حضرت خدیجه</v>
          </cell>
          <cell r="P10" t="str">
            <v>مدرسه حضرت خدیجه</v>
          </cell>
          <cell r="Q10" t="str">
            <v>مدرسه آرمیتا مصلی نژاد- ناحیه تباتکان</v>
          </cell>
          <cell r="R10" t="str">
            <v>دبیرستان شاهد</v>
          </cell>
          <cell r="S10" t="str">
            <v>خانم سمییعی</v>
          </cell>
          <cell r="T10" t="str">
            <v>دبیرستان رستگارمقدم</v>
          </cell>
          <cell r="U10" t="str">
            <v>دبیرستان رستگارمقدم</v>
          </cell>
          <cell r="V10" t="str">
            <v>دبیرستان رستگارمقدم</v>
          </cell>
          <cell r="W10" t="str">
            <v>دبیرستان رستگارمقدم</v>
          </cell>
          <cell r="X10" t="str">
            <v>دبیرستان خدیجه</v>
          </cell>
          <cell r="Y10" t="str">
            <v>دبیرستان رستگارمقدم</v>
          </cell>
          <cell r="Z10" t="str">
            <v>مسعود خازنی</v>
          </cell>
          <cell r="AA10" t="str">
            <v>مسعود خازنی</v>
          </cell>
          <cell r="AB10" t="str">
            <v>مسعود خازنی</v>
          </cell>
          <cell r="AC10" t="str">
            <v>مسعود خازنی</v>
          </cell>
          <cell r="AD10" t="str">
            <v>خانم اورلی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 t="str">
            <v>تاریخ شروع خدمات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 t="str">
            <v>رسالت 136- خیابان امام خمینی- امام خمینی 2 پلاک 36</v>
          </cell>
          <cell r="E12" t="str">
            <v>آدرس محل سکونت</v>
          </cell>
          <cell r="F12" t="str">
            <v>رسالت 136- خیابان امام خمینی- امام خمینی 2 پلاک 36</v>
          </cell>
          <cell r="G12" t="str">
            <v>رسالت 136- خیابان امام خمینی- امام خمینی 21- شهریار 4- پلاک 27</v>
          </cell>
          <cell r="H12" t="str">
            <v>رسالت 136- خیابان امام خمینی- امام خمینی 3- رخش بهار 8- پلاک 37</v>
          </cell>
          <cell r="I12" t="str">
            <v>رسالت 136- خیابان امام خمینی- امام خمینی 12- پلاک 6</v>
          </cell>
          <cell r="J12" t="str">
            <v>رسالت 134- خیابان شهید غلامی-کنار مسجد سیداشهدا</v>
          </cell>
          <cell r="K12" t="str">
            <v>رسالت 134- خیابان شهید غلامی-کنار مسجد سیداشهدا</v>
          </cell>
          <cell r="L12" t="str">
            <v>رسالت 134- خیابان شهید غلامی-کنار مسجد سیداشهدا</v>
          </cell>
          <cell r="M12" t="str">
            <v>توس 33- شکری 2- وسط کوچه- سمت راست- منزل نیمه کاره</v>
          </cell>
          <cell r="N12" t="str">
            <v>کشمیری 36- بعد از چهارراه اول پلاک 39</v>
          </cell>
          <cell r="O12" t="str">
            <v>رسالت 120- رجایی 6- پلاک 45</v>
          </cell>
          <cell r="P12" t="str">
            <v>غلامی 18- پلاک 21</v>
          </cell>
          <cell r="Q12" t="str">
            <v>توس 97- الزهرا 10- ... 17- پلاک 38</v>
          </cell>
          <cell r="R12">
            <v>0</v>
          </cell>
          <cell r="S12" t="str">
            <v>تربت حیدریه - روستای قلعه حسن خان</v>
          </cell>
          <cell r="T12" t="str">
            <v>توس 43 - غلامی 6- رادمرد 7 - انتهای کوچه سمت راست</v>
          </cell>
          <cell r="U12" t="str">
            <v>حر 13- کوچه 54- سردرب منزل(دعای کمیل)</v>
          </cell>
          <cell r="V12" t="str">
            <v>پنجتن 3- سلمان 6- پلاک 43</v>
          </cell>
          <cell r="W12" t="str">
            <v>حر 56</v>
          </cell>
          <cell r="X12">
            <v>0</v>
          </cell>
          <cell r="Y12" t="str">
            <v>رسالت 71 - درب قهوه ای - پلاک 23</v>
          </cell>
          <cell r="Z12" t="str">
            <v>چهارراه مقدم - پروین اعتصامی 8- سلیمانی منش 10- پلاک 405</v>
          </cell>
          <cell r="AA12" t="str">
            <v>چهارراه مقدم - پروین اعتصامی 8- سلیمانی منش 10- پلاک 405</v>
          </cell>
          <cell r="AB12">
            <v>0</v>
          </cell>
          <cell r="AC12">
            <v>0</v>
          </cell>
          <cell r="AD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 t="str">
            <v>کد پستی محل سکونت :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 t="str">
            <v>خانم توکلی</v>
          </cell>
          <cell r="E14" t="str">
            <v>معرفی توسط :</v>
          </cell>
          <cell r="F14" t="str">
            <v>خانم توکلی</v>
          </cell>
          <cell r="G14" t="str">
            <v>خانم توکلی</v>
          </cell>
          <cell r="H14" t="str">
            <v>خانم توکلی</v>
          </cell>
          <cell r="I14" t="str">
            <v>خانم توکلی</v>
          </cell>
          <cell r="J14" t="str">
            <v>خانم توکلی</v>
          </cell>
          <cell r="K14" t="str">
            <v>خانم توکلی</v>
          </cell>
          <cell r="L14" t="str">
            <v>خانم توکلی</v>
          </cell>
          <cell r="M14" t="str">
            <v>خانم ارمغان</v>
          </cell>
          <cell r="N14" t="str">
            <v>خانم توکلی</v>
          </cell>
          <cell r="O14" t="str">
            <v>خانم توکلی</v>
          </cell>
          <cell r="P14" t="str">
            <v>خانم توکلی</v>
          </cell>
          <cell r="Q14" t="str">
            <v>خانم توکلی</v>
          </cell>
          <cell r="R14" t="str">
            <v>آقای نقیبی</v>
          </cell>
          <cell r="S14" t="str">
            <v>خانم سمییعی</v>
          </cell>
          <cell r="T14" t="str">
            <v>آقای نقیبی</v>
          </cell>
          <cell r="U14" t="str">
            <v>آقای نقیبی</v>
          </cell>
          <cell r="V14" t="str">
            <v>آقای نقیبی</v>
          </cell>
          <cell r="W14" t="str">
            <v>آقای نقیبی</v>
          </cell>
          <cell r="X14">
            <v>0</v>
          </cell>
          <cell r="Y14" t="str">
            <v>آقای نقیبی</v>
          </cell>
          <cell r="Z14" t="str">
            <v>مسعود خازنی</v>
          </cell>
          <cell r="AA14" t="str">
            <v>مسعود خازنی</v>
          </cell>
          <cell r="AB14" t="str">
            <v>مسعود خازنی</v>
          </cell>
          <cell r="AC14" t="str">
            <v>مسعود خازنی</v>
          </cell>
          <cell r="AD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 t="str">
            <v>پست الکترونیکی :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9381233298</v>
          </cell>
          <cell r="E16" t="str">
            <v>تلفن :</v>
          </cell>
          <cell r="F16">
            <v>9381233298</v>
          </cell>
          <cell r="G16">
            <v>9392569929</v>
          </cell>
          <cell r="H16">
            <v>9373250328</v>
          </cell>
          <cell r="I16" t="str">
            <v>9228665372- 09357415452-09302849676</v>
          </cell>
          <cell r="J16" t="str">
            <v>9229983735- 09017614576-09157171782-09333752599</v>
          </cell>
          <cell r="K16" t="str">
            <v>9229983735- 09017614576-09157171782-09333752599</v>
          </cell>
          <cell r="L16" t="str">
            <v>9229983735- 09017614576-09157171782-09333752599</v>
          </cell>
          <cell r="M16">
            <v>9900785044</v>
          </cell>
          <cell r="N16" t="str">
            <v>03978969874-</v>
          </cell>
          <cell r="O16" t="str">
            <v>09380617293-09397976616-09057403341</v>
          </cell>
          <cell r="P16" t="str">
            <v>09152067310-09908878616</v>
          </cell>
          <cell r="Q16" t="str">
            <v>09150090658-09156484356-09159095701</v>
          </cell>
          <cell r="R16" t="str">
            <v>09053110021-09398957719</v>
          </cell>
          <cell r="S16" t="str">
            <v>09945192457-0998177165</v>
          </cell>
          <cell r="T16" t="str">
            <v>09397686036-09353218951</v>
          </cell>
          <cell r="U16" t="str">
            <v>09046651101-09156286174</v>
          </cell>
          <cell r="V16" t="str">
            <v>09305985396-09360554032-09300610960</v>
          </cell>
          <cell r="W16" t="str">
            <v>09352584850-09156019826-09152548041</v>
          </cell>
          <cell r="X16">
            <v>9156194069</v>
          </cell>
          <cell r="Y16" t="str">
            <v>09915317983-09352523868</v>
          </cell>
          <cell r="Z16" t="str">
            <v>09159140096-09945583303</v>
          </cell>
          <cell r="AA16" t="str">
            <v>09159140096-09945583303</v>
          </cell>
          <cell r="AB16" t="str">
            <v>09051762599-</v>
          </cell>
          <cell r="AC16" t="str">
            <v>09051762599-</v>
          </cell>
          <cell r="AD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 t="str">
            <v>دبیرستان سال یازدهم</v>
          </cell>
          <cell r="E17" t="str">
            <v xml:space="preserve">مقطع تحصیلی : </v>
          </cell>
          <cell r="F17" t="str">
            <v>دبیرستان سال یازدهم</v>
          </cell>
          <cell r="G17" t="str">
            <v>دبیرستان سال دهم</v>
          </cell>
          <cell r="H17" t="str">
            <v>دبیرستان سال دهم</v>
          </cell>
          <cell r="I17" t="str">
            <v>دبیرستان سال دهم</v>
          </cell>
          <cell r="J17" t="str">
            <v>دبیرستان سال دهم</v>
          </cell>
          <cell r="K17" t="str">
            <v>دبیرستان سال دهم</v>
          </cell>
          <cell r="L17" t="str">
            <v>دبیرستان سال دهم</v>
          </cell>
          <cell r="M17" t="str">
            <v>دبیرستان سال دوازدهم</v>
          </cell>
          <cell r="N17" t="str">
            <v>دبیرستان سال دوازدهم</v>
          </cell>
          <cell r="O17" t="str">
            <v>دبیرستان سال دوازدهم</v>
          </cell>
          <cell r="P17" t="str">
            <v>دبیرستان سال دهم</v>
          </cell>
          <cell r="Q17" t="str">
            <v>دبیرستان سال دهم</v>
          </cell>
          <cell r="R17" t="str">
            <v>دبیرستان سال دوازدهم</v>
          </cell>
          <cell r="S17" t="str">
            <v>دبیرستان سال یازدهم</v>
          </cell>
          <cell r="T17" t="str">
            <v>دبیرستان سال دهم</v>
          </cell>
          <cell r="U17" t="str">
            <v>دبیرستان سال یازدهم</v>
          </cell>
          <cell r="V17" t="str">
            <v>دبیرستان سال دهم</v>
          </cell>
          <cell r="W17" t="str">
            <v>دبیرستان سال دهم</v>
          </cell>
          <cell r="X17" t="str">
            <v>دبیرستان سال دوازدهم</v>
          </cell>
          <cell r="Y17" t="str">
            <v>دبیرستان سال دهم</v>
          </cell>
          <cell r="Z17" t="str">
            <v>دبستان کلاس اول</v>
          </cell>
          <cell r="AA17" t="str">
            <v>دبستان کلاس پنجم</v>
          </cell>
          <cell r="AB17" t="str">
            <v>دبستان کلاس پنجم</v>
          </cell>
          <cell r="AC17" t="str">
            <v>دبستان کلاس چهارم</v>
          </cell>
          <cell r="AD17">
            <v>0</v>
          </cell>
        </row>
        <row r="18">
          <cell r="A18">
            <v>17</v>
          </cell>
          <cell r="B18">
            <v>0</v>
          </cell>
          <cell r="C18">
            <v>0</v>
          </cell>
          <cell r="D18" t="str">
            <v>ریاضی</v>
          </cell>
          <cell r="E18" t="str">
            <v>رشته تحصیلی :</v>
          </cell>
          <cell r="F18" t="str">
            <v>ریاضی</v>
          </cell>
          <cell r="G18" t="str">
            <v>انسانی</v>
          </cell>
          <cell r="H18" t="str">
            <v>ریاضی</v>
          </cell>
          <cell r="I18" t="str">
            <v>تجربی</v>
          </cell>
          <cell r="J18" t="str">
            <v>تجربی</v>
          </cell>
          <cell r="K18" t="str">
            <v>ریاضی</v>
          </cell>
          <cell r="L18" t="str">
            <v>انسانی</v>
          </cell>
          <cell r="M18" t="str">
            <v>تجربی</v>
          </cell>
          <cell r="N18" t="str">
            <v>تجربی</v>
          </cell>
          <cell r="O18" t="str">
            <v>ریاضی</v>
          </cell>
          <cell r="P18" t="str">
            <v>تجربی</v>
          </cell>
          <cell r="Q18" t="str">
            <v>انسانی</v>
          </cell>
          <cell r="R18" t="str">
            <v>تجربی</v>
          </cell>
          <cell r="S18" t="str">
            <v>تجربی</v>
          </cell>
          <cell r="T18" t="str">
            <v>تجربی</v>
          </cell>
          <cell r="U18" t="str">
            <v>تجربی</v>
          </cell>
          <cell r="V18" t="str">
            <v>انسانی</v>
          </cell>
          <cell r="W18" t="str">
            <v>تجربی</v>
          </cell>
          <cell r="X18" t="str">
            <v>ریاضی</v>
          </cell>
          <cell r="Y18" t="str">
            <v>تجربی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</row>
        <row r="19">
          <cell r="A19">
            <v>18</v>
          </cell>
          <cell r="B19">
            <v>0</v>
          </cell>
          <cell r="C19">
            <v>0</v>
          </cell>
          <cell r="D19" t="str">
            <v>18/22</v>
          </cell>
          <cell r="E19" t="str">
            <v xml:space="preserve">معدل : </v>
          </cell>
          <cell r="F19" t="str">
            <v>18/22</v>
          </cell>
          <cell r="G19" t="str">
            <v>19/62</v>
          </cell>
          <cell r="H19" t="str">
            <v>19/48</v>
          </cell>
          <cell r="I19" t="str">
            <v>19/24</v>
          </cell>
          <cell r="J19" t="str">
            <v>19/05</v>
          </cell>
          <cell r="K19" t="str">
            <v>17/99</v>
          </cell>
          <cell r="L19" t="str">
            <v>18/99</v>
          </cell>
          <cell r="M19" t="str">
            <v>18/68</v>
          </cell>
          <cell r="N19" t="str">
            <v>18/74</v>
          </cell>
          <cell r="O19" t="str">
            <v>18/47</v>
          </cell>
          <cell r="P19" t="str">
            <v>19/88</v>
          </cell>
          <cell r="Q19">
            <v>0</v>
          </cell>
          <cell r="R19">
            <v>0</v>
          </cell>
          <cell r="S19" t="str">
            <v>18/10</v>
          </cell>
          <cell r="T19" t="str">
            <v>18/55</v>
          </cell>
          <cell r="U19">
            <v>17</v>
          </cell>
          <cell r="V19" t="str">
            <v>19/02</v>
          </cell>
          <cell r="W19" t="str">
            <v>19/88</v>
          </cell>
          <cell r="X19">
            <v>0</v>
          </cell>
          <cell r="Y19" t="str">
            <v>19/83</v>
          </cell>
          <cell r="Z19">
            <v>0</v>
          </cell>
          <cell r="AA19" t="str">
            <v>خیلی خوب</v>
          </cell>
          <cell r="AB19">
            <v>0</v>
          </cell>
          <cell r="AC19">
            <v>0</v>
          </cell>
          <cell r="AD19">
            <v>0</v>
          </cell>
        </row>
        <row r="20">
          <cell r="A20">
            <v>19</v>
          </cell>
          <cell r="B20">
            <v>0</v>
          </cell>
          <cell r="C20">
            <v>0</v>
          </cell>
          <cell r="D20" t="str">
            <v>مدرسه حضرت خدیجه- ناحیه تباتکان</v>
          </cell>
          <cell r="E20" t="str">
            <v>آدرس  محل تحصیل:</v>
          </cell>
          <cell r="F20" t="str">
            <v>مدرسه حضرت خدیجه- ناحیه تباتکان</v>
          </cell>
          <cell r="G20" t="str">
            <v>مدرسه حضرت خدیجه- ناحیه تباتکان</v>
          </cell>
          <cell r="H20" t="str">
            <v>مدرسه حضرت خدیجه- ناحیه تباتکان</v>
          </cell>
          <cell r="I20" t="str">
            <v>مدرسه حضرت خدیجه- ناحیه تباتکان</v>
          </cell>
          <cell r="J20" t="str">
            <v>مدرسه حضرت خدیجه- ناحیه تباتکان</v>
          </cell>
          <cell r="K20" t="str">
            <v>مدرسه آرمیتا مصلی نژاد- ناحیه تباتکان</v>
          </cell>
          <cell r="L20" t="str">
            <v>مدرسه حضرت خدیجه- ناحیه تباتکان</v>
          </cell>
          <cell r="M20" t="str">
            <v>مدرسه آرمیتا مصلی نژاد- ناحیه تباتکان</v>
          </cell>
          <cell r="N20" t="str">
            <v>مدرسه حضرت خدیجه- ناحیه تباتکان</v>
          </cell>
          <cell r="O20" t="str">
            <v>مدرسه حضرت خدیجه- ناحیه تباتکان</v>
          </cell>
          <cell r="P20" t="str">
            <v>مدرسه حضرت خدیجه- ناحیه تباتکان</v>
          </cell>
          <cell r="Q20" t="str">
            <v>مدرسه آرمیتا مصلی نژاد- ناحیه تباتکان</v>
          </cell>
          <cell r="R20">
            <v>0</v>
          </cell>
          <cell r="S20" t="str">
            <v>دبیرستان نرجس دولت آباد</v>
          </cell>
          <cell r="T20" t="str">
            <v>دبیرستان رستگار مقدم</v>
          </cell>
          <cell r="U20" t="str">
            <v>دبیرستان رستگار مقدم</v>
          </cell>
          <cell r="V20" t="str">
            <v>دبیرستان رستگار مقدم</v>
          </cell>
          <cell r="W20" t="str">
            <v>دبیرستان رستگار مقدم</v>
          </cell>
          <cell r="X20" t="str">
            <v>دبیرستان خدیجه</v>
          </cell>
          <cell r="Y20" t="str">
            <v>دبیرستان رستگار مقدم</v>
          </cell>
          <cell r="Z20" t="str">
            <v>مدرسه بعثت</v>
          </cell>
          <cell r="AA20" t="str">
            <v>مدرسه بعثت</v>
          </cell>
          <cell r="AB20" t="str">
            <v>مدرسه بهادرزاده</v>
          </cell>
          <cell r="AC20" t="str">
            <v>مدرسه بهادرزاده</v>
          </cell>
          <cell r="AD20">
            <v>0</v>
          </cell>
        </row>
        <row r="21">
          <cell r="A21">
            <v>20</v>
          </cell>
          <cell r="B21">
            <v>0</v>
          </cell>
          <cell r="C21">
            <v>0</v>
          </cell>
          <cell r="D21">
            <v>9155008954</v>
          </cell>
          <cell r="E21" t="str">
            <v>تلفن محل تحصیل:</v>
          </cell>
          <cell r="F21">
            <v>9155008954</v>
          </cell>
          <cell r="G21">
            <v>9155008954</v>
          </cell>
          <cell r="H21">
            <v>9155008954</v>
          </cell>
          <cell r="I21">
            <v>9155008954</v>
          </cell>
          <cell r="J21">
            <v>9155008954</v>
          </cell>
          <cell r="K21">
            <v>5136655064</v>
          </cell>
          <cell r="L21">
            <v>9155008954</v>
          </cell>
          <cell r="M21">
            <v>5136655064</v>
          </cell>
          <cell r="N21">
            <v>9155008954</v>
          </cell>
          <cell r="O21">
            <v>9155008954</v>
          </cell>
          <cell r="P21">
            <v>9155008954</v>
          </cell>
          <cell r="Q21">
            <v>5136655064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A22">
            <v>21</v>
          </cell>
          <cell r="B22">
            <v>0</v>
          </cell>
          <cell r="C22">
            <v>0</v>
          </cell>
          <cell r="D22" t="str">
            <v>زبان انگلیسی و کره ای</v>
          </cell>
          <cell r="E22" t="str">
            <v>استعداد :</v>
          </cell>
          <cell r="F22" t="str">
            <v>زبان انگلیسی و کره ای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  <row r="23">
          <cell r="A23">
            <v>22</v>
          </cell>
          <cell r="B23">
            <v>0</v>
          </cell>
          <cell r="C23">
            <v>0</v>
          </cell>
          <cell r="D23" t="str">
            <v>کارآفرینی</v>
          </cell>
          <cell r="E23" t="str">
            <v>علاقه مندی :</v>
          </cell>
          <cell r="F23" t="str">
            <v>کارآفرینی</v>
          </cell>
          <cell r="G23" t="str">
            <v>علاقمند به دبیری</v>
          </cell>
          <cell r="H23" t="str">
            <v>تحصیل در دانشگاه فرهنگیان</v>
          </cell>
          <cell r="I23" t="str">
            <v>علاقمند به رشته پزشکی</v>
          </cell>
          <cell r="J23" t="str">
            <v>علاقمند به رشته پزشکی</v>
          </cell>
          <cell r="K23" t="str">
            <v>علاقمند به رشته مهندسی کامپیوتر</v>
          </cell>
          <cell r="L23" t="str">
            <v>علاقمند به رشته وکالت</v>
          </cell>
          <cell r="M23" t="str">
            <v>علاقمند به رشته پزشکی</v>
          </cell>
          <cell r="N23" t="str">
            <v>علاقمند به رشته پزشکی</v>
          </cell>
          <cell r="O23" t="str">
            <v xml:space="preserve">علاقمند به </v>
          </cell>
          <cell r="P23" t="str">
            <v xml:space="preserve">علاقمند به </v>
          </cell>
          <cell r="Q23" t="str">
            <v>علاقمند به دبیری</v>
          </cell>
          <cell r="R23" t="str">
            <v>علاقمند به پزشکی</v>
          </cell>
          <cell r="S23" t="str">
            <v>علاقمند به پزشکی</v>
          </cell>
          <cell r="T23" t="str">
            <v>علاقمند به پزشکی</v>
          </cell>
          <cell r="U23" t="str">
            <v>علاقمندی ندارد</v>
          </cell>
          <cell r="V23" t="str">
            <v>علاقمندی ندارد</v>
          </cell>
          <cell r="W23" t="str">
            <v>علاقمندی به پزشکی</v>
          </cell>
          <cell r="X23" t="str">
            <v>علاقمندی به گرافیک</v>
          </cell>
          <cell r="Y23" t="str">
            <v>علاقمندی به پزشکی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A24">
            <v>23</v>
          </cell>
          <cell r="B24">
            <v>0</v>
          </cell>
          <cell r="C24">
            <v>0</v>
          </cell>
          <cell r="D24" t="str">
            <v>1401/06/15</v>
          </cell>
          <cell r="E24" t="str">
            <v>تاریخ بررسی :</v>
          </cell>
          <cell r="F24" t="str">
            <v>1401/06/15</v>
          </cell>
          <cell r="G24" t="str">
            <v>1401/06/15</v>
          </cell>
          <cell r="H24" t="str">
            <v>1401/06/15</v>
          </cell>
          <cell r="I24" t="str">
            <v>1401/06/15</v>
          </cell>
          <cell r="J24" t="str">
            <v>1401/06/15</v>
          </cell>
          <cell r="K24" t="str">
            <v>1401/06/15</v>
          </cell>
          <cell r="L24" t="str">
            <v>1401/06/15</v>
          </cell>
          <cell r="M24" t="str">
            <v>1401/06/15</v>
          </cell>
          <cell r="N24" t="str">
            <v>1401/06/15</v>
          </cell>
          <cell r="O24" t="str">
            <v>1401/06/15</v>
          </cell>
          <cell r="P24" t="str">
            <v>1401/06/15</v>
          </cell>
          <cell r="Q24" t="str">
            <v>1401/06/15</v>
          </cell>
          <cell r="R24" t="str">
            <v>1401/06/15</v>
          </cell>
          <cell r="S24" t="str">
            <v>1401/06/15</v>
          </cell>
          <cell r="T24" t="str">
            <v>1401/06/15</v>
          </cell>
          <cell r="U24" t="str">
            <v>1401/06/15</v>
          </cell>
          <cell r="V24" t="str">
            <v>1401/06/15</v>
          </cell>
          <cell r="W24" t="str">
            <v>1401/06/15</v>
          </cell>
          <cell r="X24">
            <v>0</v>
          </cell>
          <cell r="Y24" t="str">
            <v>1401/06/15</v>
          </cell>
          <cell r="Z24" t="str">
            <v>1401/06/15</v>
          </cell>
          <cell r="AA24" t="str">
            <v>1401/06/15</v>
          </cell>
          <cell r="AB24" t="str">
            <v>1401/06/15</v>
          </cell>
          <cell r="AC24" t="str">
            <v>1401/06/15</v>
          </cell>
          <cell r="AD24">
            <v>0</v>
          </cell>
        </row>
        <row r="25">
          <cell r="A25">
            <v>24</v>
          </cell>
          <cell r="B25">
            <v>0</v>
          </cell>
          <cell r="C25">
            <v>0</v>
          </cell>
          <cell r="D25" t="str">
            <v>افسردگی و ناامیدی شدید</v>
          </cell>
          <cell r="E25" t="str">
            <v>سوابق بیماری</v>
          </cell>
          <cell r="F25" t="str">
            <v>افسردگی و ناامیدی شدید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A26">
            <v>25</v>
          </cell>
          <cell r="B26">
            <v>0</v>
          </cell>
          <cell r="C26">
            <v>0</v>
          </cell>
          <cell r="D26" t="str">
            <v>ندارد</v>
          </cell>
          <cell r="E26" t="str">
            <v>توضیحات بیماری:</v>
          </cell>
          <cell r="F26" t="str">
            <v>ندارد</v>
          </cell>
          <cell r="G26" t="str">
            <v>ندارد</v>
          </cell>
          <cell r="H26" t="str">
            <v>ندارد</v>
          </cell>
          <cell r="I26" t="str">
            <v>ندارد</v>
          </cell>
          <cell r="J26" t="str">
            <v>ندارد</v>
          </cell>
          <cell r="K26" t="str">
            <v>ندارد</v>
          </cell>
          <cell r="L26" t="str">
            <v>ندارد</v>
          </cell>
          <cell r="M26" t="str">
            <v>ندارد</v>
          </cell>
          <cell r="N26" t="str">
            <v>ندارد</v>
          </cell>
          <cell r="O26" t="str">
            <v>ندارد</v>
          </cell>
          <cell r="P26" t="str">
            <v>ندارد</v>
          </cell>
          <cell r="Q26" t="str">
            <v>ندارد</v>
          </cell>
          <cell r="R26" t="str">
            <v>ندارد</v>
          </cell>
          <cell r="S26" t="str">
            <v>ندارد</v>
          </cell>
          <cell r="T26" t="str">
            <v>ندارد</v>
          </cell>
          <cell r="U26" t="str">
            <v>افسردگی شدید</v>
          </cell>
          <cell r="V26" t="str">
            <v>ندارد</v>
          </cell>
          <cell r="W26" t="str">
            <v>ندارد</v>
          </cell>
          <cell r="X26" t="str">
            <v>ندارد</v>
          </cell>
          <cell r="Y26" t="str">
            <v>ندارد</v>
          </cell>
          <cell r="Z26" t="str">
            <v>ندارد</v>
          </cell>
          <cell r="AA26" t="str">
            <v>ندارد</v>
          </cell>
          <cell r="AB26" t="str">
            <v>ندارد</v>
          </cell>
          <cell r="AC26" t="str">
            <v>ندارد</v>
          </cell>
          <cell r="AD26">
            <v>0</v>
          </cell>
        </row>
        <row r="27">
          <cell r="A27">
            <v>26</v>
          </cell>
          <cell r="B27">
            <v>0</v>
          </cell>
          <cell r="C27">
            <v>0</v>
          </cell>
          <cell r="D27">
            <v>0</v>
          </cell>
          <cell r="E27" t="str">
            <v>آزمایشات یا چکاپ پزشکی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 t="str">
            <v>دندانهایش توسط دکتر محسنیان عصب کشی گردید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A28">
            <v>27</v>
          </cell>
          <cell r="B28">
            <v>0</v>
          </cell>
          <cell r="C28">
            <v>0</v>
          </cell>
          <cell r="D28">
            <v>0</v>
          </cell>
          <cell r="E28" t="str">
            <v>توضیحات آزمایش یا چکاپ :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A29">
            <v>28</v>
          </cell>
          <cell r="B29">
            <v>0</v>
          </cell>
          <cell r="C29">
            <v>0</v>
          </cell>
          <cell r="D29" t="str">
            <v>ندارد</v>
          </cell>
          <cell r="E29" t="str">
            <v>نیاز به خدمات خاصی</v>
          </cell>
          <cell r="F29" t="str">
            <v>ندارد</v>
          </cell>
          <cell r="G29" t="str">
            <v>ندارد</v>
          </cell>
          <cell r="H29" t="str">
            <v>در درس ریاضی احتیاج به کمک دارد.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>کتابهای کمک آموزشی لازم دارد</v>
          </cell>
          <cell r="P29">
            <v>0</v>
          </cell>
          <cell r="Q29" t="str">
            <v>سمعک لازم دارد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A30">
            <v>29</v>
          </cell>
          <cell r="B30">
            <v>0</v>
          </cell>
          <cell r="C30">
            <v>0</v>
          </cell>
          <cell r="D30" t="str">
            <v>نداد</v>
          </cell>
          <cell r="E30" t="str">
            <v>توضیحات خدمات :</v>
          </cell>
          <cell r="F30" t="str">
            <v>نداد</v>
          </cell>
          <cell r="G30" t="str">
            <v>نداد</v>
          </cell>
          <cell r="H30" t="str">
            <v>ندارد</v>
          </cell>
          <cell r="I30" t="str">
            <v>ندارد</v>
          </cell>
          <cell r="J30" t="str">
            <v>ندارد</v>
          </cell>
          <cell r="K30" t="str">
            <v>ندارد</v>
          </cell>
          <cell r="L30" t="str">
            <v>ندارد</v>
          </cell>
          <cell r="M30" t="str">
            <v>ندارد</v>
          </cell>
          <cell r="N30" t="str">
            <v>ندارد</v>
          </cell>
          <cell r="O30" t="str">
            <v>ندارد</v>
          </cell>
          <cell r="P30" t="str">
            <v>ندارد</v>
          </cell>
          <cell r="Q30" t="str">
            <v>ندارد</v>
          </cell>
          <cell r="R30" t="str">
            <v>ندارد</v>
          </cell>
          <cell r="S30" t="str">
            <v>ندارد</v>
          </cell>
          <cell r="T30" t="str">
            <v>ندارد</v>
          </cell>
          <cell r="U30" t="str">
            <v>ندارد</v>
          </cell>
          <cell r="V30" t="str">
            <v>ندارد</v>
          </cell>
          <cell r="W30" t="str">
            <v>ندارد</v>
          </cell>
          <cell r="X30" t="str">
            <v>ندارد</v>
          </cell>
          <cell r="Y30" t="str">
            <v>ندارد</v>
          </cell>
          <cell r="Z30" t="str">
            <v>ندارد</v>
          </cell>
          <cell r="AA30" t="str">
            <v>ندارد</v>
          </cell>
          <cell r="AB30" t="str">
            <v>ندارد</v>
          </cell>
          <cell r="AC30" t="str">
            <v>ندارد</v>
          </cell>
          <cell r="AD30" t="str">
            <v>ندارد</v>
          </cell>
        </row>
      </sheetData>
      <sheetData sheetId="4"/>
      <sheetData sheetId="5"/>
      <sheetData sheetId="6">
        <row r="2">
          <cell r="Q2" t="str">
            <v>فروردین</v>
          </cell>
          <cell r="R2">
            <v>1</v>
          </cell>
        </row>
        <row r="3">
          <cell r="Q3" t="str">
            <v>اردیبهشت</v>
          </cell>
          <cell r="R3">
            <v>2</v>
          </cell>
        </row>
        <row r="4">
          <cell r="Q4" t="str">
            <v>خرداد</v>
          </cell>
          <cell r="R4">
            <v>3</v>
          </cell>
        </row>
        <row r="5">
          <cell r="Q5" t="str">
            <v>تیر</v>
          </cell>
          <cell r="R5">
            <v>4</v>
          </cell>
        </row>
        <row r="6">
          <cell r="Q6" t="str">
            <v>مرداد</v>
          </cell>
          <cell r="R6">
            <v>5</v>
          </cell>
        </row>
        <row r="7">
          <cell r="Q7" t="str">
            <v>شهریور</v>
          </cell>
          <cell r="R7">
            <v>6</v>
          </cell>
        </row>
        <row r="8">
          <cell r="Q8" t="str">
            <v>مهر</v>
          </cell>
          <cell r="R8">
            <v>7</v>
          </cell>
        </row>
        <row r="9">
          <cell r="Q9" t="str">
            <v>آبان</v>
          </cell>
          <cell r="R9">
            <v>8</v>
          </cell>
        </row>
        <row r="10">
          <cell r="Q10" t="str">
            <v>آذر</v>
          </cell>
          <cell r="R10">
            <v>9</v>
          </cell>
        </row>
        <row r="11">
          <cell r="Q11" t="str">
            <v>دی</v>
          </cell>
          <cell r="R11">
            <v>10</v>
          </cell>
        </row>
        <row r="12">
          <cell r="Q12" t="str">
            <v>بهمن</v>
          </cell>
          <cell r="R12">
            <v>11</v>
          </cell>
        </row>
        <row r="13">
          <cell r="Q13" t="str">
            <v>اسفند</v>
          </cell>
          <cell r="R13">
            <v>12</v>
          </cell>
        </row>
      </sheetData>
      <sheetData sheetId="7">
        <row r="3">
          <cell r="G3" t="str">
            <v>فروردین</v>
          </cell>
          <cell r="H3" t="str">
            <v>اردیبهشت</v>
          </cell>
          <cell r="I3" t="str">
            <v>خرداد</v>
          </cell>
          <cell r="J3" t="str">
            <v>تیر</v>
          </cell>
          <cell r="K3" t="str">
            <v>مرداد</v>
          </cell>
          <cell r="L3" t="str">
            <v>شهریور</v>
          </cell>
          <cell r="M3" t="str">
            <v>مهر</v>
          </cell>
          <cell r="N3" t="str">
            <v>آبان</v>
          </cell>
          <cell r="O3" t="str">
            <v>آذر</v>
          </cell>
          <cell r="P3" t="str">
            <v>دی</v>
          </cell>
          <cell r="Q3" t="str">
            <v>بهمن</v>
          </cell>
          <cell r="R3" t="str">
            <v>اسفند</v>
          </cell>
        </row>
        <row r="4">
          <cell r="G4">
            <v>0</v>
          </cell>
          <cell r="H4">
            <v>0</v>
          </cell>
          <cell r="I4">
            <v>10000000</v>
          </cell>
          <cell r="J4">
            <v>10000000</v>
          </cell>
          <cell r="K4">
            <v>10000000</v>
          </cell>
          <cell r="L4">
            <v>0</v>
          </cell>
          <cell r="M4">
            <v>0</v>
          </cell>
          <cell r="N4">
            <v>11169500</v>
          </cell>
          <cell r="O4">
            <v>28830500</v>
          </cell>
          <cell r="P4">
            <v>0</v>
          </cell>
          <cell r="Q4">
            <v>0</v>
          </cell>
          <cell r="R4">
            <v>0</v>
          </cell>
        </row>
        <row r="5">
          <cell r="G5">
            <v>0</v>
          </cell>
          <cell r="H5">
            <v>0</v>
          </cell>
          <cell r="I5">
            <v>20000000</v>
          </cell>
          <cell r="J5">
            <v>20000000</v>
          </cell>
          <cell r="K5">
            <v>4000000</v>
          </cell>
          <cell r="L5">
            <v>20000000</v>
          </cell>
          <cell r="M5">
            <v>20000000</v>
          </cell>
          <cell r="N5">
            <v>20000000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0</v>
          </cell>
          <cell r="H6">
            <v>0</v>
          </cell>
          <cell r="I6">
            <v>30000000</v>
          </cell>
          <cell r="J6">
            <v>30000000</v>
          </cell>
          <cell r="K6">
            <v>30000000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0</v>
          </cell>
          <cell r="H7">
            <v>0</v>
          </cell>
          <cell r="I7">
            <v>2000000</v>
          </cell>
          <cell r="J7">
            <v>2000000</v>
          </cell>
          <cell r="K7">
            <v>2000000</v>
          </cell>
          <cell r="L7">
            <v>2000000</v>
          </cell>
          <cell r="M7">
            <v>2000000</v>
          </cell>
          <cell r="N7">
            <v>2000000</v>
          </cell>
          <cell r="O7">
            <v>2000000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5000000</v>
          </cell>
          <cell r="J8">
            <v>5000000</v>
          </cell>
          <cell r="K8">
            <v>5000000</v>
          </cell>
          <cell r="L8">
            <v>5000000</v>
          </cell>
          <cell r="M8">
            <v>5000000</v>
          </cell>
          <cell r="N8">
            <v>5000000</v>
          </cell>
          <cell r="O8">
            <v>5000000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5000000</v>
          </cell>
          <cell r="J9">
            <v>5000000</v>
          </cell>
          <cell r="K9">
            <v>5000000</v>
          </cell>
          <cell r="L9">
            <v>5000000</v>
          </cell>
          <cell r="M9">
            <v>2000000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10000000</v>
          </cell>
          <cell r="J10">
            <v>5000000</v>
          </cell>
          <cell r="K10">
            <v>15000000</v>
          </cell>
          <cell r="L10">
            <v>10000000</v>
          </cell>
          <cell r="M10">
            <v>17000000</v>
          </cell>
          <cell r="N10">
            <v>0</v>
          </cell>
          <cell r="O10">
            <v>10000000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5000000</v>
          </cell>
          <cell r="J11">
            <v>5000000</v>
          </cell>
          <cell r="K11">
            <v>5000000</v>
          </cell>
          <cell r="L11">
            <v>5000000</v>
          </cell>
          <cell r="M11">
            <v>5000000</v>
          </cell>
          <cell r="N11">
            <v>5000000</v>
          </cell>
          <cell r="O11">
            <v>5000000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0</v>
          </cell>
          <cell r="H12">
            <v>0</v>
          </cell>
          <cell r="I12">
            <v>5000000</v>
          </cell>
          <cell r="J12">
            <v>5000000</v>
          </cell>
          <cell r="K12">
            <v>5000000</v>
          </cell>
          <cell r="L12">
            <v>5000000</v>
          </cell>
          <cell r="M12">
            <v>20000000</v>
          </cell>
          <cell r="N12">
            <v>10000000</v>
          </cell>
          <cell r="O12">
            <v>10000000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</v>
          </cell>
          <cell r="H13">
            <v>0</v>
          </cell>
          <cell r="I13">
            <v>100000000</v>
          </cell>
          <cell r="J13">
            <v>100000000</v>
          </cell>
          <cell r="K13">
            <v>100000000</v>
          </cell>
          <cell r="L13">
            <v>100000000</v>
          </cell>
          <cell r="M13">
            <v>120000000</v>
          </cell>
          <cell r="N13">
            <v>100000000</v>
          </cell>
          <cell r="O13">
            <v>100000000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</v>
          </cell>
          <cell r="H14">
            <v>0</v>
          </cell>
          <cell r="I14">
            <v>20000000</v>
          </cell>
          <cell r="J14">
            <v>20000000</v>
          </cell>
          <cell r="K14">
            <v>30000000</v>
          </cell>
          <cell r="L14">
            <v>30000000</v>
          </cell>
          <cell r="M14">
            <v>30000000</v>
          </cell>
          <cell r="N14">
            <v>30000000</v>
          </cell>
          <cell r="O14">
            <v>30000000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5000000</v>
          </cell>
          <cell r="J15">
            <v>3000000</v>
          </cell>
          <cell r="K15">
            <v>3000000</v>
          </cell>
          <cell r="L15">
            <v>3000000</v>
          </cell>
          <cell r="M15">
            <v>3000000</v>
          </cell>
          <cell r="N15">
            <v>5000000</v>
          </cell>
          <cell r="O15">
            <v>5000000</v>
          </cell>
          <cell r="P15">
            <v>5000000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2500000</v>
          </cell>
          <cell r="J16">
            <v>2500000</v>
          </cell>
          <cell r="K16">
            <v>2500000</v>
          </cell>
          <cell r="L16">
            <v>2500000</v>
          </cell>
          <cell r="M16">
            <v>2500000</v>
          </cell>
          <cell r="N16">
            <v>2500000</v>
          </cell>
          <cell r="O16">
            <v>2500000</v>
          </cell>
          <cell r="P16">
            <v>2500000</v>
          </cell>
          <cell r="Q16">
            <v>2500000</v>
          </cell>
          <cell r="R16">
            <v>2500000</v>
          </cell>
        </row>
        <row r="17">
          <cell r="G17">
            <v>0</v>
          </cell>
          <cell r="H17">
            <v>0</v>
          </cell>
          <cell r="I17">
            <v>10000000</v>
          </cell>
          <cell r="J17">
            <v>10000000</v>
          </cell>
          <cell r="K17">
            <v>10000000</v>
          </cell>
          <cell r="L17">
            <v>10000000</v>
          </cell>
          <cell r="M17">
            <v>10000000</v>
          </cell>
          <cell r="N17">
            <v>10000000</v>
          </cell>
          <cell r="O17">
            <v>10000000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10000000</v>
          </cell>
          <cell r="J18">
            <v>10000000</v>
          </cell>
          <cell r="K18">
            <v>10000000</v>
          </cell>
          <cell r="L18">
            <v>10000000</v>
          </cell>
          <cell r="M18">
            <v>10000000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5000000</v>
          </cell>
          <cell r="J19">
            <v>5000000</v>
          </cell>
          <cell r="K19">
            <v>5000000</v>
          </cell>
          <cell r="L19">
            <v>5000000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15000000</v>
          </cell>
          <cell r="J20">
            <v>15000000</v>
          </cell>
          <cell r="K20">
            <v>15000000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50000000</v>
          </cell>
          <cell r="J21">
            <v>0</v>
          </cell>
          <cell r="K21">
            <v>40000000</v>
          </cell>
          <cell r="L21">
            <v>0</v>
          </cell>
          <cell r="M21">
            <v>30000000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20000000</v>
          </cell>
          <cell r="J22">
            <v>20000000</v>
          </cell>
          <cell r="K22">
            <v>20000000</v>
          </cell>
          <cell r="L22">
            <v>20000000</v>
          </cell>
          <cell r="M22">
            <v>70000000</v>
          </cell>
          <cell r="N22">
            <v>50000000</v>
          </cell>
          <cell r="O22">
            <v>50000000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10000000</v>
          </cell>
          <cell r="J23">
            <v>10000000</v>
          </cell>
          <cell r="K23">
            <v>10000000</v>
          </cell>
          <cell r="L23">
            <v>10000000</v>
          </cell>
          <cell r="M23">
            <v>30000000</v>
          </cell>
          <cell r="N23">
            <v>20000000</v>
          </cell>
          <cell r="O23">
            <v>20000000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5000000</v>
          </cell>
          <cell r="J24">
            <v>5000000</v>
          </cell>
          <cell r="K24">
            <v>5000000</v>
          </cell>
          <cell r="L24">
            <v>0</v>
          </cell>
          <cell r="M24">
            <v>0</v>
          </cell>
          <cell r="N24">
            <v>5000000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2000000</v>
          </cell>
          <cell r="J25">
            <v>2000000</v>
          </cell>
          <cell r="K25">
            <v>2000000</v>
          </cell>
          <cell r="L25">
            <v>2000000</v>
          </cell>
          <cell r="M25">
            <v>2000000</v>
          </cell>
          <cell r="N25">
            <v>2000000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10000000</v>
          </cell>
          <cell r="J26">
            <v>10000000</v>
          </cell>
          <cell r="K26">
            <v>10000000</v>
          </cell>
          <cell r="L26">
            <v>10000000</v>
          </cell>
          <cell r="M26">
            <v>10000000</v>
          </cell>
          <cell r="N26">
            <v>10000000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5000000</v>
          </cell>
          <cell r="K27">
            <v>5000000</v>
          </cell>
          <cell r="L27">
            <v>5000000</v>
          </cell>
          <cell r="M27">
            <v>5000000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30000000</v>
          </cell>
          <cell r="K28">
            <v>30000000</v>
          </cell>
          <cell r="L28">
            <v>30000000</v>
          </cell>
          <cell r="M28">
            <v>30000000</v>
          </cell>
          <cell r="N28">
            <v>30000000</v>
          </cell>
          <cell r="O28">
            <v>30000000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10000000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5000000</v>
          </cell>
          <cell r="K30">
            <v>0</v>
          </cell>
          <cell r="L30">
            <v>5000000</v>
          </cell>
          <cell r="M30">
            <v>5000000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10000000</v>
          </cell>
          <cell r="K31">
            <v>13000000</v>
          </cell>
          <cell r="L31">
            <v>4000000</v>
          </cell>
          <cell r="M31">
            <v>3000000</v>
          </cell>
          <cell r="N31">
            <v>0</v>
          </cell>
          <cell r="O31">
            <v>6500000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10000000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10000000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5000000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5000000</v>
          </cell>
          <cell r="L35">
            <v>0</v>
          </cell>
          <cell r="M35">
            <v>5000000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20000000</v>
          </cell>
          <cell r="L36">
            <v>20000000</v>
          </cell>
          <cell r="M36">
            <v>20000000</v>
          </cell>
          <cell r="N36">
            <v>20000000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5000000</v>
          </cell>
          <cell r="L37">
            <v>5000000</v>
          </cell>
          <cell r="M37">
            <v>5000000</v>
          </cell>
          <cell r="N37">
            <v>5000000</v>
          </cell>
          <cell r="O37">
            <v>5000000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2000000</v>
          </cell>
          <cell r="L38">
            <v>2000000</v>
          </cell>
          <cell r="M38">
            <v>3000000</v>
          </cell>
          <cell r="N38">
            <v>2000000</v>
          </cell>
          <cell r="O38">
            <v>2000000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300000000</v>
          </cell>
          <cell r="L39">
            <v>70000000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3000000</v>
          </cell>
          <cell r="M40">
            <v>3000000</v>
          </cell>
          <cell r="N40">
            <v>3000000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3000000</v>
          </cell>
          <cell r="K41">
            <v>3000000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16000000</v>
          </cell>
          <cell r="K42">
            <v>16000000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50000000</v>
          </cell>
          <cell r="M43">
            <v>50000000</v>
          </cell>
          <cell r="N43">
            <v>50000000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5000000</v>
          </cell>
          <cell r="M44">
            <v>5000000</v>
          </cell>
          <cell r="N44">
            <v>5000000</v>
          </cell>
          <cell r="O44">
            <v>5000000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11500000</v>
          </cell>
          <cell r="M45">
            <v>12250000</v>
          </cell>
          <cell r="N45">
            <v>13625000</v>
          </cell>
          <cell r="O45">
            <v>13800000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3500000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10000000</v>
          </cell>
          <cell r="M47">
            <v>5000000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20000000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5000000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5000000</v>
          </cell>
          <cell r="M50">
            <v>5000000</v>
          </cell>
          <cell r="N50">
            <v>5000000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40000000</v>
          </cell>
          <cell r="N51">
            <v>40000000</v>
          </cell>
          <cell r="O51">
            <v>40000000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5000000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10000000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5000000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4000000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3000000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1000000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5000000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10000000</v>
          </cell>
          <cell r="M59">
            <v>5000000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3000000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5000000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5000000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40000000</v>
          </cell>
          <cell r="O63">
            <v>10000000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5000000</v>
          </cell>
          <cell r="O64">
            <v>3000000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10000000</v>
          </cell>
          <cell r="O65">
            <v>10000000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4570</v>
          </cell>
          <cell r="J66">
            <v>61172</v>
          </cell>
          <cell r="K66">
            <v>5033530</v>
          </cell>
          <cell r="L66">
            <v>7696559</v>
          </cell>
          <cell r="M66">
            <v>14555641</v>
          </cell>
          <cell r="N66">
            <v>15594672</v>
          </cell>
          <cell r="O66">
            <v>20361327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5000000</v>
          </cell>
          <cell r="P67">
            <v>0</v>
          </cell>
          <cell r="Q67">
            <v>0</v>
          </cell>
          <cell r="R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250000000</v>
          </cell>
          <cell r="P68">
            <v>0</v>
          </cell>
          <cell r="Q68">
            <v>0</v>
          </cell>
          <cell r="R68">
            <v>0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532000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10000000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10000000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10000000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10000000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10000000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420000000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356504570</v>
          </cell>
          <cell r="J80">
            <v>403561172</v>
          </cell>
          <cell r="K80">
            <v>747533530</v>
          </cell>
          <cell r="L80">
            <v>526196559</v>
          </cell>
          <cell r="M80">
            <v>640305641</v>
          </cell>
          <cell r="N80">
            <v>541889172</v>
          </cell>
          <cell r="O80">
            <v>678991827</v>
          </cell>
          <cell r="P80">
            <v>7500000</v>
          </cell>
          <cell r="Q80">
            <v>2500000</v>
          </cell>
          <cell r="R80">
            <v>2500000</v>
          </cell>
        </row>
      </sheetData>
      <sheetData sheetId="8">
        <row r="1">
          <cell r="T1">
            <v>4</v>
          </cell>
        </row>
      </sheetData>
      <sheetData sheetId="9"/>
      <sheetData sheetId="10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وزن دهی تاثیر اعضای هیت موسس"/>
      <sheetName val="فرم سلامت کودک"/>
      <sheetName val="جدول کلی مددجوها"/>
      <sheetName val=" فرم مشخصات کودک"/>
      <sheetName val=" اطلاعات ورودد مددجو"/>
      <sheetName val="ریزهزینه کرد مددجوها"/>
      <sheetName val="خلاصه هزینه کرد مددجوها"/>
      <sheetName val="لیست واریزی ماهیانه"/>
      <sheetName val="لیست واریزی کل خیرین"/>
      <sheetName val="گزارش رداخت خیرین"/>
      <sheetName val="روکش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 t="str">
            <v>k1</v>
          </cell>
          <cell r="C1" t="str">
            <v>m1</v>
          </cell>
          <cell r="D1" t="str">
            <v>S</v>
          </cell>
          <cell r="E1">
            <v>0</v>
          </cell>
          <cell r="F1" t="str">
            <v>کد مددجو</v>
          </cell>
          <cell r="G1">
            <v>1</v>
          </cell>
          <cell r="H1">
            <v>2</v>
          </cell>
          <cell r="I1">
            <v>3</v>
          </cell>
          <cell r="J1">
            <v>4</v>
          </cell>
          <cell r="K1">
            <v>5</v>
          </cell>
          <cell r="L1">
            <v>6</v>
          </cell>
          <cell r="M1">
            <v>7</v>
          </cell>
          <cell r="N1">
            <v>8</v>
          </cell>
          <cell r="O1">
            <v>9</v>
          </cell>
          <cell r="P1">
            <v>10</v>
          </cell>
          <cell r="Q1">
            <v>11</v>
          </cell>
          <cell r="R1">
            <v>12</v>
          </cell>
          <cell r="S1">
            <v>13</v>
          </cell>
          <cell r="T1">
            <v>14</v>
          </cell>
          <cell r="U1">
            <v>15</v>
          </cell>
          <cell r="V1">
            <v>16</v>
          </cell>
          <cell r="W1">
            <v>17</v>
          </cell>
          <cell r="X1">
            <v>18</v>
          </cell>
          <cell r="Y1">
            <v>19</v>
          </cell>
          <cell r="Z1">
            <v>20</v>
          </cell>
          <cell r="AA1">
            <v>21</v>
          </cell>
          <cell r="AB1">
            <v>22</v>
          </cell>
          <cell r="AC1">
            <v>23</v>
          </cell>
          <cell r="AD1">
            <v>24</v>
          </cell>
          <cell r="AE1">
            <v>25</v>
          </cell>
          <cell r="AF1">
            <v>26</v>
          </cell>
          <cell r="AG1">
            <v>27</v>
          </cell>
          <cell r="AH1">
            <v>28</v>
          </cell>
          <cell r="AI1">
            <v>29</v>
          </cell>
          <cell r="AJ1">
            <v>30</v>
          </cell>
          <cell r="AK1">
            <v>31</v>
          </cell>
          <cell r="AL1">
            <v>32</v>
          </cell>
          <cell r="AM1">
            <v>33</v>
          </cell>
          <cell r="AN1">
            <v>34</v>
          </cell>
        </row>
        <row r="2">
          <cell r="A2">
            <v>1</v>
          </cell>
          <cell r="B2" t="str">
            <v>هزینه کلی موسسه</v>
          </cell>
          <cell r="C2" t="str">
            <v>هزینه کلی به مددجویان</v>
          </cell>
          <cell r="D2" t="str">
            <v>هزینه مربوط به تعمیرات مدارس از واریزی خانم عین علی</v>
          </cell>
          <cell r="E2">
            <v>0</v>
          </cell>
          <cell r="F2" t="str">
            <v>نام  و نام خانوادگی</v>
          </cell>
          <cell r="G2" t="str">
            <v>ریحانه نوری شفیق</v>
          </cell>
          <cell r="H2" t="str">
            <v>ریحانه طراقی فرد</v>
          </cell>
          <cell r="I2" t="str">
            <v>زهرا قهستانی</v>
          </cell>
          <cell r="J2" t="str">
            <v>مهلا قهستانی</v>
          </cell>
          <cell r="K2" t="str">
            <v>رقیه رضاپور</v>
          </cell>
          <cell r="L2" t="str">
            <v>راضیه رضاپور</v>
          </cell>
          <cell r="M2" t="str">
            <v>ربابه رضاپور</v>
          </cell>
          <cell r="N2" t="str">
            <v>پریسا اعتمادمنش</v>
          </cell>
          <cell r="O2" t="str">
            <v>فاطمه موسوی</v>
          </cell>
          <cell r="P2" t="str">
            <v>مریم رحمانی</v>
          </cell>
          <cell r="Q2" t="str">
            <v>ناهید کمالی گروی</v>
          </cell>
          <cell r="R2" t="str">
            <v>الهام صمدی</v>
          </cell>
          <cell r="S2" t="str">
            <v>کوثر مولایی</v>
          </cell>
          <cell r="T2" t="str">
            <v>زهرا تاتاری</v>
          </cell>
          <cell r="U2" t="str">
            <v>یگانه رجایی سمرا</v>
          </cell>
          <cell r="V2" t="str">
            <v>یگانه خرمند سنجدبوری</v>
          </cell>
          <cell r="W2" t="str">
            <v>کوثر فارقی</v>
          </cell>
          <cell r="X2" t="str">
            <v>ریحانه نجفی</v>
          </cell>
          <cell r="Y2" t="str">
            <v>نادیا احمدی</v>
          </cell>
          <cell r="Z2" t="str">
            <v>پری زارع</v>
          </cell>
          <cell r="AA2" t="str">
            <v>ملبکا نماز</v>
          </cell>
          <cell r="AB2" t="str">
            <v>مهدبار نماز</v>
          </cell>
          <cell r="AC2" t="str">
            <v>محمدرضا سروری</v>
          </cell>
          <cell r="AD2" t="str">
            <v>کمیل سروری</v>
          </cell>
          <cell r="AE2" t="str">
            <v>مبینا عباسی</v>
          </cell>
          <cell r="AF2" t="str">
            <v>الناز حبیب زاده</v>
          </cell>
          <cell r="AG2" t="str">
            <v>نرگس علینژاد</v>
          </cell>
          <cell r="AH2" t="str">
            <v>زینب ادبی یکه باغی</v>
          </cell>
          <cell r="AI2" t="str">
            <v>آتنا جر</v>
          </cell>
          <cell r="AJ2" t="str">
            <v>مبینا علیزاده</v>
          </cell>
          <cell r="AK2" t="str">
            <v>یگانه محمددوست</v>
          </cell>
          <cell r="AL2" t="str">
            <v>رقیه الزوینی</v>
          </cell>
          <cell r="AM2" t="str">
            <v>عارفه آذرنگ</v>
          </cell>
          <cell r="AN2" t="str">
            <v>یگانه عبدالله زاده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 t="str">
            <v>1385/05/06</v>
          </cell>
          <cell r="F3" t="str">
            <v>تاریخ تولد :</v>
          </cell>
          <cell r="G3" t="str">
            <v>1385/05/06</v>
          </cell>
          <cell r="H3" t="str">
            <v>1386/05/13</v>
          </cell>
          <cell r="I3" t="str">
            <v>1386/01/04</v>
          </cell>
          <cell r="J3" t="str">
            <v>1386/05/30</v>
          </cell>
          <cell r="K3" t="str">
            <v>1386/01/18</v>
          </cell>
          <cell r="L3" t="str">
            <v>1386/01/18</v>
          </cell>
          <cell r="M3" t="str">
            <v>1386/01/18</v>
          </cell>
          <cell r="N3" t="str">
            <v>1385/06/28</v>
          </cell>
          <cell r="O3" t="str">
            <v>1384/02/04</v>
          </cell>
          <cell r="P3" t="str">
            <v>1383/09/14</v>
          </cell>
          <cell r="Q3" t="str">
            <v>1385/09/18</v>
          </cell>
          <cell r="R3" t="str">
            <v>1383/09/14</v>
          </cell>
          <cell r="S3">
            <v>0</v>
          </cell>
          <cell r="T3" t="str">
            <v>1385/02/06</v>
          </cell>
          <cell r="U3" t="str">
            <v>1385/12/15</v>
          </cell>
          <cell r="V3" t="str">
            <v>1384/10/21</v>
          </cell>
          <cell r="W3">
            <v>0</v>
          </cell>
          <cell r="X3" t="str">
            <v>1385/11/02</v>
          </cell>
          <cell r="Y3">
            <v>0</v>
          </cell>
          <cell r="Z3" t="str">
            <v>1384/09/09</v>
          </cell>
          <cell r="AA3" t="str">
            <v>1395/03/29</v>
          </cell>
          <cell r="AB3" t="str">
            <v>1390/09/24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 t="str">
            <v>محل تولد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مشهد</v>
          </cell>
          <cell r="O4" t="str">
            <v>افغانستان</v>
          </cell>
          <cell r="P4" t="str">
            <v>مشهد</v>
          </cell>
          <cell r="Q4" t="str">
            <v>مشهد</v>
          </cell>
          <cell r="R4">
            <v>0</v>
          </cell>
          <cell r="S4">
            <v>0</v>
          </cell>
          <cell r="T4" t="str">
            <v>تهران</v>
          </cell>
          <cell r="U4" t="str">
            <v>مشهد</v>
          </cell>
          <cell r="V4" t="str">
            <v>مشهد</v>
          </cell>
          <cell r="W4">
            <v>0</v>
          </cell>
          <cell r="X4" t="str">
            <v>مشهد</v>
          </cell>
          <cell r="Y4">
            <v>0</v>
          </cell>
          <cell r="Z4" t="str">
            <v>شیروان</v>
          </cell>
          <cell r="AA4" t="str">
            <v>تربت حیدریه</v>
          </cell>
          <cell r="AB4" t="str">
            <v>مشهد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 t="str">
            <v>محل صدور: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 t="str">
            <v>مشهد</v>
          </cell>
          <cell r="O5">
            <v>0</v>
          </cell>
          <cell r="P5" t="str">
            <v>مشهد</v>
          </cell>
          <cell r="Q5" t="str">
            <v>مشهد</v>
          </cell>
          <cell r="R5">
            <v>0</v>
          </cell>
          <cell r="S5">
            <v>0</v>
          </cell>
          <cell r="T5" t="str">
            <v>تهران</v>
          </cell>
          <cell r="U5" t="str">
            <v>مشهد</v>
          </cell>
          <cell r="V5" t="str">
            <v>مشهد</v>
          </cell>
          <cell r="W5">
            <v>0</v>
          </cell>
          <cell r="X5" t="str">
            <v>مشهد</v>
          </cell>
          <cell r="Y5">
            <v>0</v>
          </cell>
          <cell r="Z5" t="str">
            <v>شیروان</v>
          </cell>
          <cell r="AA5" t="str">
            <v>تربت حیدریه</v>
          </cell>
          <cell r="AB5" t="str">
            <v>مشهد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 t="str">
            <v>عبدالحکیم</v>
          </cell>
          <cell r="F6" t="str">
            <v>نام پدر</v>
          </cell>
          <cell r="G6" t="str">
            <v>عبدالحکیم</v>
          </cell>
          <cell r="H6" t="str">
            <v>علی اکبر</v>
          </cell>
          <cell r="I6" t="str">
            <v>مجتبی</v>
          </cell>
          <cell r="J6" t="str">
            <v>حسین</v>
          </cell>
          <cell r="K6" t="str">
            <v>محمدرضا</v>
          </cell>
          <cell r="L6" t="str">
            <v>محمدرضا</v>
          </cell>
          <cell r="M6" t="str">
            <v>محمدرضا</v>
          </cell>
          <cell r="N6" t="str">
            <v>محمد</v>
          </cell>
          <cell r="O6" t="str">
            <v>میرحسین</v>
          </cell>
          <cell r="P6" t="str">
            <v>نعمت الله</v>
          </cell>
          <cell r="Q6" t="str">
            <v>حسین</v>
          </cell>
          <cell r="R6">
            <v>0</v>
          </cell>
          <cell r="S6">
            <v>0</v>
          </cell>
          <cell r="T6" t="str">
            <v>مهدی</v>
          </cell>
          <cell r="U6" t="str">
            <v>حسين</v>
          </cell>
          <cell r="V6" t="str">
            <v>سید حسين</v>
          </cell>
          <cell r="W6">
            <v>0</v>
          </cell>
          <cell r="X6" t="str">
            <v>احمد</v>
          </cell>
          <cell r="Y6">
            <v>0</v>
          </cell>
          <cell r="Z6" t="str">
            <v>غلامعلی</v>
          </cell>
          <cell r="AA6" t="str">
            <v>جواد</v>
          </cell>
          <cell r="AB6" t="str">
            <v>جواد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 t="str">
            <v>نام مادر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>آمنه قابمی</v>
          </cell>
          <cell r="U7" t="str">
            <v>فرزانه صدیقی</v>
          </cell>
          <cell r="V7" t="str">
            <v>عصمت قربانی</v>
          </cell>
          <cell r="W7" t="str">
            <v>زهرا مختاری</v>
          </cell>
          <cell r="X7" t="str">
            <v>-</v>
          </cell>
          <cell r="Y7">
            <v>0</v>
          </cell>
          <cell r="Z7" t="str">
            <v>-</v>
          </cell>
          <cell r="AA7" t="str">
            <v>مرجان عمرانی</v>
          </cell>
          <cell r="AB7" t="str">
            <v>مرجان عمرانی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 t="str">
            <v>دختر</v>
          </cell>
          <cell r="F8" t="str">
            <v>جنسیت</v>
          </cell>
          <cell r="G8" t="str">
            <v>دختر</v>
          </cell>
          <cell r="H8" t="str">
            <v>دختر</v>
          </cell>
          <cell r="I8" t="str">
            <v>دختر</v>
          </cell>
          <cell r="J8" t="str">
            <v>دختر</v>
          </cell>
          <cell r="K8" t="str">
            <v>دختر</v>
          </cell>
          <cell r="L8" t="str">
            <v>دختر</v>
          </cell>
          <cell r="M8" t="str">
            <v>دختر</v>
          </cell>
          <cell r="N8" t="str">
            <v>دختر</v>
          </cell>
          <cell r="O8" t="str">
            <v>دختر</v>
          </cell>
          <cell r="P8" t="str">
            <v>دختر</v>
          </cell>
          <cell r="Q8" t="str">
            <v>دختر</v>
          </cell>
          <cell r="R8" t="str">
            <v>دختر</v>
          </cell>
          <cell r="S8" t="str">
            <v>دختر</v>
          </cell>
          <cell r="T8" t="str">
            <v>دختر</v>
          </cell>
          <cell r="U8" t="str">
            <v>دختر</v>
          </cell>
          <cell r="V8" t="str">
            <v>دختر</v>
          </cell>
          <cell r="W8" t="str">
            <v>دختر</v>
          </cell>
          <cell r="X8" t="str">
            <v>دختر</v>
          </cell>
          <cell r="Y8" t="str">
            <v>دختر</v>
          </cell>
          <cell r="Z8" t="str">
            <v>دختر</v>
          </cell>
          <cell r="AA8" t="str">
            <v>دختر</v>
          </cell>
          <cell r="AB8" t="str">
            <v>دختر</v>
          </cell>
          <cell r="AC8" t="str">
            <v>پسر</v>
          </cell>
          <cell r="AD8" t="str">
            <v>پسر</v>
          </cell>
          <cell r="AE8" t="str">
            <v>دختر</v>
          </cell>
          <cell r="AF8" t="str">
            <v>دختر</v>
          </cell>
          <cell r="AG8" t="str">
            <v>دختر</v>
          </cell>
          <cell r="AH8" t="str">
            <v>دختر</v>
          </cell>
          <cell r="AI8" t="str">
            <v>دختر</v>
          </cell>
          <cell r="AJ8" t="str">
            <v>دختر</v>
          </cell>
          <cell r="AK8" t="str">
            <v>دختر</v>
          </cell>
          <cell r="AL8" t="str">
            <v>دختر</v>
          </cell>
          <cell r="AM8" t="str">
            <v>دختر</v>
          </cell>
          <cell r="AN8" t="str">
            <v>دختر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 t="str">
            <v>شماره ملی / شماره شناسنامه</v>
          </cell>
          <cell r="G9">
            <v>0</v>
          </cell>
          <cell r="H9">
            <v>928744272</v>
          </cell>
          <cell r="I9">
            <v>928539733</v>
          </cell>
          <cell r="J9">
            <v>928779262</v>
          </cell>
          <cell r="K9">
            <v>0</v>
          </cell>
          <cell r="L9">
            <v>0</v>
          </cell>
          <cell r="M9">
            <v>0</v>
          </cell>
          <cell r="N9">
            <v>928280098</v>
          </cell>
          <cell r="O9">
            <v>91020180399</v>
          </cell>
          <cell r="P9" t="str">
            <v>0927335204-</v>
          </cell>
          <cell r="Q9" t="str">
            <v>0928394174-</v>
          </cell>
          <cell r="R9">
            <v>0</v>
          </cell>
          <cell r="S9">
            <v>0</v>
          </cell>
          <cell r="T9" t="str">
            <v>0025909738-</v>
          </cell>
          <cell r="U9" t="str">
            <v>0928551113-</v>
          </cell>
          <cell r="V9" t="str">
            <v>0927912678-</v>
          </cell>
          <cell r="W9" t="str">
            <v>0928729826-</v>
          </cell>
          <cell r="X9" t="str">
            <v>0950047384-</v>
          </cell>
          <cell r="Y9" t="str">
            <v>0929731451-</v>
          </cell>
          <cell r="Z9" t="str">
            <v>0820611743-</v>
          </cell>
          <cell r="AA9">
            <v>6500294351</v>
          </cell>
          <cell r="AB9" t="str">
            <v>0970439210-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 t="str">
            <v>مدرسه حضرت خدیجه</v>
          </cell>
          <cell r="F10" t="str">
            <v>معرف</v>
          </cell>
          <cell r="G10" t="str">
            <v>مدرسه حضرت خدیجه</v>
          </cell>
          <cell r="H10" t="str">
            <v>مدرسه حضرت خدیجه</v>
          </cell>
          <cell r="I10" t="str">
            <v>مدرسه حضرت خدیجه</v>
          </cell>
          <cell r="J10" t="str">
            <v>مدرسه حضرت خدیجه</v>
          </cell>
          <cell r="K10" t="str">
            <v>مدرسه حضرت خدیجه</v>
          </cell>
          <cell r="L10" t="str">
            <v>مدرسه حضرت خدیجه</v>
          </cell>
          <cell r="M10" t="str">
            <v>مدرسه حضرت خدیجه</v>
          </cell>
          <cell r="N10" t="str">
            <v>مدرسه آرمیتا مصلی نژاد- ناحیه تباتکان</v>
          </cell>
          <cell r="O10" t="str">
            <v>مدرسه حضرت خدیجه</v>
          </cell>
          <cell r="P10" t="str">
            <v>مدرسه حضرت خدیجه</v>
          </cell>
          <cell r="Q10" t="str">
            <v>مدرسه حضرت خدیجه</v>
          </cell>
          <cell r="R10" t="str">
            <v>مدرسه آرمیتا مصلی نژاد- ناحیه تباتکان</v>
          </cell>
          <cell r="S10" t="str">
            <v>دبیرستان شاهد</v>
          </cell>
          <cell r="T10" t="str">
            <v>خانم سمییعی</v>
          </cell>
          <cell r="U10" t="str">
            <v>دبیرستان رستگارمقدم</v>
          </cell>
          <cell r="V10" t="str">
            <v>دبیرستان رستگارمقدم</v>
          </cell>
          <cell r="W10" t="str">
            <v>دبیرستان رستگارمقدم</v>
          </cell>
          <cell r="X10" t="str">
            <v>دبیرستان رستگارمقدم</v>
          </cell>
          <cell r="Y10" t="str">
            <v>دبیرستان خدیجه</v>
          </cell>
          <cell r="Z10" t="str">
            <v>دبیرستان رستگارمقدم</v>
          </cell>
          <cell r="AA10" t="str">
            <v>مسعود خازنی</v>
          </cell>
          <cell r="AB10" t="str">
            <v>مسعود خازنی</v>
          </cell>
          <cell r="AC10" t="str">
            <v>مسعود خازنی</v>
          </cell>
          <cell r="AD10" t="str">
            <v>مسعود خازنی</v>
          </cell>
          <cell r="AE10" t="str">
            <v>خانم اورلی</v>
          </cell>
          <cell r="AF10" t="str">
            <v>خانم توکلی</v>
          </cell>
          <cell r="AG10" t="str">
            <v>خانم ارمغان</v>
          </cell>
          <cell r="AH10">
            <v>0</v>
          </cell>
          <cell r="AI10" t="str">
            <v>خانم ارمغان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 t="str">
            <v>تاریخ شروع خدمات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 t="str">
            <v>رسالت 136- خیابان امام خمینی- امام خمینی 2 پلاک 36</v>
          </cell>
          <cell r="F12" t="str">
            <v>آدرس محل سکونت</v>
          </cell>
          <cell r="G12" t="str">
            <v>رسالت 136- خیابان امام خمینی- امام خمینی 2 پلاک 36</v>
          </cell>
          <cell r="H12" t="str">
            <v>رسالت 136- خیابان امام خمینی- امام خمینی 21- شهریار 4- پلاک 27</v>
          </cell>
          <cell r="I12" t="str">
            <v>رسالت 136- خیابان امام خمینی- امام خمینی 3- رخش بهار 8- پلاک 37</v>
          </cell>
          <cell r="J12" t="str">
            <v>رسالت 136- خیابان امام خمینی- امام خمینی 12- پلاک 6</v>
          </cell>
          <cell r="K12" t="str">
            <v>رسالت 134- خیابان شهید غلامی-کنار مسجد سیداشهدا</v>
          </cell>
          <cell r="L12" t="str">
            <v>رسالت 134- خیابان شهید غلامی-کنار مسجد سیداشهدا</v>
          </cell>
          <cell r="M12" t="str">
            <v>رسالت 134- خیابان شهید غلامی-کنار مسجد سیداشهدا</v>
          </cell>
          <cell r="N12" t="str">
            <v>توس 33- شکری 2- وسط کوچه- سمت راست- منزل نیمه کاره</v>
          </cell>
          <cell r="O12" t="str">
            <v>کشمیری 36- بعد از چهارراه اول پلاک 39</v>
          </cell>
          <cell r="P12" t="str">
            <v>رسالت 120- رجایی 6- پلاک 45</v>
          </cell>
          <cell r="Q12" t="str">
            <v>غلامی 18- پلاک 21</v>
          </cell>
          <cell r="R12" t="str">
            <v>توس 97- الزهرا 10- ... 17- پلاک 38</v>
          </cell>
          <cell r="S12">
            <v>0</v>
          </cell>
          <cell r="T12" t="str">
            <v>تربت حیدریه - روستای قلعه حسن خان</v>
          </cell>
          <cell r="U12" t="str">
            <v>توس 43 - غلامی 6- رادمرد 7 - انتهای کوچه سمت راست</v>
          </cell>
          <cell r="V12" t="str">
            <v>حر 13- کوچه 54- سردرب منزل(دعای کمیل)</v>
          </cell>
          <cell r="W12" t="str">
            <v>پنجتن 3- سلمان 6- پلاک 43</v>
          </cell>
          <cell r="X12" t="str">
            <v>حر 56</v>
          </cell>
          <cell r="Y12">
            <v>0</v>
          </cell>
          <cell r="Z12" t="str">
            <v>رسالت 71 - درب قهوه ای - پلاک 23</v>
          </cell>
          <cell r="AA12" t="str">
            <v>چهارراه مقدم - پروین اعتصامی 8- سلیمانی منش 10- پلاک 405</v>
          </cell>
          <cell r="AB12" t="str">
            <v>چهارراه مقدم - پروین اعتصامی 8- سلیمانی منش 10- پلاک 405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 t="str">
            <v>کد پستی محل سکونت :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 t="str">
            <v>خانم توکلی</v>
          </cell>
          <cell r="F14" t="str">
            <v>معرفی توسط :</v>
          </cell>
          <cell r="G14" t="str">
            <v>خانم توکلی</v>
          </cell>
          <cell r="H14" t="str">
            <v>خانم توکلی</v>
          </cell>
          <cell r="I14" t="str">
            <v>خانم توکلی</v>
          </cell>
          <cell r="J14" t="str">
            <v>خانم توکلی</v>
          </cell>
          <cell r="K14" t="str">
            <v>خانم توکلی</v>
          </cell>
          <cell r="L14" t="str">
            <v>خانم توکلی</v>
          </cell>
          <cell r="M14" t="str">
            <v>خانم توکلی</v>
          </cell>
          <cell r="N14" t="str">
            <v>خانم ارمغان</v>
          </cell>
          <cell r="O14" t="str">
            <v>خانم توکلی</v>
          </cell>
          <cell r="P14" t="str">
            <v>خانم توکلی</v>
          </cell>
          <cell r="Q14" t="str">
            <v>خانم توکلی</v>
          </cell>
          <cell r="R14" t="str">
            <v>خانم توکلی</v>
          </cell>
          <cell r="S14" t="str">
            <v>آقای نقیبی</v>
          </cell>
          <cell r="T14" t="str">
            <v>خانم سمییعی</v>
          </cell>
          <cell r="U14" t="str">
            <v>آقای نقیبی</v>
          </cell>
          <cell r="V14" t="str">
            <v>آقای نقیبی</v>
          </cell>
          <cell r="W14" t="str">
            <v>آقای نقیبی</v>
          </cell>
          <cell r="X14" t="str">
            <v>آقای نقیبی</v>
          </cell>
          <cell r="Y14">
            <v>0</v>
          </cell>
          <cell r="Z14" t="str">
            <v>آقای نقیبی</v>
          </cell>
          <cell r="AA14" t="str">
            <v>مسعود خازنی</v>
          </cell>
          <cell r="AB14" t="str">
            <v>مسعود خازنی</v>
          </cell>
          <cell r="AC14" t="str">
            <v>مسعود خازنی</v>
          </cell>
          <cell r="AD14" t="str">
            <v>مسعود خازنی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 t="str">
            <v>پست الکترونیکی :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9381233298</v>
          </cell>
          <cell r="F16" t="str">
            <v>تلفن :</v>
          </cell>
          <cell r="G16">
            <v>9381233298</v>
          </cell>
          <cell r="H16">
            <v>9392569929</v>
          </cell>
          <cell r="I16">
            <v>9373250328</v>
          </cell>
          <cell r="J16" t="str">
            <v>9228665372- 09357415452-09302849676</v>
          </cell>
          <cell r="K16" t="str">
            <v>9229983735- 09017614576-09157171782-09333752599</v>
          </cell>
          <cell r="L16" t="str">
            <v>9229983735- 09017614576-09157171782-09333752599</v>
          </cell>
          <cell r="M16" t="str">
            <v>9229983735- 09017614576-09157171782-09333752599</v>
          </cell>
          <cell r="N16">
            <v>9900785044</v>
          </cell>
          <cell r="O16" t="str">
            <v>03978969874-</v>
          </cell>
          <cell r="P16" t="str">
            <v>09380617293-09397976616-09057403341</v>
          </cell>
          <cell r="Q16" t="str">
            <v>09152067310-09908878616</v>
          </cell>
          <cell r="R16" t="str">
            <v>09150090658-09156484356-09159095701</v>
          </cell>
          <cell r="S16" t="str">
            <v>09053110021-09398957719</v>
          </cell>
          <cell r="T16" t="str">
            <v>09945192457-0998177165</v>
          </cell>
          <cell r="U16" t="str">
            <v>09397686036-09353218951</v>
          </cell>
          <cell r="V16" t="str">
            <v>09046651101-09156286174</v>
          </cell>
          <cell r="W16" t="str">
            <v>09305985396-09360554032-09300610960</v>
          </cell>
          <cell r="X16" t="str">
            <v>09352584850-09156019826-09152548041</v>
          </cell>
          <cell r="Y16">
            <v>9156194069</v>
          </cell>
          <cell r="Z16" t="str">
            <v>09915317983-09352523868</v>
          </cell>
          <cell r="AA16" t="str">
            <v>09159140096-09945583303</v>
          </cell>
          <cell r="AB16" t="str">
            <v>09159140096-09945583303</v>
          </cell>
          <cell r="AC16" t="str">
            <v>09051762599-</v>
          </cell>
          <cell r="AD16" t="str">
            <v>09051762599-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 t="str">
            <v>دبیرستان سال یازدهم</v>
          </cell>
          <cell r="F17" t="str">
            <v xml:space="preserve">مقطع تحصیلی : </v>
          </cell>
          <cell r="G17" t="str">
            <v>دبیرستان سال یازدهم</v>
          </cell>
          <cell r="H17" t="str">
            <v>دبیرستان سال دهم</v>
          </cell>
          <cell r="I17" t="str">
            <v>دبیرستان سال دهم</v>
          </cell>
          <cell r="J17" t="str">
            <v>دبیرستان سال دهم</v>
          </cell>
          <cell r="K17" t="str">
            <v>دبیرستان سال دهم</v>
          </cell>
          <cell r="L17" t="str">
            <v>دبیرستان سال دهم</v>
          </cell>
          <cell r="M17" t="str">
            <v>دبیرستان سال دهم</v>
          </cell>
          <cell r="N17" t="str">
            <v>دبیرستان سال دوازدهم</v>
          </cell>
          <cell r="O17" t="str">
            <v>دبیرستان سال دوازدهم</v>
          </cell>
          <cell r="P17" t="str">
            <v>دبیرستان سال دوازدهم</v>
          </cell>
          <cell r="Q17" t="str">
            <v>دبیرستان سال دهم</v>
          </cell>
          <cell r="R17" t="str">
            <v>دبیرستان سال دهم</v>
          </cell>
          <cell r="S17" t="str">
            <v>دبیرستان سال دوازدهم</v>
          </cell>
          <cell r="T17" t="str">
            <v>دبیرستان سال یازدهم</v>
          </cell>
          <cell r="U17" t="str">
            <v>دبیرستان سال دهم</v>
          </cell>
          <cell r="V17" t="str">
            <v>دبیرستان سال یازدهم</v>
          </cell>
          <cell r="W17" t="str">
            <v>دبیرستان سال دهم</v>
          </cell>
          <cell r="X17" t="str">
            <v>دبیرستان سال دهم</v>
          </cell>
          <cell r="Y17" t="str">
            <v>دبیرستان سال دوازدهم</v>
          </cell>
          <cell r="Z17" t="str">
            <v>دبیرستان سال دهم</v>
          </cell>
          <cell r="AA17" t="str">
            <v>دبستان کلاس اول</v>
          </cell>
          <cell r="AB17" t="str">
            <v>دبستان کلاس پنجم</v>
          </cell>
          <cell r="AC17" t="str">
            <v>دبستان کلاس پنجم</v>
          </cell>
          <cell r="AD17" t="str">
            <v>دبستان کلاس چهارم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A18">
            <v>17</v>
          </cell>
          <cell r="B18">
            <v>0</v>
          </cell>
          <cell r="C18">
            <v>0</v>
          </cell>
          <cell r="D18">
            <v>0</v>
          </cell>
          <cell r="E18" t="str">
            <v>ریاضی</v>
          </cell>
          <cell r="F18" t="str">
            <v>رشته تحصیلی :</v>
          </cell>
          <cell r="G18" t="str">
            <v>ریاضی</v>
          </cell>
          <cell r="H18" t="str">
            <v>انسانی</v>
          </cell>
          <cell r="I18" t="str">
            <v>ریاضی</v>
          </cell>
          <cell r="J18" t="str">
            <v>تجربی</v>
          </cell>
          <cell r="K18" t="str">
            <v>تجربی</v>
          </cell>
          <cell r="L18" t="str">
            <v>ریاضی</v>
          </cell>
          <cell r="M18" t="str">
            <v>انسانی</v>
          </cell>
          <cell r="N18" t="str">
            <v>تجربی</v>
          </cell>
          <cell r="O18" t="str">
            <v>تجربی</v>
          </cell>
          <cell r="P18" t="str">
            <v>ریاضی</v>
          </cell>
          <cell r="Q18" t="str">
            <v>تجربی</v>
          </cell>
          <cell r="R18" t="str">
            <v>انسانی</v>
          </cell>
          <cell r="S18" t="str">
            <v>تجربی</v>
          </cell>
          <cell r="T18" t="str">
            <v>تجربی</v>
          </cell>
          <cell r="U18" t="str">
            <v>تجربی</v>
          </cell>
          <cell r="V18" t="str">
            <v>تجربی</v>
          </cell>
          <cell r="W18" t="str">
            <v>انسانی</v>
          </cell>
          <cell r="X18" t="str">
            <v>تجربی</v>
          </cell>
          <cell r="Y18" t="str">
            <v>ریاضی</v>
          </cell>
          <cell r="Z18" t="str">
            <v>تجربی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</row>
        <row r="19">
          <cell r="A19">
            <v>18</v>
          </cell>
          <cell r="B19">
            <v>0</v>
          </cell>
          <cell r="C19">
            <v>0</v>
          </cell>
          <cell r="D19">
            <v>0</v>
          </cell>
          <cell r="E19" t="str">
            <v>18/22</v>
          </cell>
          <cell r="F19" t="str">
            <v xml:space="preserve">معدل : </v>
          </cell>
          <cell r="G19" t="str">
            <v>18/22</v>
          </cell>
          <cell r="H19" t="str">
            <v>19/62</v>
          </cell>
          <cell r="I19" t="str">
            <v>19/48</v>
          </cell>
          <cell r="J19" t="str">
            <v>19/24</v>
          </cell>
          <cell r="K19" t="str">
            <v>19/05</v>
          </cell>
          <cell r="L19" t="str">
            <v>17/99</v>
          </cell>
          <cell r="M19" t="str">
            <v>18/99</v>
          </cell>
          <cell r="N19" t="str">
            <v>18/68</v>
          </cell>
          <cell r="O19" t="str">
            <v>18/74</v>
          </cell>
          <cell r="P19" t="str">
            <v>18/47</v>
          </cell>
          <cell r="Q19" t="str">
            <v>19/88</v>
          </cell>
          <cell r="R19">
            <v>0</v>
          </cell>
          <cell r="S19">
            <v>0</v>
          </cell>
          <cell r="T19" t="str">
            <v>18/10</v>
          </cell>
          <cell r="U19" t="str">
            <v>18/55</v>
          </cell>
          <cell r="V19">
            <v>17</v>
          </cell>
          <cell r="W19" t="str">
            <v>19/02</v>
          </cell>
          <cell r="X19" t="str">
            <v>19/88</v>
          </cell>
          <cell r="Y19">
            <v>0</v>
          </cell>
          <cell r="Z19" t="str">
            <v>19/83</v>
          </cell>
          <cell r="AA19">
            <v>0</v>
          </cell>
          <cell r="AB19" t="str">
            <v>خیلی خوب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A20">
            <v>19</v>
          </cell>
          <cell r="B20">
            <v>0</v>
          </cell>
          <cell r="C20">
            <v>0</v>
          </cell>
          <cell r="D20">
            <v>0</v>
          </cell>
          <cell r="E20" t="str">
            <v>مدرسه حضرت خدیجه- ناحیه تباتکان</v>
          </cell>
          <cell r="F20" t="str">
            <v>آدرس  محل تحصیل:</v>
          </cell>
          <cell r="G20" t="str">
            <v>مدرسه حضرت خدیجه- ناحیه تباتکان</v>
          </cell>
          <cell r="H20" t="str">
            <v>مدرسه حضرت خدیجه- ناحیه تباتکان</v>
          </cell>
          <cell r="I20" t="str">
            <v>مدرسه حضرت خدیجه- ناحیه تباتکان</v>
          </cell>
          <cell r="J20" t="str">
            <v>مدرسه حضرت خدیجه- ناحیه تباتکان</v>
          </cell>
          <cell r="K20" t="str">
            <v>مدرسه حضرت خدیجه- ناحیه تباتکان</v>
          </cell>
          <cell r="L20" t="str">
            <v>مدرسه آرمیتا مصلی نژاد- ناحیه تباتکان</v>
          </cell>
          <cell r="M20" t="str">
            <v>مدرسه حضرت خدیجه- ناحیه تباتکان</v>
          </cell>
          <cell r="N20" t="str">
            <v>مدرسه آرمیتا مصلی نژاد- ناحیه تباتکان</v>
          </cell>
          <cell r="O20" t="str">
            <v>مدرسه حضرت خدیجه- ناحیه تباتکان</v>
          </cell>
          <cell r="P20" t="str">
            <v>مدرسه حضرت خدیجه- ناحیه تباتکان</v>
          </cell>
          <cell r="Q20" t="str">
            <v>مدرسه حضرت خدیجه- ناحیه تباتکان</v>
          </cell>
          <cell r="R20" t="str">
            <v>مدرسه آرمیتا مصلی نژاد- ناحیه تباتکان</v>
          </cell>
          <cell r="S20">
            <v>0</v>
          </cell>
          <cell r="T20" t="str">
            <v>دبیرستان نرجس دولت آباد</v>
          </cell>
          <cell r="U20" t="str">
            <v>دبیرستان رستگار مقدم</v>
          </cell>
          <cell r="V20" t="str">
            <v>دبیرستان رستگار مقدم</v>
          </cell>
          <cell r="W20" t="str">
            <v>دبیرستان رستگار مقدم</v>
          </cell>
          <cell r="X20" t="str">
            <v>دبیرستان رستگار مقدم</v>
          </cell>
          <cell r="Y20" t="str">
            <v>دبیرستان خدیجه</v>
          </cell>
          <cell r="Z20" t="str">
            <v>دبیرستان رستگار مقدم</v>
          </cell>
          <cell r="AA20" t="str">
            <v>مدرسه بعثت</v>
          </cell>
          <cell r="AB20" t="str">
            <v>مدرسه بعثت</v>
          </cell>
          <cell r="AC20" t="str">
            <v>مدرسه بهادرزاده</v>
          </cell>
          <cell r="AD20" t="str">
            <v>مدرسه بهادرزاده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A21">
            <v>20</v>
          </cell>
          <cell r="B21">
            <v>0</v>
          </cell>
          <cell r="C21">
            <v>0</v>
          </cell>
          <cell r="D21">
            <v>0</v>
          </cell>
          <cell r="E21">
            <v>9155008954</v>
          </cell>
          <cell r="F21" t="str">
            <v>تلفن محل تحصیل:</v>
          </cell>
          <cell r="G21">
            <v>9155008954</v>
          </cell>
          <cell r="H21">
            <v>9155008954</v>
          </cell>
          <cell r="I21">
            <v>9155008954</v>
          </cell>
          <cell r="J21">
            <v>9155008954</v>
          </cell>
          <cell r="K21">
            <v>9155008954</v>
          </cell>
          <cell r="L21">
            <v>5136655064</v>
          </cell>
          <cell r="M21">
            <v>9155008954</v>
          </cell>
          <cell r="N21">
            <v>5136655064</v>
          </cell>
          <cell r="O21">
            <v>9155008954</v>
          </cell>
          <cell r="P21">
            <v>9155008954</v>
          </cell>
          <cell r="Q21">
            <v>9155008954</v>
          </cell>
          <cell r="R21">
            <v>5136655064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A22">
            <v>21</v>
          </cell>
          <cell r="B22">
            <v>0</v>
          </cell>
          <cell r="C22">
            <v>0</v>
          </cell>
          <cell r="D22">
            <v>0</v>
          </cell>
          <cell r="E22" t="str">
            <v>زبان انگلیسی و کره ای</v>
          </cell>
          <cell r="F22" t="str">
            <v>استعداد :</v>
          </cell>
          <cell r="G22" t="str">
            <v>زبان انگلیسی و کره ای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A23">
            <v>22</v>
          </cell>
          <cell r="B23">
            <v>0</v>
          </cell>
          <cell r="C23">
            <v>0</v>
          </cell>
          <cell r="D23">
            <v>0</v>
          </cell>
          <cell r="E23" t="str">
            <v>کارآفرینی</v>
          </cell>
          <cell r="F23" t="str">
            <v>علاقه مندی :</v>
          </cell>
          <cell r="G23" t="str">
            <v>کارآفرینی</v>
          </cell>
          <cell r="H23" t="str">
            <v>علاقمند به دبیری</v>
          </cell>
          <cell r="I23" t="str">
            <v>تحصیل در دانشگاه فرهنگیان</v>
          </cell>
          <cell r="J23" t="str">
            <v>علاقمند به رشته پزشکی</v>
          </cell>
          <cell r="K23" t="str">
            <v>علاقمند به رشته پزشکی</v>
          </cell>
          <cell r="L23" t="str">
            <v>علاقمند به رشته مهندسی کامپیوتر</v>
          </cell>
          <cell r="M23" t="str">
            <v>علاقمند به رشته وکالت</v>
          </cell>
          <cell r="N23" t="str">
            <v>علاقمند به رشته پزشکی</v>
          </cell>
          <cell r="O23" t="str">
            <v>علاقمند به رشته پزشکی</v>
          </cell>
          <cell r="P23" t="str">
            <v xml:space="preserve">علاقمند به </v>
          </cell>
          <cell r="Q23" t="str">
            <v xml:space="preserve">علاقمند به </v>
          </cell>
          <cell r="R23" t="str">
            <v>علاقمند به دبیری</v>
          </cell>
          <cell r="S23" t="str">
            <v>علاقمند به پزشکی</v>
          </cell>
          <cell r="T23" t="str">
            <v>علاقمند به پزشکی</v>
          </cell>
          <cell r="U23" t="str">
            <v>علاقمند به پزشکی</v>
          </cell>
          <cell r="V23" t="str">
            <v>علاقمندی ندارد</v>
          </cell>
          <cell r="W23" t="str">
            <v>علاقمندی ندارد</v>
          </cell>
          <cell r="X23" t="str">
            <v>علاقمندی به پزشکی</v>
          </cell>
          <cell r="Y23" t="str">
            <v>علاقمندی به گرافیک</v>
          </cell>
          <cell r="Z23" t="str">
            <v>علاقمندی به پزشکی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A24">
            <v>23</v>
          </cell>
          <cell r="B24">
            <v>0</v>
          </cell>
          <cell r="C24">
            <v>0</v>
          </cell>
          <cell r="D24">
            <v>0</v>
          </cell>
          <cell r="E24" t="str">
            <v>1401/06/15</v>
          </cell>
          <cell r="F24" t="str">
            <v>تاریخ بررسی :</v>
          </cell>
          <cell r="G24" t="str">
            <v>1401/06/15</v>
          </cell>
          <cell r="H24" t="str">
            <v>1401/06/15</v>
          </cell>
          <cell r="I24" t="str">
            <v>1401/06/15</v>
          </cell>
          <cell r="J24" t="str">
            <v>1401/06/15</v>
          </cell>
          <cell r="K24" t="str">
            <v>1401/06/15</v>
          </cell>
          <cell r="L24" t="str">
            <v>1401/06/15</v>
          </cell>
          <cell r="M24" t="str">
            <v>1401/06/15</v>
          </cell>
          <cell r="N24" t="str">
            <v>1401/06/15</v>
          </cell>
          <cell r="O24" t="str">
            <v>1401/06/15</v>
          </cell>
          <cell r="P24" t="str">
            <v>1401/06/15</v>
          </cell>
          <cell r="Q24" t="str">
            <v>1401/06/15</v>
          </cell>
          <cell r="R24" t="str">
            <v>1401/06/15</v>
          </cell>
          <cell r="S24" t="str">
            <v>1401/06/15</v>
          </cell>
          <cell r="T24" t="str">
            <v>1401/06/15</v>
          </cell>
          <cell r="U24" t="str">
            <v>1401/06/15</v>
          </cell>
          <cell r="V24" t="str">
            <v>1401/06/15</v>
          </cell>
          <cell r="W24" t="str">
            <v>1401/06/15</v>
          </cell>
          <cell r="X24" t="str">
            <v>1401/06/15</v>
          </cell>
          <cell r="Y24">
            <v>0</v>
          </cell>
          <cell r="Z24" t="str">
            <v>1401/06/15</v>
          </cell>
          <cell r="AA24" t="str">
            <v>1401/06/15</v>
          </cell>
          <cell r="AB24" t="str">
            <v>1401/06/15</v>
          </cell>
          <cell r="AC24" t="str">
            <v>1401/06/15</v>
          </cell>
          <cell r="AD24" t="str">
            <v>1401/06/15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A25">
            <v>24</v>
          </cell>
          <cell r="B25">
            <v>0</v>
          </cell>
          <cell r="C25">
            <v>0</v>
          </cell>
          <cell r="D25">
            <v>0</v>
          </cell>
          <cell r="E25" t="str">
            <v>افسردگی و ناامیدی شدید</v>
          </cell>
          <cell r="F25" t="str">
            <v>سوابق بیماری</v>
          </cell>
          <cell r="G25" t="str">
            <v>افسردگی و ناامیدی شدید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>
            <v>25</v>
          </cell>
          <cell r="B26">
            <v>0</v>
          </cell>
          <cell r="C26">
            <v>0</v>
          </cell>
          <cell r="D26">
            <v>0</v>
          </cell>
          <cell r="E26" t="str">
            <v>ندارد</v>
          </cell>
          <cell r="F26" t="str">
            <v>توضیحات بیماری:</v>
          </cell>
          <cell r="G26" t="str">
            <v>ندارد</v>
          </cell>
          <cell r="H26" t="str">
            <v>ندارد</v>
          </cell>
          <cell r="I26" t="str">
            <v>ندارد</v>
          </cell>
          <cell r="J26" t="str">
            <v>ندارد</v>
          </cell>
          <cell r="K26" t="str">
            <v>ندارد</v>
          </cell>
          <cell r="L26" t="str">
            <v>ندارد</v>
          </cell>
          <cell r="M26" t="str">
            <v>ندارد</v>
          </cell>
          <cell r="N26" t="str">
            <v>ندارد</v>
          </cell>
          <cell r="O26" t="str">
            <v>ندارد</v>
          </cell>
          <cell r="P26" t="str">
            <v>ندارد</v>
          </cell>
          <cell r="Q26" t="str">
            <v>ندارد</v>
          </cell>
          <cell r="R26" t="str">
            <v>ندارد</v>
          </cell>
          <cell r="S26" t="str">
            <v>ندارد</v>
          </cell>
          <cell r="T26" t="str">
            <v>ندارد</v>
          </cell>
          <cell r="U26" t="str">
            <v>ندارد</v>
          </cell>
          <cell r="V26" t="str">
            <v>افسردگی شدید</v>
          </cell>
          <cell r="W26" t="str">
            <v>ندارد</v>
          </cell>
          <cell r="X26" t="str">
            <v>ندارد</v>
          </cell>
          <cell r="Y26" t="str">
            <v>ندارد</v>
          </cell>
          <cell r="Z26" t="str">
            <v>ندارد</v>
          </cell>
          <cell r="AA26" t="str">
            <v>ندارد</v>
          </cell>
          <cell r="AB26" t="str">
            <v>ندارد</v>
          </cell>
          <cell r="AC26" t="str">
            <v>ندارد</v>
          </cell>
          <cell r="AD26" t="str">
            <v>ندارد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A27">
            <v>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 t="str">
            <v>آزمایشات یا چکاپ پزشکی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 t="str">
            <v>دندانهایش توسط دکتر محسنیان عصب کشی گردید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A28">
            <v>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 t="str">
            <v>توضیحات آزمایش یا چکاپ :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A29">
            <v>28</v>
          </cell>
          <cell r="B29">
            <v>0</v>
          </cell>
          <cell r="C29">
            <v>0</v>
          </cell>
          <cell r="D29">
            <v>0</v>
          </cell>
          <cell r="E29" t="str">
            <v>ندارد</v>
          </cell>
          <cell r="F29" t="str">
            <v>نیاز به خدمات خاصی</v>
          </cell>
          <cell r="G29" t="str">
            <v>ندارد</v>
          </cell>
          <cell r="H29" t="str">
            <v>ندارد</v>
          </cell>
          <cell r="I29" t="str">
            <v>در درس ریاضی احتیاج به کمک دارد.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 t="str">
            <v>کتابهای کمک آموزشی لازم دارد</v>
          </cell>
          <cell r="Q29">
            <v>0</v>
          </cell>
          <cell r="R29" t="str">
            <v>سمعک لازم دارد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A30">
            <v>29</v>
          </cell>
          <cell r="B30">
            <v>0</v>
          </cell>
          <cell r="C30">
            <v>0</v>
          </cell>
          <cell r="D30">
            <v>0</v>
          </cell>
          <cell r="E30" t="str">
            <v>نداد</v>
          </cell>
          <cell r="F30" t="str">
            <v>توضیحات خدمات :</v>
          </cell>
          <cell r="G30" t="str">
            <v>نداد</v>
          </cell>
          <cell r="H30" t="str">
            <v>نداد</v>
          </cell>
          <cell r="I30" t="str">
            <v>ندارد</v>
          </cell>
          <cell r="J30" t="str">
            <v>ندارد</v>
          </cell>
          <cell r="K30" t="str">
            <v>ندارد</v>
          </cell>
          <cell r="L30" t="str">
            <v>ندارد</v>
          </cell>
          <cell r="M30" t="str">
            <v>ندارد</v>
          </cell>
          <cell r="N30" t="str">
            <v>ندارد</v>
          </cell>
          <cell r="O30" t="str">
            <v>ندارد</v>
          </cell>
          <cell r="P30" t="str">
            <v>ندارد</v>
          </cell>
          <cell r="Q30" t="str">
            <v>ندارد</v>
          </cell>
          <cell r="R30" t="str">
            <v>ندارد</v>
          </cell>
          <cell r="S30" t="str">
            <v>ندارد</v>
          </cell>
          <cell r="T30" t="str">
            <v>ندارد</v>
          </cell>
          <cell r="U30" t="str">
            <v>ندارد</v>
          </cell>
          <cell r="V30" t="str">
            <v>ندارد</v>
          </cell>
          <cell r="W30" t="str">
            <v>ندارد</v>
          </cell>
          <cell r="X30" t="str">
            <v>ندارد</v>
          </cell>
          <cell r="Y30" t="str">
            <v>ندارد</v>
          </cell>
          <cell r="Z30" t="str">
            <v>ندارد</v>
          </cell>
          <cell r="AA30" t="str">
            <v>ندارد</v>
          </cell>
          <cell r="AB30" t="str">
            <v>ندارد</v>
          </cell>
          <cell r="AC30" t="str">
            <v>ندارد</v>
          </cell>
          <cell r="AD30" t="str">
            <v>ندارد</v>
          </cell>
          <cell r="AE30" t="str">
            <v>ندارد</v>
          </cell>
          <cell r="AF30" t="str">
            <v>ندارد</v>
          </cell>
          <cell r="AG30" t="str">
            <v>ندارد</v>
          </cell>
          <cell r="AH30" t="str">
            <v>ندارد</v>
          </cell>
          <cell r="AI30" t="str">
            <v>ندارد</v>
          </cell>
          <cell r="AJ30" t="str">
            <v>ندارد</v>
          </cell>
          <cell r="AK30" t="str">
            <v>ندارد</v>
          </cell>
          <cell r="AL30" t="str">
            <v>ندارد</v>
          </cell>
          <cell r="AM30" t="str">
            <v>ندارد</v>
          </cell>
          <cell r="AN30" t="str">
            <v>ندارد</v>
          </cell>
        </row>
      </sheetData>
      <sheetData sheetId="5" refreshError="1"/>
      <sheetData sheetId="6" refreshError="1"/>
      <sheetData sheetId="7" refreshError="1">
        <row r="2">
          <cell r="Q2" t="str">
            <v>فروردین</v>
          </cell>
          <cell r="R2">
            <v>1</v>
          </cell>
        </row>
        <row r="3">
          <cell r="Q3" t="str">
            <v>اردیبهشت</v>
          </cell>
          <cell r="R3">
            <v>2</v>
          </cell>
        </row>
        <row r="4">
          <cell r="Q4" t="str">
            <v>خرداد</v>
          </cell>
          <cell r="R4">
            <v>3</v>
          </cell>
        </row>
        <row r="5">
          <cell r="Q5" t="str">
            <v>تیر</v>
          </cell>
          <cell r="R5">
            <v>4</v>
          </cell>
        </row>
        <row r="6">
          <cell r="Q6" t="str">
            <v>مرداد</v>
          </cell>
          <cell r="R6">
            <v>5</v>
          </cell>
        </row>
        <row r="7">
          <cell r="Q7" t="str">
            <v>شهریور</v>
          </cell>
          <cell r="R7">
            <v>6</v>
          </cell>
        </row>
        <row r="8">
          <cell r="Q8" t="str">
            <v>مهر</v>
          </cell>
          <cell r="R8">
            <v>7</v>
          </cell>
        </row>
        <row r="9">
          <cell r="Q9" t="str">
            <v>آبان</v>
          </cell>
          <cell r="R9">
            <v>8</v>
          </cell>
        </row>
        <row r="10">
          <cell r="Q10" t="str">
            <v>آذر</v>
          </cell>
          <cell r="R10">
            <v>9</v>
          </cell>
        </row>
        <row r="11">
          <cell r="Q11" t="str">
            <v>دی</v>
          </cell>
          <cell r="R11">
            <v>10</v>
          </cell>
        </row>
        <row r="12">
          <cell r="Q12" t="str">
            <v>بهمن</v>
          </cell>
          <cell r="R12">
            <v>11</v>
          </cell>
        </row>
        <row r="13">
          <cell r="Q13" t="str">
            <v>اسفند</v>
          </cell>
          <cell r="R13">
            <v>12</v>
          </cell>
        </row>
      </sheetData>
      <sheetData sheetId="8" refreshError="1">
        <row r="3">
          <cell r="G3" t="str">
            <v>فروردین</v>
          </cell>
          <cell r="H3" t="str">
            <v>اردیبهشت</v>
          </cell>
          <cell r="I3" t="str">
            <v>خرداد</v>
          </cell>
          <cell r="J3" t="str">
            <v>تیر</v>
          </cell>
          <cell r="K3" t="str">
            <v>مرداد</v>
          </cell>
          <cell r="L3" t="str">
            <v>شهریور</v>
          </cell>
          <cell r="M3" t="str">
            <v>مهر</v>
          </cell>
          <cell r="N3" t="str">
            <v>آبان</v>
          </cell>
          <cell r="O3" t="str">
            <v>آذر</v>
          </cell>
          <cell r="P3" t="str">
            <v>دی</v>
          </cell>
          <cell r="Q3" t="str">
            <v>بهمن</v>
          </cell>
          <cell r="R3" t="str">
            <v>اسفند</v>
          </cell>
        </row>
        <row r="4">
          <cell r="G4">
            <v>0</v>
          </cell>
          <cell r="H4">
            <v>0</v>
          </cell>
          <cell r="I4">
            <v>10000000</v>
          </cell>
          <cell r="J4">
            <v>10000000</v>
          </cell>
          <cell r="K4">
            <v>10000000</v>
          </cell>
          <cell r="L4">
            <v>0</v>
          </cell>
          <cell r="M4">
            <v>0</v>
          </cell>
          <cell r="N4">
            <v>11169500</v>
          </cell>
          <cell r="O4">
            <v>28830500</v>
          </cell>
          <cell r="P4">
            <v>0</v>
          </cell>
          <cell r="Q4">
            <v>0</v>
          </cell>
          <cell r="R4">
            <v>0</v>
          </cell>
        </row>
        <row r="5">
          <cell r="G5">
            <v>0</v>
          </cell>
          <cell r="H5">
            <v>0</v>
          </cell>
          <cell r="I5">
            <v>20000000</v>
          </cell>
          <cell r="J5">
            <v>20000000</v>
          </cell>
          <cell r="K5">
            <v>4000000</v>
          </cell>
          <cell r="L5">
            <v>20000000</v>
          </cell>
          <cell r="M5">
            <v>20000000</v>
          </cell>
          <cell r="N5">
            <v>20000000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0</v>
          </cell>
          <cell r="H6">
            <v>0</v>
          </cell>
          <cell r="I6">
            <v>30000000</v>
          </cell>
          <cell r="J6">
            <v>30000000</v>
          </cell>
          <cell r="K6">
            <v>30000000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0</v>
          </cell>
          <cell r="H7">
            <v>0</v>
          </cell>
          <cell r="I7">
            <v>2000000</v>
          </cell>
          <cell r="J7">
            <v>2000000</v>
          </cell>
          <cell r="K7">
            <v>2000000</v>
          </cell>
          <cell r="L7">
            <v>2000000</v>
          </cell>
          <cell r="M7">
            <v>2000000</v>
          </cell>
          <cell r="N7">
            <v>2000000</v>
          </cell>
          <cell r="O7">
            <v>2000000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5000000</v>
          </cell>
          <cell r="J8">
            <v>5000000</v>
          </cell>
          <cell r="K8">
            <v>5000000</v>
          </cell>
          <cell r="L8">
            <v>5000000</v>
          </cell>
          <cell r="M8">
            <v>5000000</v>
          </cell>
          <cell r="N8">
            <v>5000000</v>
          </cell>
          <cell r="O8">
            <v>5000000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5000000</v>
          </cell>
          <cell r="J9">
            <v>5000000</v>
          </cell>
          <cell r="K9">
            <v>5000000</v>
          </cell>
          <cell r="L9">
            <v>5000000</v>
          </cell>
          <cell r="M9">
            <v>2000000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10000000</v>
          </cell>
          <cell r="J10">
            <v>5000000</v>
          </cell>
          <cell r="K10">
            <v>15000000</v>
          </cell>
          <cell r="L10">
            <v>10000000</v>
          </cell>
          <cell r="M10">
            <v>17000000</v>
          </cell>
          <cell r="N10">
            <v>0</v>
          </cell>
          <cell r="O10">
            <v>10000000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5000000</v>
          </cell>
          <cell r="J11">
            <v>5000000</v>
          </cell>
          <cell r="K11">
            <v>5000000</v>
          </cell>
          <cell r="L11">
            <v>5000000</v>
          </cell>
          <cell r="M11">
            <v>5000000</v>
          </cell>
          <cell r="N11">
            <v>5000000</v>
          </cell>
          <cell r="O11">
            <v>5000000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0</v>
          </cell>
          <cell r="H12">
            <v>0</v>
          </cell>
          <cell r="I12">
            <v>5000000</v>
          </cell>
          <cell r="J12">
            <v>5000000</v>
          </cell>
          <cell r="K12">
            <v>5000000</v>
          </cell>
          <cell r="L12">
            <v>5000000</v>
          </cell>
          <cell r="M12">
            <v>20000000</v>
          </cell>
          <cell r="N12">
            <v>10000000</v>
          </cell>
          <cell r="O12">
            <v>10000000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</v>
          </cell>
          <cell r="H13">
            <v>0</v>
          </cell>
          <cell r="I13">
            <v>100000000</v>
          </cell>
          <cell r="J13">
            <v>100000000</v>
          </cell>
          <cell r="K13">
            <v>100000000</v>
          </cell>
          <cell r="L13">
            <v>100000000</v>
          </cell>
          <cell r="M13">
            <v>120000000</v>
          </cell>
          <cell r="N13">
            <v>100000000</v>
          </cell>
          <cell r="O13">
            <v>100000000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</v>
          </cell>
          <cell r="H14">
            <v>0</v>
          </cell>
          <cell r="I14">
            <v>20000000</v>
          </cell>
          <cell r="J14">
            <v>20000000</v>
          </cell>
          <cell r="K14">
            <v>30000000</v>
          </cell>
          <cell r="L14">
            <v>30000000</v>
          </cell>
          <cell r="M14">
            <v>30000000</v>
          </cell>
          <cell r="N14">
            <v>30000000</v>
          </cell>
          <cell r="O14">
            <v>30000000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5000000</v>
          </cell>
          <cell r="J15">
            <v>3000000</v>
          </cell>
          <cell r="K15">
            <v>3000000</v>
          </cell>
          <cell r="L15">
            <v>3000000</v>
          </cell>
          <cell r="M15">
            <v>3000000</v>
          </cell>
          <cell r="N15">
            <v>5000000</v>
          </cell>
          <cell r="O15">
            <v>5000000</v>
          </cell>
          <cell r="P15">
            <v>5000000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2500000</v>
          </cell>
          <cell r="J16">
            <v>2500000</v>
          </cell>
          <cell r="K16">
            <v>2500000</v>
          </cell>
          <cell r="L16">
            <v>2500000</v>
          </cell>
          <cell r="M16">
            <v>2500000</v>
          </cell>
          <cell r="N16">
            <v>2500000</v>
          </cell>
          <cell r="O16">
            <v>2500000</v>
          </cell>
          <cell r="P16">
            <v>2500000</v>
          </cell>
          <cell r="Q16">
            <v>2500000</v>
          </cell>
          <cell r="R16">
            <v>2500000</v>
          </cell>
        </row>
        <row r="17">
          <cell r="G17">
            <v>0</v>
          </cell>
          <cell r="H17">
            <v>0</v>
          </cell>
          <cell r="I17">
            <v>10000000</v>
          </cell>
          <cell r="J17">
            <v>10000000</v>
          </cell>
          <cell r="K17">
            <v>10000000</v>
          </cell>
          <cell r="L17">
            <v>10000000</v>
          </cell>
          <cell r="M17">
            <v>10000000</v>
          </cell>
          <cell r="N17">
            <v>10000000</v>
          </cell>
          <cell r="O17">
            <v>10000000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10000000</v>
          </cell>
          <cell r="J18">
            <v>10000000</v>
          </cell>
          <cell r="K18">
            <v>10000000</v>
          </cell>
          <cell r="L18">
            <v>10000000</v>
          </cell>
          <cell r="M18">
            <v>10000000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5000000</v>
          </cell>
          <cell r="J19">
            <v>5000000</v>
          </cell>
          <cell r="K19">
            <v>5000000</v>
          </cell>
          <cell r="L19">
            <v>5000000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15000000</v>
          </cell>
          <cell r="J20">
            <v>15000000</v>
          </cell>
          <cell r="K20">
            <v>15000000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50000000</v>
          </cell>
          <cell r="J21">
            <v>0</v>
          </cell>
          <cell r="K21">
            <v>40000000</v>
          </cell>
          <cell r="L21">
            <v>0</v>
          </cell>
          <cell r="M21">
            <v>30000000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20000000</v>
          </cell>
          <cell r="J22">
            <v>20000000</v>
          </cell>
          <cell r="K22">
            <v>20000000</v>
          </cell>
          <cell r="L22">
            <v>20000000</v>
          </cell>
          <cell r="M22">
            <v>70000000</v>
          </cell>
          <cell r="N22">
            <v>50000000</v>
          </cell>
          <cell r="O22">
            <v>50000000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10000000</v>
          </cell>
          <cell r="J23">
            <v>10000000</v>
          </cell>
          <cell r="K23">
            <v>10000000</v>
          </cell>
          <cell r="L23">
            <v>10000000</v>
          </cell>
          <cell r="M23">
            <v>30000000</v>
          </cell>
          <cell r="N23">
            <v>20000000</v>
          </cell>
          <cell r="O23">
            <v>20000000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5000000</v>
          </cell>
          <cell r="J24">
            <v>5000000</v>
          </cell>
          <cell r="K24">
            <v>5000000</v>
          </cell>
          <cell r="L24">
            <v>0</v>
          </cell>
          <cell r="M24">
            <v>0</v>
          </cell>
          <cell r="N24">
            <v>5000000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2000000</v>
          </cell>
          <cell r="J25">
            <v>2000000</v>
          </cell>
          <cell r="K25">
            <v>2000000</v>
          </cell>
          <cell r="L25">
            <v>2000000</v>
          </cell>
          <cell r="M25">
            <v>2000000</v>
          </cell>
          <cell r="N25">
            <v>2000000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10000000</v>
          </cell>
          <cell r="J26">
            <v>10000000</v>
          </cell>
          <cell r="K26">
            <v>10000000</v>
          </cell>
          <cell r="L26">
            <v>10000000</v>
          </cell>
          <cell r="M26">
            <v>10000000</v>
          </cell>
          <cell r="N26">
            <v>10000000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5000000</v>
          </cell>
          <cell r="K27">
            <v>5000000</v>
          </cell>
          <cell r="L27">
            <v>5000000</v>
          </cell>
          <cell r="M27">
            <v>5000000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30000000</v>
          </cell>
          <cell r="K28">
            <v>30000000</v>
          </cell>
          <cell r="L28">
            <v>30000000</v>
          </cell>
          <cell r="M28">
            <v>30000000</v>
          </cell>
          <cell r="N28">
            <v>30000000</v>
          </cell>
          <cell r="O28">
            <v>30000000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10000000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5000000</v>
          </cell>
          <cell r="K30">
            <v>0</v>
          </cell>
          <cell r="L30">
            <v>5000000</v>
          </cell>
          <cell r="M30">
            <v>5000000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10000000</v>
          </cell>
          <cell r="K31">
            <v>13000000</v>
          </cell>
          <cell r="L31">
            <v>4000000</v>
          </cell>
          <cell r="M31">
            <v>3000000</v>
          </cell>
          <cell r="N31">
            <v>0</v>
          </cell>
          <cell r="O31">
            <v>6500000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10000000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10000000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5000000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5000000</v>
          </cell>
          <cell r="L35">
            <v>0</v>
          </cell>
          <cell r="M35">
            <v>5000000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20000000</v>
          </cell>
          <cell r="L36">
            <v>20000000</v>
          </cell>
          <cell r="M36">
            <v>20000000</v>
          </cell>
          <cell r="N36">
            <v>20000000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5000000</v>
          </cell>
          <cell r="L37">
            <v>5000000</v>
          </cell>
          <cell r="M37">
            <v>5000000</v>
          </cell>
          <cell r="N37">
            <v>5000000</v>
          </cell>
          <cell r="O37">
            <v>5000000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2000000</v>
          </cell>
          <cell r="L38">
            <v>2000000</v>
          </cell>
          <cell r="M38">
            <v>3000000</v>
          </cell>
          <cell r="N38">
            <v>2000000</v>
          </cell>
          <cell r="O38">
            <v>2000000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300000000</v>
          </cell>
          <cell r="L39">
            <v>70000000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3000000</v>
          </cell>
          <cell r="M40">
            <v>3000000</v>
          </cell>
          <cell r="N40">
            <v>3000000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3000000</v>
          </cell>
          <cell r="K41">
            <v>3000000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16000000</v>
          </cell>
          <cell r="K42">
            <v>16000000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50000000</v>
          </cell>
          <cell r="M43">
            <v>50000000</v>
          </cell>
          <cell r="N43">
            <v>50000000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5000000</v>
          </cell>
          <cell r="M44">
            <v>5000000</v>
          </cell>
          <cell r="N44">
            <v>5000000</v>
          </cell>
          <cell r="O44">
            <v>5000000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11500000</v>
          </cell>
          <cell r="M45">
            <v>12250000</v>
          </cell>
          <cell r="N45">
            <v>13625000</v>
          </cell>
          <cell r="O45">
            <v>13800000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3500000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10000000</v>
          </cell>
          <cell r="M47">
            <v>5000000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20000000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5000000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5000000</v>
          </cell>
          <cell r="M50">
            <v>5000000</v>
          </cell>
          <cell r="N50">
            <v>5000000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40000000</v>
          </cell>
          <cell r="N51">
            <v>40000000</v>
          </cell>
          <cell r="O51">
            <v>40000000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5000000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10000000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5000000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4000000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3000000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1000000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5000000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10000000</v>
          </cell>
          <cell r="M59">
            <v>5000000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3000000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5000000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5000000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40000000</v>
          </cell>
          <cell r="O63">
            <v>10000000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5000000</v>
          </cell>
          <cell r="O64">
            <v>3000000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10000000</v>
          </cell>
          <cell r="O65">
            <v>10000000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4570</v>
          </cell>
          <cell r="J66">
            <v>61172</v>
          </cell>
          <cell r="K66">
            <v>5033530</v>
          </cell>
          <cell r="L66">
            <v>7696559</v>
          </cell>
          <cell r="M66">
            <v>14555641</v>
          </cell>
          <cell r="N66">
            <v>15594672</v>
          </cell>
          <cell r="O66">
            <v>20361327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5000000</v>
          </cell>
          <cell r="P67">
            <v>0</v>
          </cell>
          <cell r="Q67">
            <v>0</v>
          </cell>
          <cell r="R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250000000</v>
          </cell>
          <cell r="P68">
            <v>0</v>
          </cell>
          <cell r="Q68">
            <v>0</v>
          </cell>
          <cell r="R68">
            <v>0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532000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10000000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10000000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10000000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10000000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10000000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420000000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356504570</v>
          </cell>
          <cell r="J80">
            <v>403561172</v>
          </cell>
          <cell r="K80">
            <v>747533530</v>
          </cell>
          <cell r="L80">
            <v>526196559</v>
          </cell>
          <cell r="M80">
            <v>640305641</v>
          </cell>
          <cell r="N80">
            <v>541889172</v>
          </cell>
          <cell r="O80">
            <v>678991827</v>
          </cell>
          <cell r="P80">
            <v>7500000</v>
          </cell>
          <cell r="Q80">
            <v>2500000</v>
          </cell>
          <cell r="R80">
            <v>2500000</v>
          </cell>
        </row>
      </sheetData>
      <sheetData sheetId="9" refreshError="1">
        <row r="1">
          <cell r="T1">
            <v>4</v>
          </cell>
        </row>
      </sheetData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جدول کلی مددجوها"/>
      <sheetName val="1"/>
      <sheetName val="2"/>
      <sheetName val="3"/>
    </sheetNames>
    <sheetDataSet>
      <sheetData sheetId="0"/>
      <sheetData sheetId="1"/>
      <sheetData sheetId="2">
        <row r="5">
          <cell r="J5">
            <v>2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582" totalsRowShown="0" headerRowDxfId="14">
  <autoFilter ref="A1:M1582" xr:uid="{00000000-0009-0000-0100-000001000000}"/>
  <sortState xmlns:xlrd2="http://schemas.microsoft.com/office/spreadsheetml/2017/richdata2" ref="A2:L394">
    <sortCondition ref="I2:I394"/>
    <sortCondition ref="H2:H394"/>
  </sortState>
  <tableColumns count="13">
    <tableColumn id="1" xr3:uid="{00000000-0010-0000-0000-000001000000}" name="Column1"/>
    <tableColumn id="2" xr3:uid="{00000000-0010-0000-0000-000002000000}" name="ردیف" dataDxfId="13">
      <calculatedColumnFormula>SUMIFS('لیست واریزی کل خیرین'!B:B,'لیست واریزی کل خیرین'!D:D,Table1[[#This Row],[نام]],'لیست واریزی کل خیرین'!E:E,Table1[[#This Row],[نام خانوادگی]])</calculatedColumnFormula>
    </tableColumn>
    <tableColumn id="3" xr3:uid="{00000000-0010-0000-0000-000003000000}" name="نام" dataDxfId="12"/>
    <tableColumn id="4" xr3:uid="{00000000-0010-0000-0000-000004000000}" name="نام خانوادگی" dataDxfId="11"/>
    <tableColumn id="5" xr3:uid="{00000000-0010-0000-0000-000005000000}" name="تاریخ  واریزی" dataDxfId="10"/>
    <tableColumn id="6" xr3:uid="{00000000-0010-0000-0000-000006000000}" name="شماره کارت" dataDxfId="9"/>
    <tableColumn id="7" xr3:uid="{00000000-0010-0000-0000-000007000000}" name="ماه" dataDxfId="8"/>
    <tableColumn id="8" xr3:uid="{00000000-0010-0000-0000-000008000000}" name="Column2" dataDxfId="7">
      <calculatedColumnFormula>IF(G2="","",VLOOKUP(G2,mah,2,0))</calculatedColumnFormula>
    </tableColumn>
    <tableColumn id="9" xr3:uid="{00000000-0010-0000-0000-000009000000}" name="سال" dataDxfId="6"/>
    <tableColumn id="10" xr3:uid="{00000000-0010-0000-0000-00000A000000}" name="شماره فیش" dataDxfId="5"/>
    <tableColumn id="11" xr3:uid="{00000000-0010-0000-0000-00000B000000}" name="مبلغ واریزی" dataDxfId="4"/>
    <tableColumn id="12" xr3:uid="{00000000-0010-0000-0000-00000C000000}" name="توضیحات ‍‍‍‍" dataDxfId="3"/>
    <tableColumn id="13" xr3:uid="{00000000-0010-0000-0000-00000D000000}" name="Column3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hodakashi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rightToLeft="1" topLeftCell="B1" zoomScale="85" zoomScaleNormal="85" workbookViewId="0">
      <pane ySplit="1" topLeftCell="A2" activePane="bottomLeft" state="frozen"/>
      <selection activeCell="B1" sqref="B1"/>
      <selection pane="bottomLeft" activeCell="F36" sqref="F36"/>
    </sheetView>
  </sheetViews>
  <sheetFormatPr baseColWidth="10" defaultColWidth="9.1640625" defaultRowHeight="15"/>
  <cols>
    <col min="1" max="1" width="9.1640625" style="211"/>
    <col min="2" max="2" width="19.6640625" style="211" customWidth="1"/>
    <col min="3" max="3" width="9.1640625" style="211"/>
    <col min="4" max="4" width="15.1640625" style="211" customWidth="1"/>
    <col min="5" max="5" width="17.33203125" style="187" customWidth="1"/>
    <col min="6" max="6" width="14.83203125" style="211" customWidth="1"/>
    <col min="7" max="7" width="17.5" style="187" customWidth="1"/>
    <col min="8" max="8" width="13.33203125" style="219" customWidth="1"/>
    <col min="9" max="9" width="13.83203125" style="219" customWidth="1"/>
    <col min="10" max="11" width="13" style="219" customWidth="1"/>
    <col min="12" max="12" width="15.5" style="219" customWidth="1"/>
    <col min="13" max="13" width="13" style="219" customWidth="1"/>
    <col min="14" max="14" width="15" style="219" customWidth="1"/>
    <col min="15" max="15" width="15.33203125" style="219" customWidth="1"/>
    <col min="16" max="16384" width="9.1640625" style="211"/>
  </cols>
  <sheetData>
    <row r="1" spans="1:17" s="205" customFormat="1" ht="20" thickTop="1">
      <c r="A1" s="202"/>
      <c r="B1" s="203"/>
      <c r="C1" s="474" t="s">
        <v>750</v>
      </c>
      <c r="D1" s="475"/>
      <c r="E1" s="476"/>
      <c r="F1" s="474" t="s">
        <v>751</v>
      </c>
      <c r="G1" s="476"/>
      <c r="H1" s="477" t="s">
        <v>752</v>
      </c>
      <c r="I1" s="478"/>
      <c r="J1" s="477" t="s">
        <v>550</v>
      </c>
      <c r="K1" s="478"/>
      <c r="L1" s="477" t="s">
        <v>753</v>
      </c>
      <c r="M1" s="478"/>
      <c r="N1" s="477" t="s">
        <v>793</v>
      </c>
      <c r="O1" s="479"/>
      <c r="P1" s="204"/>
      <c r="Q1" s="204"/>
    </row>
    <row r="2" spans="1:17" s="207" customFormat="1" ht="34">
      <c r="A2" s="220" t="s">
        <v>341</v>
      </c>
      <c r="B2" s="221" t="s">
        <v>754</v>
      </c>
      <c r="C2" s="221" t="s">
        <v>755</v>
      </c>
      <c r="D2" s="221" t="s">
        <v>758</v>
      </c>
      <c r="E2" s="221" t="s">
        <v>756</v>
      </c>
      <c r="F2" s="221" t="s">
        <v>758</v>
      </c>
      <c r="G2" s="221" t="s">
        <v>756</v>
      </c>
      <c r="H2" s="222" t="s">
        <v>758</v>
      </c>
      <c r="I2" s="222" t="s">
        <v>756</v>
      </c>
      <c r="J2" s="222" t="s">
        <v>758</v>
      </c>
      <c r="K2" s="222" t="s">
        <v>756</v>
      </c>
      <c r="L2" s="222" t="s">
        <v>758</v>
      </c>
      <c r="M2" s="222" t="s">
        <v>756</v>
      </c>
      <c r="N2" s="222" t="s">
        <v>758</v>
      </c>
      <c r="O2" s="223" t="s">
        <v>756</v>
      </c>
      <c r="P2" s="206"/>
      <c r="Q2" s="206"/>
    </row>
    <row r="3" spans="1:17" ht="30" customHeight="1">
      <c r="A3" s="208">
        <v>1</v>
      </c>
      <c r="B3" s="225" t="s">
        <v>750</v>
      </c>
      <c r="C3" s="201" t="s">
        <v>757</v>
      </c>
      <c r="D3" s="209">
        <f>'لیست واریزی کل خیرین'!F13</f>
        <v>1090000000</v>
      </c>
      <c r="E3" s="201" t="s">
        <v>759</v>
      </c>
      <c r="F3" s="201"/>
      <c r="G3" s="201"/>
      <c r="H3" s="209"/>
      <c r="I3" s="209"/>
      <c r="J3" s="209"/>
      <c r="K3" s="209"/>
      <c r="L3" s="209"/>
      <c r="M3" s="209"/>
      <c r="N3" s="209"/>
      <c r="O3" s="210"/>
      <c r="P3" s="186"/>
      <c r="Q3" s="186"/>
    </row>
    <row r="4" spans="1:17" ht="30" customHeight="1">
      <c r="A4" s="208">
        <v>2</v>
      </c>
      <c r="B4" s="225" t="s">
        <v>766</v>
      </c>
      <c r="C4" s="201" t="s">
        <v>760</v>
      </c>
      <c r="D4" s="209">
        <f>'لیست واریزی کل خیرین'!F23</f>
        <v>460000000</v>
      </c>
      <c r="E4" s="201" t="s">
        <v>761</v>
      </c>
      <c r="F4" s="201"/>
      <c r="G4" s="201"/>
      <c r="H4" s="209"/>
      <c r="I4" s="209"/>
      <c r="J4" s="209"/>
      <c r="K4" s="209"/>
      <c r="L4" s="209"/>
      <c r="M4" s="209"/>
      <c r="N4" s="209"/>
      <c r="O4" s="210"/>
      <c r="P4" s="186"/>
      <c r="Q4" s="186"/>
    </row>
    <row r="5" spans="1:17" ht="30" customHeight="1">
      <c r="A5" s="208">
        <v>3</v>
      </c>
      <c r="B5" s="225" t="s">
        <v>762</v>
      </c>
      <c r="C5" s="201" t="s">
        <v>763</v>
      </c>
      <c r="D5" s="209">
        <f>'لیست واریزی کل خیرین'!F54</f>
        <v>5000000</v>
      </c>
      <c r="E5" s="201" t="s">
        <v>764</v>
      </c>
      <c r="F5" s="201"/>
      <c r="G5" s="201"/>
      <c r="H5" s="209"/>
      <c r="I5" s="209"/>
      <c r="J5" s="209"/>
      <c r="K5" s="209"/>
      <c r="L5" s="209"/>
      <c r="M5" s="209"/>
      <c r="N5" s="209"/>
      <c r="O5" s="210"/>
      <c r="P5" s="186"/>
      <c r="Q5" s="186"/>
    </row>
    <row r="6" spans="1:17">
      <c r="A6" s="208">
        <v>4</v>
      </c>
      <c r="B6" s="225" t="s">
        <v>765</v>
      </c>
      <c r="C6" s="201" t="s">
        <v>641</v>
      </c>
      <c r="D6" s="209">
        <f>'لیست واریزی کل خیرین'!F21</f>
        <v>120000000</v>
      </c>
      <c r="E6" s="201" t="s">
        <v>757</v>
      </c>
      <c r="F6" s="201"/>
      <c r="G6" s="201"/>
      <c r="H6" s="209"/>
      <c r="I6" s="209"/>
      <c r="J6" s="209"/>
      <c r="K6" s="209"/>
      <c r="L6" s="209"/>
      <c r="M6" s="209"/>
      <c r="N6" s="209"/>
      <c r="O6" s="210"/>
      <c r="P6" s="186"/>
      <c r="Q6" s="186"/>
    </row>
    <row r="7" spans="1:17">
      <c r="A7" s="208">
        <v>5</v>
      </c>
      <c r="B7" s="225" t="s">
        <v>767</v>
      </c>
      <c r="C7" s="201" t="s">
        <v>641</v>
      </c>
      <c r="D7" s="209">
        <f>'لیست واریزی کل خیرین'!F26</f>
        <v>100000000</v>
      </c>
      <c r="E7" s="201" t="s">
        <v>757</v>
      </c>
      <c r="F7" s="201"/>
      <c r="G7" s="201"/>
      <c r="H7" s="209"/>
      <c r="I7" s="209"/>
      <c r="J7" s="209"/>
      <c r="K7" s="209"/>
      <c r="L7" s="209"/>
      <c r="M7" s="209"/>
      <c r="N7" s="209"/>
      <c r="O7" s="210"/>
      <c r="P7" s="186"/>
      <c r="Q7" s="186"/>
    </row>
    <row r="8" spans="1:17">
      <c r="A8" s="208">
        <v>6</v>
      </c>
      <c r="B8" s="225" t="s">
        <v>530</v>
      </c>
      <c r="C8" s="201" t="s">
        <v>641</v>
      </c>
      <c r="D8" s="209">
        <f>'لیست واریزی کل خیرین'!F27</f>
        <v>30000000</v>
      </c>
      <c r="E8" s="201" t="s">
        <v>757</v>
      </c>
      <c r="F8" s="201"/>
      <c r="G8" s="201"/>
      <c r="H8" s="209"/>
      <c r="I8" s="209"/>
      <c r="J8" s="209"/>
      <c r="K8" s="209"/>
      <c r="L8" s="209"/>
      <c r="M8" s="209"/>
      <c r="N8" s="209"/>
      <c r="O8" s="210"/>
      <c r="P8" s="186"/>
      <c r="Q8" s="186"/>
    </row>
    <row r="9" spans="1:17">
      <c r="A9" s="208">
        <v>7</v>
      </c>
      <c r="B9" s="225" t="s">
        <v>768</v>
      </c>
      <c r="C9" s="201" t="s">
        <v>641</v>
      </c>
      <c r="D9" s="209">
        <f>'لیست واریزی کل خیرین'!F30</f>
        <v>40000000</v>
      </c>
      <c r="E9" s="201" t="s">
        <v>757</v>
      </c>
      <c r="F9" s="201"/>
      <c r="G9" s="201"/>
      <c r="H9" s="209"/>
      <c r="I9" s="209"/>
      <c r="J9" s="209"/>
      <c r="K9" s="209"/>
      <c r="L9" s="209"/>
      <c r="M9" s="209"/>
      <c r="N9" s="209"/>
      <c r="O9" s="210"/>
      <c r="P9" s="186"/>
      <c r="Q9" s="186"/>
    </row>
    <row r="10" spans="1:17">
      <c r="A10" s="208">
        <v>8</v>
      </c>
      <c r="B10" s="225" t="s">
        <v>769</v>
      </c>
      <c r="C10" s="201" t="s">
        <v>641</v>
      </c>
      <c r="D10" s="209">
        <f>'لیست واریزی کل خیرین'!F33</f>
        <v>10000000</v>
      </c>
      <c r="E10" s="201" t="s">
        <v>757</v>
      </c>
      <c r="F10" s="201"/>
      <c r="G10" s="201"/>
      <c r="H10" s="209"/>
      <c r="I10" s="209"/>
      <c r="J10" s="209"/>
      <c r="K10" s="209"/>
      <c r="L10" s="209"/>
      <c r="M10" s="209"/>
      <c r="N10" s="209"/>
      <c r="O10" s="210"/>
      <c r="P10" s="186"/>
      <c r="Q10" s="186"/>
    </row>
    <row r="11" spans="1:17">
      <c r="A11" s="208">
        <v>9</v>
      </c>
      <c r="B11" s="225" t="s">
        <v>770</v>
      </c>
      <c r="C11" s="201" t="s">
        <v>641</v>
      </c>
      <c r="D11" s="209">
        <f>'لیست واریزی کل خیرین'!F34</f>
        <v>5000000</v>
      </c>
      <c r="E11" s="201" t="s">
        <v>757</v>
      </c>
      <c r="F11" s="201"/>
      <c r="G11" s="201"/>
      <c r="H11" s="209"/>
      <c r="I11" s="209"/>
      <c r="J11" s="209"/>
      <c r="K11" s="209"/>
      <c r="L11" s="209"/>
      <c r="M11" s="209"/>
      <c r="N11" s="209"/>
      <c r="O11" s="210"/>
      <c r="P11" s="186"/>
      <c r="Q11" s="186"/>
    </row>
    <row r="12" spans="1:17">
      <c r="A12" s="208">
        <v>10</v>
      </c>
      <c r="B12" s="225" t="s">
        <v>771</v>
      </c>
      <c r="C12" s="201" t="s">
        <v>641</v>
      </c>
      <c r="D12" s="209">
        <f>'لیست واریزی کل خیرین'!F35</f>
        <v>10000000</v>
      </c>
      <c r="E12" s="201" t="s">
        <v>757</v>
      </c>
      <c r="F12" s="201"/>
      <c r="G12" s="201"/>
      <c r="H12" s="209"/>
      <c r="I12" s="209"/>
      <c r="J12" s="209"/>
      <c r="K12" s="209"/>
      <c r="L12" s="209"/>
      <c r="M12" s="209"/>
      <c r="N12" s="209"/>
      <c r="O12" s="210"/>
      <c r="P12" s="186"/>
      <c r="Q12" s="186"/>
    </row>
    <row r="13" spans="1:17">
      <c r="A13" s="208">
        <v>11</v>
      </c>
      <c r="B13" s="225" t="s">
        <v>772</v>
      </c>
      <c r="C13" s="201" t="s">
        <v>641</v>
      </c>
      <c r="D13" s="209">
        <f>'لیست واریزی کل خیرین'!F36</f>
        <v>110000000</v>
      </c>
      <c r="E13" s="201" t="s">
        <v>757</v>
      </c>
      <c r="F13" s="201"/>
      <c r="G13" s="201"/>
      <c r="H13" s="209"/>
      <c r="I13" s="209"/>
      <c r="J13" s="209"/>
      <c r="K13" s="209"/>
      <c r="L13" s="209"/>
      <c r="M13" s="209"/>
      <c r="N13" s="209"/>
      <c r="O13" s="210"/>
      <c r="P13" s="186"/>
      <c r="Q13" s="186"/>
    </row>
    <row r="14" spans="1:17" ht="44.25" customHeight="1">
      <c r="A14" s="208">
        <v>12</v>
      </c>
      <c r="B14" s="228" t="s">
        <v>751</v>
      </c>
      <c r="C14" s="201" t="s">
        <v>757</v>
      </c>
      <c r="D14" s="209"/>
      <c r="E14" s="201"/>
      <c r="F14" s="209">
        <f>'لیست واریزی کل خیرین'!J4</f>
        <v>397500000</v>
      </c>
      <c r="G14" s="201" t="s">
        <v>777</v>
      </c>
      <c r="H14" s="209"/>
      <c r="I14" s="209"/>
      <c r="J14" s="209"/>
      <c r="K14" s="209"/>
      <c r="L14" s="209"/>
      <c r="M14" s="209"/>
      <c r="N14" s="209"/>
      <c r="O14" s="210"/>
      <c r="P14" s="186"/>
      <c r="Q14" s="186"/>
    </row>
    <row r="15" spans="1:17" ht="24">
      <c r="A15" s="208">
        <v>13</v>
      </c>
      <c r="B15" s="228" t="s">
        <v>778</v>
      </c>
      <c r="C15" s="201" t="s">
        <v>760</v>
      </c>
      <c r="D15" s="209"/>
      <c r="E15" s="201"/>
      <c r="F15" s="209">
        <f>'لیست واریزی کل خیرین'!F11</f>
        <v>70000000</v>
      </c>
      <c r="G15" s="201" t="s">
        <v>781</v>
      </c>
      <c r="H15" s="209"/>
      <c r="I15" s="209"/>
      <c r="J15" s="209"/>
      <c r="K15" s="209"/>
      <c r="L15" s="209"/>
      <c r="M15" s="209"/>
      <c r="N15" s="209"/>
      <c r="O15" s="210"/>
      <c r="P15" s="186"/>
      <c r="Q15" s="186"/>
    </row>
    <row r="16" spans="1:17" ht="36">
      <c r="A16" s="208">
        <v>14</v>
      </c>
      <c r="B16" s="228" t="s">
        <v>779</v>
      </c>
      <c r="C16" s="201" t="s">
        <v>641</v>
      </c>
      <c r="D16" s="209"/>
      <c r="E16" s="201"/>
      <c r="F16" s="209">
        <f>'لیست واریزی کل خیرین'!F28</f>
        <v>470000000</v>
      </c>
      <c r="G16" s="201" t="s">
        <v>780</v>
      </c>
      <c r="H16" s="209"/>
      <c r="I16" s="209"/>
      <c r="J16" s="209"/>
      <c r="K16" s="209"/>
      <c r="L16" s="209"/>
      <c r="M16" s="209"/>
      <c r="N16" s="209"/>
      <c r="O16" s="210"/>
      <c r="P16" s="186"/>
      <c r="Q16" s="186"/>
    </row>
    <row r="17" spans="1:17" ht="24">
      <c r="A17" s="208">
        <v>15</v>
      </c>
      <c r="B17" s="228" t="s">
        <v>782</v>
      </c>
      <c r="C17" s="201" t="s">
        <v>641</v>
      </c>
      <c r="D17" s="209"/>
      <c r="E17" s="201"/>
      <c r="F17" s="209">
        <f>'لیست واریزی کل خیرین'!F39</f>
        <v>490000000</v>
      </c>
      <c r="G17" s="201" t="s">
        <v>783</v>
      </c>
      <c r="H17" s="209"/>
      <c r="I17" s="209"/>
      <c r="J17" s="209"/>
      <c r="K17" s="209"/>
      <c r="L17" s="209"/>
      <c r="M17" s="209"/>
      <c r="N17" s="209"/>
      <c r="O17" s="210"/>
      <c r="P17" s="186"/>
      <c r="Q17" s="186"/>
    </row>
    <row r="18" spans="1:17">
      <c r="A18" s="208">
        <v>16</v>
      </c>
      <c r="B18" s="228" t="s">
        <v>784</v>
      </c>
      <c r="C18" s="201" t="s">
        <v>641</v>
      </c>
      <c r="D18" s="209"/>
      <c r="E18" s="201"/>
      <c r="F18" s="209">
        <f>'لیست واریزی کل خیرین'!F41</f>
        <v>12000000</v>
      </c>
      <c r="G18" s="201"/>
      <c r="H18" s="209"/>
      <c r="I18" s="209"/>
      <c r="J18" s="209"/>
      <c r="K18" s="209"/>
      <c r="L18" s="209"/>
      <c r="M18" s="209"/>
      <c r="N18" s="209"/>
      <c r="O18" s="210"/>
      <c r="P18" s="186"/>
      <c r="Q18" s="186"/>
    </row>
    <row r="19" spans="1:17" ht="48">
      <c r="A19" s="208">
        <v>17</v>
      </c>
      <c r="B19" s="228" t="s">
        <v>786</v>
      </c>
      <c r="C19" s="201" t="s">
        <v>641</v>
      </c>
      <c r="D19" s="209"/>
      <c r="E19" s="201"/>
      <c r="F19" s="209">
        <f>'لیست واریزی کل خیرین'!F43</f>
        <v>250000000</v>
      </c>
      <c r="G19" s="201" t="s">
        <v>787</v>
      </c>
      <c r="H19" s="209"/>
      <c r="I19" s="209"/>
      <c r="J19" s="209"/>
      <c r="K19" s="209"/>
      <c r="L19" s="209"/>
      <c r="M19" s="209"/>
      <c r="N19" s="209"/>
      <c r="O19" s="210"/>
      <c r="P19" s="186"/>
      <c r="Q19" s="186"/>
    </row>
    <row r="20" spans="1:17">
      <c r="A20" s="208">
        <v>18</v>
      </c>
      <c r="B20" s="228" t="s">
        <v>788</v>
      </c>
      <c r="C20" s="201" t="s">
        <v>641</v>
      </c>
      <c r="D20" s="209"/>
      <c r="E20" s="201"/>
      <c r="F20" s="209">
        <f>'لیست واریزی کل خیرین'!F45</f>
        <v>51175000</v>
      </c>
      <c r="G20" s="201"/>
      <c r="H20" s="209"/>
      <c r="I20" s="209"/>
      <c r="J20" s="209"/>
      <c r="K20" s="209"/>
      <c r="L20" s="209"/>
      <c r="M20" s="209"/>
      <c r="N20" s="209"/>
      <c r="O20" s="210"/>
      <c r="P20" s="186"/>
      <c r="Q20" s="186"/>
    </row>
    <row r="21" spans="1:17">
      <c r="A21" s="208">
        <v>19</v>
      </c>
      <c r="B21" s="228" t="s">
        <v>789</v>
      </c>
      <c r="C21" s="201" t="s">
        <v>641</v>
      </c>
      <c r="D21" s="209"/>
      <c r="E21" s="201"/>
      <c r="F21" s="209">
        <f>'لیست واریزی کل خیرین'!F47</f>
        <v>15000000</v>
      </c>
      <c r="G21" s="201"/>
      <c r="H21" s="209"/>
      <c r="I21" s="209"/>
      <c r="J21" s="209"/>
      <c r="K21" s="209"/>
      <c r="L21" s="209"/>
      <c r="M21" s="209"/>
      <c r="N21" s="209"/>
      <c r="O21" s="210"/>
      <c r="P21" s="186"/>
      <c r="Q21" s="186"/>
    </row>
    <row r="22" spans="1:17">
      <c r="A22" s="208">
        <v>20</v>
      </c>
      <c r="B22" s="228" t="s">
        <v>790</v>
      </c>
      <c r="C22" s="201" t="s">
        <v>641</v>
      </c>
      <c r="D22" s="201"/>
      <c r="E22" s="201"/>
      <c r="F22" s="209">
        <f>'لیست واریزی کل خیرین'!F48</f>
        <v>20000000</v>
      </c>
      <c r="G22" s="200"/>
      <c r="H22" s="212"/>
      <c r="I22" s="212"/>
      <c r="J22" s="212"/>
      <c r="K22" s="212"/>
      <c r="L22" s="212"/>
      <c r="M22" s="212"/>
      <c r="N22" s="212"/>
      <c r="O22" s="210"/>
      <c r="P22" s="186"/>
      <c r="Q22" s="186"/>
    </row>
    <row r="23" spans="1:17" ht="24">
      <c r="A23" s="208"/>
      <c r="B23" s="228" t="s">
        <v>799</v>
      </c>
      <c r="C23" s="201" t="s">
        <v>641</v>
      </c>
      <c r="D23" s="201"/>
      <c r="E23" s="201"/>
      <c r="F23" s="209" t="s">
        <v>800</v>
      </c>
      <c r="G23" s="201" t="s">
        <v>801</v>
      </c>
      <c r="H23" s="212"/>
      <c r="I23" s="212"/>
      <c r="J23" s="212"/>
      <c r="K23" s="212"/>
      <c r="L23" s="212"/>
      <c r="M23" s="212"/>
      <c r="N23" s="212"/>
      <c r="O23" s="210"/>
      <c r="P23" s="186"/>
      <c r="Q23" s="186"/>
    </row>
    <row r="24" spans="1:17">
      <c r="A24" s="208">
        <v>21</v>
      </c>
      <c r="B24" s="228" t="s">
        <v>791</v>
      </c>
      <c r="C24" s="201" t="s">
        <v>641</v>
      </c>
      <c r="D24" s="209"/>
      <c r="E24" s="200"/>
      <c r="F24" s="209">
        <v>250000000</v>
      </c>
      <c r="G24" s="200"/>
      <c r="H24" s="212"/>
      <c r="I24" s="212"/>
      <c r="J24" s="212"/>
      <c r="K24" s="212"/>
      <c r="L24" s="212"/>
      <c r="M24" s="212"/>
      <c r="N24" s="212"/>
      <c r="O24" s="210"/>
      <c r="P24" s="186"/>
      <c r="Q24" s="186"/>
    </row>
    <row r="25" spans="1:17">
      <c r="A25" s="208">
        <v>22</v>
      </c>
      <c r="B25" s="229" t="s">
        <v>752</v>
      </c>
      <c r="C25" s="201" t="s">
        <v>757</v>
      </c>
      <c r="D25" s="201"/>
      <c r="E25" s="201"/>
      <c r="F25" s="201"/>
      <c r="G25" s="201"/>
      <c r="H25" s="209">
        <f>'لیست واریزی کل خیرین'!F5</f>
        <v>250000000</v>
      </c>
      <c r="I25" s="213"/>
      <c r="J25" s="213"/>
      <c r="K25" s="213"/>
      <c r="L25" s="213"/>
      <c r="M25" s="213"/>
      <c r="N25" s="213"/>
      <c r="O25" s="214"/>
    </row>
    <row r="26" spans="1:17">
      <c r="A26" s="208">
        <v>23</v>
      </c>
      <c r="B26" s="229" t="s">
        <v>792</v>
      </c>
      <c r="C26" s="201" t="s">
        <v>641</v>
      </c>
      <c r="D26" s="201"/>
      <c r="E26" s="201"/>
      <c r="F26" s="201"/>
      <c r="G26" s="201"/>
      <c r="H26" s="209">
        <v>23000000</v>
      </c>
      <c r="I26" s="212"/>
      <c r="J26" s="212"/>
      <c r="K26" s="212"/>
      <c r="L26" s="212"/>
      <c r="M26" s="212"/>
      <c r="N26" s="212"/>
      <c r="O26" s="210"/>
      <c r="P26" s="186"/>
      <c r="Q26" s="186"/>
    </row>
    <row r="27" spans="1:17" ht="36">
      <c r="A27" s="208">
        <v>24</v>
      </c>
      <c r="B27" s="227" t="s">
        <v>550</v>
      </c>
      <c r="C27" s="201" t="s">
        <v>757</v>
      </c>
      <c r="D27" s="201"/>
      <c r="E27" s="201"/>
      <c r="F27" s="201"/>
      <c r="G27" s="201"/>
      <c r="H27" s="201"/>
      <c r="I27" s="201"/>
      <c r="J27" s="209">
        <f>'لیست واریزی کل خیرین'!F9</f>
        <v>42000000</v>
      </c>
      <c r="K27" s="201" t="s">
        <v>794</v>
      </c>
      <c r="L27" s="212"/>
      <c r="M27" s="212"/>
      <c r="N27" s="212"/>
      <c r="O27" s="210"/>
      <c r="P27" s="186"/>
      <c r="Q27" s="186"/>
    </row>
    <row r="28" spans="1:17">
      <c r="A28" s="208">
        <v>25</v>
      </c>
      <c r="B28" s="227" t="s">
        <v>795</v>
      </c>
      <c r="C28" s="201" t="s">
        <v>549</v>
      </c>
      <c r="D28" s="201"/>
      <c r="E28" s="201"/>
      <c r="F28" s="201"/>
      <c r="G28" s="201"/>
      <c r="H28" s="201"/>
      <c r="I28" s="201"/>
      <c r="J28" s="209">
        <f>'لیست واریزی کل خیرین'!F32</f>
        <v>10000000</v>
      </c>
      <c r="K28" s="201"/>
      <c r="L28" s="212"/>
      <c r="M28" s="212"/>
      <c r="N28" s="212"/>
      <c r="O28" s="210"/>
      <c r="P28" s="186"/>
      <c r="Q28" s="186"/>
    </row>
    <row r="29" spans="1:17" ht="42" customHeight="1">
      <c r="A29" s="208">
        <v>26</v>
      </c>
      <c r="B29" s="230" t="s">
        <v>753</v>
      </c>
      <c r="C29" s="201" t="s">
        <v>757</v>
      </c>
      <c r="D29" s="201"/>
      <c r="E29" s="201"/>
      <c r="F29" s="201"/>
      <c r="G29" s="201"/>
      <c r="H29" s="201"/>
      <c r="I29" s="201"/>
      <c r="J29" s="209"/>
      <c r="K29" s="201"/>
      <c r="L29" s="209">
        <f>'لیست واریزی کل خیرین'!F44</f>
        <v>20000000</v>
      </c>
      <c r="M29" s="201" t="s">
        <v>764</v>
      </c>
      <c r="N29" s="212"/>
      <c r="O29" s="210"/>
      <c r="P29" s="186"/>
      <c r="Q29" s="186"/>
    </row>
    <row r="30" spans="1:17" ht="24">
      <c r="A30" s="208">
        <v>27</v>
      </c>
      <c r="B30" s="224" t="s">
        <v>793</v>
      </c>
      <c r="C30" s="201" t="s">
        <v>757</v>
      </c>
      <c r="D30" s="201"/>
      <c r="E30" s="201"/>
      <c r="F30" s="201"/>
      <c r="G30" s="201"/>
      <c r="H30" s="201"/>
      <c r="I30" s="201"/>
      <c r="J30" s="209"/>
      <c r="K30" s="201"/>
      <c r="L30" s="212"/>
      <c r="M30" s="212"/>
      <c r="N30" s="209">
        <f>'لیست واریزی کل خیرین'!F6</f>
        <v>300000000</v>
      </c>
      <c r="O30" s="201" t="s">
        <v>797</v>
      </c>
      <c r="P30" s="186"/>
      <c r="Q30" s="186"/>
    </row>
    <row r="31" spans="1:17">
      <c r="A31" s="208">
        <v>28</v>
      </c>
      <c r="B31" s="224" t="s">
        <v>796</v>
      </c>
      <c r="C31" s="201" t="s">
        <v>641</v>
      </c>
      <c r="D31" s="201"/>
      <c r="E31" s="201"/>
      <c r="F31" s="201"/>
      <c r="G31" s="201"/>
      <c r="H31" s="201"/>
      <c r="I31" s="201"/>
      <c r="J31" s="209"/>
      <c r="K31" s="201"/>
      <c r="L31" s="212"/>
      <c r="M31" s="212"/>
      <c r="N31" s="209">
        <f>'لیست واریزی کل خیرین'!F42</f>
        <v>32000000</v>
      </c>
      <c r="O31" s="210"/>
      <c r="P31" s="186"/>
      <c r="Q31" s="186"/>
    </row>
    <row r="32" spans="1:17" ht="26" thickBot="1">
      <c r="A32" s="215"/>
      <c r="B32" s="233" t="s">
        <v>798</v>
      </c>
      <c r="C32" s="226"/>
      <c r="D32" s="231">
        <f>SUM(D3:D13)</f>
        <v>1980000000</v>
      </c>
      <c r="E32" s="232"/>
      <c r="F32" s="231">
        <f>SUM(F3:F31)</f>
        <v>2025675000</v>
      </c>
      <c r="G32" s="232"/>
      <c r="H32" s="231">
        <f>SUM(H3:H31)</f>
        <v>273000000</v>
      </c>
      <c r="I32" s="232"/>
      <c r="J32" s="231">
        <f>SUM(J3:J31)</f>
        <v>52000000</v>
      </c>
      <c r="K32" s="232"/>
      <c r="L32" s="231">
        <f>SUM(L3:L31)</f>
        <v>20000000</v>
      </c>
      <c r="M32" s="231"/>
      <c r="N32" s="231">
        <f>SUM(N3:N31)</f>
        <v>332000000</v>
      </c>
      <c r="O32" s="216"/>
      <c r="P32" s="186"/>
      <c r="Q32" s="186"/>
    </row>
    <row r="33" spans="1:17" ht="16" thickTop="1">
      <c r="A33" s="186"/>
      <c r="B33" s="186"/>
      <c r="C33" s="186"/>
      <c r="D33" s="217"/>
      <c r="E33" s="186"/>
      <c r="F33" s="186"/>
      <c r="G33" s="186"/>
      <c r="H33" s="218"/>
      <c r="I33" s="218"/>
      <c r="J33" s="218"/>
      <c r="K33" s="218"/>
      <c r="L33" s="218"/>
      <c r="M33" s="218"/>
      <c r="N33" s="218"/>
      <c r="O33" s="218"/>
      <c r="P33" s="186"/>
      <c r="Q33" s="186"/>
    </row>
    <row r="34" spans="1:17">
      <c r="A34" s="186"/>
      <c r="B34" s="186"/>
      <c r="C34" s="186"/>
      <c r="D34" s="217"/>
      <c r="E34" s="186"/>
      <c r="F34" s="186"/>
      <c r="G34" s="186"/>
      <c r="H34" s="218"/>
      <c r="I34" s="218"/>
      <c r="J34" s="218"/>
      <c r="K34" s="218"/>
      <c r="L34" s="218"/>
      <c r="M34" s="218"/>
      <c r="N34" s="218"/>
      <c r="O34" s="218"/>
      <c r="P34" s="186"/>
      <c r="Q34" s="186"/>
    </row>
    <row r="35" spans="1:17">
      <c r="A35" s="186"/>
      <c r="B35" s="186"/>
      <c r="C35" s="186"/>
      <c r="D35" s="186"/>
      <c r="E35" s="186"/>
      <c r="F35" s="186"/>
      <c r="G35" s="186"/>
      <c r="H35" s="218"/>
      <c r="I35" s="218"/>
      <c r="J35" s="218"/>
      <c r="K35" s="218"/>
      <c r="L35" s="218"/>
      <c r="M35" s="218"/>
      <c r="N35" s="218"/>
      <c r="O35" s="218"/>
      <c r="P35" s="186"/>
      <c r="Q35" s="186"/>
    </row>
    <row r="36" spans="1:17">
      <c r="A36" s="186"/>
      <c r="B36" s="186"/>
      <c r="C36" s="186"/>
      <c r="D36" s="186"/>
      <c r="E36" s="186"/>
      <c r="F36" s="186"/>
      <c r="G36" s="186"/>
      <c r="H36" s="218"/>
      <c r="I36" s="218"/>
      <c r="J36" s="218"/>
      <c r="K36" s="218"/>
      <c r="L36" s="218"/>
      <c r="M36" s="218"/>
      <c r="N36" s="218"/>
      <c r="O36" s="218"/>
      <c r="P36" s="186"/>
      <c r="Q36" s="186"/>
    </row>
    <row r="37" spans="1:17">
      <c r="A37" s="186"/>
      <c r="B37" s="186"/>
      <c r="C37" s="186"/>
      <c r="D37" s="186"/>
      <c r="E37" s="186"/>
      <c r="F37" s="186"/>
      <c r="G37" s="186"/>
      <c r="H37" s="218"/>
      <c r="I37" s="218"/>
      <c r="J37" s="218"/>
      <c r="K37" s="218"/>
      <c r="L37" s="218"/>
      <c r="M37" s="218"/>
      <c r="N37" s="218"/>
      <c r="O37" s="218"/>
      <c r="P37" s="186"/>
      <c r="Q37" s="186"/>
    </row>
    <row r="38" spans="1:17">
      <c r="A38" s="186"/>
      <c r="B38" s="186"/>
      <c r="C38" s="186"/>
      <c r="D38" s="186"/>
      <c r="E38" s="186"/>
      <c r="F38" s="186"/>
      <c r="G38" s="186"/>
      <c r="H38" s="218"/>
      <c r="I38" s="218"/>
      <c r="J38" s="218"/>
      <c r="K38" s="218"/>
      <c r="L38" s="218"/>
      <c r="M38" s="218"/>
      <c r="N38" s="218"/>
      <c r="O38" s="218"/>
      <c r="P38" s="186"/>
      <c r="Q38" s="186"/>
    </row>
    <row r="39" spans="1:17">
      <c r="A39" s="186"/>
      <c r="B39" s="186"/>
      <c r="C39" s="186"/>
      <c r="D39" s="217">
        <f>SUM(D3:D13)</f>
        <v>1980000000</v>
      </c>
      <c r="E39" s="186"/>
      <c r="F39" s="218">
        <f>SUM(F14:F24)</f>
        <v>2025675000</v>
      </c>
      <c r="G39" s="186"/>
      <c r="H39" s="218"/>
      <c r="I39" s="218"/>
      <c r="J39" s="218"/>
      <c r="K39" s="218"/>
      <c r="L39" s="218"/>
      <c r="M39" s="218"/>
      <c r="N39" s="218"/>
      <c r="O39" s="218"/>
      <c r="P39" s="186"/>
      <c r="Q39" s="186"/>
    </row>
    <row r="40" spans="1:17">
      <c r="A40" s="186"/>
      <c r="B40" s="186"/>
      <c r="C40" s="186"/>
      <c r="D40" s="186"/>
      <c r="E40" s="186"/>
      <c r="F40" s="186"/>
      <c r="G40" s="186"/>
      <c r="H40" s="218"/>
      <c r="I40" s="218"/>
      <c r="J40" s="218"/>
      <c r="K40" s="218"/>
      <c r="L40" s="218"/>
      <c r="M40" s="218"/>
      <c r="N40" s="218"/>
      <c r="O40" s="218"/>
      <c r="P40" s="186"/>
      <c r="Q40" s="186"/>
    </row>
  </sheetData>
  <mergeCells count="6">
    <mergeCell ref="C1:E1"/>
    <mergeCell ref="F1:G1"/>
    <mergeCell ref="H1:I1"/>
    <mergeCell ref="J1:K1"/>
    <mergeCell ref="N1:O1"/>
    <mergeCell ref="L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opLeftCell="D1" workbookViewId="0">
      <selection sqref="A1:F1"/>
    </sheetView>
  </sheetViews>
  <sheetFormatPr baseColWidth="10" defaultColWidth="14.5" defaultRowHeight="15" customHeight="1"/>
  <cols>
    <col min="1" max="1" width="3.5" customWidth="1"/>
    <col min="2" max="2" width="2.5" customWidth="1"/>
    <col min="3" max="3" width="6.5" customWidth="1"/>
    <col min="4" max="4" width="4.6640625" customWidth="1"/>
    <col min="5" max="5" width="5.83203125" customWidth="1"/>
    <col min="6" max="6" width="10.33203125" customWidth="1"/>
    <col min="7" max="7" width="13.33203125" customWidth="1"/>
    <col min="8" max="8" width="5" customWidth="1"/>
    <col min="9" max="9" width="11" customWidth="1"/>
    <col min="10" max="10" width="13.6640625" customWidth="1"/>
    <col min="11" max="11" width="7.6640625" customWidth="1"/>
    <col min="12" max="12" width="5.5" customWidth="1"/>
    <col min="13" max="13" width="6.83203125" customWidth="1"/>
    <col min="14" max="14" width="18.33203125" customWidth="1"/>
    <col min="15" max="17" width="9.1640625" customWidth="1"/>
    <col min="18" max="18" width="9.5" customWidth="1"/>
    <col min="19" max="19" width="7.83203125" hidden="1" customWidth="1"/>
    <col min="20" max="23" width="9.1640625" hidden="1" customWidth="1"/>
  </cols>
  <sheetData>
    <row r="1" spans="1:23" ht="45.75" customHeight="1">
      <c r="A1" s="485" t="s">
        <v>0</v>
      </c>
      <c r="B1" s="486"/>
      <c r="C1" s="486"/>
      <c r="D1" s="486"/>
      <c r="E1" s="486"/>
      <c r="F1" s="486"/>
      <c r="G1" s="1"/>
      <c r="H1" s="1"/>
      <c r="I1" s="1"/>
      <c r="J1" s="2"/>
      <c r="K1" s="487" t="s">
        <v>1</v>
      </c>
      <c r="L1" s="486"/>
      <c r="M1" s="486"/>
      <c r="N1" s="488"/>
      <c r="Q1" s="3">
        <v>1</v>
      </c>
      <c r="W1" s="4">
        <v>1377</v>
      </c>
    </row>
    <row r="2" spans="1:23" ht="21" customHeight="1">
      <c r="A2" s="489"/>
      <c r="B2" s="484"/>
      <c r="C2" s="5"/>
      <c r="D2" s="6"/>
      <c r="E2" s="6"/>
      <c r="F2" s="7"/>
      <c r="G2" s="7"/>
      <c r="H2" s="7"/>
      <c r="I2" s="7"/>
      <c r="J2" s="8"/>
      <c r="K2" s="490"/>
      <c r="L2" s="484"/>
      <c r="M2" s="484"/>
      <c r="N2" s="9"/>
      <c r="W2" s="4">
        <v>1378</v>
      </c>
    </row>
    <row r="3" spans="1:23" ht="15.75" customHeight="1">
      <c r="A3" s="10"/>
      <c r="B3" s="11"/>
      <c r="C3" s="12">
        <v>1401</v>
      </c>
      <c r="D3" s="12">
        <v>2</v>
      </c>
      <c r="E3" s="12">
        <v>2</v>
      </c>
      <c r="F3" s="13" t="s">
        <v>2</v>
      </c>
      <c r="G3" s="14"/>
      <c r="H3" s="14"/>
      <c r="I3" s="13" t="s">
        <v>3</v>
      </c>
      <c r="J3" s="15" t="s">
        <v>4</v>
      </c>
      <c r="K3" s="491" t="str">
        <f>HLOOKUP(Q1,etela,2,0)</f>
        <v>ریحانه نوری شفیق</v>
      </c>
      <c r="L3" s="492"/>
      <c r="M3" s="492"/>
      <c r="N3" s="16" t="s">
        <v>5</v>
      </c>
      <c r="S3" s="17" t="s">
        <v>3</v>
      </c>
      <c r="T3" s="4">
        <v>1400</v>
      </c>
      <c r="U3" s="4">
        <v>1</v>
      </c>
      <c r="V3" s="4">
        <v>1</v>
      </c>
      <c r="W3" s="4">
        <v>1379</v>
      </c>
    </row>
    <row r="4" spans="1:23" ht="15.75" customHeight="1">
      <c r="A4" s="480" t="s">
        <v>6</v>
      </c>
      <c r="B4" s="481"/>
      <c r="C4" s="481"/>
      <c r="D4" s="481"/>
      <c r="E4" s="481"/>
      <c r="F4" s="18" t="s">
        <v>7</v>
      </c>
      <c r="G4" s="18"/>
      <c r="H4" s="18"/>
      <c r="I4" s="18"/>
      <c r="J4" s="18"/>
      <c r="K4" s="19" t="s">
        <v>8</v>
      </c>
      <c r="L4" s="19">
        <v>2</v>
      </c>
      <c r="M4" s="19">
        <v>1</v>
      </c>
      <c r="N4" s="20" t="s">
        <v>9</v>
      </c>
      <c r="S4" s="17" t="s">
        <v>10</v>
      </c>
      <c r="T4" s="4">
        <v>1401</v>
      </c>
      <c r="U4" s="4">
        <v>2</v>
      </c>
      <c r="V4" s="4">
        <v>2</v>
      </c>
      <c r="W4" s="4">
        <v>1380</v>
      </c>
    </row>
    <row r="5" spans="1:23" ht="15.75" customHeight="1">
      <c r="A5" s="480" t="s">
        <v>11</v>
      </c>
      <c r="B5" s="481"/>
      <c r="C5" s="481"/>
      <c r="D5" s="481"/>
      <c r="E5" s="481"/>
      <c r="F5" s="18" t="s">
        <v>12</v>
      </c>
      <c r="G5" s="18"/>
      <c r="H5" s="482"/>
      <c r="I5" s="481"/>
      <c r="J5" s="21" t="s">
        <v>13</v>
      </c>
      <c r="K5" s="482" t="s">
        <v>14</v>
      </c>
      <c r="L5" s="481"/>
      <c r="M5" s="481"/>
      <c r="N5" s="22" t="s">
        <v>15</v>
      </c>
      <c r="S5" s="17" t="s">
        <v>16</v>
      </c>
      <c r="T5" s="4">
        <v>1402</v>
      </c>
      <c r="U5" s="4">
        <v>3</v>
      </c>
      <c r="V5" s="4">
        <v>3</v>
      </c>
      <c r="W5" s="4">
        <v>1381</v>
      </c>
    </row>
    <row r="6" spans="1:23" ht="15.75" customHeight="1">
      <c r="A6" s="23"/>
      <c r="B6" s="24"/>
      <c r="C6" s="24"/>
      <c r="D6" s="18"/>
      <c r="E6" s="18"/>
      <c r="F6" s="18"/>
      <c r="G6" s="18"/>
      <c r="H6" s="18"/>
      <c r="I6" s="18"/>
      <c r="J6" s="18"/>
      <c r="K6" s="482" t="s">
        <v>14</v>
      </c>
      <c r="L6" s="481"/>
      <c r="M6" s="481"/>
      <c r="N6" s="20" t="s">
        <v>17</v>
      </c>
      <c r="S6" s="17" t="s">
        <v>18</v>
      </c>
      <c r="T6" s="4">
        <v>1403</v>
      </c>
      <c r="U6" s="4">
        <v>4</v>
      </c>
      <c r="V6" s="4">
        <v>4</v>
      </c>
      <c r="W6" s="4">
        <v>1382</v>
      </c>
    </row>
    <row r="7" spans="1:23" ht="15.75" customHeight="1">
      <c r="A7" s="480" t="s">
        <v>19</v>
      </c>
      <c r="B7" s="481"/>
      <c r="C7" s="481"/>
      <c r="D7" s="481"/>
      <c r="E7" s="481"/>
      <c r="F7" s="481"/>
      <c r="G7" s="481"/>
      <c r="H7" s="481"/>
      <c r="I7" s="481"/>
      <c r="J7" s="481"/>
      <c r="K7" s="481"/>
      <c r="L7" s="481"/>
      <c r="M7" s="481"/>
      <c r="N7" s="22" t="s">
        <v>20</v>
      </c>
      <c r="T7" s="4">
        <v>1404</v>
      </c>
      <c r="U7" s="4">
        <v>5</v>
      </c>
      <c r="V7" s="4">
        <v>5</v>
      </c>
      <c r="W7" s="4">
        <v>1383</v>
      </c>
    </row>
    <row r="8" spans="1:23" ht="15.75" customHeight="1">
      <c r="A8" s="25"/>
      <c r="B8" s="18"/>
      <c r="C8" s="18"/>
      <c r="D8" s="18"/>
      <c r="E8" s="18"/>
      <c r="F8" s="18"/>
      <c r="G8" s="18"/>
      <c r="H8" s="18"/>
      <c r="I8" s="18"/>
      <c r="J8" s="18"/>
      <c r="K8" s="482" t="s">
        <v>21</v>
      </c>
      <c r="L8" s="481"/>
      <c r="M8" s="481"/>
      <c r="N8" s="20" t="s">
        <v>22</v>
      </c>
      <c r="T8" s="4">
        <v>1405</v>
      </c>
      <c r="U8" s="4">
        <v>6</v>
      </c>
      <c r="V8" s="4">
        <v>6</v>
      </c>
      <c r="W8" s="4">
        <v>1384</v>
      </c>
    </row>
    <row r="9" spans="1:23" ht="15.75" customHeight="1">
      <c r="A9" s="480" t="s">
        <v>6</v>
      </c>
      <c r="B9" s="481"/>
      <c r="C9" s="481"/>
      <c r="D9" s="481"/>
      <c r="E9" s="481"/>
      <c r="F9" s="18" t="s">
        <v>23</v>
      </c>
      <c r="G9" s="18"/>
      <c r="H9" s="18"/>
      <c r="I9" s="18"/>
      <c r="J9" s="18"/>
      <c r="K9" s="482" t="s">
        <v>21</v>
      </c>
      <c r="L9" s="481"/>
      <c r="M9" s="481"/>
      <c r="N9" s="20" t="s">
        <v>24</v>
      </c>
      <c r="T9" s="4">
        <v>1406</v>
      </c>
      <c r="U9" s="4">
        <v>7</v>
      </c>
      <c r="V9" s="4">
        <v>7</v>
      </c>
      <c r="W9" s="4">
        <v>1385</v>
      </c>
    </row>
    <row r="10" spans="1:23" ht="15.75" customHeight="1">
      <c r="A10" s="26"/>
      <c r="B10" s="27"/>
      <c r="C10" s="27"/>
      <c r="D10" s="27"/>
      <c r="E10" s="27"/>
      <c r="F10" s="27"/>
      <c r="G10" s="27"/>
      <c r="H10" s="27"/>
      <c r="I10" s="483" t="s">
        <v>25</v>
      </c>
      <c r="J10" s="484"/>
      <c r="K10" s="484"/>
      <c r="L10" s="484"/>
      <c r="M10" s="484"/>
      <c r="N10" s="28" t="s">
        <v>26</v>
      </c>
      <c r="T10" s="4">
        <v>1407</v>
      </c>
      <c r="U10" s="4">
        <v>8</v>
      </c>
      <c r="V10" s="4">
        <v>8</v>
      </c>
      <c r="W10" s="4">
        <v>1386</v>
      </c>
    </row>
    <row r="11" spans="1:23" ht="16.5" customHeight="1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31"/>
      <c r="N11" s="32" t="s">
        <v>27</v>
      </c>
      <c r="T11" s="4">
        <v>1408</v>
      </c>
      <c r="U11" s="4">
        <v>9</v>
      </c>
      <c r="V11" s="4">
        <v>9</v>
      </c>
      <c r="W11" s="4">
        <v>1387</v>
      </c>
    </row>
    <row r="12" spans="1:23" ht="16.5" customHeight="1">
      <c r="A12" s="26"/>
      <c r="B12" s="27"/>
      <c r="C12" s="27"/>
      <c r="D12" s="27"/>
      <c r="E12" s="27"/>
      <c r="F12" s="27" t="s">
        <v>28</v>
      </c>
      <c r="G12" s="27"/>
      <c r="H12" s="27"/>
      <c r="I12" s="27"/>
      <c r="J12" s="33" t="s">
        <v>29</v>
      </c>
      <c r="K12" s="27"/>
      <c r="L12" s="34"/>
      <c r="M12" s="34" t="s">
        <v>16</v>
      </c>
      <c r="N12" s="28" t="s">
        <v>30</v>
      </c>
      <c r="T12" s="4">
        <v>1409</v>
      </c>
      <c r="U12" s="4">
        <v>10</v>
      </c>
      <c r="V12" s="4">
        <v>10</v>
      </c>
      <c r="W12" s="4">
        <v>1388</v>
      </c>
    </row>
    <row r="13" spans="1:23" ht="16.5" customHeight="1">
      <c r="A13" s="25"/>
      <c r="B13" s="18"/>
      <c r="C13" s="18"/>
      <c r="D13" s="18"/>
      <c r="E13" s="18"/>
      <c r="F13" s="18"/>
      <c r="G13" s="18"/>
      <c r="H13" s="18"/>
      <c r="I13" s="18"/>
      <c r="J13" s="18"/>
      <c r="K13" s="35"/>
      <c r="L13" s="36"/>
      <c r="M13" s="36"/>
      <c r="N13" s="20" t="s">
        <v>31</v>
      </c>
      <c r="T13" s="4">
        <v>1410</v>
      </c>
      <c r="U13" s="4">
        <v>11</v>
      </c>
      <c r="V13" s="4">
        <v>11</v>
      </c>
      <c r="W13" s="4">
        <v>1389</v>
      </c>
    </row>
    <row r="14" spans="1:23" ht="12.75" customHeight="1">
      <c r="A14" s="25"/>
      <c r="B14" s="18"/>
      <c r="C14" s="18"/>
      <c r="D14" s="18"/>
      <c r="E14" s="18"/>
      <c r="F14" s="18"/>
      <c r="G14" s="18"/>
      <c r="H14" s="18"/>
      <c r="I14" s="18"/>
      <c r="J14" s="18"/>
      <c r="K14" s="35"/>
      <c r="L14" s="36"/>
      <c r="M14" s="36"/>
      <c r="N14" s="20"/>
      <c r="U14" s="4">
        <v>12</v>
      </c>
      <c r="V14" s="4">
        <v>12</v>
      </c>
      <c r="W14" s="4">
        <v>1390</v>
      </c>
    </row>
    <row r="15" spans="1:23" ht="12.7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37"/>
      <c r="L15" s="34"/>
      <c r="M15" s="34"/>
      <c r="N15" s="28"/>
      <c r="V15" s="4">
        <v>13</v>
      </c>
      <c r="W15" s="4">
        <v>1391</v>
      </c>
    </row>
    <row r="16" spans="1:23" ht="12.75" customHeight="1">
      <c r="A16" s="25"/>
      <c r="B16" s="18"/>
      <c r="C16" s="18"/>
      <c r="D16" s="18"/>
      <c r="E16" s="18"/>
      <c r="F16" s="18"/>
      <c r="G16" s="18"/>
      <c r="H16" s="18"/>
      <c r="I16" s="18"/>
      <c r="J16" s="18"/>
      <c r="K16" s="35"/>
      <c r="L16" s="36"/>
      <c r="M16" s="36"/>
      <c r="N16" s="20"/>
      <c r="V16" s="4">
        <v>14</v>
      </c>
      <c r="W16" s="4">
        <v>1392</v>
      </c>
    </row>
    <row r="17" spans="1:23" ht="14.25" customHeight="1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40"/>
      <c r="M17" s="40"/>
      <c r="N17" s="41"/>
      <c r="V17" s="4">
        <v>15</v>
      </c>
      <c r="W17" s="4">
        <v>1393</v>
      </c>
    </row>
    <row r="18" spans="1:23" ht="15.75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1"/>
      <c r="M18" s="31"/>
      <c r="N18" s="32" t="s">
        <v>32</v>
      </c>
      <c r="V18" s="4">
        <v>16</v>
      </c>
      <c r="W18" s="4">
        <v>1394</v>
      </c>
    </row>
    <row r="19" spans="1:23" ht="17.25" customHeight="1">
      <c r="A19" s="42"/>
      <c r="B19" s="43"/>
      <c r="C19" s="43"/>
      <c r="D19" s="43"/>
      <c r="E19" s="43"/>
      <c r="F19" s="43"/>
      <c r="G19" s="43"/>
      <c r="H19" s="43"/>
      <c r="I19" s="44"/>
      <c r="J19" s="44"/>
      <c r="K19" s="44"/>
      <c r="L19" s="44"/>
      <c r="M19" s="44"/>
      <c r="N19" s="45" t="s">
        <v>33</v>
      </c>
      <c r="V19" s="4">
        <v>17</v>
      </c>
      <c r="W19" s="4">
        <v>1395</v>
      </c>
    </row>
    <row r="20" spans="1:23" ht="19.5" customHeight="1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8"/>
      <c r="M20" s="48"/>
      <c r="N20" s="49"/>
      <c r="V20" s="4">
        <v>18</v>
      </c>
      <c r="W20" s="4">
        <v>1396</v>
      </c>
    </row>
    <row r="21" spans="1:23" ht="15" customHeight="1">
      <c r="A21" s="50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27"/>
      <c r="M21" s="27"/>
      <c r="N21" s="52"/>
      <c r="V21" s="4">
        <v>19</v>
      </c>
      <c r="W21" s="4">
        <v>1397</v>
      </c>
    </row>
    <row r="22" spans="1:23" ht="19.5" customHeight="1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48"/>
      <c r="M22" s="48"/>
      <c r="N22" s="49"/>
      <c r="V22" s="4">
        <v>20</v>
      </c>
      <c r="W22" s="4">
        <v>1398</v>
      </c>
    </row>
    <row r="23" spans="1:23" ht="15.75" customHeight="1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27"/>
      <c r="M23" s="27"/>
      <c r="N23" s="52"/>
      <c r="V23" s="4">
        <v>21</v>
      </c>
      <c r="W23" s="4">
        <v>1399</v>
      </c>
    </row>
    <row r="24" spans="1:23" ht="15.75" customHeight="1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48"/>
      <c r="M24" s="48"/>
      <c r="N24" s="49"/>
      <c r="V24" s="4">
        <v>22</v>
      </c>
      <c r="W24" s="4">
        <v>1400</v>
      </c>
    </row>
    <row r="25" spans="1:23" ht="18.75" customHeight="1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31"/>
      <c r="N25" s="32" t="s">
        <v>34</v>
      </c>
      <c r="V25" s="4">
        <v>23</v>
      </c>
      <c r="W25" s="4">
        <v>1401</v>
      </c>
    </row>
    <row r="26" spans="1:23" ht="16.5" customHeight="1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48"/>
      <c r="M26" s="48"/>
      <c r="N26" s="49" t="s">
        <v>35</v>
      </c>
      <c r="V26" s="4">
        <v>24</v>
      </c>
      <c r="W26" s="4">
        <v>1402</v>
      </c>
    </row>
    <row r="27" spans="1:23" ht="17.25" customHeight="1">
      <c r="A27" s="55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7"/>
      <c r="M27" s="57"/>
      <c r="N27" s="58"/>
      <c r="V27" s="4">
        <v>25</v>
      </c>
      <c r="W27" s="4">
        <v>1403</v>
      </c>
    </row>
    <row r="28" spans="1:23" ht="17.25" customHeight="1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18"/>
      <c r="M28" s="18"/>
      <c r="N28" s="61"/>
      <c r="V28" s="4">
        <v>26</v>
      </c>
      <c r="W28" s="4">
        <v>1404</v>
      </c>
    </row>
    <row r="29" spans="1:23" ht="17.25" customHeight="1">
      <c r="A29" s="5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18"/>
      <c r="M29" s="18"/>
      <c r="N29" s="61"/>
      <c r="V29" s="4">
        <v>27</v>
      </c>
      <c r="W29" s="4">
        <v>1405</v>
      </c>
    </row>
    <row r="30" spans="1:23" ht="15.7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1"/>
      <c r="M30" s="31"/>
      <c r="N30" s="32" t="s">
        <v>36</v>
      </c>
      <c r="V30" s="4">
        <v>28</v>
      </c>
      <c r="W30" s="4">
        <v>1406</v>
      </c>
    </row>
    <row r="31" spans="1:23" ht="17.25" customHeight="1">
      <c r="A31" s="55"/>
      <c r="B31" s="56"/>
      <c r="C31" s="56"/>
      <c r="D31" s="56"/>
      <c r="E31" s="56"/>
      <c r="F31" s="56"/>
      <c r="G31" s="56"/>
      <c r="H31" s="56"/>
      <c r="I31" s="56"/>
      <c r="J31" s="62"/>
      <c r="K31" s="56"/>
      <c r="L31" s="63"/>
      <c r="M31" s="63"/>
      <c r="N31" s="64" t="s">
        <v>37</v>
      </c>
      <c r="V31" s="4">
        <v>29</v>
      </c>
      <c r="W31" s="4">
        <v>1407</v>
      </c>
    </row>
    <row r="32" spans="1:23" ht="17.25" customHeight="1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52" t="s">
        <v>38</v>
      </c>
      <c r="V32" s="4">
        <v>30</v>
      </c>
      <c r="W32" s="4">
        <v>1408</v>
      </c>
    </row>
    <row r="33" spans="1:23" ht="17.25" customHeight="1">
      <c r="A33" s="65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52"/>
      <c r="V33" s="4">
        <v>31</v>
      </c>
      <c r="W33" s="4">
        <v>1409</v>
      </c>
    </row>
    <row r="34" spans="1:23" ht="17.25" customHeight="1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52"/>
      <c r="W34" s="4">
        <v>1410</v>
      </c>
    </row>
    <row r="35" spans="1:23" ht="12" customHeight="1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7"/>
      <c r="W35" s="4">
        <v>1411</v>
      </c>
    </row>
    <row r="36" spans="1:23" ht="11.25" customHeight="1">
      <c r="A36" s="68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70"/>
    </row>
    <row r="37" spans="1:23" ht="12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</row>
    <row r="38" spans="1:23" ht="12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</row>
    <row r="39" spans="1:23" ht="12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</row>
    <row r="40" spans="1:23" ht="12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</row>
    <row r="41" spans="1:23" ht="12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</row>
    <row r="42" spans="1:23" ht="12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</row>
    <row r="43" spans="1:23" ht="12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</row>
    <row r="44" spans="1:23" ht="12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</row>
    <row r="45" spans="1:23" ht="12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 spans="1:23" ht="12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</row>
    <row r="47" spans="1:23" ht="12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</row>
    <row r="48" spans="1:23" ht="12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</row>
    <row r="49" spans="1:14" ht="12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</row>
    <row r="50" spans="1:14" ht="12.75" customHeight="1"/>
    <row r="51" spans="1:14" ht="12.75" customHeight="1"/>
    <row r="52" spans="1:14" ht="12.75" customHeight="1"/>
    <row r="53" spans="1:14" ht="12.75" customHeight="1"/>
    <row r="54" spans="1:14" ht="12.75" customHeight="1"/>
    <row r="55" spans="1:14" ht="12.75" customHeight="1"/>
    <row r="56" spans="1:14" ht="12.75" customHeight="1"/>
    <row r="57" spans="1:14" ht="12.75" customHeight="1"/>
    <row r="58" spans="1:14" ht="12.75" customHeight="1"/>
    <row r="59" spans="1:14" ht="12.75" customHeight="1"/>
    <row r="60" spans="1:14" ht="12.75" customHeight="1"/>
    <row r="61" spans="1:14" ht="12.75" customHeight="1"/>
    <row r="62" spans="1:14" ht="12.75" customHeight="1"/>
    <row r="63" spans="1:14" ht="12.75" customHeight="1"/>
    <row r="64" spans="1:1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E9"/>
    <mergeCell ref="K9:M9"/>
    <mergeCell ref="I10:M10"/>
    <mergeCell ref="A1:F1"/>
    <mergeCell ref="K1:N1"/>
    <mergeCell ref="A2:B2"/>
    <mergeCell ref="K2:M2"/>
    <mergeCell ref="K3:M3"/>
    <mergeCell ref="A4:E4"/>
    <mergeCell ref="A5:E5"/>
    <mergeCell ref="H5:I5"/>
    <mergeCell ref="K5:M5"/>
    <mergeCell ref="K6:M6"/>
    <mergeCell ref="A7:M7"/>
    <mergeCell ref="K8:M8"/>
  </mergeCells>
  <dataValidations count="6">
    <dataValidation type="list" allowBlank="1" showInputMessage="1" showErrorMessage="1" prompt=" - " sqref="D3 L4" xr:uid="{00000000-0002-0000-0100-000000000000}">
      <formula1>$U$3:$U$14</formula1>
    </dataValidation>
    <dataValidation type="list" allowBlank="1" showInputMessage="1" showErrorMessage="1" prompt=" - " sqref="I3" xr:uid="{00000000-0002-0000-0100-000001000000}">
      <formula1>$S$3:$S$4</formula1>
    </dataValidation>
    <dataValidation type="list" allowBlank="1" showInputMessage="1" showErrorMessage="1" prompt=" - " sqref="E3 M4" xr:uid="{00000000-0002-0000-0100-000002000000}">
      <formula1>$V$3:$V$33</formula1>
    </dataValidation>
    <dataValidation type="list" allowBlank="1" showInputMessage="1" showErrorMessage="1" prompt=" - " sqref="C3" xr:uid="{00000000-0002-0000-0100-000003000000}">
      <formula1>$T$3:$T$13</formula1>
    </dataValidation>
    <dataValidation type="list" allowBlank="1" showInputMessage="1" showErrorMessage="1" prompt=" - " sqref="K4" xr:uid="{00000000-0002-0000-0100-000004000000}">
      <formula1>$W$1:$W$35</formula1>
    </dataValidation>
    <dataValidation type="list" allowBlank="1" showInputMessage="1" showErrorMessage="1" prompt=" - " sqref="M12" xr:uid="{00000000-0002-0000-0100-000005000000}">
      <formula1>$S$5:$S$6</formula1>
    </dataValidation>
  </dataValidation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rightToLeft="1" zoomScale="70" zoomScaleNormal="70" workbookViewId="0">
      <pane ySplit="2" topLeftCell="A33" activePane="bottomLeft" state="frozen"/>
      <selection activeCell="G1" sqref="G1"/>
      <selection pane="bottomLeft" activeCell="O11" sqref="O11"/>
    </sheetView>
  </sheetViews>
  <sheetFormatPr baseColWidth="10" defaultColWidth="14.5" defaultRowHeight="15" customHeight="1"/>
  <cols>
    <col min="1" max="1" width="13" style="257" customWidth="1"/>
    <col min="2" max="2" width="19.5" style="257" customWidth="1"/>
    <col min="3" max="3" width="13.5" style="257" customWidth="1"/>
    <col min="4" max="4" width="22" style="257" customWidth="1"/>
    <col min="5" max="5" width="17" style="257" customWidth="1"/>
    <col min="6" max="6" width="14.5" style="257" bestFit="1" customWidth="1"/>
    <col min="7" max="7" width="19.83203125" style="257" customWidth="1"/>
    <col min="8" max="8" width="14.5" style="257" customWidth="1"/>
    <col min="9" max="9" width="17.5" style="257" customWidth="1"/>
    <col min="10" max="10" width="20.1640625" style="257" customWidth="1"/>
    <col min="11" max="11" width="19.6640625" style="257" customWidth="1"/>
    <col min="12" max="12" width="18.5" style="257" customWidth="1"/>
    <col min="13" max="13" width="38.5" style="257" customWidth="1"/>
    <col min="14" max="15" width="20.6640625" style="257" customWidth="1"/>
    <col min="16" max="16" width="43.33203125" style="257" customWidth="1"/>
    <col min="17" max="17" width="12.1640625" style="257" customWidth="1"/>
    <col min="18" max="18" width="14" style="257" customWidth="1"/>
    <col min="19" max="19" width="13.5" style="257" customWidth="1"/>
    <col min="20" max="20" width="13.6640625" style="257" customWidth="1"/>
    <col min="21" max="21" width="8.6640625" style="257" customWidth="1"/>
    <col min="22" max="22" width="23" style="257" customWidth="1"/>
    <col min="23" max="23" width="12.5" style="257" customWidth="1"/>
    <col min="24" max="16384" width="14.5" style="257"/>
  </cols>
  <sheetData>
    <row r="1" spans="1:26" ht="15" customHeight="1" thickBot="1">
      <c r="B1" s="257">
        <v>1</v>
      </c>
      <c r="C1" s="257">
        <v>2</v>
      </c>
      <c r="D1" s="257">
        <v>3</v>
      </c>
      <c r="E1" s="257">
        <v>4</v>
      </c>
      <c r="F1" s="257">
        <v>5</v>
      </c>
      <c r="G1" s="257">
        <v>6</v>
      </c>
      <c r="H1" s="257">
        <v>7</v>
      </c>
      <c r="I1" s="257">
        <v>8</v>
      </c>
      <c r="J1" s="257">
        <v>9</v>
      </c>
      <c r="K1" s="257">
        <v>10</v>
      </c>
      <c r="L1" s="257">
        <v>11</v>
      </c>
      <c r="M1" s="257">
        <v>12</v>
      </c>
      <c r="N1" s="257">
        <v>13</v>
      </c>
      <c r="O1" s="257">
        <v>13</v>
      </c>
      <c r="P1" s="257">
        <v>14</v>
      </c>
      <c r="Q1" s="257">
        <v>15</v>
      </c>
      <c r="R1" s="257">
        <v>16</v>
      </c>
      <c r="S1" s="257">
        <v>17</v>
      </c>
      <c r="T1" s="257">
        <v>18</v>
      </c>
      <c r="U1" s="257">
        <v>19</v>
      </c>
      <c r="V1" s="257">
        <v>20</v>
      </c>
      <c r="W1" s="257">
        <v>21</v>
      </c>
    </row>
    <row r="2" spans="1:26" ht="50" customHeight="1" thickTop="1">
      <c r="A2" s="258" t="s">
        <v>341</v>
      </c>
      <c r="B2" s="259" t="s">
        <v>147</v>
      </c>
      <c r="C2" s="259" t="s">
        <v>449</v>
      </c>
      <c r="D2" s="259" t="s">
        <v>450</v>
      </c>
      <c r="E2" s="259" t="s">
        <v>198</v>
      </c>
      <c r="F2" s="259" t="s">
        <v>213</v>
      </c>
      <c r="G2" s="259" t="s">
        <v>928</v>
      </c>
      <c r="H2" s="259" t="s">
        <v>929</v>
      </c>
      <c r="I2" s="259" t="s">
        <v>192</v>
      </c>
      <c r="J2" s="259" t="s">
        <v>930</v>
      </c>
      <c r="K2" s="259" t="s">
        <v>931</v>
      </c>
      <c r="L2" s="259" t="s">
        <v>932</v>
      </c>
      <c r="M2" s="259" t="s">
        <v>933</v>
      </c>
      <c r="N2" s="260" t="s">
        <v>934</v>
      </c>
      <c r="O2" s="260" t="s">
        <v>1253</v>
      </c>
      <c r="P2" s="261" t="s">
        <v>935</v>
      </c>
      <c r="Q2" s="261" t="s">
        <v>936</v>
      </c>
      <c r="R2" s="261" t="s">
        <v>937</v>
      </c>
      <c r="S2" s="261" t="s">
        <v>938</v>
      </c>
      <c r="T2" s="261" t="s">
        <v>939</v>
      </c>
      <c r="U2" s="262"/>
      <c r="V2" s="263" t="s">
        <v>940</v>
      </c>
      <c r="W2" s="264" t="s">
        <v>941</v>
      </c>
    </row>
    <row r="3" spans="1:26" ht="75" customHeight="1">
      <c r="A3" s="265">
        <v>1</v>
      </c>
      <c r="B3" s="266">
        <v>1</v>
      </c>
      <c r="C3" s="267" t="s">
        <v>942</v>
      </c>
      <c r="D3" s="267" t="s">
        <v>943</v>
      </c>
      <c r="E3" s="268" t="s">
        <v>199</v>
      </c>
      <c r="F3" s="268" t="s">
        <v>944</v>
      </c>
      <c r="G3" s="267" t="s">
        <v>176</v>
      </c>
      <c r="H3" s="269" t="s">
        <v>945</v>
      </c>
      <c r="I3" s="268" t="s">
        <v>193</v>
      </c>
      <c r="J3" s="267" t="s">
        <v>92</v>
      </c>
      <c r="K3" s="267" t="s">
        <v>288</v>
      </c>
      <c r="L3" s="267" t="s">
        <v>946</v>
      </c>
      <c r="M3" s="270" t="s">
        <v>947</v>
      </c>
      <c r="N3" s="271" t="s">
        <v>948</v>
      </c>
      <c r="O3" s="271" t="s">
        <v>948</v>
      </c>
      <c r="P3" s="272" t="s">
        <v>949</v>
      </c>
      <c r="Q3" s="268" t="s">
        <v>950</v>
      </c>
      <c r="R3" s="268" t="s">
        <v>951</v>
      </c>
      <c r="S3" s="268" t="s">
        <v>950</v>
      </c>
      <c r="T3" s="268" t="s">
        <v>950</v>
      </c>
      <c r="U3" s="268"/>
      <c r="V3" s="272" t="s">
        <v>952</v>
      </c>
      <c r="W3" s="273"/>
    </row>
    <row r="4" spans="1:26" ht="75" customHeight="1">
      <c r="A4" s="265">
        <v>2</v>
      </c>
      <c r="B4" s="266">
        <v>2</v>
      </c>
      <c r="C4" s="267" t="s">
        <v>953</v>
      </c>
      <c r="D4" s="267" t="s">
        <v>954</v>
      </c>
      <c r="E4" s="268" t="s">
        <v>200</v>
      </c>
      <c r="F4" s="268" t="s">
        <v>955</v>
      </c>
      <c r="G4" s="267" t="s">
        <v>177</v>
      </c>
      <c r="H4" s="269" t="s">
        <v>956</v>
      </c>
      <c r="I4" s="268" t="s">
        <v>193</v>
      </c>
      <c r="J4" s="267" t="s">
        <v>89</v>
      </c>
      <c r="K4" s="267" t="s">
        <v>957</v>
      </c>
      <c r="L4" s="267" t="s">
        <v>946</v>
      </c>
      <c r="M4" s="270" t="s">
        <v>958</v>
      </c>
      <c r="N4" s="271" t="s">
        <v>959</v>
      </c>
      <c r="O4" s="271" t="s">
        <v>959</v>
      </c>
      <c r="P4" s="272" t="s">
        <v>960</v>
      </c>
      <c r="Q4" s="268"/>
      <c r="R4" s="268" t="s">
        <v>951</v>
      </c>
      <c r="S4" s="268"/>
      <c r="T4" s="268"/>
      <c r="U4" s="268"/>
      <c r="V4" s="272" t="s">
        <v>961</v>
      </c>
      <c r="W4" s="273"/>
      <c r="Y4" s="274"/>
      <c r="Z4" s="274"/>
    </row>
    <row r="5" spans="1:26" ht="75" customHeight="1">
      <c r="A5" s="265">
        <v>3</v>
      </c>
      <c r="B5" s="266">
        <v>3</v>
      </c>
      <c r="C5" s="267" t="s">
        <v>962</v>
      </c>
      <c r="D5" s="267" t="s">
        <v>963</v>
      </c>
      <c r="E5" s="268" t="s">
        <v>201</v>
      </c>
      <c r="F5" s="268" t="s">
        <v>964</v>
      </c>
      <c r="G5" s="267" t="s">
        <v>178</v>
      </c>
      <c r="H5" s="269" t="s">
        <v>965</v>
      </c>
      <c r="I5" s="268" t="s">
        <v>193</v>
      </c>
      <c r="J5" s="267" t="s">
        <v>89</v>
      </c>
      <c r="K5" s="267" t="s">
        <v>288</v>
      </c>
      <c r="L5" s="267" t="s">
        <v>946</v>
      </c>
      <c r="M5" s="270" t="s">
        <v>966</v>
      </c>
      <c r="N5" s="271" t="s">
        <v>967</v>
      </c>
      <c r="O5" s="271" t="s">
        <v>967</v>
      </c>
      <c r="P5" s="268" t="s">
        <v>968</v>
      </c>
      <c r="Q5" s="268"/>
      <c r="R5" s="268" t="s">
        <v>951</v>
      </c>
      <c r="S5" s="268"/>
      <c r="T5" s="268"/>
      <c r="U5" s="268"/>
      <c r="V5" s="272" t="s">
        <v>969</v>
      </c>
      <c r="W5" s="273"/>
    </row>
    <row r="6" spans="1:26" ht="75" customHeight="1">
      <c r="A6" s="265">
        <v>4</v>
      </c>
      <c r="B6" s="268">
        <v>4</v>
      </c>
      <c r="C6" s="267" t="s">
        <v>970</v>
      </c>
      <c r="D6" s="267" t="s">
        <v>963</v>
      </c>
      <c r="E6" s="268" t="s">
        <v>202</v>
      </c>
      <c r="F6" s="268" t="s">
        <v>971</v>
      </c>
      <c r="G6" s="267" t="s">
        <v>179</v>
      </c>
      <c r="H6" s="269" t="s">
        <v>972</v>
      </c>
      <c r="I6" s="268" t="s">
        <v>193</v>
      </c>
      <c r="J6" s="267" t="s">
        <v>89</v>
      </c>
      <c r="K6" s="267" t="s">
        <v>290</v>
      </c>
      <c r="L6" s="267" t="s">
        <v>946</v>
      </c>
      <c r="M6" s="270" t="s">
        <v>973</v>
      </c>
      <c r="N6" s="271" t="s">
        <v>974</v>
      </c>
      <c r="O6" s="271" t="s">
        <v>974</v>
      </c>
      <c r="P6" s="268" t="s">
        <v>968</v>
      </c>
      <c r="Q6" s="268"/>
      <c r="R6" s="268" t="s">
        <v>951</v>
      </c>
      <c r="S6" s="268"/>
      <c r="T6" s="268"/>
      <c r="U6" s="268"/>
      <c r="V6" s="272" t="s">
        <v>319</v>
      </c>
      <c r="W6" s="273"/>
    </row>
    <row r="7" spans="1:26" ht="75" customHeight="1">
      <c r="A7" s="265">
        <v>5</v>
      </c>
      <c r="B7" s="268">
        <v>5</v>
      </c>
      <c r="C7" s="267" t="s">
        <v>975</v>
      </c>
      <c r="D7" s="267" t="s">
        <v>976</v>
      </c>
      <c r="E7" s="268" t="s">
        <v>532</v>
      </c>
      <c r="F7" s="268" t="s">
        <v>977</v>
      </c>
      <c r="G7" s="267" t="s">
        <v>180</v>
      </c>
      <c r="H7" s="269" t="s">
        <v>978</v>
      </c>
      <c r="I7" s="268" t="s">
        <v>979</v>
      </c>
      <c r="J7" s="267" t="s">
        <v>89</v>
      </c>
      <c r="K7" s="267" t="s">
        <v>290</v>
      </c>
      <c r="L7" s="267" t="s">
        <v>946</v>
      </c>
      <c r="M7" s="270" t="s">
        <v>980</v>
      </c>
      <c r="N7" s="271" t="s">
        <v>981</v>
      </c>
      <c r="O7" s="271" t="s">
        <v>981</v>
      </c>
      <c r="P7" s="268" t="s">
        <v>968</v>
      </c>
      <c r="Q7" s="268"/>
      <c r="R7" s="268" t="s">
        <v>951</v>
      </c>
      <c r="S7" s="268"/>
      <c r="T7" s="268"/>
      <c r="U7" s="268"/>
      <c r="V7" s="272" t="s">
        <v>319</v>
      </c>
      <c r="W7" s="273"/>
    </row>
    <row r="8" spans="1:26" ht="75" customHeight="1">
      <c r="A8" s="265">
        <v>6</v>
      </c>
      <c r="B8" s="268">
        <v>6</v>
      </c>
      <c r="C8" s="267" t="s">
        <v>982</v>
      </c>
      <c r="D8" s="267" t="s">
        <v>976</v>
      </c>
      <c r="E8" s="268" t="s">
        <v>532</v>
      </c>
      <c r="F8" s="268" t="s">
        <v>977</v>
      </c>
      <c r="G8" s="267" t="s">
        <v>180</v>
      </c>
      <c r="H8" s="269" t="s">
        <v>983</v>
      </c>
      <c r="I8" s="268" t="s">
        <v>979</v>
      </c>
      <c r="J8" s="267" t="s">
        <v>89</v>
      </c>
      <c r="K8" s="267" t="s">
        <v>288</v>
      </c>
      <c r="L8" s="267" t="s">
        <v>984</v>
      </c>
      <c r="M8" s="270" t="s">
        <v>980</v>
      </c>
      <c r="N8" s="271" t="s">
        <v>985</v>
      </c>
      <c r="O8" s="271" t="s">
        <v>985</v>
      </c>
      <c r="P8" s="268"/>
      <c r="Q8" s="268"/>
      <c r="R8" s="268"/>
      <c r="S8" s="268"/>
      <c r="T8" s="268"/>
      <c r="U8" s="268"/>
      <c r="V8" s="272" t="s">
        <v>320</v>
      </c>
      <c r="W8" s="273"/>
    </row>
    <row r="9" spans="1:26" ht="75" customHeight="1">
      <c r="A9" s="265">
        <v>7</v>
      </c>
      <c r="B9" s="268">
        <v>7</v>
      </c>
      <c r="C9" s="267" t="s">
        <v>890</v>
      </c>
      <c r="D9" s="267" t="s">
        <v>976</v>
      </c>
      <c r="E9" s="268" t="s">
        <v>532</v>
      </c>
      <c r="F9" s="268" t="s">
        <v>977</v>
      </c>
      <c r="G9" s="267" t="s">
        <v>180</v>
      </c>
      <c r="H9" s="269"/>
      <c r="I9" s="268" t="s">
        <v>979</v>
      </c>
      <c r="J9" s="267" t="s">
        <v>89</v>
      </c>
      <c r="K9" s="267" t="s">
        <v>289</v>
      </c>
      <c r="L9" s="267" t="s">
        <v>946</v>
      </c>
      <c r="M9" s="270" t="s">
        <v>980</v>
      </c>
      <c r="N9" s="271" t="s">
        <v>986</v>
      </c>
      <c r="O9" s="271" t="s">
        <v>986</v>
      </c>
      <c r="P9" s="272" t="s">
        <v>987</v>
      </c>
      <c r="Q9" s="268"/>
      <c r="R9" s="268" t="s">
        <v>951</v>
      </c>
      <c r="S9" s="268"/>
      <c r="T9" s="268"/>
      <c r="U9" s="268"/>
      <c r="V9" s="272" t="s">
        <v>988</v>
      </c>
      <c r="W9" s="273"/>
    </row>
    <row r="10" spans="1:26" ht="75" customHeight="1">
      <c r="A10" s="265">
        <v>8</v>
      </c>
      <c r="B10" s="268">
        <v>8</v>
      </c>
      <c r="C10" s="267" t="s">
        <v>989</v>
      </c>
      <c r="D10" s="267" t="s">
        <v>990</v>
      </c>
      <c r="E10" s="268" t="s">
        <v>497</v>
      </c>
      <c r="F10" s="268" t="s">
        <v>991</v>
      </c>
      <c r="G10" s="267" t="s">
        <v>181</v>
      </c>
      <c r="H10" s="269" t="s">
        <v>992</v>
      </c>
      <c r="I10" s="268" t="s">
        <v>193</v>
      </c>
      <c r="J10" s="267" t="s">
        <v>94</v>
      </c>
      <c r="K10" s="267" t="s">
        <v>290</v>
      </c>
      <c r="L10" s="267" t="s">
        <v>993</v>
      </c>
      <c r="M10" s="270" t="s">
        <v>994</v>
      </c>
      <c r="N10" s="271" t="s">
        <v>995</v>
      </c>
      <c r="O10" s="271" t="s">
        <v>995</v>
      </c>
      <c r="P10" s="272" t="s">
        <v>996</v>
      </c>
      <c r="Q10" s="268"/>
      <c r="R10" s="268"/>
      <c r="S10" s="268"/>
      <c r="T10" s="268"/>
      <c r="U10" s="268"/>
      <c r="V10" s="272" t="s">
        <v>319</v>
      </c>
      <c r="W10" s="273"/>
    </row>
    <row r="11" spans="1:26" ht="75" customHeight="1">
      <c r="A11" s="265">
        <v>9</v>
      </c>
      <c r="B11" s="268">
        <v>9</v>
      </c>
      <c r="C11" s="267" t="s">
        <v>997</v>
      </c>
      <c r="D11" s="267" t="s">
        <v>516</v>
      </c>
      <c r="E11" s="268" t="s">
        <v>205</v>
      </c>
      <c r="F11" s="268"/>
      <c r="G11" s="267" t="s">
        <v>182</v>
      </c>
      <c r="H11" s="269" t="s">
        <v>998</v>
      </c>
      <c r="I11" s="268" t="s">
        <v>194</v>
      </c>
      <c r="J11" s="267" t="s">
        <v>94</v>
      </c>
      <c r="K11" s="267" t="s">
        <v>290</v>
      </c>
      <c r="L11" s="267" t="s">
        <v>946</v>
      </c>
      <c r="M11" s="271" t="s">
        <v>999</v>
      </c>
      <c r="N11" s="271" t="s">
        <v>1000</v>
      </c>
      <c r="O11" s="271" t="s">
        <v>1000</v>
      </c>
      <c r="P11" s="272" t="s">
        <v>1001</v>
      </c>
      <c r="Q11" s="268"/>
      <c r="R11" s="268" t="s">
        <v>951</v>
      </c>
      <c r="S11" s="268"/>
      <c r="T11" s="268"/>
      <c r="U11" s="268"/>
      <c r="V11" s="272" t="s">
        <v>1002</v>
      </c>
      <c r="W11" s="273"/>
    </row>
    <row r="12" spans="1:26" ht="75" customHeight="1">
      <c r="A12" s="265">
        <v>10</v>
      </c>
      <c r="B12" s="268">
        <v>10</v>
      </c>
      <c r="C12" s="267" t="s">
        <v>1003</v>
      </c>
      <c r="D12" s="267" t="s">
        <v>1004</v>
      </c>
      <c r="E12" s="268" t="s">
        <v>206</v>
      </c>
      <c r="F12" s="268" t="s">
        <v>1005</v>
      </c>
      <c r="G12" s="267" t="s">
        <v>183</v>
      </c>
      <c r="H12" s="269" t="s">
        <v>1006</v>
      </c>
      <c r="I12" s="268" t="s">
        <v>193</v>
      </c>
      <c r="J12" s="267" t="s">
        <v>94</v>
      </c>
      <c r="K12" s="267" t="s">
        <v>288</v>
      </c>
      <c r="L12" s="267" t="s">
        <v>946</v>
      </c>
      <c r="M12" s="270" t="s">
        <v>1007</v>
      </c>
      <c r="N12" s="271" t="s">
        <v>1008</v>
      </c>
      <c r="O12" s="271" t="s">
        <v>1008</v>
      </c>
      <c r="P12" s="272" t="s">
        <v>1009</v>
      </c>
      <c r="Q12" s="268"/>
      <c r="R12" s="268" t="s">
        <v>951</v>
      </c>
      <c r="S12" s="268"/>
      <c r="T12" s="268"/>
      <c r="U12" s="268"/>
      <c r="V12" s="272" t="s">
        <v>336</v>
      </c>
      <c r="W12" s="273"/>
    </row>
    <row r="13" spans="1:26" ht="75" customHeight="1">
      <c r="A13" s="265">
        <v>11</v>
      </c>
      <c r="B13" s="268">
        <v>11</v>
      </c>
      <c r="C13" s="267" t="s">
        <v>1010</v>
      </c>
      <c r="D13" s="267" t="s">
        <v>1011</v>
      </c>
      <c r="E13" s="268" t="s">
        <v>202</v>
      </c>
      <c r="F13" s="268" t="s">
        <v>1012</v>
      </c>
      <c r="G13" s="267" t="s">
        <v>184</v>
      </c>
      <c r="H13" s="269" t="s">
        <v>1013</v>
      </c>
      <c r="I13" s="268" t="s">
        <v>193</v>
      </c>
      <c r="J13" s="267" t="s">
        <v>89</v>
      </c>
      <c r="K13" s="267" t="s">
        <v>288</v>
      </c>
      <c r="L13" s="267" t="s">
        <v>946</v>
      </c>
      <c r="M13" s="270" t="s">
        <v>1014</v>
      </c>
      <c r="N13" s="271" t="s">
        <v>1015</v>
      </c>
      <c r="O13" s="271" t="s">
        <v>1015</v>
      </c>
      <c r="P13" s="272" t="s">
        <v>1016</v>
      </c>
      <c r="Q13" s="268"/>
      <c r="R13" s="268" t="s">
        <v>951</v>
      </c>
      <c r="S13" s="268"/>
      <c r="T13" s="268"/>
      <c r="U13" s="268"/>
      <c r="V13" s="272"/>
      <c r="W13" s="273"/>
    </row>
    <row r="14" spans="1:26" ht="75" customHeight="1">
      <c r="A14" s="265">
        <v>12</v>
      </c>
      <c r="B14" s="268">
        <v>12</v>
      </c>
      <c r="C14" s="267" t="s">
        <v>1017</v>
      </c>
      <c r="D14" s="270" t="s">
        <v>1018</v>
      </c>
      <c r="E14" s="268" t="s">
        <v>1019</v>
      </c>
      <c r="F14" s="268" t="s">
        <v>1020</v>
      </c>
      <c r="G14" s="267" t="s">
        <v>1021</v>
      </c>
      <c r="H14" s="269" t="s">
        <v>1022</v>
      </c>
      <c r="I14" s="268" t="s">
        <v>1023</v>
      </c>
      <c r="J14" s="267" t="s">
        <v>89</v>
      </c>
      <c r="K14" s="267" t="s">
        <v>289</v>
      </c>
      <c r="L14" s="267" t="s">
        <v>984</v>
      </c>
      <c r="M14" s="270" t="s">
        <v>1024</v>
      </c>
      <c r="N14" s="271" t="s">
        <v>1025</v>
      </c>
      <c r="O14" s="271" t="s">
        <v>1025</v>
      </c>
      <c r="P14" s="268"/>
      <c r="Q14" s="268"/>
      <c r="R14" s="268"/>
      <c r="S14" s="268"/>
      <c r="T14" s="268"/>
      <c r="U14" s="268"/>
      <c r="V14" s="272" t="s">
        <v>1026</v>
      </c>
      <c r="W14" s="273"/>
    </row>
    <row r="15" spans="1:26" ht="75" customHeight="1">
      <c r="A15" s="265">
        <v>13</v>
      </c>
      <c r="B15" s="268">
        <v>13</v>
      </c>
      <c r="C15" s="267" t="s">
        <v>1027</v>
      </c>
      <c r="D15" s="267" t="s">
        <v>521</v>
      </c>
      <c r="E15" s="268" t="s">
        <v>1028</v>
      </c>
      <c r="F15" s="272" t="s">
        <v>1029</v>
      </c>
      <c r="G15" s="267" t="s">
        <v>1030</v>
      </c>
      <c r="H15" s="269" t="s">
        <v>1031</v>
      </c>
      <c r="I15" s="268" t="s">
        <v>195</v>
      </c>
      <c r="J15" s="267" t="s">
        <v>94</v>
      </c>
      <c r="K15" s="267" t="s">
        <v>290</v>
      </c>
      <c r="L15" s="267" t="s">
        <v>236</v>
      </c>
      <c r="M15" s="270" t="s">
        <v>1032</v>
      </c>
      <c r="N15" s="271" t="s">
        <v>1033</v>
      </c>
      <c r="O15" s="271" t="s">
        <v>1033</v>
      </c>
      <c r="P15" s="272" t="s">
        <v>1034</v>
      </c>
      <c r="Q15" s="268"/>
      <c r="R15" s="268"/>
      <c r="S15" s="268"/>
      <c r="T15" s="268"/>
      <c r="U15" s="268"/>
      <c r="V15" s="272"/>
      <c r="W15" s="273"/>
    </row>
    <row r="16" spans="1:26" ht="75" customHeight="1">
      <c r="A16" s="265">
        <v>14</v>
      </c>
      <c r="B16" s="268">
        <v>14</v>
      </c>
      <c r="C16" s="267" t="s">
        <v>962</v>
      </c>
      <c r="D16" s="267" t="s">
        <v>1035</v>
      </c>
      <c r="E16" s="268" t="s">
        <v>207</v>
      </c>
      <c r="F16" s="268" t="s">
        <v>1036</v>
      </c>
      <c r="G16" s="267" t="s">
        <v>185</v>
      </c>
      <c r="H16" s="269" t="s">
        <v>1037</v>
      </c>
      <c r="I16" s="268" t="s">
        <v>195</v>
      </c>
      <c r="J16" s="267" t="s">
        <v>92</v>
      </c>
      <c r="K16" s="267" t="s">
        <v>290</v>
      </c>
      <c r="L16" s="270" t="s">
        <v>1038</v>
      </c>
      <c r="M16" s="270" t="s">
        <v>1039</v>
      </c>
      <c r="N16" s="271" t="s">
        <v>1040</v>
      </c>
      <c r="O16" s="271" t="s">
        <v>1040</v>
      </c>
      <c r="P16" s="268" t="s">
        <v>1041</v>
      </c>
      <c r="Q16" s="268"/>
      <c r="R16" s="268"/>
      <c r="S16" s="268"/>
      <c r="T16" s="268"/>
      <c r="U16" s="268"/>
      <c r="V16" s="272" t="s">
        <v>1042</v>
      </c>
      <c r="W16" s="273"/>
    </row>
    <row r="17" spans="1:23" ht="75" customHeight="1">
      <c r="A17" s="265">
        <v>15</v>
      </c>
      <c r="B17" s="268">
        <v>15</v>
      </c>
      <c r="C17" s="267" t="s">
        <v>1043</v>
      </c>
      <c r="D17" s="267" t="s">
        <v>1044</v>
      </c>
      <c r="E17" s="268" t="s">
        <v>202</v>
      </c>
      <c r="F17" s="272" t="s">
        <v>1045</v>
      </c>
      <c r="G17" s="267" t="s">
        <v>186</v>
      </c>
      <c r="H17" s="269" t="s">
        <v>1046</v>
      </c>
      <c r="I17" s="268" t="s">
        <v>193</v>
      </c>
      <c r="J17" s="267" t="s">
        <v>89</v>
      </c>
      <c r="K17" s="267" t="s">
        <v>290</v>
      </c>
      <c r="L17" s="267" t="s">
        <v>1047</v>
      </c>
      <c r="M17" s="270" t="s">
        <v>1048</v>
      </c>
      <c r="N17" s="271" t="s">
        <v>1049</v>
      </c>
      <c r="O17" s="271" t="s">
        <v>1049</v>
      </c>
      <c r="P17" s="268"/>
      <c r="Q17" s="268"/>
      <c r="R17" s="268"/>
      <c r="S17" s="268"/>
      <c r="T17" s="268"/>
      <c r="U17" s="268"/>
      <c r="V17" s="272" t="s">
        <v>1050</v>
      </c>
      <c r="W17" s="273"/>
    </row>
    <row r="18" spans="1:23" ht="75" customHeight="1">
      <c r="A18" s="265">
        <v>16</v>
      </c>
      <c r="B18" s="268">
        <v>16</v>
      </c>
      <c r="C18" s="267" t="s">
        <v>1043</v>
      </c>
      <c r="D18" s="270" t="s">
        <v>1051</v>
      </c>
      <c r="E18" s="268" t="s">
        <v>1052</v>
      </c>
      <c r="F18" s="268" t="s">
        <v>216</v>
      </c>
      <c r="G18" s="267" t="s">
        <v>187</v>
      </c>
      <c r="H18" s="269" t="s">
        <v>1053</v>
      </c>
      <c r="I18" s="268" t="s">
        <v>193</v>
      </c>
      <c r="J18" s="267" t="s">
        <v>92</v>
      </c>
      <c r="K18" s="267" t="s">
        <v>290</v>
      </c>
      <c r="L18" s="267" t="s">
        <v>1047</v>
      </c>
      <c r="M18" s="270" t="s">
        <v>1054</v>
      </c>
      <c r="N18" s="271" t="s">
        <v>1257</v>
      </c>
      <c r="O18" s="271" t="s">
        <v>1256</v>
      </c>
      <c r="P18" s="268" t="s">
        <v>1055</v>
      </c>
      <c r="Q18" s="268"/>
      <c r="R18" s="268"/>
      <c r="S18" s="268"/>
      <c r="T18" s="268"/>
      <c r="U18" s="268"/>
      <c r="V18" s="272" t="s">
        <v>1056</v>
      </c>
      <c r="W18" s="273"/>
    </row>
    <row r="19" spans="1:23" ht="75" customHeight="1">
      <c r="A19" s="265">
        <v>17</v>
      </c>
      <c r="B19" s="268">
        <v>17</v>
      </c>
      <c r="C19" s="267" t="s">
        <v>1027</v>
      </c>
      <c r="D19" s="267" t="s">
        <v>1057</v>
      </c>
      <c r="E19" s="268"/>
      <c r="F19" s="268" t="s">
        <v>217</v>
      </c>
      <c r="G19" s="267"/>
      <c r="H19" s="269" t="s">
        <v>1058</v>
      </c>
      <c r="I19" s="268"/>
      <c r="J19" s="267" t="s">
        <v>89</v>
      </c>
      <c r="K19" s="267" t="s">
        <v>289</v>
      </c>
      <c r="L19" s="267" t="s">
        <v>1047</v>
      </c>
      <c r="M19" s="270" t="s">
        <v>1059</v>
      </c>
      <c r="N19" s="271" t="s">
        <v>1060</v>
      </c>
      <c r="O19" s="271" t="s">
        <v>1060</v>
      </c>
      <c r="P19" s="268"/>
      <c r="Q19" s="268"/>
      <c r="R19" s="268"/>
      <c r="S19" s="268"/>
      <c r="T19" s="268"/>
      <c r="U19" s="268"/>
      <c r="V19" s="272" t="s">
        <v>1061</v>
      </c>
      <c r="W19" s="273"/>
    </row>
    <row r="20" spans="1:23" ht="75" customHeight="1">
      <c r="A20" s="265">
        <v>18</v>
      </c>
      <c r="B20" s="268">
        <v>18</v>
      </c>
      <c r="C20" s="267" t="s">
        <v>942</v>
      </c>
      <c r="D20" s="267" t="s">
        <v>1062</v>
      </c>
      <c r="E20" s="268" t="s">
        <v>210</v>
      </c>
      <c r="F20" s="268"/>
      <c r="G20" s="267" t="s">
        <v>188</v>
      </c>
      <c r="H20" s="269" t="s">
        <v>1063</v>
      </c>
      <c r="I20" s="268" t="s">
        <v>193</v>
      </c>
      <c r="J20" s="267" t="s">
        <v>89</v>
      </c>
      <c r="K20" s="267" t="s">
        <v>290</v>
      </c>
      <c r="L20" s="267" t="s">
        <v>1047</v>
      </c>
      <c r="M20" s="270" t="s">
        <v>1064</v>
      </c>
      <c r="N20" s="271" t="s">
        <v>1065</v>
      </c>
      <c r="O20" s="271" t="s">
        <v>1065</v>
      </c>
      <c r="P20" s="268"/>
      <c r="Q20" s="268"/>
      <c r="R20" s="268"/>
      <c r="S20" s="268"/>
      <c r="T20" s="268"/>
      <c r="U20" s="268"/>
      <c r="V20" s="272" t="s">
        <v>1066</v>
      </c>
      <c r="W20" s="273" t="s">
        <v>1067</v>
      </c>
    </row>
    <row r="21" spans="1:23" ht="75" customHeight="1">
      <c r="A21" s="265">
        <v>19</v>
      </c>
      <c r="B21" s="268">
        <v>19</v>
      </c>
      <c r="C21" s="267" t="s">
        <v>1068</v>
      </c>
      <c r="D21" s="267" t="s">
        <v>1069</v>
      </c>
      <c r="E21" s="268" t="s">
        <v>1070</v>
      </c>
      <c r="F21" s="268" t="s">
        <v>1071</v>
      </c>
      <c r="G21" s="267" t="s">
        <v>1072</v>
      </c>
      <c r="H21" s="269" t="s">
        <v>1073</v>
      </c>
      <c r="I21" s="268" t="s">
        <v>1074</v>
      </c>
      <c r="J21" s="267" t="s">
        <v>94</v>
      </c>
      <c r="K21" s="267" t="s">
        <v>288</v>
      </c>
      <c r="L21" s="267" t="s">
        <v>946</v>
      </c>
      <c r="M21" s="270" t="s">
        <v>1075</v>
      </c>
      <c r="N21" s="271" t="s">
        <v>1076</v>
      </c>
      <c r="O21" s="271" t="s">
        <v>1076</v>
      </c>
      <c r="P21" s="268"/>
      <c r="Q21" s="268"/>
      <c r="R21" s="268"/>
      <c r="S21" s="268"/>
      <c r="T21" s="268"/>
      <c r="U21" s="268"/>
      <c r="V21" s="272" t="s">
        <v>1077</v>
      </c>
      <c r="W21" s="273"/>
    </row>
    <row r="22" spans="1:23" ht="75" customHeight="1">
      <c r="A22" s="265">
        <v>20</v>
      </c>
      <c r="B22" s="268">
        <v>20</v>
      </c>
      <c r="C22" s="267" t="s">
        <v>1078</v>
      </c>
      <c r="D22" s="267" t="s">
        <v>1079</v>
      </c>
      <c r="E22" s="268" t="s">
        <v>211</v>
      </c>
      <c r="F22" s="268" t="s">
        <v>1080</v>
      </c>
      <c r="G22" s="267" t="s">
        <v>189</v>
      </c>
      <c r="H22" s="269" t="s">
        <v>1081</v>
      </c>
      <c r="I22" s="268" t="s">
        <v>196</v>
      </c>
      <c r="J22" s="267" t="s">
        <v>89</v>
      </c>
      <c r="K22" s="267" t="s">
        <v>290</v>
      </c>
      <c r="L22" s="267" t="s">
        <v>1047</v>
      </c>
      <c r="M22" s="270"/>
      <c r="N22" s="271" t="s">
        <v>1082</v>
      </c>
      <c r="O22" s="271" t="s">
        <v>1082</v>
      </c>
      <c r="P22" s="268"/>
      <c r="Q22" s="268"/>
      <c r="R22" s="268"/>
      <c r="S22" s="268"/>
      <c r="T22" s="268"/>
      <c r="U22" s="268"/>
      <c r="V22" s="272"/>
      <c r="W22" s="273"/>
    </row>
    <row r="23" spans="1:23" ht="75" customHeight="1">
      <c r="A23" s="265">
        <v>21</v>
      </c>
      <c r="B23" s="268">
        <v>21</v>
      </c>
      <c r="C23" s="267" t="s">
        <v>1083</v>
      </c>
      <c r="D23" s="267" t="s">
        <v>1084</v>
      </c>
      <c r="E23" s="268" t="s">
        <v>212</v>
      </c>
      <c r="F23" s="268" t="s">
        <v>219</v>
      </c>
      <c r="G23" s="267" t="s">
        <v>190</v>
      </c>
      <c r="H23" s="269" t="s">
        <v>1085</v>
      </c>
      <c r="I23" s="268" t="s">
        <v>197</v>
      </c>
      <c r="J23" s="267" t="s">
        <v>1086</v>
      </c>
      <c r="K23" s="267"/>
      <c r="L23" s="267" t="s">
        <v>1087</v>
      </c>
      <c r="M23" s="270" t="s">
        <v>1088</v>
      </c>
      <c r="N23" s="271" t="s">
        <v>1089</v>
      </c>
      <c r="O23" s="271" t="s">
        <v>1089</v>
      </c>
      <c r="P23" s="268"/>
      <c r="Q23" s="268"/>
      <c r="R23" s="268"/>
      <c r="S23" s="268"/>
      <c r="T23" s="268"/>
      <c r="U23" s="268"/>
      <c r="V23" s="272" t="s">
        <v>1090</v>
      </c>
      <c r="W23" s="273"/>
    </row>
    <row r="24" spans="1:23" ht="75" customHeight="1">
      <c r="A24" s="265">
        <v>22</v>
      </c>
      <c r="B24" s="268">
        <v>22</v>
      </c>
      <c r="C24" s="267" t="s">
        <v>1091</v>
      </c>
      <c r="D24" s="267" t="s">
        <v>1084</v>
      </c>
      <c r="E24" s="268" t="s">
        <v>212</v>
      </c>
      <c r="F24" s="268" t="s">
        <v>219</v>
      </c>
      <c r="G24" s="267" t="s">
        <v>191</v>
      </c>
      <c r="H24" s="269" t="s">
        <v>1092</v>
      </c>
      <c r="I24" s="268" t="s">
        <v>193</v>
      </c>
      <c r="J24" s="267" t="s">
        <v>1093</v>
      </c>
      <c r="K24" s="267"/>
      <c r="L24" s="270" t="s">
        <v>1094</v>
      </c>
      <c r="M24" s="270" t="s">
        <v>1088</v>
      </c>
      <c r="N24" s="271" t="s">
        <v>1089</v>
      </c>
      <c r="O24" s="271" t="s">
        <v>1089</v>
      </c>
      <c r="P24" s="268"/>
      <c r="Q24" s="268"/>
      <c r="R24" s="268"/>
      <c r="S24" s="268"/>
      <c r="T24" s="268"/>
      <c r="U24" s="268"/>
      <c r="V24" s="272" t="s">
        <v>1095</v>
      </c>
      <c r="W24" s="273"/>
    </row>
    <row r="25" spans="1:23" ht="75" customHeight="1">
      <c r="A25" s="265">
        <v>23</v>
      </c>
      <c r="B25" s="268">
        <v>23</v>
      </c>
      <c r="C25" s="267" t="s">
        <v>532</v>
      </c>
      <c r="D25" s="267" t="s">
        <v>1096</v>
      </c>
      <c r="E25" s="268"/>
      <c r="F25" s="268"/>
      <c r="G25" s="267"/>
      <c r="H25" s="269"/>
      <c r="I25" s="268"/>
      <c r="J25" s="267" t="s">
        <v>1093</v>
      </c>
      <c r="K25" s="267"/>
      <c r="L25" s="270" t="s">
        <v>1094</v>
      </c>
      <c r="M25" s="270" t="s">
        <v>1097</v>
      </c>
      <c r="N25" s="271" t="s">
        <v>1098</v>
      </c>
      <c r="O25" s="271" t="s">
        <v>1098</v>
      </c>
      <c r="P25" s="268"/>
      <c r="Q25" s="268"/>
      <c r="R25" s="268"/>
      <c r="S25" s="268"/>
      <c r="T25" s="268"/>
      <c r="U25" s="268"/>
      <c r="V25" s="272"/>
      <c r="W25" s="273"/>
    </row>
    <row r="26" spans="1:23" ht="75" customHeight="1">
      <c r="A26" s="265">
        <v>24</v>
      </c>
      <c r="B26" s="268">
        <v>24</v>
      </c>
      <c r="C26" s="267" t="s">
        <v>1099</v>
      </c>
      <c r="D26" s="267" t="s">
        <v>1096</v>
      </c>
      <c r="E26" s="268"/>
      <c r="F26" s="268"/>
      <c r="G26" s="267"/>
      <c r="H26" s="269"/>
      <c r="I26" s="268"/>
      <c r="J26" s="267" t="s">
        <v>1100</v>
      </c>
      <c r="K26" s="267"/>
      <c r="L26" s="270" t="s">
        <v>1094</v>
      </c>
      <c r="M26" s="270" t="s">
        <v>1101</v>
      </c>
      <c r="N26" s="271" t="s">
        <v>1098</v>
      </c>
      <c r="O26" s="271" t="s">
        <v>1098</v>
      </c>
      <c r="P26" s="268"/>
      <c r="Q26" s="268"/>
      <c r="R26" s="268"/>
      <c r="S26" s="268"/>
      <c r="T26" s="268"/>
      <c r="U26" s="268"/>
      <c r="V26" s="272"/>
      <c r="W26" s="273"/>
    </row>
    <row r="27" spans="1:23" ht="75" customHeight="1">
      <c r="A27" s="265">
        <v>25</v>
      </c>
      <c r="B27" s="268">
        <v>25</v>
      </c>
      <c r="C27" s="267" t="s">
        <v>1102</v>
      </c>
      <c r="D27" s="267" t="s">
        <v>1103</v>
      </c>
      <c r="E27" s="268"/>
      <c r="F27" s="268"/>
      <c r="G27" s="267"/>
      <c r="H27" s="269"/>
      <c r="I27" s="268"/>
      <c r="J27" s="267" t="s">
        <v>92</v>
      </c>
      <c r="K27" s="267" t="s">
        <v>290</v>
      </c>
      <c r="L27" s="267" t="s">
        <v>1047</v>
      </c>
      <c r="M27" s="270"/>
      <c r="N27" s="271"/>
      <c r="O27" s="271"/>
      <c r="P27" s="268"/>
      <c r="Q27" s="268"/>
      <c r="R27" s="268"/>
      <c r="S27" s="268"/>
      <c r="T27" s="268"/>
      <c r="U27" s="268"/>
      <c r="V27" s="272"/>
      <c r="W27" s="273"/>
    </row>
    <row r="28" spans="1:23" ht="75" customHeight="1">
      <c r="A28" s="265">
        <v>26</v>
      </c>
      <c r="B28" s="268">
        <v>26</v>
      </c>
      <c r="C28" s="267" t="s">
        <v>1104</v>
      </c>
      <c r="D28" s="267" t="s">
        <v>1105</v>
      </c>
      <c r="E28" s="268" t="s">
        <v>200</v>
      </c>
      <c r="F28" s="268"/>
      <c r="G28" s="267" t="s">
        <v>1106</v>
      </c>
      <c r="H28" s="269" t="s">
        <v>1107</v>
      </c>
      <c r="I28" s="268"/>
      <c r="J28" s="267" t="s">
        <v>94</v>
      </c>
      <c r="K28" s="267" t="s">
        <v>290</v>
      </c>
      <c r="L28" s="267" t="s">
        <v>1108</v>
      </c>
      <c r="M28" s="270" t="s">
        <v>1109</v>
      </c>
      <c r="N28" s="271" t="s">
        <v>1110</v>
      </c>
      <c r="O28" s="271" t="s">
        <v>1110</v>
      </c>
      <c r="P28" s="268"/>
      <c r="Q28" s="268"/>
      <c r="R28" s="268"/>
      <c r="S28" s="268"/>
      <c r="T28" s="268"/>
      <c r="U28" s="268"/>
      <c r="V28" s="272" t="s">
        <v>1111</v>
      </c>
      <c r="W28" s="273"/>
    </row>
    <row r="29" spans="1:23" ht="75" customHeight="1">
      <c r="A29" s="265">
        <v>27</v>
      </c>
      <c r="B29" s="268">
        <v>27</v>
      </c>
      <c r="C29" s="267" t="s">
        <v>1112</v>
      </c>
      <c r="D29" s="267" t="s">
        <v>1113</v>
      </c>
      <c r="E29" s="268" t="s">
        <v>1114</v>
      </c>
      <c r="F29" s="268"/>
      <c r="G29" s="267" t="s">
        <v>1115</v>
      </c>
      <c r="H29" s="269" t="s">
        <v>1116</v>
      </c>
      <c r="I29" s="268" t="s">
        <v>193</v>
      </c>
      <c r="J29" s="267" t="s">
        <v>89</v>
      </c>
      <c r="K29" s="267" t="s">
        <v>290</v>
      </c>
      <c r="L29" s="267" t="s">
        <v>1108</v>
      </c>
      <c r="M29" s="270" t="s">
        <v>1117</v>
      </c>
      <c r="N29" s="271" t="s">
        <v>1118</v>
      </c>
      <c r="O29" s="271" t="s">
        <v>1118</v>
      </c>
      <c r="P29" s="268"/>
      <c r="Q29" s="268"/>
      <c r="R29" s="268"/>
      <c r="S29" s="268"/>
      <c r="T29" s="268"/>
      <c r="U29" s="268"/>
      <c r="V29" s="272" t="s">
        <v>1119</v>
      </c>
      <c r="W29" s="273"/>
    </row>
    <row r="30" spans="1:23" ht="75" customHeight="1">
      <c r="A30" s="265">
        <v>28</v>
      </c>
      <c r="B30" s="268">
        <v>28</v>
      </c>
      <c r="C30" s="267" t="s">
        <v>1120</v>
      </c>
      <c r="D30" s="267" t="s">
        <v>1121</v>
      </c>
      <c r="E30" s="268" t="s">
        <v>1122</v>
      </c>
      <c r="F30" s="268"/>
      <c r="G30" s="267" t="s">
        <v>1123</v>
      </c>
      <c r="H30" s="269" t="s">
        <v>1124</v>
      </c>
      <c r="I30" s="268"/>
      <c r="J30" s="267" t="s">
        <v>92</v>
      </c>
      <c r="K30" s="267" t="s">
        <v>290</v>
      </c>
      <c r="L30" s="267" t="s">
        <v>1108</v>
      </c>
      <c r="M30" s="270" t="s">
        <v>1125</v>
      </c>
      <c r="N30" s="271" t="s">
        <v>1126</v>
      </c>
      <c r="O30" s="271" t="s">
        <v>1126</v>
      </c>
      <c r="P30" s="268"/>
      <c r="Q30" s="268"/>
      <c r="R30" s="268"/>
      <c r="S30" s="268"/>
      <c r="T30" s="268"/>
      <c r="U30" s="268"/>
      <c r="V30" s="272" t="s">
        <v>1127</v>
      </c>
      <c r="W30" s="273"/>
    </row>
    <row r="31" spans="1:23" ht="75" customHeight="1">
      <c r="A31" s="265">
        <v>29</v>
      </c>
      <c r="B31" s="268">
        <v>29</v>
      </c>
      <c r="C31" s="267" t="s">
        <v>1128</v>
      </c>
      <c r="D31" s="267" t="s">
        <v>1129</v>
      </c>
      <c r="E31" s="268" t="s">
        <v>203</v>
      </c>
      <c r="F31" s="268"/>
      <c r="G31" s="267" t="s">
        <v>1130</v>
      </c>
      <c r="H31" s="269" t="s">
        <v>1131</v>
      </c>
      <c r="I31" s="268"/>
      <c r="J31" s="267" t="s">
        <v>92</v>
      </c>
      <c r="K31" s="267" t="s">
        <v>290</v>
      </c>
      <c r="L31" s="267" t="s">
        <v>1108</v>
      </c>
      <c r="M31" s="270" t="s">
        <v>1132</v>
      </c>
      <c r="N31" s="271" t="s">
        <v>1133</v>
      </c>
      <c r="O31" s="271" t="s">
        <v>1133</v>
      </c>
      <c r="P31" s="268"/>
      <c r="Q31" s="268"/>
      <c r="R31" s="268"/>
      <c r="S31" s="268"/>
      <c r="T31" s="268"/>
      <c r="U31" s="268"/>
      <c r="V31" s="272" t="s">
        <v>1134</v>
      </c>
      <c r="W31" s="273"/>
    </row>
    <row r="32" spans="1:23" ht="75" customHeight="1">
      <c r="A32" s="265">
        <v>30</v>
      </c>
      <c r="B32" s="268">
        <v>30</v>
      </c>
      <c r="C32" s="267" t="s">
        <v>1102</v>
      </c>
      <c r="D32" s="267" t="s">
        <v>1135</v>
      </c>
      <c r="E32" s="268"/>
      <c r="F32" s="268"/>
      <c r="G32" s="267"/>
      <c r="H32" s="269"/>
      <c r="I32" s="268"/>
      <c r="J32" s="267"/>
      <c r="K32" s="267"/>
      <c r="L32" s="267"/>
      <c r="M32" s="270"/>
      <c r="N32" s="271" t="s">
        <v>1136</v>
      </c>
      <c r="O32" s="271" t="s">
        <v>1136</v>
      </c>
      <c r="P32" s="268"/>
      <c r="Q32" s="268"/>
      <c r="R32" s="268"/>
      <c r="S32" s="268"/>
      <c r="T32" s="268"/>
      <c r="U32" s="268"/>
      <c r="V32" s="272"/>
      <c r="W32" s="273"/>
    </row>
    <row r="33" spans="1:23" ht="75" customHeight="1">
      <c r="A33" s="265">
        <v>31</v>
      </c>
      <c r="B33" s="268">
        <v>31</v>
      </c>
      <c r="C33" s="267" t="s">
        <v>1137</v>
      </c>
      <c r="D33" s="267" t="s">
        <v>1138</v>
      </c>
      <c r="E33" s="268" t="s">
        <v>1155</v>
      </c>
      <c r="F33" s="268" t="s">
        <v>1156</v>
      </c>
      <c r="G33" s="267" t="s">
        <v>1157</v>
      </c>
      <c r="H33" s="269" t="s">
        <v>1158</v>
      </c>
      <c r="I33" s="268" t="s">
        <v>193</v>
      </c>
      <c r="J33" s="267" t="s">
        <v>89</v>
      </c>
      <c r="K33" s="267" t="s">
        <v>290</v>
      </c>
      <c r="L33" s="267" t="s">
        <v>1139</v>
      </c>
      <c r="M33" s="270" t="s">
        <v>1159</v>
      </c>
      <c r="N33" s="271" t="s">
        <v>1254</v>
      </c>
      <c r="O33" s="271" t="s">
        <v>1255</v>
      </c>
      <c r="P33" s="268"/>
      <c r="Q33" s="268"/>
      <c r="R33" s="268"/>
      <c r="S33" s="268"/>
      <c r="T33" s="268"/>
      <c r="U33" s="268"/>
      <c r="V33" s="272"/>
      <c r="W33" s="273"/>
    </row>
    <row r="34" spans="1:23" ht="75" customHeight="1">
      <c r="A34" s="265">
        <v>32</v>
      </c>
      <c r="B34" s="268">
        <v>32</v>
      </c>
      <c r="C34" s="267" t="s">
        <v>975</v>
      </c>
      <c r="D34" s="267" t="s">
        <v>1140</v>
      </c>
      <c r="E34" s="360" t="s">
        <v>650</v>
      </c>
      <c r="F34" s="360"/>
      <c r="G34" s="361" t="s">
        <v>1141</v>
      </c>
      <c r="H34" s="362" t="s">
        <v>1142</v>
      </c>
      <c r="I34" s="360"/>
      <c r="J34" s="361"/>
      <c r="K34" s="361"/>
      <c r="L34" s="361"/>
      <c r="M34" s="363" t="s">
        <v>1143</v>
      </c>
      <c r="N34" s="271" t="s">
        <v>1144</v>
      </c>
      <c r="O34" s="271" t="s">
        <v>1144</v>
      </c>
      <c r="P34" s="268"/>
      <c r="Q34" s="268"/>
      <c r="R34" s="268"/>
      <c r="S34" s="268"/>
      <c r="T34" s="268"/>
      <c r="U34" s="268"/>
      <c r="V34" s="272" t="s">
        <v>1145</v>
      </c>
      <c r="W34" s="273"/>
    </row>
    <row r="35" spans="1:23" ht="75" customHeight="1">
      <c r="A35" s="265">
        <v>33</v>
      </c>
      <c r="B35" s="268">
        <v>33</v>
      </c>
      <c r="C35" s="267" t="s">
        <v>1146</v>
      </c>
      <c r="D35" s="267" t="s">
        <v>1147</v>
      </c>
      <c r="E35" s="268" t="s">
        <v>201</v>
      </c>
      <c r="F35" s="268" t="s">
        <v>1148</v>
      </c>
      <c r="G35" s="267" t="s">
        <v>1149</v>
      </c>
      <c r="H35" s="269" t="s">
        <v>1150</v>
      </c>
      <c r="I35" s="268" t="s">
        <v>193</v>
      </c>
      <c r="J35" s="267"/>
      <c r="K35" s="267"/>
      <c r="L35" s="267"/>
      <c r="M35" s="270" t="s">
        <v>1151</v>
      </c>
      <c r="N35" s="271" t="s">
        <v>1152</v>
      </c>
      <c r="O35" s="271" t="s">
        <v>1152</v>
      </c>
      <c r="P35" s="268"/>
      <c r="Q35" s="268"/>
      <c r="R35" s="268"/>
      <c r="S35" s="268"/>
      <c r="T35" s="268"/>
      <c r="U35" s="268"/>
      <c r="V35" s="272"/>
      <c r="W35" s="273"/>
    </row>
    <row r="36" spans="1:23" ht="75" customHeight="1">
      <c r="A36" s="265">
        <v>34</v>
      </c>
      <c r="B36" s="268">
        <v>34</v>
      </c>
      <c r="C36" s="267" t="s">
        <v>1043</v>
      </c>
      <c r="D36" s="267" t="s">
        <v>1153</v>
      </c>
      <c r="E36" s="268"/>
      <c r="F36" s="268"/>
      <c r="G36" s="267"/>
      <c r="H36" s="269"/>
      <c r="I36" s="268"/>
      <c r="J36" s="267"/>
      <c r="K36" s="267"/>
      <c r="L36" s="267"/>
      <c r="M36" s="270"/>
      <c r="N36" s="271" t="s">
        <v>1154</v>
      </c>
      <c r="O36" s="271" t="s">
        <v>1154</v>
      </c>
      <c r="P36" s="268"/>
      <c r="Q36" s="268"/>
      <c r="R36" s="268"/>
      <c r="S36" s="268"/>
      <c r="T36" s="268"/>
      <c r="U36" s="268"/>
      <c r="V36" s="272"/>
      <c r="W36" s="273"/>
    </row>
    <row r="37" spans="1:23" ht="75" customHeight="1">
      <c r="A37" s="265">
        <v>35</v>
      </c>
      <c r="B37" s="268">
        <v>35</v>
      </c>
      <c r="C37" s="267"/>
      <c r="D37" s="267"/>
      <c r="E37" s="268"/>
      <c r="F37" s="268"/>
      <c r="G37" s="267"/>
      <c r="H37" s="269"/>
      <c r="I37" s="268"/>
      <c r="J37" s="267"/>
      <c r="K37" s="267"/>
      <c r="L37" s="267"/>
      <c r="M37" s="270"/>
      <c r="N37" s="271"/>
      <c r="O37" s="271"/>
      <c r="P37" s="268"/>
      <c r="Q37" s="268"/>
      <c r="R37" s="268"/>
      <c r="S37" s="268"/>
      <c r="T37" s="268"/>
      <c r="U37" s="268"/>
      <c r="V37" s="272"/>
      <c r="W37" s="273"/>
    </row>
    <row r="38" spans="1:23" ht="75" customHeight="1">
      <c r="A38" s="265">
        <v>36</v>
      </c>
      <c r="B38" s="268">
        <v>36</v>
      </c>
      <c r="C38" s="267"/>
      <c r="D38" s="267"/>
      <c r="E38" s="268"/>
      <c r="F38" s="268"/>
      <c r="G38" s="267"/>
      <c r="H38" s="269"/>
      <c r="I38" s="268"/>
      <c r="J38" s="267"/>
      <c r="K38" s="267"/>
      <c r="L38" s="267"/>
      <c r="M38" s="270"/>
      <c r="N38" s="271"/>
      <c r="O38" s="271"/>
      <c r="P38" s="268"/>
      <c r="Q38" s="268"/>
      <c r="R38" s="268"/>
      <c r="S38" s="268"/>
      <c r="T38" s="268"/>
      <c r="U38" s="268"/>
      <c r="V38" s="272"/>
      <c r="W38" s="273"/>
    </row>
    <row r="39" spans="1:23" ht="75" customHeight="1">
      <c r="A39" s="265">
        <v>37</v>
      </c>
      <c r="B39" s="268">
        <v>37</v>
      </c>
      <c r="C39" s="267"/>
      <c r="D39" s="267"/>
      <c r="E39" s="268"/>
      <c r="F39" s="268"/>
      <c r="G39" s="267"/>
      <c r="H39" s="269"/>
      <c r="I39" s="268"/>
      <c r="J39" s="267"/>
      <c r="K39" s="267"/>
      <c r="L39" s="267"/>
      <c r="M39" s="270"/>
      <c r="N39" s="271"/>
      <c r="O39" s="271"/>
      <c r="P39" s="268"/>
      <c r="Q39" s="268"/>
      <c r="R39" s="268"/>
      <c r="S39" s="268"/>
      <c r="T39" s="268"/>
      <c r="U39" s="268"/>
      <c r="V39" s="272"/>
      <c r="W39" s="273"/>
    </row>
    <row r="40" spans="1:23" ht="75" customHeight="1" thickBot="1">
      <c r="A40" s="275"/>
      <c r="B40" s="276"/>
      <c r="C40" s="277"/>
      <c r="D40" s="277"/>
      <c r="E40" s="276"/>
      <c r="F40" s="276"/>
      <c r="G40" s="277"/>
      <c r="H40" s="278"/>
      <c r="I40" s="276"/>
      <c r="J40" s="277"/>
      <c r="K40" s="277"/>
      <c r="L40" s="277"/>
      <c r="M40" s="279"/>
      <c r="N40" s="280"/>
      <c r="O40" s="280"/>
      <c r="P40" s="276"/>
      <c r="Q40" s="276"/>
      <c r="R40" s="276"/>
      <c r="S40" s="276"/>
      <c r="T40" s="276"/>
      <c r="U40" s="276"/>
      <c r="V40" s="281" t="s">
        <v>1160</v>
      </c>
      <c r="W40" s="282"/>
    </row>
    <row r="41" spans="1:23" ht="75" customHeight="1" thickTop="1">
      <c r="A41" s="283"/>
      <c r="B41" s="283"/>
      <c r="C41" s="284"/>
      <c r="D41" s="284"/>
      <c r="E41" s="283"/>
      <c r="F41" s="283"/>
      <c r="G41" s="284"/>
      <c r="H41" s="285"/>
      <c r="I41" s="283"/>
      <c r="J41" s="284"/>
      <c r="K41" s="284"/>
      <c r="L41" s="284"/>
      <c r="M41" s="286"/>
      <c r="N41" s="287"/>
      <c r="O41" s="287"/>
      <c r="P41" s="283"/>
      <c r="Q41" s="283"/>
      <c r="R41" s="283"/>
      <c r="S41" s="283"/>
      <c r="T41" s="283"/>
      <c r="U41" s="283"/>
      <c r="V41" s="288"/>
      <c r="W41" s="283"/>
    </row>
    <row r="42" spans="1:23" ht="75" customHeight="1">
      <c r="A42" s="283"/>
      <c r="B42" s="283"/>
      <c r="C42" s="284"/>
      <c r="D42" s="284"/>
      <c r="E42" s="283"/>
      <c r="F42" s="283"/>
      <c r="G42" s="284"/>
      <c r="H42" s="285"/>
      <c r="I42" s="283"/>
      <c r="J42" s="284"/>
      <c r="K42" s="284"/>
      <c r="L42" s="284"/>
      <c r="M42" s="286"/>
      <c r="N42" s="287"/>
      <c r="O42" s="287"/>
      <c r="P42" s="283"/>
      <c r="Q42" s="283"/>
      <c r="R42" s="283"/>
      <c r="S42" s="283"/>
      <c r="T42" s="283"/>
      <c r="U42" s="283"/>
      <c r="V42" s="288"/>
      <c r="W42" s="283"/>
    </row>
    <row r="43" spans="1:23" ht="75" customHeight="1">
      <c r="A43" s="283"/>
      <c r="B43" s="283"/>
      <c r="C43" s="284"/>
      <c r="D43" s="284"/>
      <c r="E43" s="283"/>
      <c r="F43" s="283"/>
      <c r="G43" s="284"/>
      <c r="H43" s="285"/>
      <c r="I43" s="283"/>
      <c r="J43" s="284"/>
      <c r="K43" s="284"/>
      <c r="L43" s="284"/>
      <c r="M43" s="286"/>
      <c r="N43" s="287"/>
      <c r="O43" s="287"/>
      <c r="P43" s="283"/>
      <c r="Q43" s="283"/>
      <c r="R43" s="283"/>
      <c r="S43" s="283"/>
      <c r="T43" s="283"/>
      <c r="U43" s="283"/>
      <c r="V43" s="288"/>
      <c r="W43" s="283"/>
    </row>
    <row r="44" spans="1:23" ht="75" customHeight="1">
      <c r="A44" s="283"/>
      <c r="B44" s="283"/>
      <c r="C44" s="284"/>
      <c r="D44" s="284"/>
      <c r="E44" s="283"/>
      <c r="F44" s="283"/>
      <c r="G44" s="284"/>
      <c r="H44" s="285"/>
      <c r="I44" s="283"/>
      <c r="J44" s="284"/>
      <c r="K44" s="284"/>
      <c r="L44" s="284"/>
      <c r="M44" s="286"/>
      <c r="N44" s="287"/>
      <c r="O44" s="287"/>
      <c r="P44" s="283"/>
      <c r="Q44" s="283"/>
      <c r="R44" s="283"/>
      <c r="S44" s="283"/>
      <c r="T44" s="283"/>
      <c r="U44" s="283"/>
      <c r="V44" s="288"/>
      <c r="W44" s="283"/>
    </row>
    <row r="45" spans="1:23" ht="75" customHeight="1">
      <c r="A45" s="283"/>
      <c r="B45" s="283"/>
      <c r="C45" s="284"/>
      <c r="D45" s="284"/>
      <c r="E45" s="283"/>
      <c r="F45" s="283"/>
      <c r="G45" s="284"/>
      <c r="H45" s="285"/>
      <c r="I45" s="283"/>
      <c r="J45" s="284"/>
      <c r="K45" s="284"/>
      <c r="L45" s="284"/>
      <c r="M45" s="286"/>
      <c r="N45" s="287"/>
      <c r="O45" s="287"/>
      <c r="P45" s="283"/>
      <c r="Q45" s="283"/>
      <c r="R45" s="283"/>
      <c r="S45" s="283"/>
      <c r="T45" s="283"/>
      <c r="U45" s="283"/>
      <c r="V45" s="288"/>
      <c r="W45" s="283"/>
    </row>
    <row r="46" spans="1:23" ht="15.75" customHeight="1">
      <c r="A46" s="283"/>
      <c r="B46" s="283"/>
      <c r="C46" s="284"/>
      <c r="D46" s="284"/>
      <c r="E46" s="283"/>
      <c r="F46" s="283"/>
      <c r="G46" s="284"/>
      <c r="H46" s="285"/>
      <c r="I46" s="283"/>
      <c r="J46" s="284"/>
      <c r="K46" s="284"/>
      <c r="L46" s="284"/>
      <c r="M46" s="286"/>
      <c r="N46" s="287"/>
      <c r="O46" s="287"/>
      <c r="P46" s="283"/>
      <c r="Q46" s="283"/>
      <c r="R46" s="283"/>
      <c r="S46" s="283"/>
      <c r="T46" s="283"/>
      <c r="U46" s="283"/>
      <c r="V46" s="288"/>
      <c r="W46" s="283"/>
    </row>
    <row r="47" spans="1:23" ht="15.75" customHeight="1">
      <c r="C47" s="289"/>
      <c r="D47" s="289"/>
      <c r="G47" s="289"/>
      <c r="H47" s="290"/>
      <c r="J47" s="289"/>
      <c r="K47" s="289"/>
      <c r="L47" s="289"/>
      <c r="M47" s="286"/>
      <c r="N47" s="287"/>
      <c r="O47" s="287"/>
      <c r="V47" s="288"/>
    </row>
    <row r="48" spans="1:23" ht="15.75" customHeight="1">
      <c r="C48" s="289"/>
      <c r="D48" s="289"/>
      <c r="G48" s="289"/>
      <c r="H48" s="290"/>
      <c r="J48" s="289"/>
      <c r="K48" s="289"/>
      <c r="L48" s="289"/>
      <c r="M48" s="286"/>
      <c r="N48" s="287"/>
      <c r="O48" s="287"/>
      <c r="V48" s="288"/>
    </row>
    <row r="49" spans="3:22" ht="15.75" customHeight="1">
      <c r="C49" s="289"/>
      <c r="D49" s="289"/>
      <c r="G49" s="289"/>
      <c r="H49" s="290"/>
      <c r="J49" s="289"/>
      <c r="K49" s="289"/>
      <c r="L49" s="289"/>
      <c r="M49" s="286"/>
      <c r="N49" s="287"/>
      <c r="O49" s="287"/>
      <c r="V49" s="288"/>
    </row>
    <row r="50" spans="3:22" ht="15.75" customHeight="1">
      <c r="C50" s="289"/>
      <c r="D50" s="289"/>
      <c r="G50" s="289"/>
      <c r="H50" s="290"/>
      <c r="J50" s="289"/>
      <c r="K50" s="289"/>
      <c r="L50" s="289"/>
      <c r="M50" s="286"/>
      <c r="N50" s="287"/>
      <c r="O50" s="287"/>
      <c r="V50" s="288"/>
    </row>
    <row r="51" spans="3:22" ht="15.75" customHeight="1">
      <c r="C51" s="289"/>
      <c r="D51" s="289"/>
      <c r="G51" s="289"/>
      <c r="H51" s="290"/>
      <c r="J51" s="289"/>
      <c r="K51" s="289"/>
      <c r="L51" s="289"/>
      <c r="M51" s="286"/>
      <c r="N51" s="287"/>
      <c r="O51" s="287"/>
      <c r="V51" s="288"/>
    </row>
    <row r="52" spans="3:22" ht="15.75" customHeight="1">
      <c r="C52" s="289"/>
      <c r="D52" s="289"/>
      <c r="G52" s="289"/>
      <c r="H52" s="290"/>
      <c r="J52" s="289"/>
      <c r="K52" s="289"/>
      <c r="L52" s="289"/>
      <c r="M52" s="286"/>
      <c r="N52" s="287"/>
      <c r="O52" s="287"/>
      <c r="V52" s="288"/>
    </row>
    <row r="53" spans="3:22" ht="15.75" customHeight="1">
      <c r="C53" s="289"/>
      <c r="D53" s="289"/>
      <c r="G53" s="289"/>
      <c r="H53" s="290"/>
      <c r="J53" s="289"/>
      <c r="K53" s="289"/>
      <c r="L53" s="289"/>
      <c r="M53" s="286"/>
      <c r="N53" s="287"/>
      <c r="O53" s="287"/>
      <c r="V53" s="288"/>
    </row>
    <row r="54" spans="3:22" ht="15.75" customHeight="1">
      <c r="C54" s="289"/>
      <c r="D54" s="289"/>
      <c r="G54" s="289"/>
      <c r="H54" s="290"/>
      <c r="J54" s="289"/>
      <c r="K54" s="289"/>
      <c r="L54" s="289"/>
      <c r="M54" s="286"/>
      <c r="N54" s="287"/>
      <c r="O54" s="287"/>
      <c r="V54" s="288"/>
    </row>
    <row r="55" spans="3:22" ht="15.75" customHeight="1">
      <c r="C55" s="289"/>
      <c r="D55" s="289"/>
      <c r="G55" s="289"/>
      <c r="H55" s="290"/>
      <c r="J55" s="289"/>
      <c r="K55" s="289"/>
      <c r="L55" s="289"/>
      <c r="M55" s="286"/>
      <c r="N55" s="287"/>
      <c r="O55" s="287"/>
      <c r="V55" s="288"/>
    </row>
    <row r="56" spans="3:22" ht="15.75" customHeight="1">
      <c r="C56" s="289"/>
      <c r="D56" s="289"/>
      <c r="G56" s="289"/>
      <c r="H56" s="290"/>
      <c r="J56" s="289"/>
      <c r="K56" s="289"/>
      <c r="L56" s="289"/>
      <c r="M56" s="286"/>
      <c r="N56" s="287"/>
      <c r="O56" s="287"/>
      <c r="V56" s="288"/>
    </row>
    <row r="57" spans="3:22" ht="15.75" customHeight="1">
      <c r="C57" s="289"/>
      <c r="D57" s="289"/>
      <c r="G57" s="289"/>
      <c r="H57" s="290"/>
      <c r="J57" s="289"/>
      <c r="K57" s="289"/>
      <c r="L57" s="289"/>
      <c r="M57" s="286"/>
      <c r="N57" s="287"/>
      <c r="O57" s="287"/>
      <c r="V57" s="288"/>
    </row>
    <row r="58" spans="3:22" ht="15.75" customHeight="1">
      <c r="C58" s="289"/>
      <c r="D58" s="289"/>
      <c r="G58" s="289"/>
      <c r="H58" s="290"/>
      <c r="J58" s="289"/>
      <c r="K58" s="289"/>
      <c r="L58" s="289"/>
      <c r="M58" s="286"/>
      <c r="N58" s="287"/>
      <c r="O58" s="287"/>
      <c r="V58" s="288"/>
    </row>
    <row r="59" spans="3:22" ht="15.75" customHeight="1">
      <c r="C59" s="289"/>
      <c r="D59" s="289"/>
      <c r="G59" s="289"/>
      <c r="H59" s="290"/>
      <c r="J59" s="289"/>
      <c r="K59" s="289"/>
      <c r="L59" s="289"/>
      <c r="M59" s="286"/>
      <c r="N59" s="287"/>
      <c r="O59" s="287"/>
      <c r="V59" s="288"/>
    </row>
    <row r="60" spans="3:22" ht="15.75" customHeight="1">
      <c r="C60" s="289"/>
      <c r="D60" s="289"/>
      <c r="G60" s="289"/>
      <c r="H60" s="290"/>
      <c r="J60" s="289"/>
      <c r="K60" s="289"/>
      <c r="L60" s="289"/>
      <c r="M60" s="286"/>
      <c r="N60" s="287"/>
      <c r="O60" s="287"/>
      <c r="V60" s="288"/>
    </row>
    <row r="61" spans="3:22" ht="15.75" customHeight="1">
      <c r="C61" s="289"/>
      <c r="D61" s="289"/>
      <c r="G61" s="289"/>
      <c r="H61" s="290"/>
      <c r="J61" s="289"/>
      <c r="K61" s="289"/>
      <c r="L61" s="289"/>
      <c r="M61" s="286"/>
      <c r="N61" s="287"/>
      <c r="O61" s="287"/>
      <c r="V61" s="288"/>
    </row>
    <row r="62" spans="3:22" ht="15.75" customHeight="1">
      <c r="C62" s="289"/>
      <c r="D62" s="289"/>
      <c r="G62" s="289"/>
      <c r="H62" s="290"/>
      <c r="J62" s="289"/>
      <c r="K62" s="289"/>
      <c r="L62" s="289"/>
      <c r="M62" s="286"/>
      <c r="N62" s="287"/>
      <c r="O62" s="287"/>
      <c r="V62" s="288"/>
    </row>
    <row r="63" spans="3:22" ht="15.75" customHeight="1">
      <c r="C63" s="289"/>
      <c r="D63" s="289"/>
      <c r="G63" s="289"/>
      <c r="H63" s="290"/>
      <c r="J63" s="289"/>
      <c r="K63" s="289"/>
      <c r="L63" s="289"/>
      <c r="M63" s="286"/>
      <c r="N63" s="287"/>
      <c r="O63" s="287"/>
      <c r="V63" s="288"/>
    </row>
    <row r="64" spans="3:22" ht="15.75" customHeight="1">
      <c r="C64" s="289"/>
      <c r="D64" s="289"/>
      <c r="G64" s="289"/>
      <c r="H64" s="290"/>
      <c r="J64" s="289"/>
      <c r="K64" s="289"/>
      <c r="L64" s="289"/>
      <c r="M64" s="286"/>
      <c r="N64" s="287"/>
      <c r="O64" s="287"/>
      <c r="V64" s="288"/>
    </row>
    <row r="65" spans="3:22" ht="15.75" customHeight="1">
      <c r="C65" s="289"/>
      <c r="D65" s="289"/>
      <c r="G65" s="289"/>
      <c r="H65" s="290"/>
      <c r="J65" s="289"/>
      <c r="K65" s="289"/>
      <c r="L65" s="289"/>
      <c r="M65" s="286"/>
      <c r="N65" s="287"/>
      <c r="O65" s="287"/>
      <c r="V65" s="288"/>
    </row>
    <row r="66" spans="3:22" ht="15.75" customHeight="1">
      <c r="C66" s="289"/>
      <c r="D66" s="289"/>
      <c r="G66" s="289"/>
      <c r="H66" s="290"/>
      <c r="J66" s="289"/>
      <c r="K66" s="289"/>
      <c r="L66" s="289"/>
      <c r="M66" s="286"/>
      <c r="N66" s="287"/>
      <c r="O66" s="287"/>
      <c r="V66" s="288"/>
    </row>
    <row r="67" spans="3:22" ht="15.75" customHeight="1">
      <c r="C67" s="289"/>
      <c r="D67" s="289"/>
      <c r="G67" s="289"/>
      <c r="H67" s="290"/>
      <c r="J67" s="289"/>
      <c r="K67" s="289"/>
      <c r="L67" s="289"/>
      <c r="M67" s="286"/>
      <c r="N67" s="287"/>
      <c r="O67" s="287"/>
      <c r="V67" s="288"/>
    </row>
    <row r="68" spans="3:22" ht="15.75" customHeight="1">
      <c r="C68" s="289"/>
      <c r="D68" s="289"/>
      <c r="G68" s="289"/>
      <c r="H68" s="290"/>
      <c r="J68" s="289"/>
      <c r="K68" s="289"/>
      <c r="L68" s="289"/>
      <c r="M68" s="286"/>
      <c r="N68" s="287"/>
      <c r="O68" s="287"/>
      <c r="V68" s="288"/>
    </row>
    <row r="69" spans="3:22" ht="15.75" customHeight="1">
      <c r="C69" s="289"/>
      <c r="D69" s="289"/>
      <c r="G69" s="289"/>
      <c r="H69" s="290"/>
      <c r="J69" s="289"/>
      <c r="K69" s="289"/>
      <c r="L69" s="289"/>
      <c r="M69" s="286"/>
      <c r="N69" s="287"/>
      <c r="O69" s="287"/>
      <c r="V69" s="288"/>
    </row>
    <row r="70" spans="3:22" ht="15.75" customHeight="1">
      <c r="C70" s="289"/>
      <c r="D70" s="289"/>
      <c r="G70" s="289"/>
      <c r="H70" s="290"/>
      <c r="J70" s="289"/>
      <c r="K70" s="289"/>
      <c r="L70" s="289"/>
      <c r="M70" s="286"/>
      <c r="N70" s="287"/>
      <c r="O70" s="287"/>
      <c r="V70" s="288"/>
    </row>
    <row r="71" spans="3:22" ht="15.75" customHeight="1">
      <c r="C71" s="289"/>
      <c r="D71" s="289"/>
      <c r="G71" s="289"/>
      <c r="H71" s="290"/>
      <c r="J71" s="289"/>
      <c r="K71" s="289"/>
      <c r="L71" s="289"/>
      <c r="M71" s="286"/>
      <c r="N71" s="287"/>
      <c r="O71" s="287"/>
      <c r="V71" s="288"/>
    </row>
    <row r="72" spans="3:22" ht="15.75" customHeight="1">
      <c r="C72" s="289"/>
      <c r="D72" s="289"/>
      <c r="G72" s="289"/>
      <c r="H72" s="290"/>
      <c r="J72" s="289"/>
      <c r="K72" s="289"/>
      <c r="L72" s="289"/>
      <c r="M72" s="286"/>
      <c r="N72" s="287"/>
      <c r="O72" s="287"/>
      <c r="V72" s="288"/>
    </row>
    <row r="73" spans="3:22" ht="15.75" customHeight="1">
      <c r="C73" s="289"/>
      <c r="D73" s="289"/>
      <c r="G73" s="289"/>
      <c r="H73" s="290"/>
      <c r="J73" s="289"/>
      <c r="K73" s="289"/>
      <c r="L73" s="289"/>
      <c r="M73" s="286"/>
      <c r="N73" s="287"/>
      <c r="O73" s="287"/>
      <c r="V73" s="288"/>
    </row>
    <row r="74" spans="3:22" ht="15.75" customHeight="1">
      <c r="C74" s="289"/>
      <c r="D74" s="289"/>
      <c r="G74" s="289"/>
      <c r="H74" s="290"/>
      <c r="J74" s="289"/>
      <c r="K74" s="289"/>
      <c r="L74" s="289"/>
      <c r="M74" s="286"/>
      <c r="N74" s="287"/>
      <c r="O74" s="287"/>
      <c r="V74" s="288"/>
    </row>
    <row r="75" spans="3:22" ht="15.75" customHeight="1">
      <c r="C75" s="289"/>
      <c r="D75" s="289"/>
      <c r="G75" s="289"/>
      <c r="H75" s="290"/>
      <c r="J75" s="289"/>
      <c r="K75" s="289"/>
      <c r="L75" s="289"/>
      <c r="M75" s="286"/>
      <c r="N75" s="287"/>
      <c r="O75" s="287"/>
      <c r="V75" s="288"/>
    </row>
    <row r="76" spans="3:22" ht="15.75" customHeight="1">
      <c r="C76" s="289"/>
      <c r="D76" s="289"/>
      <c r="G76" s="289"/>
      <c r="H76" s="290"/>
      <c r="J76" s="289"/>
      <c r="K76" s="289"/>
      <c r="L76" s="289"/>
      <c r="M76" s="286"/>
      <c r="N76" s="287"/>
      <c r="O76" s="287"/>
      <c r="V76" s="288"/>
    </row>
    <row r="77" spans="3:22" ht="15.75" customHeight="1">
      <c r="C77" s="289"/>
      <c r="D77" s="289"/>
      <c r="G77" s="289"/>
      <c r="H77" s="290"/>
      <c r="J77" s="289"/>
      <c r="K77" s="289"/>
      <c r="L77" s="289"/>
      <c r="M77" s="286"/>
      <c r="N77" s="287"/>
      <c r="O77" s="287"/>
      <c r="V77" s="288"/>
    </row>
    <row r="78" spans="3:22" ht="15.75" customHeight="1">
      <c r="C78" s="289"/>
      <c r="D78" s="289"/>
      <c r="G78" s="289"/>
      <c r="H78" s="290"/>
      <c r="J78" s="289"/>
      <c r="K78" s="289"/>
      <c r="L78" s="289"/>
      <c r="M78" s="286"/>
      <c r="N78" s="287"/>
      <c r="O78" s="287"/>
      <c r="V78" s="288"/>
    </row>
    <row r="79" spans="3:22" ht="15.75" customHeight="1">
      <c r="C79" s="289"/>
      <c r="D79" s="289"/>
      <c r="G79" s="289"/>
      <c r="H79" s="290"/>
      <c r="J79" s="289"/>
      <c r="K79" s="289"/>
      <c r="L79" s="289"/>
      <c r="M79" s="286"/>
      <c r="N79" s="287"/>
      <c r="O79" s="287"/>
      <c r="V79" s="288"/>
    </row>
    <row r="80" spans="3:22" ht="15.75" customHeight="1">
      <c r="C80" s="289"/>
      <c r="D80" s="289"/>
      <c r="G80" s="289"/>
      <c r="H80" s="290"/>
      <c r="J80" s="289"/>
      <c r="K80" s="289"/>
      <c r="L80" s="289"/>
      <c r="M80" s="286"/>
      <c r="N80" s="287"/>
      <c r="O80" s="287"/>
      <c r="V80" s="288"/>
    </row>
    <row r="81" spans="3:22" ht="15.75" customHeight="1">
      <c r="C81" s="289"/>
      <c r="D81" s="289"/>
      <c r="G81" s="289"/>
      <c r="H81" s="290"/>
      <c r="J81" s="289"/>
      <c r="K81" s="289"/>
      <c r="L81" s="289"/>
      <c r="M81" s="286"/>
      <c r="N81" s="287"/>
      <c r="O81" s="287"/>
      <c r="V81" s="288"/>
    </row>
    <row r="82" spans="3:22" ht="15.75" customHeight="1">
      <c r="C82" s="289"/>
      <c r="D82" s="289"/>
      <c r="G82" s="289"/>
      <c r="H82" s="290"/>
      <c r="J82" s="289"/>
      <c r="K82" s="289"/>
      <c r="L82" s="289"/>
      <c r="M82" s="286"/>
      <c r="N82" s="287"/>
      <c r="O82" s="287"/>
      <c r="V82" s="288"/>
    </row>
    <row r="83" spans="3:22" ht="15.75" customHeight="1">
      <c r="C83" s="289"/>
      <c r="D83" s="289"/>
      <c r="G83" s="289"/>
      <c r="H83" s="290"/>
      <c r="J83" s="289"/>
      <c r="K83" s="289"/>
      <c r="L83" s="289"/>
      <c r="M83" s="286"/>
      <c r="N83" s="287"/>
      <c r="O83" s="287"/>
      <c r="V83" s="288"/>
    </row>
    <row r="84" spans="3:22" ht="15.75" customHeight="1">
      <c r="C84" s="289"/>
      <c r="D84" s="289"/>
      <c r="G84" s="289"/>
      <c r="H84" s="290"/>
      <c r="J84" s="289"/>
      <c r="K84" s="289"/>
      <c r="L84" s="289"/>
      <c r="M84" s="286"/>
      <c r="N84" s="287"/>
      <c r="O84" s="287"/>
      <c r="V84" s="288"/>
    </row>
    <row r="85" spans="3:22" ht="15.75" customHeight="1">
      <c r="C85" s="289"/>
      <c r="D85" s="289"/>
      <c r="G85" s="289"/>
      <c r="H85" s="290"/>
      <c r="J85" s="289"/>
      <c r="K85" s="289"/>
      <c r="L85" s="289"/>
      <c r="M85" s="286"/>
      <c r="N85" s="287"/>
      <c r="O85" s="287"/>
      <c r="V85" s="288"/>
    </row>
    <row r="86" spans="3:22" ht="15.75" customHeight="1">
      <c r="C86" s="289"/>
      <c r="D86" s="289"/>
      <c r="G86" s="289"/>
      <c r="H86" s="290"/>
      <c r="J86" s="289"/>
      <c r="K86" s="289"/>
      <c r="L86" s="289"/>
      <c r="M86" s="286"/>
      <c r="N86" s="287"/>
      <c r="O86" s="287"/>
      <c r="V86" s="288"/>
    </row>
    <row r="87" spans="3:22" ht="15.75" customHeight="1">
      <c r="C87" s="289"/>
      <c r="D87" s="289"/>
      <c r="G87" s="289"/>
      <c r="H87" s="290"/>
      <c r="J87" s="289"/>
      <c r="K87" s="289"/>
      <c r="L87" s="289"/>
      <c r="M87" s="286"/>
      <c r="N87" s="287"/>
      <c r="O87" s="287"/>
      <c r="V87" s="288"/>
    </row>
    <row r="88" spans="3:22" ht="15.75" customHeight="1">
      <c r="C88" s="289"/>
      <c r="D88" s="289"/>
      <c r="G88" s="289"/>
      <c r="H88" s="290"/>
      <c r="J88" s="289"/>
      <c r="K88" s="289"/>
      <c r="L88" s="289"/>
      <c r="M88" s="286"/>
      <c r="N88" s="287"/>
      <c r="O88" s="287"/>
      <c r="V88" s="288"/>
    </row>
    <row r="89" spans="3:22" ht="15.75" customHeight="1">
      <c r="C89" s="289"/>
      <c r="D89" s="289"/>
      <c r="G89" s="289"/>
      <c r="H89" s="290"/>
      <c r="J89" s="289"/>
      <c r="K89" s="289"/>
      <c r="L89" s="289"/>
      <c r="M89" s="286"/>
      <c r="N89" s="287"/>
      <c r="O89" s="287"/>
      <c r="V89" s="288"/>
    </row>
    <row r="90" spans="3:22" ht="15.75" customHeight="1">
      <c r="C90" s="289"/>
      <c r="D90" s="289"/>
      <c r="G90" s="289"/>
      <c r="H90" s="290"/>
      <c r="J90" s="289"/>
      <c r="K90" s="289"/>
      <c r="L90" s="289"/>
      <c r="M90" s="286"/>
      <c r="N90" s="287"/>
      <c r="O90" s="287"/>
      <c r="V90" s="288"/>
    </row>
    <row r="91" spans="3:22" ht="15.75" customHeight="1">
      <c r="C91" s="289"/>
      <c r="D91" s="289"/>
      <c r="G91" s="289"/>
      <c r="H91" s="290"/>
      <c r="J91" s="289"/>
      <c r="K91" s="289"/>
      <c r="L91" s="289"/>
      <c r="M91" s="286"/>
      <c r="N91" s="287"/>
      <c r="O91" s="287"/>
      <c r="V91" s="288"/>
    </row>
    <row r="92" spans="3:22" ht="15.75" customHeight="1">
      <c r="C92" s="289"/>
      <c r="D92" s="289"/>
      <c r="G92" s="289"/>
      <c r="H92" s="290"/>
      <c r="J92" s="289"/>
      <c r="K92" s="289"/>
      <c r="L92" s="289"/>
      <c r="M92" s="286"/>
      <c r="N92" s="287"/>
      <c r="O92" s="287"/>
      <c r="V92" s="288"/>
    </row>
    <row r="93" spans="3:22" ht="15.75" customHeight="1">
      <c r="C93" s="289"/>
      <c r="D93" s="289"/>
      <c r="G93" s="289"/>
      <c r="H93" s="290"/>
      <c r="J93" s="289"/>
      <c r="K93" s="289"/>
      <c r="L93" s="289"/>
      <c r="M93" s="286"/>
      <c r="N93" s="287"/>
      <c r="O93" s="287"/>
      <c r="V93" s="288"/>
    </row>
    <row r="94" spans="3:22" ht="15.75" customHeight="1">
      <c r="C94" s="289"/>
      <c r="D94" s="289"/>
      <c r="G94" s="289"/>
      <c r="H94" s="290"/>
      <c r="J94" s="289"/>
      <c r="K94" s="289"/>
      <c r="L94" s="289"/>
      <c r="M94" s="286"/>
      <c r="N94" s="287"/>
      <c r="O94" s="287"/>
      <c r="V94" s="288"/>
    </row>
    <row r="95" spans="3:22" ht="15.75" customHeight="1">
      <c r="C95" s="289"/>
      <c r="D95" s="289"/>
      <c r="G95" s="289"/>
      <c r="H95" s="290"/>
      <c r="J95" s="289"/>
      <c r="K95" s="289"/>
      <c r="L95" s="289"/>
      <c r="M95" s="286"/>
      <c r="N95" s="287"/>
      <c r="O95" s="287"/>
      <c r="V95" s="288"/>
    </row>
    <row r="96" spans="3:22" ht="15.75" customHeight="1">
      <c r="C96" s="289"/>
      <c r="D96" s="289"/>
      <c r="G96" s="289"/>
      <c r="H96" s="290"/>
      <c r="J96" s="289"/>
      <c r="K96" s="289"/>
      <c r="L96" s="289"/>
      <c r="M96" s="286"/>
      <c r="N96" s="287"/>
      <c r="O96" s="287"/>
      <c r="V96" s="288"/>
    </row>
    <row r="97" spans="3:22" ht="15.75" customHeight="1">
      <c r="C97" s="289"/>
      <c r="D97" s="289"/>
      <c r="G97" s="289"/>
      <c r="H97" s="290"/>
      <c r="J97" s="289"/>
      <c r="K97" s="289"/>
      <c r="L97" s="289"/>
      <c r="M97" s="286"/>
      <c r="N97" s="287"/>
      <c r="O97" s="287"/>
      <c r="V97" s="288"/>
    </row>
    <row r="98" spans="3:22" ht="15.75" customHeight="1">
      <c r="C98" s="289"/>
      <c r="D98" s="289"/>
      <c r="G98" s="289"/>
      <c r="H98" s="290"/>
      <c r="J98" s="289"/>
      <c r="K98" s="289"/>
      <c r="L98" s="289"/>
      <c r="M98" s="286"/>
      <c r="N98" s="287"/>
      <c r="O98" s="287"/>
      <c r="V98" s="288"/>
    </row>
    <row r="99" spans="3:22" ht="15.75" customHeight="1">
      <c r="C99" s="289"/>
      <c r="D99" s="289"/>
      <c r="G99" s="289"/>
      <c r="H99" s="290"/>
      <c r="J99" s="289"/>
      <c r="K99" s="289"/>
      <c r="L99" s="289"/>
      <c r="M99" s="286"/>
      <c r="N99" s="287"/>
      <c r="O99" s="287"/>
      <c r="V99" s="288"/>
    </row>
    <row r="100" spans="3:22" ht="15.75" customHeight="1">
      <c r="C100" s="289"/>
      <c r="D100" s="289"/>
      <c r="G100" s="289"/>
      <c r="H100" s="290"/>
      <c r="J100" s="289"/>
      <c r="K100" s="289"/>
      <c r="L100" s="289"/>
      <c r="M100" s="286"/>
      <c r="N100" s="287"/>
      <c r="O100" s="287"/>
      <c r="V100" s="288"/>
    </row>
    <row r="101" spans="3:22" ht="15.75" customHeight="1">
      <c r="C101" s="289"/>
      <c r="D101" s="289"/>
      <c r="G101" s="289"/>
      <c r="H101" s="290"/>
      <c r="J101" s="289"/>
      <c r="K101" s="289"/>
      <c r="L101" s="289"/>
      <c r="M101" s="286"/>
      <c r="N101" s="287"/>
      <c r="O101" s="287"/>
      <c r="V101" s="288"/>
    </row>
    <row r="102" spans="3:22" ht="15.75" customHeight="1">
      <c r="C102" s="289"/>
      <c r="D102" s="289"/>
      <c r="G102" s="289"/>
      <c r="H102" s="290"/>
      <c r="J102" s="289"/>
      <c r="K102" s="289"/>
      <c r="L102" s="289"/>
      <c r="M102" s="286"/>
      <c r="N102" s="287"/>
      <c r="O102" s="287"/>
      <c r="V102" s="288"/>
    </row>
    <row r="103" spans="3:22" ht="15.75" customHeight="1">
      <c r="C103" s="289"/>
      <c r="D103" s="289"/>
      <c r="G103" s="289"/>
      <c r="H103" s="290"/>
      <c r="J103" s="289"/>
      <c r="K103" s="289"/>
      <c r="L103" s="289"/>
      <c r="M103" s="286"/>
      <c r="N103" s="287"/>
      <c r="O103" s="287"/>
      <c r="V103" s="288"/>
    </row>
    <row r="104" spans="3:22" ht="15.75" customHeight="1">
      <c r="C104" s="289"/>
      <c r="D104" s="289"/>
      <c r="G104" s="289"/>
      <c r="H104" s="290"/>
      <c r="J104" s="289"/>
      <c r="K104" s="289"/>
      <c r="L104" s="289"/>
      <c r="M104" s="286"/>
      <c r="N104" s="287"/>
      <c r="O104" s="287"/>
      <c r="V104" s="288"/>
    </row>
    <row r="105" spans="3:22" ht="15.75" customHeight="1">
      <c r="C105" s="289"/>
      <c r="D105" s="289"/>
      <c r="G105" s="289"/>
      <c r="H105" s="290"/>
      <c r="J105" s="289"/>
      <c r="K105" s="289"/>
      <c r="L105" s="289"/>
      <c r="M105" s="286"/>
      <c r="N105" s="287"/>
      <c r="O105" s="287"/>
      <c r="V105" s="288"/>
    </row>
    <row r="106" spans="3:22" ht="15.75" customHeight="1">
      <c r="C106" s="289"/>
      <c r="D106" s="289"/>
      <c r="G106" s="289"/>
      <c r="H106" s="290"/>
      <c r="J106" s="289"/>
      <c r="K106" s="289"/>
      <c r="L106" s="289"/>
      <c r="M106" s="286"/>
      <c r="N106" s="287"/>
      <c r="O106" s="287"/>
      <c r="V106" s="288"/>
    </row>
    <row r="107" spans="3:22" ht="15.75" customHeight="1">
      <c r="C107" s="289"/>
      <c r="D107" s="289"/>
      <c r="G107" s="289"/>
      <c r="H107" s="290"/>
      <c r="J107" s="289"/>
      <c r="K107" s="289"/>
      <c r="L107" s="289"/>
      <c r="M107" s="286"/>
      <c r="N107" s="287"/>
      <c r="O107" s="287"/>
      <c r="V107" s="288"/>
    </row>
    <row r="108" spans="3:22" ht="15.75" customHeight="1">
      <c r="C108" s="289"/>
      <c r="D108" s="289"/>
      <c r="G108" s="289"/>
      <c r="H108" s="290"/>
      <c r="J108" s="289"/>
      <c r="K108" s="289"/>
      <c r="L108" s="289"/>
      <c r="M108" s="286"/>
      <c r="N108" s="287"/>
      <c r="O108" s="287"/>
      <c r="V108" s="288"/>
    </row>
    <row r="109" spans="3:22" ht="15.75" customHeight="1">
      <c r="C109" s="289"/>
      <c r="D109" s="289"/>
      <c r="G109" s="289"/>
      <c r="H109" s="290"/>
      <c r="J109" s="289"/>
      <c r="K109" s="289"/>
      <c r="L109" s="289"/>
      <c r="M109" s="286"/>
      <c r="N109" s="287"/>
      <c r="O109" s="287"/>
      <c r="V109" s="288"/>
    </row>
    <row r="110" spans="3:22" ht="15.75" customHeight="1">
      <c r="C110" s="289"/>
      <c r="D110" s="289"/>
      <c r="G110" s="289"/>
      <c r="H110" s="290"/>
      <c r="J110" s="289"/>
      <c r="K110" s="289"/>
      <c r="L110" s="289"/>
      <c r="M110" s="286"/>
      <c r="N110" s="287"/>
      <c r="O110" s="287"/>
      <c r="V110" s="288"/>
    </row>
    <row r="111" spans="3:22" ht="15.75" customHeight="1">
      <c r="C111" s="289"/>
      <c r="D111" s="289"/>
      <c r="G111" s="289"/>
      <c r="H111" s="290"/>
      <c r="J111" s="289"/>
      <c r="K111" s="289"/>
      <c r="L111" s="289"/>
      <c r="M111" s="286"/>
      <c r="N111" s="287"/>
      <c r="O111" s="287"/>
      <c r="V111" s="288"/>
    </row>
    <row r="112" spans="3:22" ht="15.75" customHeight="1">
      <c r="C112" s="289"/>
      <c r="D112" s="289"/>
      <c r="G112" s="289"/>
      <c r="H112" s="290"/>
      <c r="J112" s="289"/>
      <c r="K112" s="289"/>
      <c r="L112" s="289"/>
      <c r="M112" s="286"/>
      <c r="N112" s="287"/>
      <c r="O112" s="287"/>
      <c r="V112" s="288"/>
    </row>
    <row r="113" spans="3:22" ht="15.75" customHeight="1">
      <c r="C113" s="289"/>
      <c r="D113" s="289"/>
      <c r="G113" s="289"/>
      <c r="H113" s="290"/>
      <c r="J113" s="289"/>
      <c r="K113" s="289"/>
      <c r="L113" s="289"/>
      <c r="M113" s="286"/>
      <c r="N113" s="287"/>
      <c r="O113" s="287"/>
      <c r="V113" s="288"/>
    </row>
    <row r="114" spans="3:22" ht="15.75" customHeight="1">
      <c r="C114" s="289"/>
      <c r="D114" s="289"/>
      <c r="G114" s="289"/>
      <c r="H114" s="290"/>
      <c r="J114" s="289"/>
      <c r="K114" s="289"/>
      <c r="L114" s="289"/>
      <c r="M114" s="286"/>
      <c r="N114" s="287"/>
      <c r="O114" s="287"/>
      <c r="V114" s="288"/>
    </row>
    <row r="115" spans="3:22" ht="15.75" customHeight="1">
      <c r="C115" s="289"/>
      <c r="D115" s="289"/>
      <c r="G115" s="289"/>
      <c r="H115" s="290"/>
      <c r="J115" s="289"/>
      <c r="K115" s="289"/>
      <c r="L115" s="289"/>
      <c r="M115" s="286"/>
      <c r="N115" s="287"/>
      <c r="O115" s="287"/>
      <c r="V115" s="288"/>
    </row>
    <row r="116" spans="3:22" ht="15.75" customHeight="1">
      <c r="C116" s="289"/>
      <c r="D116" s="289"/>
      <c r="G116" s="289"/>
      <c r="H116" s="290"/>
      <c r="J116" s="289"/>
      <c r="K116" s="289"/>
      <c r="L116" s="289"/>
      <c r="M116" s="286"/>
      <c r="N116" s="287"/>
      <c r="O116" s="287"/>
      <c r="V116" s="288"/>
    </row>
    <row r="117" spans="3:22" ht="15.75" customHeight="1">
      <c r="C117" s="289"/>
      <c r="D117" s="289"/>
      <c r="G117" s="289"/>
      <c r="H117" s="290"/>
      <c r="J117" s="289"/>
      <c r="K117" s="289"/>
      <c r="L117" s="289"/>
      <c r="M117" s="286"/>
      <c r="N117" s="287"/>
      <c r="O117" s="287"/>
      <c r="V117" s="288"/>
    </row>
    <row r="118" spans="3:22" ht="15.75" customHeight="1">
      <c r="C118" s="289"/>
      <c r="D118" s="289"/>
      <c r="G118" s="289"/>
      <c r="H118" s="290"/>
      <c r="J118" s="289"/>
      <c r="K118" s="289"/>
      <c r="L118" s="289"/>
      <c r="M118" s="286"/>
      <c r="N118" s="287"/>
      <c r="O118" s="287"/>
      <c r="V118" s="288"/>
    </row>
    <row r="119" spans="3:22" ht="15.75" customHeight="1">
      <c r="C119" s="289"/>
      <c r="D119" s="289"/>
      <c r="G119" s="289"/>
      <c r="H119" s="290"/>
      <c r="J119" s="289"/>
      <c r="K119" s="289"/>
      <c r="L119" s="289"/>
      <c r="M119" s="286"/>
      <c r="N119" s="287"/>
      <c r="O119" s="287"/>
      <c r="V119" s="288"/>
    </row>
    <row r="120" spans="3:22" ht="15.75" customHeight="1">
      <c r="C120" s="289"/>
      <c r="D120" s="289"/>
      <c r="G120" s="289"/>
      <c r="H120" s="290"/>
      <c r="J120" s="289"/>
      <c r="K120" s="289"/>
      <c r="L120" s="289"/>
      <c r="M120" s="286"/>
      <c r="N120" s="287"/>
      <c r="O120" s="287"/>
      <c r="V120" s="288"/>
    </row>
    <row r="121" spans="3:22" ht="15.75" customHeight="1">
      <c r="C121" s="289"/>
      <c r="D121" s="289"/>
      <c r="G121" s="289"/>
      <c r="H121" s="290"/>
      <c r="J121" s="289"/>
      <c r="K121" s="289"/>
      <c r="L121" s="289"/>
      <c r="M121" s="286"/>
      <c r="N121" s="287"/>
      <c r="O121" s="287"/>
      <c r="V121" s="288"/>
    </row>
    <row r="122" spans="3:22" ht="15.75" customHeight="1">
      <c r="C122" s="289"/>
      <c r="D122" s="289"/>
      <c r="G122" s="289"/>
      <c r="H122" s="290"/>
      <c r="J122" s="289"/>
      <c r="K122" s="289"/>
      <c r="L122" s="289"/>
      <c r="M122" s="286"/>
      <c r="N122" s="287"/>
      <c r="O122" s="287"/>
      <c r="V122" s="288"/>
    </row>
    <row r="123" spans="3:22" ht="15.75" customHeight="1">
      <c r="C123" s="289"/>
      <c r="D123" s="289"/>
      <c r="G123" s="289"/>
      <c r="H123" s="290"/>
      <c r="J123" s="289"/>
      <c r="K123" s="289"/>
      <c r="L123" s="289"/>
      <c r="M123" s="286"/>
      <c r="N123" s="287"/>
      <c r="O123" s="287"/>
      <c r="V123" s="288"/>
    </row>
    <row r="124" spans="3:22" ht="15.75" customHeight="1">
      <c r="C124" s="289"/>
      <c r="D124" s="289"/>
      <c r="G124" s="289"/>
      <c r="H124" s="290"/>
      <c r="J124" s="289"/>
      <c r="K124" s="289"/>
      <c r="L124" s="289"/>
      <c r="M124" s="286"/>
      <c r="N124" s="287"/>
      <c r="O124" s="287"/>
      <c r="V124" s="288"/>
    </row>
    <row r="125" spans="3:22" ht="15.75" customHeight="1">
      <c r="C125" s="289"/>
      <c r="D125" s="289"/>
      <c r="G125" s="289"/>
      <c r="H125" s="290"/>
      <c r="J125" s="289"/>
      <c r="K125" s="289"/>
      <c r="L125" s="289"/>
      <c r="M125" s="286"/>
      <c r="N125" s="287"/>
      <c r="O125" s="287"/>
      <c r="V125" s="288"/>
    </row>
    <row r="126" spans="3:22" ht="15.75" customHeight="1">
      <c r="C126" s="289"/>
      <c r="D126" s="289"/>
      <c r="G126" s="289"/>
      <c r="H126" s="290"/>
      <c r="J126" s="289"/>
      <c r="K126" s="289"/>
      <c r="L126" s="289"/>
      <c r="M126" s="286"/>
      <c r="N126" s="287"/>
      <c r="O126" s="287"/>
      <c r="V126" s="288"/>
    </row>
    <row r="127" spans="3:22" ht="15.75" customHeight="1">
      <c r="C127" s="289"/>
      <c r="D127" s="289"/>
      <c r="G127" s="289"/>
      <c r="H127" s="290"/>
      <c r="J127" s="289"/>
      <c r="K127" s="289"/>
      <c r="L127" s="289"/>
      <c r="M127" s="286"/>
      <c r="N127" s="287"/>
      <c r="O127" s="287"/>
      <c r="V127" s="288"/>
    </row>
    <row r="128" spans="3:22" ht="15.75" customHeight="1">
      <c r="C128" s="289"/>
      <c r="D128" s="289"/>
      <c r="G128" s="289"/>
      <c r="H128" s="290"/>
      <c r="J128" s="289"/>
      <c r="K128" s="289"/>
      <c r="L128" s="289"/>
      <c r="M128" s="286"/>
      <c r="N128" s="287"/>
      <c r="O128" s="287"/>
      <c r="V128" s="288"/>
    </row>
    <row r="129" spans="3:22" ht="15.75" customHeight="1">
      <c r="C129" s="289"/>
      <c r="D129" s="289"/>
      <c r="G129" s="289"/>
      <c r="H129" s="290"/>
      <c r="J129" s="289"/>
      <c r="K129" s="289"/>
      <c r="L129" s="289"/>
      <c r="M129" s="286"/>
      <c r="N129" s="287"/>
      <c r="O129" s="287"/>
      <c r="V129" s="288"/>
    </row>
    <row r="130" spans="3:22" ht="15.75" customHeight="1">
      <c r="C130" s="289"/>
      <c r="D130" s="289"/>
      <c r="G130" s="289"/>
      <c r="H130" s="290"/>
      <c r="J130" s="289"/>
      <c r="K130" s="289"/>
      <c r="L130" s="289"/>
      <c r="M130" s="286"/>
      <c r="N130" s="287"/>
      <c r="O130" s="287"/>
      <c r="V130" s="288"/>
    </row>
    <row r="131" spans="3:22" ht="15.75" customHeight="1">
      <c r="C131" s="289"/>
      <c r="D131" s="289"/>
      <c r="G131" s="289"/>
      <c r="H131" s="290"/>
      <c r="J131" s="289"/>
      <c r="K131" s="289"/>
      <c r="L131" s="289"/>
      <c r="M131" s="286"/>
      <c r="N131" s="287"/>
      <c r="O131" s="287"/>
      <c r="V131" s="288"/>
    </row>
    <row r="132" spans="3:22" ht="15.75" customHeight="1">
      <c r="C132" s="289"/>
      <c r="D132" s="289"/>
      <c r="G132" s="289"/>
      <c r="H132" s="290"/>
      <c r="J132" s="289"/>
      <c r="K132" s="289"/>
      <c r="L132" s="289"/>
      <c r="M132" s="286"/>
      <c r="N132" s="287"/>
      <c r="O132" s="287"/>
      <c r="V132" s="288"/>
    </row>
    <row r="133" spans="3:22" ht="15.75" customHeight="1">
      <c r="C133" s="289"/>
      <c r="D133" s="289"/>
      <c r="G133" s="289"/>
      <c r="H133" s="290"/>
      <c r="J133" s="289"/>
      <c r="K133" s="289"/>
      <c r="L133" s="289"/>
      <c r="M133" s="286"/>
      <c r="N133" s="287"/>
      <c r="O133" s="287"/>
      <c r="V133" s="288"/>
    </row>
    <row r="134" spans="3:22" ht="15.75" customHeight="1">
      <c r="C134" s="289"/>
      <c r="D134" s="289"/>
      <c r="G134" s="289"/>
      <c r="H134" s="290"/>
      <c r="J134" s="289"/>
      <c r="K134" s="289"/>
      <c r="L134" s="289"/>
      <c r="M134" s="286"/>
      <c r="N134" s="287"/>
      <c r="O134" s="287"/>
      <c r="V134" s="288"/>
    </row>
    <row r="135" spans="3:22" ht="15.75" customHeight="1">
      <c r="C135" s="289"/>
      <c r="D135" s="289"/>
      <c r="G135" s="289"/>
      <c r="H135" s="290"/>
      <c r="J135" s="289"/>
      <c r="K135" s="289"/>
      <c r="L135" s="289"/>
      <c r="M135" s="286"/>
      <c r="N135" s="287"/>
      <c r="O135" s="287"/>
      <c r="V135" s="288"/>
    </row>
    <row r="136" spans="3:22" ht="15.75" customHeight="1">
      <c r="C136" s="289"/>
      <c r="D136" s="289"/>
      <c r="G136" s="289"/>
      <c r="H136" s="290"/>
      <c r="J136" s="289"/>
      <c r="K136" s="289"/>
      <c r="L136" s="289"/>
      <c r="M136" s="286"/>
      <c r="N136" s="287"/>
      <c r="O136" s="287"/>
      <c r="V136" s="288"/>
    </row>
    <row r="137" spans="3:22" ht="15.75" customHeight="1">
      <c r="C137" s="289"/>
      <c r="D137" s="289"/>
      <c r="G137" s="289"/>
      <c r="H137" s="290"/>
      <c r="J137" s="289"/>
      <c r="K137" s="289"/>
      <c r="L137" s="289"/>
      <c r="M137" s="286"/>
      <c r="N137" s="287"/>
      <c r="O137" s="287"/>
      <c r="V137" s="288"/>
    </row>
    <row r="138" spans="3:22" ht="15.75" customHeight="1">
      <c r="C138" s="289"/>
      <c r="D138" s="289"/>
      <c r="G138" s="289"/>
      <c r="H138" s="290"/>
      <c r="J138" s="289"/>
      <c r="K138" s="289"/>
      <c r="L138" s="289"/>
      <c r="M138" s="286"/>
      <c r="N138" s="287"/>
      <c r="O138" s="287"/>
      <c r="V138" s="288"/>
    </row>
    <row r="139" spans="3:22" ht="15.75" customHeight="1">
      <c r="C139" s="289"/>
      <c r="D139" s="289"/>
      <c r="G139" s="289"/>
      <c r="H139" s="290"/>
      <c r="J139" s="289"/>
      <c r="K139" s="289"/>
      <c r="L139" s="289"/>
      <c r="M139" s="286"/>
      <c r="N139" s="287"/>
      <c r="O139" s="287"/>
      <c r="V139" s="288"/>
    </row>
    <row r="140" spans="3:22" ht="15.75" customHeight="1">
      <c r="C140" s="289"/>
      <c r="D140" s="289"/>
      <c r="G140" s="289"/>
      <c r="H140" s="290"/>
      <c r="J140" s="289"/>
      <c r="K140" s="289"/>
      <c r="L140" s="289"/>
      <c r="M140" s="286"/>
      <c r="N140" s="287"/>
      <c r="O140" s="287"/>
      <c r="V140" s="288"/>
    </row>
    <row r="141" spans="3:22" ht="15.75" customHeight="1">
      <c r="C141" s="289"/>
      <c r="D141" s="289"/>
      <c r="G141" s="289"/>
      <c r="H141" s="290"/>
      <c r="J141" s="289"/>
      <c r="K141" s="289"/>
      <c r="L141" s="289"/>
      <c r="M141" s="286"/>
      <c r="N141" s="287"/>
      <c r="O141" s="287"/>
      <c r="V141" s="288"/>
    </row>
    <row r="142" spans="3:22" ht="15.75" customHeight="1">
      <c r="C142" s="289"/>
      <c r="D142" s="289"/>
      <c r="G142" s="289"/>
      <c r="H142" s="290"/>
      <c r="J142" s="289"/>
      <c r="K142" s="289"/>
      <c r="L142" s="289"/>
      <c r="M142" s="286"/>
      <c r="N142" s="287"/>
      <c r="O142" s="287"/>
      <c r="V142" s="288"/>
    </row>
    <row r="143" spans="3:22" ht="15.75" customHeight="1">
      <c r="C143" s="289"/>
      <c r="D143" s="289"/>
      <c r="G143" s="289"/>
      <c r="H143" s="290"/>
      <c r="J143" s="289"/>
      <c r="K143" s="289"/>
      <c r="L143" s="289"/>
      <c r="M143" s="286"/>
      <c r="N143" s="287"/>
      <c r="O143" s="287"/>
      <c r="V143" s="288"/>
    </row>
    <row r="144" spans="3:22" ht="15.75" customHeight="1">
      <c r="C144" s="289"/>
      <c r="D144" s="289"/>
      <c r="G144" s="289"/>
      <c r="H144" s="290"/>
      <c r="J144" s="289"/>
      <c r="K144" s="289"/>
      <c r="L144" s="289"/>
      <c r="M144" s="286"/>
      <c r="N144" s="287"/>
      <c r="O144" s="287"/>
      <c r="V144" s="288"/>
    </row>
    <row r="145" spans="3:22" ht="15.75" customHeight="1">
      <c r="C145" s="289"/>
      <c r="D145" s="289"/>
      <c r="G145" s="289"/>
      <c r="H145" s="290"/>
      <c r="J145" s="289"/>
      <c r="K145" s="289"/>
      <c r="L145" s="289"/>
      <c r="M145" s="286"/>
      <c r="N145" s="287"/>
      <c r="O145" s="287"/>
      <c r="V145" s="288"/>
    </row>
    <row r="146" spans="3:22" ht="15.75" customHeight="1">
      <c r="C146" s="289"/>
      <c r="D146" s="289"/>
      <c r="G146" s="289"/>
      <c r="H146" s="290"/>
      <c r="J146" s="289"/>
      <c r="K146" s="289"/>
      <c r="L146" s="289"/>
      <c r="M146" s="286"/>
      <c r="N146" s="287"/>
      <c r="O146" s="287"/>
      <c r="V146" s="288"/>
    </row>
    <row r="147" spans="3:22" ht="15.75" customHeight="1">
      <c r="C147" s="289"/>
      <c r="D147" s="289"/>
      <c r="G147" s="289"/>
      <c r="H147" s="290"/>
      <c r="J147" s="289"/>
      <c r="K147" s="289"/>
      <c r="L147" s="289"/>
      <c r="M147" s="286"/>
      <c r="N147" s="287"/>
      <c r="O147" s="287"/>
      <c r="V147" s="288"/>
    </row>
    <row r="148" spans="3:22" ht="15.75" customHeight="1">
      <c r="C148" s="289"/>
      <c r="D148" s="289"/>
      <c r="G148" s="289"/>
      <c r="H148" s="290"/>
      <c r="J148" s="289"/>
      <c r="K148" s="289"/>
      <c r="L148" s="289"/>
      <c r="M148" s="286"/>
      <c r="N148" s="287"/>
      <c r="O148" s="287"/>
      <c r="V148" s="288"/>
    </row>
    <row r="149" spans="3:22" ht="15.75" customHeight="1">
      <c r="C149" s="289"/>
      <c r="D149" s="289"/>
      <c r="G149" s="289"/>
      <c r="H149" s="290"/>
      <c r="J149" s="289"/>
      <c r="K149" s="289"/>
      <c r="L149" s="289"/>
      <c r="M149" s="286"/>
      <c r="N149" s="287"/>
      <c r="O149" s="287"/>
      <c r="V149" s="288"/>
    </row>
    <row r="150" spans="3:22" ht="15.75" customHeight="1">
      <c r="C150" s="289"/>
      <c r="D150" s="289"/>
      <c r="G150" s="289"/>
      <c r="H150" s="290"/>
      <c r="J150" s="289"/>
      <c r="K150" s="289"/>
      <c r="L150" s="289"/>
      <c r="M150" s="286"/>
      <c r="N150" s="287"/>
      <c r="O150" s="287"/>
      <c r="V150" s="288"/>
    </row>
    <row r="151" spans="3:22" ht="15.75" customHeight="1">
      <c r="C151" s="289"/>
      <c r="D151" s="289"/>
      <c r="G151" s="289"/>
      <c r="H151" s="290"/>
      <c r="J151" s="289"/>
      <c r="K151" s="289"/>
      <c r="L151" s="289"/>
      <c r="M151" s="286"/>
      <c r="N151" s="287"/>
      <c r="O151" s="287"/>
      <c r="V151" s="288"/>
    </row>
    <row r="152" spans="3:22" ht="15.75" customHeight="1">
      <c r="C152" s="289"/>
      <c r="D152" s="289"/>
      <c r="G152" s="289"/>
      <c r="H152" s="290"/>
      <c r="J152" s="289"/>
      <c r="K152" s="289"/>
      <c r="L152" s="289"/>
      <c r="M152" s="286"/>
      <c r="N152" s="287"/>
      <c r="O152" s="287"/>
      <c r="V152" s="288"/>
    </row>
    <row r="153" spans="3:22" ht="15.75" customHeight="1">
      <c r="C153" s="289"/>
      <c r="D153" s="289"/>
      <c r="G153" s="289"/>
      <c r="H153" s="290"/>
      <c r="J153" s="289"/>
      <c r="K153" s="289"/>
      <c r="L153" s="289"/>
      <c r="M153" s="286"/>
      <c r="N153" s="287"/>
      <c r="O153" s="287"/>
      <c r="V153" s="288"/>
    </row>
    <row r="154" spans="3:22" ht="15.75" customHeight="1">
      <c r="C154" s="289"/>
      <c r="D154" s="289"/>
      <c r="G154" s="289"/>
      <c r="H154" s="290"/>
      <c r="J154" s="289"/>
      <c r="K154" s="289"/>
      <c r="L154" s="289"/>
      <c r="M154" s="286"/>
      <c r="N154" s="287"/>
      <c r="O154" s="287"/>
      <c r="V154" s="288"/>
    </row>
    <row r="155" spans="3:22" ht="15.75" customHeight="1">
      <c r="C155" s="289"/>
      <c r="D155" s="289"/>
      <c r="G155" s="289"/>
      <c r="H155" s="290"/>
      <c r="J155" s="289"/>
      <c r="K155" s="289"/>
      <c r="L155" s="289"/>
      <c r="M155" s="286"/>
      <c r="N155" s="287"/>
      <c r="O155" s="287"/>
      <c r="V155" s="288"/>
    </row>
    <row r="156" spans="3:22" ht="15.75" customHeight="1">
      <c r="C156" s="289"/>
      <c r="D156" s="289"/>
      <c r="G156" s="289"/>
      <c r="H156" s="290"/>
      <c r="J156" s="289"/>
      <c r="K156" s="289"/>
      <c r="L156" s="289"/>
      <c r="M156" s="286"/>
      <c r="N156" s="287"/>
      <c r="O156" s="287"/>
      <c r="V156" s="288"/>
    </row>
    <row r="157" spans="3:22" ht="15.75" customHeight="1">
      <c r="C157" s="289"/>
      <c r="D157" s="289"/>
      <c r="G157" s="289"/>
      <c r="H157" s="290"/>
      <c r="J157" s="289"/>
      <c r="K157" s="289"/>
      <c r="L157" s="289"/>
      <c r="M157" s="286"/>
      <c r="N157" s="287"/>
      <c r="O157" s="287"/>
      <c r="V157" s="288"/>
    </row>
    <row r="158" spans="3:22" ht="15.75" customHeight="1">
      <c r="C158" s="289"/>
      <c r="D158" s="289"/>
      <c r="G158" s="289"/>
      <c r="H158" s="290"/>
      <c r="J158" s="289"/>
      <c r="K158" s="289"/>
      <c r="L158" s="289"/>
      <c r="M158" s="286"/>
      <c r="N158" s="287"/>
      <c r="O158" s="287"/>
      <c r="V158" s="288"/>
    </row>
    <row r="159" spans="3:22" ht="15.75" customHeight="1">
      <c r="C159" s="289"/>
      <c r="D159" s="289"/>
      <c r="G159" s="289"/>
      <c r="H159" s="290"/>
      <c r="J159" s="289"/>
      <c r="K159" s="289"/>
      <c r="L159" s="289"/>
      <c r="M159" s="286"/>
      <c r="N159" s="287"/>
      <c r="O159" s="287"/>
      <c r="V159" s="288"/>
    </row>
    <row r="160" spans="3:22" ht="15.75" customHeight="1">
      <c r="C160" s="289"/>
      <c r="D160" s="289"/>
      <c r="G160" s="289"/>
      <c r="H160" s="290"/>
      <c r="J160" s="289"/>
      <c r="K160" s="289"/>
      <c r="L160" s="289"/>
      <c r="M160" s="286"/>
      <c r="N160" s="287"/>
      <c r="O160" s="287"/>
      <c r="V160" s="288"/>
    </row>
    <row r="161" spans="3:22" ht="15.75" customHeight="1">
      <c r="C161" s="289"/>
      <c r="D161" s="289"/>
      <c r="G161" s="289"/>
      <c r="H161" s="290"/>
      <c r="J161" s="289"/>
      <c r="K161" s="289"/>
      <c r="L161" s="289"/>
      <c r="M161" s="286"/>
      <c r="N161" s="287"/>
      <c r="O161" s="287"/>
      <c r="V161" s="288"/>
    </row>
    <row r="162" spans="3:22" ht="15.75" customHeight="1">
      <c r="C162" s="289"/>
      <c r="D162" s="289"/>
      <c r="G162" s="289"/>
      <c r="H162" s="290"/>
      <c r="J162" s="289"/>
      <c r="K162" s="289"/>
      <c r="L162" s="289"/>
      <c r="M162" s="286"/>
      <c r="N162" s="287"/>
      <c r="O162" s="287"/>
      <c r="V162" s="288"/>
    </row>
    <row r="163" spans="3:22" ht="15.75" customHeight="1">
      <c r="C163" s="289"/>
      <c r="D163" s="289"/>
      <c r="G163" s="289"/>
      <c r="H163" s="290"/>
      <c r="J163" s="289"/>
      <c r="K163" s="289"/>
      <c r="L163" s="289"/>
      <c r="M163" s="286"/>
      <c r="N163" s="287"/>
      <c r="O163" s="287"/>
      <c r="V163" s="288"/>
    </row>
    <row r="164" spans="3:22" ht="15.75" customHeight="1">
      <c r="C164" s="289"/>
      <c r="D164" s="289"/>
      <c r="G164" s="289"/>
      <c r="H164" s="290"/>
      <c r="J164" s="289"/>
      <c r="K164" s="289"/>
      <c r="L164" s="289"/>
      <c r="M164" s="286"/>
      <c r="N164" s="287"/>
      <c r="O164" s="287"/>
      <c r="V164" s="288"/>
    </row>
    <row r="165" spans="3:22" ht="15.75" customHeight="1">
      <c r="C165" s="289"/>
      <c r="D165" s="289"/>
      <c r="G165" s="289"/>
      <c r="H165" s="290"/>
      <c r="J165" s="289"/>
      <c r="K165" s="289"/>
      <c r="L165" s="289"/>
      <c r="M165" s="286"/>
      <c r="N165" s="287"/>
      <c r="O165" s="287"/>
      <c r="V165" s="288"/>
    </row>
    <row r="166" spans="3:22" ht="15.75" customHeight="1">
      <c r="C166" s="289"/>
      <c r="D166" s="289"/>
      <c r="G166" s="289"/>
      <c r="H166" s="290"/>
      <c r="J166" s="289"/>
      <c r="K166" s="289"/>
      <c r="L166" s="289"/>
      <c r="M166" s="286"/>
      <c r="N166" s="287"/>
      <c r="O166" s="287"/>
      <c r="V166" s="288"/>
    </row>
    <row r="167" spans="3:22" ht="15.75" customHeight="1">
      <c r="C167" s="289"/>
      <c r="D167" s="289"/>
      <c r="G167" s="289"/>
      <c r="H167" s="290"/>
      <c r="J167" s="289"/>
      <c r="K167" s="289"/>
      <c r="L167" s="289"/>
      <c r="M167" s="286"/>
      <c r="N167" s="287"/>
      <c r="O167" s="287"/>
      <c r="V167" s="288"/>
    </row>
    <row r="168" spans="3:22" ht="15.75" customHeight="1">
      <c r="C168" s="289"/>
      <c r="D168" s="289"/>
      <c r="G168" s="289"/>
      <c r="H168" s="290"/>
      <c r="J168" s="289"/>
      <c r="K168" s="289"/>
      <c r="L168" s="289"/>
      <c r="M168" s="286"/>
      <c r="N168" s="287"/>
      <c r="O168" s="287"/>
      <c r="V168" s="288"/>
    </row>
    <row r="169" spans="3:22" ht="15.75" customHeight="1">
      <c r="C169" s="289"/>
      <c r="D169" s="289"/>
      <c r="G169" s="289"/>
      <c r="H169" s="290"/>
      <c r="J169" s="289"/>
      <c r="K169" s="289"/>
      <c r="L169" s="289"/>
      <c r="M169" s="286"/>
      <c r="N169" s="287"/>
      <c r="O169" s="287"/>
      <c r="V169" s="288"/>
    </row>
    <row r="170" spans="3:22" ht="15.75" customHeight="1">
      <c r="C170" s="289"/>
      <c r="D170" s="289"/>
      <c r="G170" s="289"/>
      <c r="H170" s="290"/>
      <c r="J170" s="289"/>
      <c r="K170" s="289"/>
      <c r="L170" s="289"/>
      <c r="M170" s="286"/>
      <c r="N170" s="287"/>
      <c r="O170" s="287"/>
      <c r="V170" s="288"/>
    </row>
    <row r="171" spans="3:22" ht="15.75" customHeight="1">
      <c r="C171" s="289"/>
      <c r="D171" s="289"/>
      <c r="G171" s="289"/>
      <c r="H171" s="290"/>
      <c r="J171" s="289"/>
      <c r="K171" s="289"/>
      <c r="L171" s="289"/>
      <c r="M171" s="286"/>
      <c r="N171" s="287"/>
      <c r="O171" s="287"/>
      <c r="V171" s="288"/>
    </row>
    <row r="172" spans="3:22" ht="15.75" customHeight="1">
      <c r="C172" s="289"/>
      <c r="D172" s="289"/>
      <c r="G172" s="289"/>
      <c r="H172" s="290"/>
      <c r="J172" s="289"/>
      <c r="K172" s="289"/>
      <c r="L172" s="289"/>
      <c r="M172" s="286"/>
      <c r="N172" s="287"/>
      <c r="O172" s="287"/>
      <c r="V172" s="288"/>
    </row>
    <row r="173" spans="3:22" ht="15.75" customHeight="1">
      <c r="C173" s="289"/>
      <c r="D173" s="289"/>
      <c r="G173" s="289"/>
      <c r="H173" s="290"/>
      <c r="J173" s="289"/>
      <c r="K173" s="289"/>
      <c r="L173" s="289"/>
      <c r="M173" s="286"/>
      <c r="N173" s="287"/>
      <c r="O173" s="287"/>
      <c r="V173" s="288"/>
    </row>
    <row r="174" spans="3:22" ht="15.75" customHeight="1">
      <c r="C174" s="289"/>
      <c r="D174" s="289"/>
      <c r="G174" s="289"/>
      <c r="H174" s="290"/>
      <c r="J174" s="289"/>
      <c r="K174" s="289"/>
      <c r="L174" s="289"/>
      <c r="M174" s="286"/>
      <c r="N174" s="287"/>
      <c r="O174" s="287"/>
      <c r="V174" s="288"/>
    </row>
    <row r="175" spans="3:22" ht="15.75" customHeight="1">
      <c r="C175" s="289"/>
      <c r="D175" s="289"/>
      <c r="G175" s="289"/>
      <c r="H175" s="290"/>
      <c r="J175" s="289"/>
      <c r="K175" s="289"/>
      <c r="L175" s="289"/>
      <c r="M175" s="286"/>
      <c r="N175" s="287"/>
      <c r="O175" s="287"/>
      <c r="V175" s="288"/>
    </row>
    <row r="176" spans="3:22" ht="15.75" customHeight="1">
      <c r="C176" s="289"/>
      <c r="D176" s="289"/>
      <c r="G176" s="289"/>
      <c r="H176" s="290"/>
      <c r="J176" s="289"/>
      <c r="K176" s="289"/>
      <c r="L176" s="289"/>
      <c r="M176" s="286"/>
      <c r="N176" s="287"/>
      <c r="O176" s="287"/>
      <c r="V176" s="288"/>
    </row>
    <row r="177" spans="3:22" ht="15.75" customHeight="1">
      <c r="C177" s="289"/>
      <c r="D177" s="289"/>
      <c r="G177" s="289"/>
      <c r="H177" s="290"/>
      <c r="J177" s="289"/>
      <c r="K177" s="289"/>
      <c r="L177" s="289"/>
      <c r="M177" s="286"/>
      <c r="N177" s="287"/>
      <c r="O177" s="287"/>
      <c r="V177" s="288"/>
    </row>
    <row r="178" spans="3:22" ht="15.75" customHeight="1">
      <c r="C178" s="289"/>
      <c r="D178" s="289"/>
      <c r="G178" s="289"/>
      <c r="H178" s="290"/>
      <c r="J178" s="289"/>
      <c r="K178" s="289"/>
      <c r="L178" s="289"/>
      <c r="M178" s="286"/>
      <c r="N178" s="287"/>
      <c r="O178" s="287"/>
      <c r="V178" s="288"/>
    </row>
    <row r="179" spans="3:22" ht="15.75" customHeight="1">
      <c r="C179" s="289"/>
      <c r="D179" s="289"/>
      <c r="G179" s="289"/>
      <c r="H179" s="290"/>
      <c r="J179" s="289"/>
      <c r="K179" s="289"/>
      <c r="L179" s="289"/>
      <c r="M179" s="286"/>
      <c r="N179" s="287"/>
      <c r="O179" s="287"/>
      <c r="V179" s="288"/>
    </row>
    <row r="180" spans="3:22" ht="15.75" customHeight="1">
      <c r="C180" s="289"/>
      <c r="D180" s="289"/>
      <c r="G180" s="289"/>
      <c r="H180" s="290"/>
      <c r="J180" s="289"/>
      <c r="K180" s="289"/>
      <c r="L180" s="289"/>
      <c r="M180" s="286"/>
      <c r="N180" s="287"/>
      <c r="O180" s="287"/>
      <c r="V180" s="288"/>
    </row>
    <row r="181" spans="3:22" ht="15.75" customHeight="1">
      <c r="C181" s="289"/>
      <c r="D181" s="289"/>
      <c r="G181" s="289"/>
      <c r="H181" s="290"/>
      <c r="J181" s="289"/>
      <c r="K181" s="289"/>
      <c r="L181" s="289"/>
      <c r="M181" s="286"/>
      <c r="N181" s="287"/>
      <c r="O181" s="287"/>
      <c r="V181" s="288"/>
    </row>
    <row r="182" spans="3:22" ht="15.75" customHeight="1">
      <c r="C182" s="289"/>
      <c r="D182" s="289"/>
      <c r="G182" s="289"/>
      <c r="H182" s="290"/>
      <c r="J182" s="289"/>
      <c r="K182" s="289"/>
      <c r="L182" s="289"/>
      <c r="M182" s="286"/>
      <c r="N182" s="287"/>
      <c r="O182" s="287"/>
      <c r="V182" s="288"/>
    </row>
    <row r="183" spans="3:22" ht="15.75" customHeight="1">
      <c r="C183" s="289"/>
      <c r="D183" s="289"/>
      <c r="G183" s="289"/>
      <c r="H183" s="290"/>
      <c r="J183" s="289"/>
      <c r="K183" s="289"/>
      <c r="L183" s="289"/>
      <c r="M183" s="286"/>
      <c r="N183" s="287"/>
      <c r="O183" s="287"/>
      <c r="V183" s="288"/>
    </row>
    <row r="184" spans="3:22" ht="15.75" customHeight="1">
      <c r="C184" s="289"/>
      <c r="D184" s="289"/>
      <c r="G184" s="289"/>
      <c r="H184" s="290"/>
      <c r="J184" s="289"/>
      <c r="K184" s="289"/>
      <c r="L184" s="289"/>
      <c r="M184" s="286"/>
      <c r="N184" s="287"/>
      <c r="O184" s="287"/>
      <c r="V184" s="288"/>
    </row>
    <row r="185" spans="3:22" ht="15.75" customHeight="1">
      <c r="C185" s="289"/>
      <c r="D185" s="289"/>
      <c r="G185" s="289"/>
      <c r="H185" s="290"/>
      <c r="J185" s="289"/>
      <c r="K185" s="289"/>
      <c r="L185" s="289"/>
      <c r="M185" s="286"/>
      <c r="N185" s="287"/>
      <c r="O185" s="287"/>
      <c r="V185" s="288"/>
    </row>
    <row r="186" spans="3:22" ht="15.75" customHeight="1">
      <c r="C186" s="289"/>
      <c r="D186" s="289"/>
      <c r="G186" s="289"/>
      <c r="H186" s="290"/>
      <c r="J186" s="289"/>
      <c r="K186" s="289"/>
      <c r="L186" s="289"/>
      <c r="M186" s="286"/>
      <c r="N186" s="287"/>
      <c r="O186" s="287"/>
      <c r="V186" s="288"/>
    </row>
    <row r="187" spans="3:22" ht="15.75" customHeight="1">
      <c r="C187" s="289"/>
      <c r="D187" s="289"/>
      <c r="G187" s="289"/>
      <c r="H187" s="290"/>
      <c r="J187" s="289"/>
      <c r="K187" s="289"/>
      <c r="L187" s="289"/>
      <c r="M187" s="286"/>
      <c r="N187" s="287"/>
      <c r="O187" s="287"/>
      <c r="V187" s="288"/>
    </row>
    <row r="188" spans="3:22" ht="15.75" customHeight="1">
      <c r="C188" s="289"/>
      <c r="D188" s="289"/>
      <c r="G188" s="289"/>
      <c r="H188" s="290"/>
      <c r="J188" s="289"/>
      <c r="K188" s="289"/>
      <c r="L188" s="289"/>
      <c r="M188" s="286"/>
      <c r="N188" s="287"/>
      <c r="O188" s="287"/>
      <c r="V188" s="288"/>
    </row>
    <row r="189" spans="3:22" ht="15.75" customHeight="1">
      <c r="C189" s="289"/>
      <c r="D189" s="289"/>
      <c r="G189" s="289"/>
      <c r="H189" s="290"/>
      <c r="J189" s="289"/>
      <c r="K189" s="289"/>
      <c r="L189" s="289"/>
      <c r="M189" s="286"/>
      <c r="N189" s="287"/>
      <c r="O189" s="287"/>
      <c r="V189" s="288"/>
    </row>
    <row r="190" spans="3:22" ht="15.75" customHeight="1">
      <c r="C190" s="289"/>
      <c r="D190" s="289"/>
      <c r="G190" s="289"/>
      <c r="H190" s="290"/>
      <c r="J190" s="289"/>
      <c r="K190" s="289"/>
      <c r="L190" s="289"/>
      <c r="M190" s="286"/>
      <c r="N190" s="287"/>
      <c r="O190" s="287"/>
      <c r="V190" s="288"/>
    </row>
    <row r="191" spans="3:22" ht="15.75" customHeight="1">
      <c r="C191" s="289"/>
      <c r="D191" s="289"/>
      <c r="G191" s="289"/>
      <c r="H191" s="290"/>
      <c r="J191" s="289"/>
      <c r="K191" s="289"/>
      <c r="L191" s="289"/>
      <c r="M191" s="286"/>
      <c r="N191" s="287"/>
      <c r="O191" s="287"/>
      <c r="V191" s="288"/>
    </row>
    <row r="192" spans="3:22" ht="15.75" customHeight="1">
      <c r="C192" s="289"/>
      <c r="D192" s="289"/>
      <c r="G192" s="289"/>
      <c r="H192" s="290"/>
      <c r="J192" s="289"/>
      <c r="K192" s="289"/>
      <c r="L192" s="289"/>
      <c r="M192" s="286"/>
      <c r="N192" s="287"/>
      <c r="O192" s="287"/>
      <c r="V192" s="288"/>
    </row>
    <row r="193" spans="3:22" ht="15.75" customHeight="1">
      <c r="C193" s="289"/>
      <c r="D193" s="289"/>
      <c r="G193" s="289"/>
      <c r="H193" s="290"/>
      <c r="J193" s="289"/>
      <c r="K193" s="289"/>
      <c r="L193" s="289"/>
      <c r="M193" s="286"/>
      <c r="N193" s="287"/>
      <c r="O193" s="287"/>
      <c r="V193" s="288"/>
    </row>
    <row r="194" spans="3:22" ht="15.75" customHeight="1">
      <c r="C194" s="289"/>
      <c r="D194" s="289"/>
      <c r="G194" s="289"/>
      <c r="H194" s="290"/>
      <c r="J194" s="289"/>
      <c r="K194" s="289"/>
      <c r="L194" s="289"/>
      <c r="M194" s="286"/>
      <c r="N194" s="287"/>
      <c r="O194" s="287"/>
      <c r="V194" s="288"/>
    </row>
    <row r="195" spans="3:22" ht="15.75" customHeight="1">
      <c r="C195" s="289"/>
      <c r="D195" s="289"/>
      <c r="G195" s="289"/>
      <c r="H195" s="290"/>
      <c r="J195" s="289"/>
      <c r="K195" s="289"/>
      <c r="L195" s="289"/>
      <c r="M195" s="286"/>
      <c r="N195" s="287"/>
      <c r="O195" s="287"/>
      <c r="V195" s="288"/>
    </row>
    <row r="196" spans="3:22" ht="15.75" customHeight="1">
      <c r="C196" s="289"/>
      <c r="D196" s="289"/>
      <c r="G196" s="289"/>
      <c r="H196" s="290"/>
      <c r="J196" s="289"/>
      <c r="K196" s="289"/>
      <c r="L196" s="289"/>
      <c r="M196" s="286"/>
      <c r="N196" s="287"/>
      <c r="O196" s="287"/>
      <c r="V196" s="288"/>
    </row>
    <row r="197" spans="3:22" ht="15.75" customHeight="1">
      <c r="C197" s="289"/>
      <c r="D197" s="289"/>
      <c r="G197" s="289"/>
      <c r="H197" s="290"/>
      <c r="J197" s="289"/>
      <c r="K197" s="289"/>
      <c r="L197" s="289"/>
      <c r="M197" s="286"/>
      <c r="N197" s="287"/>
      <c r="O197" s="287"/>
      <c r="V197" s="288"/>
    </row>
    <row r="198" spans="3:22" ht="15.75" customHeight="1">
      <c r="C198" s="289"/>
      <c r="D198" s="289"/>
      <c r="G198" s="289"/>
      <c r="H198" s="290"/>
      <c r="J198" s="289"/>
      <c r="K198" s="289"/>
      <c r="L198" s="289"/>
      <c r="M198" s="286"/>
      <c r="N198" s="287"/>
      <c r="O198" s="287"/>
      <c r="V198" s="288"/>
    </row>
    <row r="199" spans="3:22" ht="15.75" customHeight="1">
      <c r="C199" s="289"/>
      <c r="D199" s="289"/>
      <c r="G199" s="289"/>
      <c r="H199" s="290"/>
      <c r="J199" s="289"/>
      <c r="K199" s="289"/>
      <c r="L199" s="289"/>
      <c r="M199" s="286"/>
      <c r="N199" s="287"/>
      <c r="O199" s="287"/>
      <c r="V199" s="288"/>
    </row>
    <row r="200" spans="3:22" ht="15.75" customHeight="1">
      <c r="C200" s="289"/>
      <c r="D200" s="289"/>
      <c r="G200" s="289"/>
      <c r="H200" s="290"/>
      <c r="J200" s="289"/>
      <c r="K200" s="289"/>
      <c r="L200" s="289"/>
      <c r="M200" s="286"/>
      <c r="N200" s="287"/>
      <c r="O200" s="287"/>
      <c r="V200" s="288"/>
    </row>
    <row r="201" spans="3:22" ht="15.75" customHeight="1">
      <c r="C201" s="289"/>
      <c r="D201" s="289"/>
      <c r="G201" s="289"/>
      <c r="H201" s="290"/>
      <c r="J201" s="289"/>
      <c r="K201" s="289"/>
      <c r="L201" s="289"/>
      <c r="M201" s="286"/>
      <c r="N201" s="287"/>
      <c r="O201" s="287"/>
      <c r="V201" s="288"/>
    </row>
    <row r="202" spans="3:22" ht="15.75" customHeight="1">
      <c r="C202" s="289"/>
      <c r="D202" s="289"/>
      <c r="G202" s="289"/>
      <c r="H202" s="290"/>
      <c r="J202" s="289"/>
      <c r="K202" s="289"/>
      <c r="L202" s="289"/>
      <c r="M202" s="286"/>
      <c r="N202" s="287"/>
      <c r="O202" s="287"/>
      <c r="V202" s="288"/>
    </row>
    <row r="203" spans="3:22" ht="15.75" customHeight="1">
      <c r="C203" s="289"/>
      <c r="D203" s="289"/>
      <c r="G203" s="289"/>
      <c r="H203" s="290"/>
      <c r="J203" s="289"/>
      <c r="K203" s="289"/>
      <c r="L203" s="289"/>
      <c r="M203" s="286"/>
      <c r="N203" s="287"/>
      <c r="O203" s="287"/>
      <c r="V203" s="288"/>
    </row>
    <row r="204" spans="3:22" ht="15.75" customHeight="1">
      <c r="C204" s="289"/>
      <c r="D204" s="289"/>
      <c r="G204" s="289"/>
      <c r="H204" s="290"/>
      <c r="J204" s="289"/>
      <c r="K204" s="289"/>
      <c r="L204" s="289"/>
      <c r="M204" s="286"/>
      <c r="N204" s="287"/>
      <c r="O204" s="287"/>
      <c r="V204" s="288"/>
    </row>
    <row r="205" spans="3:22" ht="15.75" customHeight="1">
      <c r="C205" s="289"/>
      <c r="D205" s="289"/>
      <c r="G205" s="289"/>
      <c r="H205" s="290"/>
      <c r="J205" s="289"/>
      <c r="K205" s="289"/>
      <c r="L205" s="289"/>
      <c r="M205" s="286"/>
      <c r="N205" s="287"/>
      <c r="O205" s="287"/>
      <c r="V205" s="288"/>
    </row>
    <row r="206" spans="3:22" ht="15.75" customHeight="1">
      <c r="C206" s="289"/>
      <c r="D206" s="289"/>
      <c r="G206" s="289"/>
      <c r="H206" s="290"/>
      <c r="J206" s="289"/>
      <c r="K206" s="289"/>
      <c r="L206" s="289"/>
      <c r="M206" s="286"/>
      <c r="N206" s="287"/>
      <c r="O206" s="287"/>
      <c r="V206" s="288"/>
    </row>
    <row r="207" spans="3:22" ht="15.75" customHeight="1">
      <c r="C207" s="289"/>
      <c r="D207" s="289"/>
      <c r="G207" s="289"/>
      <c r="H207" s="290"/>
      <c r="J207" s="289"/>
      <c r="K207" s="289"/>
      <c r="L207" s="289"/>
      <c r="M207" s="286"/>
      <c r="N207" s="287"/>
      <c r="O207" s="287"/>
      <c r="V207" s="288"/>
    </row>
    <row r="208" spans="3:22" ht="15.75" customHeight="1">
      <c r="C208" s="289"/>
      <c r="D208" s="289"/>
      <c r="G208" s="289"/>
      <c r="H208" s="290"/>
      <c r="J208" s="289"/>
      <c r="K208" s="289"/>
      <c r="L208" s="289"/>
      <c r="M208" s="286"/>
      <c r="N208" s="287"/>
      <c r="O208" s="287"/>
      <c r="V208" s="288"/>
    </row>
    <row r="209" spans="3:22" ht="15.75" customHeight="1">
      <c r="C209" s="289"/>
      <c r="D209" s="289"/>
      <c r="G209" s="289"/>
      <c r="H209" s="290"/>
      <c r="J209" s="289"/>
      <c r="K209" s="289"/>
      <c r="L209" s="289"/>
      <c r="M209" s="286"/>
      <c r="N209" s="287"/>
      <c r="O209" s="287"/>
      <c r="V209" s="288"/>
    </row>
    <row r="210" spans="3:22" ht="15.75" customHeight="1">
      <c r="C210" s="289"/>
      <c r="D210" s="289"/>
      <c r="G210" s="289"/>
      <c r="H210" s="290"/>
      <c r="J210" s="289"/>
      <c r="K210" s="289"/>
      <c r="L210" s="289"/>
      <c r="M210" s="286"/>
      <c r="N210" s="287"/>
      <c r="O210" s="287"/>
      <c r="V210" s="288"/>
    </row>
    <row r="211" spans="3:22" ht="15.75" customHeight="1">
      <c r="C211" s="289"/>
      <c r="D211" s="289"/>
      <c r="G211" s="289"/>
      <c r="H211" s="290"/>
      <c r="J211" s="289"/>
      <c r="K211" s="289"/>
      <c r="L211" s="289"/>
      <c r="M211" s="286"/>
      <c r="N211" s="287"/>
      <c r="O211" s="287"/>
      <c r="V211" s="288"/>
    </row>
    <row r="212" spans="3:22" ht="15.75" customHeight="1">
      <c r="C212" s="289"/>
      <c r="D212" s="289"/>
      <c r="G212" s="289"/>
      <c r="H212" s="290"/>
      <c r="J212" s="289"/>
      <c r="K212" s="289"/>
      <c r="L212" s="289"/>
      <c r="M212" s="286"/>
      <c r="N212" s="287"/>
      <c r="O212" s="287"/>
      <c r="V212" s="288"/>
    </row>
    <row r="213" spans="3:22" ht="15.75" customHeight="1">
      <c r="C213" s="289"/>
      <c r="D213" s="289"/>
      <c r="G213" s="289"/>
      <c r="H213" s="290"/>
      <c r="J213" s="289"/>
      <c r="K213" s="289"/>
      <c r="L213" s="289"/>
      <c r="M213" s="286"/>
      <c r="N213" s="287"/>
      <c r="O213" s="287"/>
      <c r="V213" s="288"/>
    </row>
    <row r="214" spans="3:22" ht="15.75" customHeight="1">
      <c r="C214" s="289"/>
      <c r="D214" s="289"/>
      <c r="G214" s="289"/>
      <c r="H214" s="290"/>
      <c r="J214" s="289"/>
      <c r="K214" s="289"/>
      <c r="L214" s="289"/>
      <c r="M214" s="286"/>
      <c r="N214" s="287"/>
      <c r="O214" s="287"/>
      <c r="V214" s="288"/>
    </row>
    <row r="215" spans="3:22" ht="15.75" customHeight="1">
      <c r="C215" s="289"/>
      <c r="D215" s="289"/>
      <c r="G215" s="289"/>
      <c r="H215" s="290"/>
      <c r="J215" s="289"/>
      <c r="K215" s="289"/>
      <c r="L215" s="289"/>
      <c r="M215" s="286"/>
      <c r="N215" s="287"/>
      <c r="O215" s="287"/>
      <c r="V215" s="288"/>
    </row>
    <row r="216" spans="3:22" ht="15.75" customHeight="1">
      <c r="C216" s="289"/>
      <c r="D216" s="289"/>
      <c r="G216" s="289"/>
      <c r="H216" s="290"/>
      <c r="J216" s="289"/>
      <c r="K216" s="289"/>
      <c r="L216" s="289"/>
      <c r="M216" s="286"/>
      <c r="N216" s="287"/>
      <c r="O216" s="287"/>
      <c r="V216" s="288"/>
    </row>
    <row r="217" spans="3:22" ht="15.75" customHeight="1">
      <c r="C217" s="289"/>
      <c r="D217" s="289"/>
      <c r="G217" s="289"/>
      <c r="H217" s="290"/>
      <c r="J217" s="289"/>
      <c r="K217" s="289"/>
      <c r="L217" s="289"/>
      <c r="M217" s="286"/>
      <c r="N217" s="287"/>
      <c r="O217" s="287"/>
      <c r="V217" s="288"/>
    </row>
    <row r="218" spans="3:22" ht="15.75" customHeight="1">
      <c r="C218" s="289"/>
      <c r="D218" s="289"/>
      <c r="G218" s="289"/>
      <c r="H218" s="290"/>
      <c r="J218" s="289"/>
      <c r="K218" s="289"/>
      <c r="L218" s="289"/>
      <c r="M218" s="286"/>
      <c r="N218" s="287"/>
      <c r="O218" s="287"/>
      <c r="V218" s="288"/>
    </row>
    <row r="219" spans="3:22" ht="15.75" customHeight="1">
      <c r="C219" s="289"/>
      <c r="D219" s="289"/>
      <c r="G219" s="289"/>
      <c r="H219" s="290"/>
      <c r="J219" s="289"/>
      <c r="K219" s="289"/>
      <c r="L219" s="289"/>
      <c r="M219" s="286"/>
      <c r="N219" s="287"/>
      <c r="O219" s="287"/>
      <c r="V219" s="288"/>
    </row>
    <row r="220" spans="3:22" ht="15.75" customHeight="1">
      <c r="C220" s="289"/>
      <c r="D220" s="289"/>
      <c r="G220" s="289"/>
      <c r="H220" s="290"/>
      <c r="J220" s="289"/>
      <c r="K220" s="289"/>
      <c r="L220" s="289"/>
      <c r="M220" s="286"/>
      <c r="N220" s="287"/>
      <c r="O220" s="287"/>
      <c r="V220" s="288"/>
    </row>
    <row r="221" spans="3:22" ht="15.75" customHeight="1">
      <c r="C221" s="289"/>
      <c r="D221" s="289"/>
      <c r="G221" s="289"/>
      <c r="H221" s="290"/>
      <c r="J221" s="289"/>
      <c r="K221" s="289"/>
      <c r="L221" s="289"/>
      <c r="M221" s="286"/>
      <c r="N221" s="287"/>
      <c r="O221" s="287"/>
      <c r="V221" s="288"/>
    </row>
    <row r="222" spans="3:22" ht="15.75" customHeight="1">
      <c r="C222" s="289"/>
      <c r="D222" s="289"/>
      <c r="G222" s="289"/>
      <c r="H222" s="290"/>
      <c r="J222" s="289"/>
      <c r="K222" s="289"/>
      <c r="L222" s="289"/>
      <c r="M222" s="286"/>
      <c r="N222" s="287"/>
      <c r="O222" s="287"/>
      <c r="V222" s="288"/>
    </row>
    <row r="223" spans="3:22" ht="15.75" customHeight="1">
      <c r="C223" s="289"/>
      <c r="D223" s="289"/>
      <c r="G223" s="289"/>
      <c r="H223" s="290"/>
      <c r="J223" s="289"/>
      <c r="K223" s="289"/>
      <c r="L223" s="289"/>
      <c r="M223" s="286"/>
      <c r="N223" s="287"/>
      <c r="O223" s="287"/>
      <c r="V223" s="288"/>
    </row>
    <row r="224" spans="3:22" ht="15.75" customHeight="1">
      <c r="C224" s="289"/>
      <c r="D224" s="289"/>
      <c r="G224" s="289"/>
      <c r="H224" s="290"/>
      <c r="J224" s="289"/>
      <c r="K224" s="289"/>
      <c r="L224" s="289"/>
      <c r="M224" s="286"/>
      <c r="N224" s="287"/>
      <c r="O224" s="287"/>
      <c r="V224" s="288"/>
    </row>
    <row r="225" spans="3:22" ht="15.75" customHeight="1">
      <c r="C225" s="289"/>
      <c r="D225" s="289"/>
      <c r="G225" s="289"/>
      <c r="H225" s="290"/>
      <c r="J225" s="289"/>
      <c r="K225" s="289"/>
      <c r="L225" s="289"/>
      <c r="M225" s="286"/>
      <c r="N225" s="287"/>
      <c r="O225" s="287"/>
      <c r="V225" s="288"/>
    </row>
    <row r="226" spans="3:22" ht="15.75" customHeight="1">
      <c r="C226" s="289"/>
      <c r="D226" s="289"/>
      <c r="G226" s="289"/>
      <c r="H226" s="290"/>
      <c r="J226" s="289"/>
      <c r="K226" s="289"/>
      <c r="L226" s="289"/>
      <c r="M226" s="286"/>
      <c r="N226" s="287"/>
      <c r="O226" s="287"/>
      <c r="V226" s="288"/>
    </row>
    <row r="227" spans="3:22" ht="15.75" customHeight="1">
      <c r="C227" s="289"/>
      <c r="D227" s="289"/>
      <c r="G227" s="289"/>
      <c r="H227" s="290"/>
      <c r="J227" s="289"/>
      <c r="K227" s="289"/>
      <c r="L227" s="289"/>
      <c r="M227" s="286"/>
      <c r="N227" s="287"/>
      <c r="O227" s="287"/>
      <c r="V227" s="288"/>
    </row>
    <row r="228" spans="3:22" ht="15.75" customHeight="1">
      <c r="C228" s="289"/>
      <c r="D228" s="289"/>
      <c r="G228" s="289"/>
      <c r="H228" s="290"/>
      <c r="J228" s="289"/>
      <c r="K228" s="289"/>
      <c r="L228" s="289"/>
      <c r="M228" s="286"/>
      <c r="N228" s="287"/>
      <c r="O228" s="287"/>
      <c r="V228" s="288"/>
    </row>
    <row r="229" spans="3:22" ht="15.75" customHeight="1">
      <c r="C229" s="289"/>
      <c r="D229" s="289"/>
      <c r="G229" s="289"/>
      <c r="H229" s="290"/>
      <c r="J229" s="289"/>
      <c r="K229" s="289"/>
      <c r="L229" s="289"/>
      <c r="M229" s="286"/>
      <c r="N229" s="287"/>
      <c r="O229" s="287"/>
      <c r="V229" s="288"/>
    </row>
    <row r="230" spans="3:22" ht="15.75" customHeight="1">
      <c r="C230" s="289"/>
      <c r="D230" s="289"/>
      <c r="G230" s="289"/>
      <c r="H230" s="290"/>
      <c r="J230" s="289"/>
      <c r="K230" s="289"/>
      <c r="L230" s="289"/>
      <c r="M230" s="286"/>
      <c r="N230" s="287"/>
      <c r="O230" s="287"/>
      <c r="V230" s="288"/>
    </row>
    <row r="231" spans="3:22" ht="15.75" customHeight="1">
      <c r="C231" s="289"/>
      <c r="D231" s="289"/>
      <c r="G231" s="289"/>
      <c r="H231" s="290"/>
      <c r="J231" s="289"/>
      <c r="K231" s="289"/>
      <c r="L231" s="289"/>
      <c r="M231" s="286"/>
      <c r="N231" s="287"/>
      <c r="O231" s="287"/>
      <c r="V231" s="288"/>
    </row>
    <row r="232" spans="3:22" ht="15.75" customHeight="1">
      <c r="C232" s="289"/>
      <c r="D232" s="289"/>
      <c r="G232" s="289"/>
      <c r="H232" s="290"/>
      <c r="J232" s="289"/>
      <c r="K232" s="289"/>
      <c r="L232" s="289"/>
      <c r="M232" s="286"/>
      <c r="N232" s="287"/>
      <c r="O232" s="287"/>
      <c r="V232" s="288"/>
    </row>
    <row r="233" spans="3:22" ht="15.75" customHeight="1">
      <c r="C233" s="289"/>
      <c r="D233" s="289"/>
      <c r="G233" s="289"/>
      <c r="H233" s="290"/>
      <c r="J233" s="289"/>
      <c r="K233" s="289"/>
      <c r="L233" s="289"/>
      <c r="M233" s="286"/>
      <c r="N233" s="287"/>
      <c r="O233" s="287"/>
      <c r="V233" s="288"/>
    </row>
    <row r="234" spans="3:22" ht="15.75" customHeight="1">
      <c r="C234" s="289"/>
      <c r="D234" s="289"/>
      <c r="G234" s="289"/>
      <c r="H234" s="290"/>
      <c r="J234" s="289"/>
      <c r="K234" s="289"/>
      <c r="L234" s="289"/>
      <c r="M234" s="286"/>
      <c r="N234" s="287"/>
      <c r="O234" s="287"/>
      <c r="V234" s="288"/>
    </row>
    <row r="235" spans="3:22" ht="15.75" customHeight="1">
      <c r="C235" s="289"/>
      <c r="D235" s="289"/>
      <c r="G235" s="289"/>
      <c r="H235" s="290"/>
      <c r="J235" s="289"/>
      <c r="K235" s="289"/>
      <c r="L235" s="289"/>
      <c r="M235" s="286"/>
      <c r="N235" s="287"/>
      <c r="O235" s="287"/>
      <c r="V235" s="288"/>
    </row>
    <row r="236" spans="3:22" ht="15.75" customHeight="1">
      <c r="C236" s="289"/>
      <c r="D236" s="289"/>
      <c r="G236" s="289"/>
      <c r="H236" s="290"/>
      <c r="J236" s="289"/>
      <c r="K236" s="289"/>
      <c r="L236" s="289"/>
      <c r="M236" s="286"/>
      <c r="N236" s="287"/>
      <c r="O236" s="287"/>
      <c r="V236" s="288"/>
    </row>
    <row r="237" spans="3:22" ht="15.75" customHeight="1">
      <c r="C237" s="289"/>
      <c r="D237" s="289"/>
      <c r="G237" s="289"/>
      <c r="H237" s="290"/>
      <c r="J237" s="289"/>
      <c r="K237" s="289"/>
      <c r="L237" s="289"/>
      <c r="M237" s="286"/>
      <c r="N237" s="287"/>
      <c r="O237" s="287"/>
      <c r="V237" s="288"/>
    </row>
    <row r="238" spans="3:22" ht="15.75" customHeight="1">
      <c r="C238" s="289"/>
      <c r="D238" s="289"/>
      <c r="G238" s="289"/>
      <c r="H238" s="290"/>
      <c r="J238" s="289"/>
      <c r="K238" s="289"/>
      <c r="L238" s="289"/>
      <c r="M238" s="286"/>
      <c r="N238" s="287"/>
      <c r="O238" s="287"/>
      <c r="V238" s="288"/>
    </row>
    <row r="239" spans="3:22" ht="15.75" customHeight="1">
      <c r="C239" s="289"/>
      <c r="D239" s="289"/>
      <c r="G239" s="289"/>
      <c r="H239" s="290"/>
      <c r="J239" s="289"/>
      <c r="K239" s="289"/>
      <c r="L239" s="289"/>
      <c r="M239" s="286"/>
      <c r="N239" s="287"/>
      <c r="O239" s="287"/>
      <c r="V239" s="288"/>
    </row>
    <row r="240" spans="3:22" ht="15.75" customHeight="1">
      <c r="C240" s="289"/>
      <c r="D240" s="289"/>
      <c r="G240" s="289"/>
      <c r="H240" s="290"/>
      <c r="J240" s="289"/>
      <c r="K240" s="289"/>
      <c r="L240" s="289"/>
      <c r="M240" s="286"/>
      <c r="N240" s="287"/>
      <c r="O240" s="287"/>
      <c r="V240" s="288"/>
    </row>
    <row r="241" spans="3:22" ht="15.75" customHeight="1">
      <c r="C241" s="289"/>
      <c r="D241" s="289"/>
      <c r="G241" s="289"/>
      <c r="H241" s="290"/>
      <c r="J241" s="289"/>
      <c r="K241" s="289"/>
      <c r="L241" s="289"/>
      <c r="M241" s="286"/>
      <c r="N241" s="287"/>
      <c r="O241" s="287"/>
      <c r="V241" s="288"/>
    </row>
    <row r="242" spans="3:22" ht="15.75" customHeight="1">
      <c r="C242" s="289"/>
      <c r="D242" s="289"/>
      <c r="G242" s="289"/>
      <c r="H242" s="290"/>
      <c r="J242" s="289"/>
      <c r="K242" s="289"/>
      <c r="L242" s="289"/>
      <c r="M242" s="286"/>
      <c r="N242" s="287"/>
      <c r="O242" s="287"/>
      <c r="V242" s="288"/>
    </row>
    <row r="243" spans="3:22" ht="15.75" customHeight="1">
      <c r="C243" s="289"/>
      <c r="D243" s="289"/>
      <c r="G243" s="289"/>
      <c r="H243" s="290"/>
      <c r="J243" s="289"/>
      <c r="K243" s="289"/>
      <c r="L243" s="289"/>
      <c r="M243" s="286"/>
      <c r="N243" s="287"/>
      <c r="O243" s="287"/>
      <c r="V243" s="288"/>
    </row>
    <row r="244" spans="3:22" ht="15.75" customHeight="1">
      <c r="C244" s="289"/>
      <c r="D244" s="289"/>
      <c r="G244" s="289"/>
      <c r="H244" s="290"/>
      <c r="J244" s="289"/>
      <c r="K244" s="289"/>
      <c r="L244" s="289"/>
      <c r="M244" s="286"/>
      <c r="N244" s="287"/>
      <c r="O244" s="287"/>
      <c r="V244" s="288"/>
    </row>
    <row r="245" spans="3:22" ht="15.75" customHeight="1">
      <c r="C245" s="289"/>
      <c r="D245" s="289"/>
      <c r="G245" s="289"/>
      <c r="H245" s="290"/>
      <c r="J245" s="289"/>
      <c r="K245" s="289"/>
      <c r="L245" s="289"/>
      <c r="M245" s="286"/>
      <c r="N245" s="287"/>
      <c r="O245" s="287"/>
      <c r="V245" s="288"/>
    </row>
    <row r="246" spans="3:22" ht="15.75" customHeight="1">
      <c r="C246" s="289"/>
      <c r="D246" s="289"/>
      <c r="G246" s="289"/>
      <c r="H246" s="290"/>
      <c r="J246" s="289"/>
      <c r="K246" s="289"/>
      <c r="L246" s="289"/>
      <c r="M246" s="286"/>
      <c r="N246" s="287"/>
      <c r="O246" s="287"/>
      <c r="V246" s="288"/>
    </row>
    <row r="247" spans="3:22" ht="15.75" customHeight="1">
      <c r="C247" s="289"/>
      <c r="D247" s="289"/>
      <c r="G247" s="289"/>
      <c r="H247" s="290"/>
      <c r="J247" s="289"/>
      <c r="K247" s="289"/>
      <c r="L247" s="289"/>
      <c r="M247" s="286"/>
      <c r="N247" s="287"/>
      <c r="O247" s="287"/>
      <c r="V247" s="288"/>
    </row>
    <row r="248" spans="3:22" ht="15.75" customHeight="1">
      <c r="C248" s="289"/>
      <c r="D248" s="289"/>
      <c r="G248" s="289"/>
      <c r="H248" s="290"/>
      <c r="J248" s="289"/>
      <c r="K248" s="289"/>
      <c r="L248" s="289"/>
      <c r="M248" s="286"/>
      <c r="N248" s="287"/>
      <c r="O248" s="287"/>
      <c r="V248" s="288"/>
    </row>
    <row r="249" spans="3:22" ht="15.75" customHeight="1">
      <c r="C249" s="289"/>
      <c r="D249" s="289"/>
      <c r="G249" s="289"/>
      <c r="H249" s="290"/>
      <c r="J249" s="289"/>
      <c r="K249" s="289"/>
      <c r="L249" s="289"/>
      <c r="M249" s="286"/>
      <c r="N249" s="287"/>
      <c r="O249" s="287"/>
      <c r="V249" s="288"/>
    </row>
    <row r="250" spans="3:22" ht="15.75" customHeight="1">
      <c r="C250" s="289"/>
      <c r="D250" s="289"/>
      <c r="G250" s="289"/>
      <c r="H250" s="290"/>
      <c r="J250" s="289"/>
      <c r="K250" s="289"/>
      <c r="L250" s="289"/>
      <c r="M250" s="286"/>
      <c r="N250" s="287"/>
      <c r="O250" s="287"/>
      <c r="V250" s="288"/>
    </row>
    <row r="251" spans="3:22" ht="15.75" customHeight="1">
      <c r="C251" s="289"/>
      <c r="D251" s="289"/>
      <c r="G251" s="289"/>
      <c r="H251" s="290"/>
      <c r="J251" s="289"/>
      <c r="K251" s="289"/>
      <c r="L251" s="289"/>
      <c r="M251" s="286"/>
      <c r="N251" s="287"/>
      <c r="O251" s="287"/>
      <c r="V251" s="288"/>
    </row>
    <row r="252" spans="3:22" ht="15.75" customHeight="1">
      <c r="C252" s="289"/>
      <c r="D252" s="289"/>
      <c r="G252" s="289"/>
      <c r="H252" s="290"/>
      <c r="J252" s="289"/>
      <c r="K252" s="289"/>
      <c r="L252" s="289"/>
      <c r="M252" s="286"/>
      <c r="N252" s="287"/>
      <c r="O252" s="287"/>
      <c r="V252" s="288"/>
    </row>
    <row r="253" spans="3:22" ht="15.75" customHeight="1">
      <c r="C253" s="289"/>
      <c r="D253" s="289"/>
      <c r="G253" s="289"/>
      <c r="H253" s="290"/>
      <c r="J253" s="289"/>
      <c r="K253" s="289"/>
      <c r="L253" s="289"/>
      <c r="M253" s="286"/>
      <c r="N253" s="287"/>
      <c r="O253" s="287"/>
      <c r="V253" s="288"/>
    </row>
    <row r="254" spans="3:22" ht="15.75" customHeight="1">
      <c r="C254" s="289"/>
      <c r="D254" s="289"/>
      <c r="G254" s="289"/>
      <c r="H254" s="290"/>
      <c r="J254" s="289"/>
      <c r="K254" s="289"/>
      <c r="L254" s="289"/>
      <c r="M254" s="286"/>
      <c r="N254" s="287"/>
      <c r="O254" s="287"/>
      <c r="V254" s="288"/>
    </row>
    <row r="255" spans="3:22" ht="15.75" customHeight="1">
      <c r="C255" s="289"/>
      <c r="D255" s="289"/>
      <c r="G255" s="289"/>
      <c r="H255" s="290"/>
      <c r="J255" s="289"/>
      <c r="K255" s="289"/>
      <c r="L255" s="289"/>
      <c r="M255" s="286"/>
      <c r="N255" s="287"/>
      <c r="O255" s="287"/>
      <c r="V255" s="288"/>
    </row>
    <row r="256" spans="3:22" ht="15.75" customHeight="1">
      <c r="C256" s="289"/>
      <c r="D256" s="289"/>
      <c r="G256" s="289"/>
      <c r="H256" s="290"/>
      <c r="J256" s="289"/>
      <c r="K256" s="289"/>
      <c r="L256" s="289"/>
      <c r="M256" s="286"/>
      <c r="N256" s="287"/>
      <c r="O256" s="287"/>
      <c r="V256" s="288"/>
    </row>
    <row r="257" spans="3:22" ht="15.75" customHeight="1">
      <c r="C257" s="289"/>
      <c r="D257" s="289"/>
      <c r="G257" s="289"/>
      <c r="H257" s="290"/>
      <c r="J257" s="289"/>
      <c r="K257" s="289"/>
      <c r="L257" s="289"/>
      <c r="M257" s="286"/>
      <c r="N257" s="287"/>
      <c r="O257" s="287"/>
      <c r="V257" s="288"/>
    </row>
    <row r="258" spans="3:22" ht="15.75" customHeight="1">
      <c r="C258" s="289"/>
      <c r="D258" s="289"/>
      <c r="G258" s="289"/>
      <c r="H258" s="290"/>
      <c r="J258" s="289"/>
      <c r="K258" s="289"/>
      <c r="L258" s="289"/>
      <c r="M258" s="286"/>
      <c r="N258" s="287"/>
      <c r="O258" s="287"/>
      <c r="V258" s="288"/>
    </row>
    <row r="259" spans="3:22" ht="15.75" customHeight="1">
      <c r="C259" s="289"/>
      <c r="D259" s="289"/>
      <c r="G259" s="289"/>
      <c r="H259" s="290"/>
      <c r="J259" s="289"/>
      <c r="K259" s="289"/>
      <c r="L259" s="289"/>
      <c r="M259" s="286"/>
      <c r="N259" s="287"/>
      <c r="O259" s="287"/>
      <c r="V259" s="288"/>
    </row>
    <row r="260" spans="3:22" ht="15.75" customHeight="1">
      <c r="C260" s="289"/>
      <c r="D260" s="289"/>
      <c r="G260" s="289"/>
      <c r="H260" s="290"/>
      <c r="J260" s="289"/>
      <c r="K260" s="289"/>
      <c r="L260" s="289"/>
      <c r="M260" s="286"/>
      <c r="N260" s="287"/>
      <c r="O260" s="287"/>
      <c r="V260" s="288"/>
    </row>
    <row r="261" spans="3:22" ht="15.75" customHeight="1">
      <c r="C261" s="289"/>
      <c r="D261" s="289"/>
      <c r="G261" s="289"/>
      <c r="H261" s="290"/>
      <c r="J261" s="289"/>
      <c r="K261" s="289"/>
      <c r="L261" s="289"/>
      <c r="M261" s="286"/>
      <c r="N261" s="287"/>
      <c r="O261" s="287"/>
      <c r="V261" s="288"/>
    </row>
    <row r="262" spans="3:22" ht="15.75" customHeight="1">
      <c r="C262" s="289"/>
      <c r="D262" s="289"/>
      <c r="G262" s="289"/>
      <c r="H262" s="290"/>
      <c r="J262" s="289"/>
      <c r="K262" s="289"/>
      <c r="L262" s="289"/>
      <c r="M262" s="286"/>
      <c r="N262" s="287"/>
      <c r="O262" s="287"/>
      <c r="V262" s="288"/>
    </row>
    <row r="263" spans="3:22" ht="15.75" customHeight="1">
      <c r="C263" s="289"/>
      <c r="D263" s="289"/>
      <c r="G263" s="289"/>
      <c r="H263" s="290"/>
      <c r="J263" s="289"/>
      <c r="K263" s="289"/>
      <c r="L263" s="289"/>
      <c r="M263" s="286"/>
      <c r="N263" s="287"/>
      <c r="O263" s="287"/>
      <c r="V263" s="288"/>
    </row>
    <row r="264" spans="3:22" ht="15.75" customHeight="1">
      <c r="C264" s="289"/>
      <c r="D264" s="289"/>
      <c r="G264" s="289"/>
      <c r="H264" s="290"/>
      <c r="J264" s="289"/>
      <c r="K264" s="289"/>
      <c r="L264" s="289"/>
      <c r="M264" s="286"/>
      <c r="N264" s="287"/>
      <c r="O264" s="287"/>
      <c r="V264" s="288"/>
    </row>
    <row r="265" spans="3:22" ht="15.75" customHeight="1">
      <c r="C265" s="289"/>
      <c r="D265" s="289"/>
      <c r="G265" s="289"/>
      <c r="H265" s="290"/>
      <c r="J265" s="289"/>
      <c r="K265" s="289"/>
      <c r="L265" s="289"/>
      <c r="M265" s="286"/>
      <c r="N265" s="287"/>
      <c r="O265" s="287"/>
      <c r="V265" s="288"/>
    </row>
    <row r="266" spans="3:22" ht="15.75" customHeight="1">
      <c r="C266" s="289"/>
      <c r="D266" s="289"/>
      <c r="G266" s="289"/>
      <c r="H266" s="290"/>
      <c r="J266" s="289"/>
      <c r="K266" s="289"/>
      <c r="L266" s="289"/>
      <c r="M266" s="286"/>
      <c r="N266" s="287"/>
      <c r="O266" s="287"/>
      <c r="V266" s="288"/>
    </row>
    <row r="267" spans="3:22" ht="15.75" customHeight="1">
      <c r="C267" s="289"/>
      <c r="D267" s="289"/>
      <c r="G267" s="289"/>
      <c r="H267" s="290"/>
      <c r="J267" s="289"/>
      <c r="K267" s="289"/>
      <c r="L267" s="289"/>
      <c r="M267" s="286"/>
      <c r="N267" s="287"/>
      <c r="O267" s="287"/>
      <c r="V267" s="288"/>
    </row>
    <row r="268" spans="3:22" ht="15.75" customHeight="1">
      <c r="C268" s="289"/>
      <c r="D268" s="289"/>
      <c r="G268" s="289"/>
      <c r="H268" s="290"/>
      <c r="J268" s="289"/>
      <c r="K268" s="289"/>
      <c r="L268" s="289"/>
      <c r="M268" s="286"/>
      <c r="N268" s="287"/>
      <c r="O268" s="287"/>
      <c r="V268" s="288"/>
    </row>
    <row r="269" spans="3:22" ht="15.75" customHeight="1">
      <c r="C269" s="289"/>
      <c r="D269" s="289"/>
      <c r="G269" s="289"/>
      <c r="H269" s="290"/>
      <c r="J269" s="289"/>
      <c r="K269" s="289"/>
      <c r="L269" s="289"/>
      <c r="M269" s="286"/>
      <c r="N269" s="287"/>
      <c r="O269" s="287"/>
      <c r="V269" s="288"/>
    </row>
    <row r="270" spans="3:22" ht="15.75" customHeight="1">
      <c r="C270" s="289"/>
      <c r="D270" s="289"/>
      <c r="G270" s="289"/>
      <c r="H270" s="290"/>
      <c r="J270" s="289"/>
      <c r="K270" s="289"/>
      <c r="L270" s="289"/>
      <c r="M270" s="286"/>
      <c r="N270" s="287"/>
      <c r="O270" s="287"/>
      <c r="V270" s="288"/>
    </row>
    <row r="271" spans="3:22" ht="15.75" customHeight="1">
      <c r="C271" s="289"/>
      <c r="D271" s="289"/>
      <c r="G271" s="289"/>
      <c r="H271" s="290"/>
      <c r="J271" s="289"/>
      <c r="K271" s="289"/>
      <c r="L271" s="289"/>
      <c r="M271" s="286"/>
      <c r="N271" s="287"/>
      <c r="O271" s="287"/>
      <c r="V271" s="288"/>
    </row>
    <row r="272" spans="3:22" ht="15.75" customHeight="1">
      <c r="C272" s="289"/>
      <c r="D272" s="289"/>
      <c r="G272" s="289"/>
      <c r="H272" s="290"/>
      <c r="J272" s="289"/>
      <c r="K272" s="289"/>
      <c r="L272" s="289"/>
      <c r="M272" s="286"/>
      <c r="N272" s="287"/>
      <c r="O272" s="287"/>
      <c r="V272" s="288"/>
    </row>
    <row r="273" spans="3:22" ht="15.75" customHeight="1">
      <c r="C273" s="289"/>
      <c r="D273" s="289"/>
      <c r="G273" s="289"/>
      <c r="H273" s="290"/>
      <c r="J273" s="289"/>
      <c r="K273" s="289"/>
      <c r="L273" s="289"/>
      <c r="M273" s="286"/>
      <c r="N273" s="287"/>
      <c r="O273" s="287"/>
      <c r="V273" s="288"/>
    </row>
    <row r="274" spans="3:22" ht="15.75" customHeight="1">
      <c r="C274" s="289"/>
      <c r="D274" s="289"/>
      <c r="G274" s="289"/>
      <c r="H274" s="290"/>
      <c r="J274" s="289"/>
      <c r="K274" s="289"/>
      <c r="L274" s="289"/>
      <c r="M274" s="286"/>
      <c r="N274" s="287"/>
      <c r="O274" s="287"/>
      <c r="V274" s="288"/>
    </row>
    <row r="275" spans="3:22" ht="15.75" customHeight="1">
      <c r="C275" s="289"/>
      <c r="D275" s="289"/>
      <c r="G275" s="289"/>
      <c r="H275" s="290"/>
      <c r="J275" s="289"/>
      <c r="K275" s="289"/>
      <c r="L275" s="289"/>
      <c r="M275" s="286"/>
      <c r="N275" s="287"/>
      <c r="O275" s="287"/>
      <c r="V275" s="288"/>
    </row>
    <row r="276" spans="3:22" ht="15.75" customHeight="1">
      <c r="C276" s="289"/>
      <c r="D276" s="289"/>
      <c r="G276" s="289"/>
      <c r="H276" s="290"/>
      <c r="J276" s="289"/>
      <c r="K276" s="289"/>
      <c r="L276" s="289"/>
      <c r="M276" s="286"/>
      <c r="N276" s="287"/>
      <c r="O276" s="287"/>
      <c r="V276" s="288"/>
    </row>
    <row r="277" spans="3:22" ht="15.75" customHeight="1">
      <c r="C277" s="289"/>
      <c r="D277" s="289"/>
      <c r="G277" s="289"/>
      <c r="H277" s="290"/>
      <c r="J277" s="289"/>
      <c r="K277" s="289"/>
      <c r="L277" s="289"/>
      <c r="M277" s="286"/>
      <c r="N277" s="287"/>
      <c r="O277" s="287"/>
      <c r="V277" s="288"/>
    </row>
    <row r="278" spans="3:22" ht="15.75" customHeight="1">
      <c r="C278" s="289"/>
      <c r="D278" s="289"/>
      <c r="G278" s="289"/>
      <c r="H278" s="290"/>
      <c r="J278" s="289"/>
      <c r="K278" s="289"/>
      <c r="L278" s="289"/>
      <c r="M278" s="286"/>
      <c r="N278" s="287"/>
      <c r="O278" s="287"/>
      <c r="V278" s="288"/>
    </row>
    <row r="279" spans="3:22" ht="15.75" customHeight="1">
      <c r="C279" s="289"/>
      <c r="D279" s="289"/>
      <c r="G279" s="289"/>
      <c r="H279" s="290"/>
      <c r="J279" s="289"/>
      <c r="K279" s="289"/>
      <c r="L279" s="289"/>
      <c r="M279" s="286"/>
      <c r="N279" s="287"/>
      <c r="O279" s="287"/>
      <c r="V279" s="288"/>
    </row>
    <row r="280" spans="3:22" ht="15.75" customHeight="1">
      <c r="C280" s="289"/>
      <c r="D280" s="289"/>
      <c r="G280" s="289"/>
      <c r="H280" s="290"/>
      <c r="J280" s="289"/>
      <c r="K280" s="289"/>
      <c r="L280" s="289"/>
      <c r="M280" s="286"/>
      <c r="N280" s="287"/>
      <c r="O280" s="287"/>
      <c r="V280" s="288"/>
    </row>
    <row r="281" spans="3:22" ht="15.75" customHeight="1">
      <c r="C281" s="289"/>
      <c r="D281" s="289"/>
      <c r="G281" s="289"/>
      <c r="H281" s="290"/>
      <c r="J281" s="289"/>
      <c r="K281" s="289"/>
      <c r="L281" s="289"/>
      <c r="M281" s="286"/>
      <c r="N281" s="287"/>
      <c r="O281" s="287"/>
      <c r="V281" s="288"/>
    </row>
    <row r="282" spans="3:22" ht="15.75" customHeight="1">
      <c r="C282" s="289"/>
      <c r="D282" s="289"/>
      <c r="G282" s="289"/>
      <c r="H282" s="290"/>
      <c r="J282" s="289"/>
      <c r="K282" s="289"/>
      <c r="L282" s="289"/>
      <c r="M282" s="286"/>
      <c r="N282" s="287"/>
      <c r="O282" s="287"/>
      <c r="V282" s="288"/>
    </row>
    <row r="283" spans="3:22" ht="15.75" customHeight="1">
      <c r="C283" s="289"/>
      <c r="D283" s="289"/>
      <c r="G283" s="289"/>
      <c r="H283" s="290"/>
      <c r="J283" s="289"/>
      <c r="K283" s="289"/>
      <c r="L283" s="289"/>
      <c r="M283" s="286"/>
      <c r="N283" s="287"/>
      <c r="O283" s="287"/>
      <c r="V283" s="288"/>
    </row>
    <row r="284" spans="3:22" ht="15.75" customHeight="1">
      <c r="C284" s="289"/>
      <c r="D284" s="289"/>
      <c r="G284" s="289"/>
      <c r="H284" s="290"/>
      <c r="J284" s="289"/>
      <c r="K284" s="289"/>
      <c r="L284" s="289"/>
      <c r="M284" s="286"/>
      <c r="N284" s="287"/>
      <c r="O284" s="287"/>
      <c r="V284" s="288"/>
    </row>
    <row r="285" spans="3:22" ht="15.75" customHeight="1">
      <c r="C285" s="289"/>
      <c r="D285" s="289"/>
      <c r="G285" s="289"/>
      <c r="H285" s="290"/>
      <c r="J285" s="289"/>
      <c r="K285" s="289"/>
      <c r="L285" s="289"/>
      <c r="M285" s="286"/>
      <c r="N285" s="287"/>
      <c r="O285" s="287"/>
      <c r="V285" s="288"/>
    </row>
    <row r="286" spans="3:22" ht="15.75" customHeight="1">
      <c r="C286" s="289"/>
      <c r="D286" s="289"/>
      <c r="G286" s="289"/>
      <c r="H286" s="290"/>
      <c r="J286" s="289"/>
      <c r="K286" s="289"/>
      <c r="L286" s="289"/>
      <c r="M286" s="286"/>
      <c r="N286" s="287"/>
      <c r="O286" s="287"/>
      <c r="V286" s="288"/>
    </row>
    <row r="287" spans="3:22" ht="15.75" customHeight="1">
      <c r="C287" s="289"/>
      <c r="D287" s="289"/>
      <c r="G287" s="289"/>
      <c r="H287" s="290"/>
      <c r="J287" s="289"/>
      <c r="K287" s="289"/>
      <c r="L287" s="289"/>
      <c r="M287" s="286"/>
      <c r="N287" s="287"/>
      <c r="O287" s="287"/>
      <c r="V287" s="288"/>
    </row>
    <row r="288" spans="3:22" ht="15.75" customHeight="1">
      <c r="C288" s="289"/>
      <c r="D288" s="289"/>
      <c r="G288" s="289"/>
      <c r="H288" s="290"/>
      <c r="J288" s="289"/>
      <c r="K288" s="289"/>
      <c r="L288" s="289"/>
      <c r="M288" s="286"/>
      <c r="N288" s="287"/>
      <c r="O288" s="287"/>
      <c r="V288" s="288"/>
    </row>
    <row r="289" spans="3:22" ht="15.75" customHeight="1">
      <c r="C289" s="289"/>
      <c r="D289" s="289"/>
      <c r="G289" s="289"/>
      <c r="H289" s="290"/>
      <c r="J289" s="289"/>
      <c r="K289" s="289"/>
      <c r="L289" s="289"/>
      <c r="M289" s="286"/>
      <c r="N289" s="287"/>
      <c r="O289" s="287"/>
      <c r="V289" s="288"/>
    </row>
    <row r="290" spans="3:22" ht="15.75" customHeight="1">
      <c r="C290" s="289"/>
      <c r="D290" s="289"/>
      <c r="G290" s="289"/>
      <c r="H290" s="290"/>
      <c r="J290" s="289"/>
      <c r="K290" s="289"/>
      <c r="L290" s="289"/>
      <c r="M290" s="286"/>
      <c r="N290" s="287"/>
      <c r="O290" s="287"/>
      <c r="V290" s="288"/>
    </row>
    <row r="291" spans="3:22" ht="15.75" customHeight="1">
      <c r="C291" s="289"/>
      <c r="D291" s="289"/>
      <c r="G291" s="289"/>
      <c r="H291" s="290"/>
      <c r="J291" s="289"/>
      <c r="K291" s="289"/>
      <c r="L291" s="289"/>
      <c r="M291" s="286"/>
      <c r="N291" s="287"/>
      <c r="O291" s="287"/>
      <c r="V291" s="288"/>
    </row>
    <row r="292" spans="3:22" ht="15.75" customHeight="1">
      <c r="C292" s="289"/>
      <c r="D292" s="289"/>
      <c r="G292" s="289"/>
      <c r="H292" s="290"/>
      <c r="J292" s="289"/>
      <c r="K292" s="289"/>
      <c r="L292" s="289"/>
      <c r="M292" s="286"/>
      <c r="N292" s="287"/>
      <c r="O292" s="287"/>
      <c r="V292" s="288"/>
    </row>
    <row r="293" spans="3:22" ht="15.75" customHeight="1">
      <c r="C293" s="289"/>
      <c r="D293" s="289"/>
      <c r="G293" s="289"/>
      <c r="H293" s="290"/>
      <c r="J293" s="289"/>
      <c r="K293" s="289"/>
      <c r="L293" s="289"/>
      <c r="M293" s="286"/>
      <c r="N293" s="287"/>
      <c r="O293" s="287"/>
      <c r="V293" s="288"/>
    </row>
    <row r="294" spans="3:22" ht="15.75" customHeight="1">
      <c r="C294" s="289"/>
      <c r="D294" s="289"/>
      <c r="G294" s="289"/>
      <c r="H294" s="290"/>
      <c r="J294" s="289"/>
      <c r="K294" s="289"/>
      <c r="L294" s="289"/>
      <c r="M294" s="286"/>
      <c r="N294" s="287"/>
      <c r="O294" s="287"/>
      <c r="V294" s="288"/>
    </row>
    <row r="295" spans="3:22" ht="15.75" customHeight="1">
      <c r="C295" s="289"/>
      <c r="D295" s="289"/>
      <c r="G295" s="289"/>
      <c r="H295" s="290"/>
      <c r="J295" s="289"/>
      <c r="K295" s="289"/>
      <c r="L295" s="289"/>
      <c r="M295" s="286"/>
      <c r="N295" s="287"/>
      <c r="O295" s="287"/>
      <c r="V295" s="288"/>
    </row>
    <row r="296" spans="3:22" ht="15.75" customHeight="1">
      <c r="C296" s="289"/>
      <c r="D296" s="289"/>
      <c r="G296" s="289"/>
      <c r="H296" s="290"/>
      <c r="J296" s="289"/>
      <c r="K296" s="289"/>
      <c r="L296" s="289"/>
      <c r="M296" s="286"/>
      <c r="N296" s="287"/>
      <c r="O296" s="287"/>
      <c r="V296" s="288"/>
    </row>
    <row r="297" spans="3:22" ht="15.75" customHeight="1">
      <c r="C297" s="289"/>
      <c r="D297" s="289"/>
      <c r="G297" s="289"/>
      <c r="H297" s="290"/>
      <c r="J297" s="289"/>
      <c r="K297" s="289"/>
      <c r="L297" s="289"/>
      <c r="M297" s="286"/>
      <c r="N297" s="287"/>
      <c r="O297" s="287"/>
      <c r="V297" s="288"/>
    </row>
    <row r="298" spans="3:22" ht="15.75" customHeight="1">
      <c r="C298" s="289"/>
      <c r="D298" s="289"/>
      <c r="G298" s="289"/>
      <c r="H298" s="290"/>
      <c r="J298" s="289"/>
      <c r="K298" s="289"/>
      <c r="L298" s="289"/>
      <c r="M298" s="286"/>
      <c r="N298" s="287"/>
      <c r="O298" s="287"/>
      <c r="V298" s="288"/>
    </row>
    <row r="299" spans="3:22" ht="15.75" customHeight="1">
      <c r="C299" s="289"/>
      <c r="D299" s="289"/>
      <c r="G299" s="289"/>
      <c r="H299" s="290"/>
      <c r="J299" s="289"/>
      <c r="K299" s="289"/>
      <c r="L299" s="289"/>
      <c r="M299" s="286"/>
      <c r="N299" s="287"/>
      <c r="O299" s="287"/>
      <c r="V299" s="288"/>
    </row>
    <row r="300" spans="3:22" ht="15.75" customHeight="1">
      <c r="C300" s="289"/>
      <c r="D300" s="289"/>
      <c r="G300" s="289"/>
      <c r="H300" s="290"/>
      <c r="J300" s="289"/>
      <c r="K300" s="289"/>
      <c r="L300" s="289"/>
      <c r="M300" s="286"/>
      <c r="N300" s="287"/>
      <c r="O300" s="287"/>
      <c r="V300" s="288"/>
    </row>
    <row r="301" spans="3:22" ht="15.75" customHeight="1">
      <c r="C301" s="289"/>
      <c r="D301" s="289"/>
      <c r="G301" s="289"/>
      <c r="H301" s="290"/>
      <c r="J301" s="289"/>
      <c r="K301" s="289"/>
      <c r="L301" s="289"/>
      <c r="M301" s="286"/>
      <c r="N301" s="287"/>
      <c r="O301" s="287"/>
      <c r="V301" s="288"/>
    </row>
    <row r="302" spans="3:22" ht="15.75" customHeight="1">
      <c r="C302" s="289"/>
      <c r="D302" s="289"/>
      <c r="G302" s="289"/>
      <c r="H302" s="290"/>
      <c r="J302" s="289"/>
      <c r="K302" s="289"/>
      <c r="L302" s="289"/>
      <c r="M302" s="286"/>
      <c r="N302" s="287"/>
      <c r="O302" s="287"/>
      <c r="V302" s="288"/>
    </row>
    <row r="303" spans="3:22" ht="15.75" customHeight="1">
      <c r="C303" s="289"/>
      <c r="D303" s="289"/>
      <c r="G303" s="289"/>
      <c r="H303" s="290"/>
      <c r="J303" s="289"/>
      <c r="K303" s="289"/>
      <c r="L303" s="289"/>
      <c r="M303" s="286"/>
      <c r="N303" s="287"/>
      <c r="O303" s="287"/>
      <c r="V303" s="288"/>
    </row>
    <row r="304" spans="3:22" ht="15.75" customHeight="1">
      <c r="C304" s="289"/>
      <c r="D304" s="289"/>
      <c r="G304" s="289"/>
      <c r="H304" s="290"/>
      <c r="J304" s="289"/>
      <c r="K304" s="289"/>
      <c r="L304" s="289"/>
      <c r="M304" s="286"/>
      <c r="N304" s="287"/>
      <c r="O304" s="287"/>
      <c r="V304" s="288"/>
    </row>
    <row r="305" spans="3:22" ht="15.75" customHeight="1">
      <c r="C305" s="289"/>
      <c r="D305" s="289"/>
      <c r="G305" s="289"/>
      <c r="H305" s="290"/>
      <c r="J305" s="289"/>
      <c r="K305" s="289"/>
      <c r="L305" s="289"/>
      <c r="M305" s="286"/>
      <c r="N305" s="287"/>
      <c r="O305" s="287"/>
      <c r="V305" s="288"/>
    </row>
    <row r="306" spans="3:22" ht="15.75" customHeight="1">
      <c r="C306" s="289"/>
      <c r="D306" s="289"/>
      <c r="G306" s="289"/>
      <c r="H306" s="290"/>
      <c r="J306" s="289"/>
      <c r="K306" s="289"/>
      <c r="L306" s="289"/>
      <c r="M306" s="286"/>
      <c r="N306" s="287"/>
      <c r="O306" s="287"/>
      <c r="V306" s="288"/>
    </row>
    <row r="307" spans="3:22" ht="15.75" customHeight="1">
      <c r="C307" s="289"/>
      <c r="D307" s="289"/>
      <c r="G307" s="289"/>
      <c r="H307" s="290"/>
      <c r="J307" s="289"/>
      <c r="K307" s="289"/>
      <c r="L307" s="289"/>
      <c r="M307" s="286"/>
      <c r="N307" s="287"/>
      <c r="O307" s="287"/>
      <c r="V307" s="288"/>
    </row>
    <row r="308" spans="3:22" ht="15.75" customHeight="1">
      <c r="C308" s="289"/>
      <c r="D308" s="289"/>
      <c r="G308" s="289"/>
      <c r="H308" s="290"/>
      <c r="J308" s="289"/>
      <c r="K308" s="289"/>
      <c r="L308" s="289"/>
      <c r="M308" s="286"/>
      <c r="N308" s="287"/>
      <c r="O308" s="287"/>
      <c r="V308" s="288"/>
    </row>
    <row r="309" spans="3:22" ht="15.75" customHeight="1">
      <c r="C309" s="289"/>
      <c r="D309" s="289"/>
      <c r="G309" s="289"/>
      <c r="H309" s="290"/>
      <c r="J309" s="289"/>
      <c r="K309" s="289"/>
      <c r="L309" s="289"/>
      <c r="M309" s="286"/>
      <c r="N309" s="287"/>
      <c r="O309" s="287"/>
      <c r="V309" s="288"/>
    </row>
    <row r="310" spans="3:22" ht="15.75" customHeight="1">
      <c r="C310" s="289"/>
      <c r="D310" s="289"/>
      <c r="G310" s="289"/>
      <c r="H310" s="290"/>
      <c r="J310" s="289"/>
      <c r="K310" s="289"/>
      <c r="L310" s="289"/>
      <c r="M310" s="286"/>
      <c r="N310" s="287"/>
      <c r="O310" s="287"/>
      <c r="V310" s="288"/>
    </row>
    <row r="311" spans="3:22" ht="15.75" customHeight="1">
      <c r="C311" s="289"/>
      <c r="D311" s="289"/>
      <c r="G311" s="289"/>
      <c r="H311" s="290"/>
      <c r="J311" s="289"/>
      <c r="K311" s="289"/>
      <c r="L311" s="289"/>
      <c r="M311" s="286"/>
      <c r="N311" s="287"/>
      <c r="O311" s="287"/>
      <c r="V311" s="288"/>
    </row>
    <row r="312" spans="3:22" ht="15.75" customHeight="1">
      <c r="C312" s="289"/>
      <c r="D312" s="289"/>
      <c r="G312" s="289"/>
      <c r="H312" s="290"/>
      <c r="J312" s="289"/>
      <c r="K312" s="289"/>
      <c r="L312" s="289"/>
      <c r="M312" s="286"/>
      <c r="N312" s="287"/>
      <c r="O312" s="287"/>
      <c r="V312" s="288"/>
    </row>
    <row r="313" spans="3:22" ht="15.75" customHeight="1">
      <c r="C313" s="289"/>
      <c r="D313" s="289"/>
      <c r="G313" s="289"/>
      <c r="H313" s="290"/>
      <c r="J313" s="289"/>
      <c r="K313" s="289"/>
      <c r="L313" s="289"/>
      <c r="M313" s="286"/>
      <c r="N313" s="287"/>
      <c r="O313" s="287"/>
      <c r="V313" s="288"/>
    </row>
    <row r="314" spans="3:22" ht="15.75" customHeight="1">
      <c r="C314" s="289"/>
      <c r="D314" s="289"/>
      <c r="G314" s="289"/>
      <c r="H314" s="290"/>
      <c r="J314" s="289"/>
      <c r="K314" s="289"/>
      <c r="L314" s="289"/>
      <c r="M314" s="286"/>
      <c r="N314" s="287"/>
      <c r="O314" s="287"/>
      <c r="V314" s="288"/>
    </row>
    <row r="315" spans="3:22" ht="15.75" customHeight="1">
      <c r="C315" s="289"/>
      <c r="D315" s="289"/>
      <c r="G315" s="289"/>
      <c r="H315" s="290"/>
      <c r="J315" s="289"/>
      <c r="K315" s="289"/>
      <c r="L315" s="289"/>
      <c r="M315" s="286"/>
      <c r="N315" s="287"/>
      <c r="O315" s="287"/>
      <c r="V315" s="288"/>
    </row>
    <row r="316" spans="3:22" ht="15.75" customHeight="1">
      <c r="C316" s="289"/>
      <c r="D316" s="289"/>
      <c r="G316" s="289"/>
      <c r="H316" s="290"/>
      <c r="J316" s="289"/>
      <c r="K316" s="289"/>
      <c r="L316" s="289"/>
      <c r="M316" s="286"/>
      <c r="N316" s="287"/>
      <c r="O316" s="287"/>
      <c r="V316" s="288"/>
    </row>
    <row r="317" spans="3:22" ht="15.75" customHeight="1">
      <c r="C317" s="289"/>
      <c r="D317" s="289"/>
      <c r="G317" s="289"/>
      <c r="H317" s="290"/>
      <c r="J317" s="289"/>
      <c r="K317" s="289"/>
      <c r="L317" s="289"/>
      <c r="M317" s="286"/>
      <c r="N317" s="287"/>
      <c r="O317" s="287"/>
      <c r="V317" s="288"/>
    </row>
    <row r="318" spans="3:22" ht="15.75" customHeight="1">
      <c r="C318" s="289"/>
      <c r="D318" s="289"/>
      <c r="G318" s="289"/>
      <c r="H318" s="290"/>
      <c r="J318" s="289"/>
      <c r="K318" s="289"/>
      <c r="L318" s="289"/>
      <c r="M318" s="286"/>
      <c r="N318" s="287"/>
      <c r="O318" s="287"/>
      <c r="V318" s="288"/>
    </row>
    <row r="319" spans="3:22" ht="15.75" customHeight="1">
      <c r="C319" s="289"/>
      <c r="D319" s="289"/>
      <c r="G319" s="289"/>
      <c r="H319" s="290"/>
      <c r="J319" s="289"/>
      <c r="K319" s="289"/>
      <c r="L319" s="289"/>
      <c r="M319" s="286"/>
      <c r="N319" s="287"/>
      <c r="O319" s="287"/>
      <c r="V319" s="288"/>
    </row>
    <row r="320" spans="3:22" ht="15.75" customHeight="1">
      <c r="C320" s="289"/>
      <c r="D320" s="289"/>
      <c r="G320" s="289"/>
      <c r="H320" s="290"/>
      <c r="J320" s="289"/>
      <c r="K320" s="289"/>
      <c r="L320" s="289"/>
      <c r="M320" s="286"/>
      <c r="N320" s="287"/>
      <c r="O320" s="287"/>
      <c r="V320" s="288"/>
    </row>
    <row r="321" spans="3:22" ht="15.75" customHeight="1">
      <c r="C321" s="289"/>
      <c r="D321" s="289"/>
      <c r="G321" s="289"/>
      <c r="H321" s="290"/>
      <c r="J321" s="289"/>
      <c r="K321" s="289"/>
      <c r="L321" s="289"/>
      <c r="M321" s="286"/>
      <c r="N321" s="287"/>
      <c r="O321" s="287"/>
      <c r="V321" s="288"/>
    </row>
    <row r="322" spans="3:22" ht="15.75" customHeight="1">
      <c r="C322" s="289"/>
      <c r="D322" s="289"/>
      <c r="G322" s="289"/>
      <c r="H322" s="290"/>
      <c r="J322" s="289"/>
      <c r="K322" s="289"/>
      <c r="L322" s="289"/>
      <c r="M322" s="286"/>
      <c r="N322" s="287"/>
      <c r="O322" s="287"/>
      <c r="V322" s="288"/>
    </row>
    <row r="323" spans="3:22" ht="15.75" customHeight="1">
      <c r="C323" s="289"/>
      <c r="D323" s="289"/>
      <c r="G323" s="289"/>
      <c r="H323" s="290"/>
      <c r="J323" s="289"/>
      <c r="K323" s="289"/>
      <c r="L323" s="289"/>
      <c r="M323" s="286"/>
      <c r="N323" s="287"/>
      <c r="O323" s="287"/>
      <c r="V323" s="288"/>
    </row>
    <row r="324" spans="3:22" ht="15.75" customHeight="1">
      <c r="C324" s="289"/>
      <c r="D324" s="289"/>
      <c r="G324" s="289"/>
      <c r="H324" s="290"/>
      <c r="J324" s="289"/>
      <c r="K324" s="289"/>
      <c r="L324" s="289"/>
      <c r="M324" s="286"/>
      <c r="N324" s="287"/>
      <c r="O324" s="287"/>
      <c r="V324" s="288"/>
    </row>
    <row r="325" spans="3:22" ht="15.75" customHeight="1">
      <c r="C325" s="289"/>
      <c r="D325" s="289"/>
      <c r="G325" s="289"/>
      <c r="H325" s="290"/>
      <c r="J325" s="289"/>
      <c r="K325" s="289"/>
      <c r="L325" s="289"/>
      <c r="M325" s="286"/>
      <c r="N325" s="287"/>
      <c r="O325" s="287"/>
      <c r="V325" s="288"/>
    </row>
    <row r="326" spans="3:22" ht="15.75" customHeight="1">
      <c r="C326" s="289"/>
      <c r="D326" s="289"/>
      <c r="G326" s="289"/>
      <c r="H326" s="290"/>
      <c r="J326" s="289"/>
      <c r="K326" s="289"/>
      <c r="L326" s="289"/>
      <c r="M326" s="286"/>
      <c r="N326" s="287"/>
      <c r="O326" s="287"/>
      <c r="V326" s="288"/>
    </row>
    <row r="327" spans="3:22" ht="15.75" customHeight="1">
      <c r="C327" s="289"/>
      <c r="D327" s="289"/>
      <c r="G327" s="289"/>
      <c r="H327" s="290"/>
      <c r="J327" s="289"/>
      <c r="K327" s="289"/>
      <c r="L327" s="289"/>
      <c r="M327" s="286"/>
      <c r="N327" s="287"/>
      <c r="O327" s="287"/>
      <c r="V327" s="288"/>
    </row>
    <row r="328" spans="3:22" ht="15.75" customHeight="1">
      <c r="C328" s="289"/>
      <c r="D328" s="289"/>
      <c r="G328" s="289"/>
      <c r="H328" s="290"/>
      <c r="J328" s="289"/>
      <c r="K328" s="289"/>
      <c r="L328" s="289"/>
      <c r="M328" s="286"/>
      <c r="N328" s="287"/>
      <c r="O328" s="287"/>
      <c r="V328" s="288"/>
    </row>
    <row r="329" spans="3:22" ht="15.75" customHeight="1">
      <c r="C329" s="289"/>
      <c r="D329" s="289"/>
      <c r="G329" s="289"/>
      <c r="H329" s="290"/>
      <c r="J329" s="289"/>
      <c r="K329" s="289"/>
      <c r="L329" s="289"/>
      <c r="M329" s="286"/>
      <c r="N329" s="287"/>
      <c r="O329" s="287"/>
      <c r="V329" s="288"/>
    </row>
    <row r="330" spans="3:22" ht="15.75" customHeight="1">
      <c r="C330" s="289"/>
      <c r="D330" s="289"/>
      <c r="G330" s="289"/>
      <c r="H330" s="290"/>
      <c r="J330" s="289"/>
      <c r="K330" s="289"/>
      <c r="L330" s="289"/>
      <c r="M330" s="286"/>
      <c r="N330" s="287"/>
      <c r="O330" s="287"/>
      <c r="V330" s="288"/>
    </row>
    <row r="331" spans="3:22" ht="15.75" customHeight="1">
      <c r="C331" s="289"/>
      <c r="D331" s="289"/>
      <c r="G331" s="289"/>
      <c r="H331" s="290"/>
      <c r="J331" s="289"/>
      <c r="K331" s="289"/>
      <c r="L331" s="289"/>
      <c r="M331" s="286"/>
      <c r="N331" s="287"/>
      <c r="O331" s="287"/>
      <c r="V331" s="288"/>
    </row>
    <row r="332" spans="3:22" ht="15.75" customHeight="1">
      <c r="C332" s="289"/>
      <c r="D332" s="289"/>
      <c r="G332" s="289"/>
      <c r="H332" s="290"/>
      <c r="J332" s="289"/>
      <c r="K332" s="289"/>
      <c r="L332" s="289"/>
      <c r="M332" s="286"/>
      <c r="N332" s="287"/>
      <c r="O332" s="287"/>
      <c r="V332" s="288"/>
    </row>
    <row r="333" spans="3:22" ht="15.75" customHeight="1">
      <c r="C333" s="289"/>
      <c r="D333" s="289"/>
      <c r="G333" s="289"/>
      <c r="H333" s="290"/>
      <c r="J333" s="289"/>
      <c r="K333" s="289"/>
      <c r="L333" s="289"/>
      <c r="M333" s="286"/>
      <c r="N333" s="287"/>
      <c r="O333" s="287"/>
      <c r="V333" s="288"/>
    </row>
    <row r="334" spans="3:22" ht="15.75" customHeight="1">
      <c r="C334" s="289"/>
      <c r="D334" s="289"/>
      <c r="G334" s="289"/>
      <c r="H334" s="290"/>
      <c r="J334" s="289"/>
      <c r="K334" s="289"/>
      <c r="L334" s="289"/>
      <c r="M334" s="286"/>
      <c r="N334" s="287"/>
      <c r="O334" s="287"/>
      <c r="V334" s="288"/>
    </row>
    <row r="335" spans="3:22" ht="15.75" customHeight="1">
      <c r="C335" s="289"/>
      <c r="D335" s="289"/>
      <c r="G335" s="289"/>
      <c r="H335" s="290"/>
      <c r="J335" s="289"/>
      <c r="K335" s="289"/>
      <c r="L335" s="289"/>
      <c r="M335" s="286"/>
      <c r="N335" s="287"/>
      <c r="O335" s="287"/>
      <c r="V335" s="288"/>
    </row>
    <row r="336" spans="3:22" ht="15.75" customHeight="1">
      <c r="C336" s="289"/>
      <c r="D336" s="289"/>
      <c r="G336" s="289"/>
      <c r="H336" s="290"/>
      <c r="J336" s="289"/>
      <c r="K336" s="289"/>
      <c r="L336" s="289"/>
      <c r="M336" s="286"/>
      <c r="N336" s="287"/>
      <c r="O336" s="287"/>
      <c r="V336" s="288"/>
    </row>
    <row r="337" spans="3:22" ht="15.75" customHeight="1">
      <c r="C337" s="289"/>
      <c r="D337" s="289"/>
      <c r="G337" s="289"/>
      <c r="H337" s="290"/>
      <c r="J337" s="289"/>
      <c r="K337" s="289"/>
      <c r="L337" s="289"/>
      <c r="M337" s="286"/>
      <c r="N337" s="287"/>
      <c r="O337" s="287"/>
      <c r="V337" s="288"/>
    </row>
    <row r="338" spans="3:22" ht="15.75" customHeight="1">
      <c r="C338" s="289"/>
      <c r="D338" s="289"/>
      <c r="G338" s="289"/>
      <c r="H338" s="290"/>
      <c r="J338" s="289"/>
      <c r="K338" s="289"/>
      <c r="L338" s="289"/>
      <c r="M338" s="286"/>
      <c r="N338" s="287"/>
      <c r="O338" s="287"/>
      <c r="V338" s="288"/>
    </row>
    <row r="339" spans="3:22" ht="15.75" customHeight="1">
      <c r="C339" s="289"/>
      <c r="D339" s="289"/>
      <c r="G339" s="289"/>
      <c r="H339" s="290"/>
      <c r="J339" s="289"/>
      <c r="K339" s="289"/>
      <c r="L339" s="289"/>
      <c r="M339" s="286"/>
      <c r="N339" s="287"/>
      <c r="O339" s="287"/>
      <c r="V339" s="288"/>
    </row>
    <row r="340" spans="3:22" ht="15.75" customHeight="1">
      <c r="C340" s="289"/>
      <c r="D340" s="289"/>
      <c r="G340" s="289"/>
      <c r="H340" s="290"/>
      <c r="J340" s="289"/>
      <c r="K340" s="289"/>
      <c r="L340" s="289"/>
      <c r="M340" s="286"/>
      <c r="N340" s="287"/>
      <c r="O340" s="287"/>
      <c r="V340" s="288"/>
    </row>
    <row r="341" spans="3:22" ht="15.75" customHeight="1">
      <c r="C341" s="289"/>
      <c r="D341" s="289"/>
      <c r="G341" s="289"/>
      <c r="H341" s="290"/>
      <c r="J341" s="289"/>
      <c r="K341" s="289"/>
      <c r="L341" s="289"/>
      <c r="M341" s="286"/>
      <c r="N341" s="287"/>
      <c r="O341" s="287"/>
      <c r="V341" s="288"/>
    </row>
    <row r="342" spans="3:22" ht="15.75" customHeight="1">
      <c r="C342" s="289"/>
      <c r="D342" s="289"/>
      <c r="G342" s="289"/>
      <c r="H342" s="290"/>
      <c r="J342" s="289"/>
      <c r="K342" s="289"/>
      <c r="L342" s="289"/>
      <c r="M342" s="286"/>
      <c r="N342" s="287"/>
      <c r="O342" s="287"/>
      <c r="V342" s="288"/>
    </row>
    <row r="343" spans="3:22" ht="15.75" customHeight="1">
      <c r="C343" s="289"/>
      <c r="D343" s="289"/>
      <c r="G343" s="289"/>
      <c r="H343" s="290"/>
      <c r="J343" s="289"/>
      <c r="K343" s="289"/>
      <c r="L343" s="289"/>
      <c r="M343" s="286"/>
      <c r="N343" s="287"/>
      <c r="O343" s="287"/>
      <c r="V343" s="288"/>
    </row>
    <row r="344" spans="3:22" ht="15.75" customHeight="1">
      <c r="C344" s="289"/>
      <c r="D344" s="289"/>
      <c r="G344" s="289"/>
      <c r="H344" s="290"/>
      <c r="J344" s="289"/>
      <c r="K344" s="289"/>
      <c r="L344" s="289"/>
      <c r="M344" s="286"/>
      <c r="N344" s="287"/>
      <c r="O344" s="287"/>
      <c r="V344" s="288"/>
    </row>
    <row r="345" spans="3:22" ht="15.75" customHeight="1">
      <c r="C345" s="289"/>
      <c r="D345" s="289"/>
      <c r="G345" s="289"/>
      <c r="H345" s="290"/>
      <c r="J345" s="289"/>
      <c r="K345" s="289"/>
      <c r="L345" s="289"/>
      <c r="M345" s="286"/>
      <c r="N345" s="287"/>
      <c r="O345" s="287"/>
      <c r="V345" s="288"/>
    </row>
    <row r="346" spans="3:22" ht="15.75" customHeight="1">
      <c r="C346" s="289"/>
      <c r="D346" s="289"/>
      <c r="G346" s="289"/>
      <c r="H346" s="290"/>
      <c r="J346" s="289"/>
      <c r="K346" s="289"/>
      <c r="L346" s="289"/>
      <c r="M346" s="286"/>
      <c r="N346" s="287"/>
      <c r="O346" s="287"/>
      <c r="V346" s="288"/>
    </row>
    <row r="347" spans="3:22" ht="15.75" customHeight="1">
      <c r="C347" s="289"/>
      <c r="D347" s="289"/>
      <c r="G347" s="289"/>
      <c r="H347" s="290"/>
      <c r="J347" s="289"/>
      <c r="K347" s="289"/>
      <c r="L347" s="289"/>
      <c r="M347" s="286"/>
      <c r="N347" s="287"/>
      <c r="O347" s="287"/>
      <c r="V347" s="288"/>
    </row>
    <row r="348" spans="3:22" ht="15.75" customHeight="1">
      <c r="C348" s="289"/>
      <c r="D348" s="289"/>
      <c r="G348" s="289"/>
      <c r="H348" s="290"/>
      <c r="J348" s="289"/>
      <c r="K348" s="289"/>
      <c r="L348" s="289"/>
      <c r="M348" s="286"/>
      <c r="N348" s="287"/>
      <c r="O348" s="287"/>
      <c r="V348" s="288"/>
    </row>
    <row r="349" spans="3:22" ht="15.75" customHeight="1">
      <c r="C349" s="289"/>
      <c r="D349" s="289"/>
      <c r="G349" s="289"/>
      <c r="H349" s="290"/>
      <c r="J349" s="289"/>
      <c r="K349" s="289"/>
      <c r="L349" s="289"/>
      <c r="M349" s="286"/>
      <c r="N349" s="287"/>
      <c r="O349" s="287"/>
      <c r="V349" s="288"/>
    </row>
    <row r="350" spans="3:22" ht="15.75" customHeight="1">
      <c r="C350" s="289"/>
      <c r="D350" s="289"/>
      <c r="G350" s="289"/>
      <c r="H350" s="290"/>
      <c r="J350" s="289"/>
      <c r="K350" s="289"/>
      <c r="L350" s="289"/>
      <c r="M350" s="286"/>
      <c r="N350" s="287"/>
      <c r="O350" s="287"/>
      <c r="V350" s="288"/>
    </row>
    <row r="351" spans="3:22" ht="15.75" customHeight="1">
      <c r="C351" s="289"/>
      <c r="D351" s="289"/>
      <c r="G351" s="289"/>
      <c r="H351" s="290"/>
      <c r="J351" s="289"/>
      <c r="K351" s="289"/>
      <c r="L351" s="289"/>
      <c r="M351" s="286"/>
      <c r="N351" s="287"/>
      <c r="O351" s="287"/>
      <c r="V351" s="288"/>
    </row>
    <row r="352" spans="3:22" ht="15.75" customHeight="1">
      <c r="C352" s="289"/>
      <c r="D352" s="289"/>
      <c r="G352" s="289"/>
      <c r="H352" s="290"/>
      <c r="J352" s="289"/>
      <c r="K352" s="289"/>
      <c r="L352" s="289"/>
      <c r="M352" s="286"/>
      <c r="N352" s="287"/>
      <c r="O352" s="287"/>
      <c r="V352" s="288"/>
    </row>
    <row r="353" spans="3:22" ht="15.75" customHeight="1">
      <c r="C353" s="289"/>
      <c r="D353" s="289"/>
      <c r="G353" s="289"/>
      <c r="H353" s="290"/>
      <c r="J353" s="289"/>
      <c r="K353" s="289"/>
      <c r="L353" s="289"/>
      <c r="M353" s="286"/>
      <c r="N353" s="287"/>
      <c r="O353" s="287"/>
      <c r="V353" s="288"/>
    </row>
    <row r="354" spans="3:22" ht="15.75" customHeight="1">
      <c r="C354" s="289"/>
      <c r="D354" s="289"/>
      <c r="G354" s="289"/>
      <c r="H354" s="290"/>
      <c r="J354" s="289"/>
      <c r="K354" s="289"/>
      <c r="L354" s="289"/>
      <c r="M354" s="286"/>
      <c r="N354" s="287"/>
      <c r="O354" s="287"/>
      <c r="V354" s="288"/>
    </row>
    <row r="355" spans="3:22" ht="15.75" customHeight="1">
      <c r="C355" s="289"/>
      <c r="D355" s="289"/>
      <c r="G355" s="289"/>
      <c r="H355" s="290"/>
      <c r="J355" s="289"/>
      <c r="K355" s="289"/>
      <c r="L355" s="289"/>
      <c r="M355" s="286"/>
      <c r="N355" s="287"/>
      <c r="O355" s="287"/>
      <c r="V355" s="288"/>
    </row>
    <row r="356" spans="3:22" ht="15.75" customHeight="1">
      <c r="C356" s="289"/>
      <c r="D356" s="289"/>
      <c r="G356" s="289"/>
      <c r="H356" s="290"/>
      <c r="J356" s="289"/>
      <c r="K356" s="289"/>
      <c r="L356" s="289"/>
      <c r="M356" s="286"/>
      <c r="N356" s="287"/>
      <c r="O356" s="287"/>
      <c r="V356" s="288"/>
    </row>
    <row r="357" spans="3:22" ht="15.75" customHeight="1">
      <c r="C357" s="289"/>
      <c r="D357" s="289"/>
      <c r="G357" s="289"/>
      <c r="H357" s="290"/>
      <c r="J357" s="289"/>
      <c r="K357" s="289"/>
      <c r="L357" s="289"/>
      <c r="M357" s="286"/>
      <c r="N357" s="287"/>
      <c r="O357" s="287"/>
      <c r="V357" s="288"/>
    </row>
    <row r="358" spans="3:22" ht="15.75" customHeight="1">
      <c r="C358" s="289"/>
      <c r="D358" s="289"/>
      <c r="G358" s="289"/>
      <c r="H358" s="290"/>
      <c r="J358" s="289"/>
      <c r="K358" s="289"/>
      <c r="L358" s="289"/>
      <c r="M358" s="286"/>
      <c r="N358" s="287"/>
      <c r="O358" s="287"/>
      <c r="V358" s="288"/>
    </row>
    <row r="359" spans="3:22" ht="15.75" customHeight="1">
      <c r="C359" s="289"/>
      <c r="D359" s="289"/>
      <c r="G359" s="289"/>
      <c r="H359" s="290"/>
      <c r="J359" s="289"/>
      <c r="K359" s="289"/>
      <c r="L359" s="289"/>
      <c r="M359" s="286"/>
      <c r="N359" s="287"/>
      <c r="O359" s="287"/>
      <c r="V359" s="288"/>
    </row>
    <row r="360" spans="3:22" ht="15.75" customHeight="1">
      <c r="C360" s="289"/>
      <c r="D360" s="289"/>
      <c r="G360" s="289"/>
      <c r="H360" s="290"/>
      <c r="J360" s="289"/>
      <c r="K360" s="289"/>
      <c r="L360" s="289"/>
      <c r="M360" s="286"/>
      <c r="N360" s="287"/>
      <c r="O360" s="287"/>
      <c r="V360" s="288"/>
    </row>
    <row r="361" spans="3:22" ht="15.75" customHeight="1">
      <c r="C361" s="289"/>
      <c r="D361" s="289"/>
      <c r="G361" s="289"/>
      <c r="H361" s="290"/>
      <c r="J361" s="289"/>
      <c r="K361" s="289"/>
      <c r="L361" s="289"/>
      <c r="M361" s="286"/>
      <c r="N361" s="287"/>
      <c r="O361" s="287"/>
      <c r="V361" s="288"/>
    </row>
    <row r="362" spans="3:22" ht="15.75" customHeight="1">
      <c r="C362" s="289"/>
      <c r="D362" s="289"/>
      <c r="G362" s="289"/>
      <c r="H362" s="290"/>
      <c r="J362" s="289"/>
      <c r="K362" s="289"/>
      <c r="L362" s="289"/>
      <c r="M362" s="286"/>
      <c r="N362" s="287"/>
      <c r="O362" s="287"/>
      <c r="V362" s="288"/>
    </row>
    <row r="363" spans="3:22" ht="15.75" customHeight="1">
      <c r="C363" s="289"/>
      <c r="D363" s="289"/>
      <c r="G363" s="289"/>
      <c r="H363" s="290"/>
      <c r="J363" s="289"/>
      <c r="K363" s="289"/>
      <c r="L363" s="289"/>
      <c r="M363" s="286"/>
      <c r="N363" s="287"/>
      <c r="O363" s="287"/>
      <c r="V363" s="288"/>
    </row>
    <row r="364" spans="3:22" ht="15.75" customHeight="1">
      <c r="C364" s="289"/>
      <c r="D364" s="289"/>
      <c r="G364" s="289"/>
      <c r="H364" s="290"/>
      <c r="J364" s="289"/>
      <c r="K364" s="289"/>
      <c r="L364" s="289"/>
      <c r="M364" s="286"/>
      <c r="N364" s="287"/>
      <c r="O364" s="287"/>
      <c r="V364" s="288"/>
    </row>
    <row r="365" spans="3:22" ht="15.75" customHeight="1">
      <c r="C365" s="289"/>
      <c r="D365" s="289"/>
      <c r="G365" s="289"/>
      <c r="H365" s="290"/>
      <c r="J365" s="289"/>
      <c r="K365" s="289"/>
      <c r="L365" s="289"/>
      <c r="M365" s="286"/>
      <c r="N365" s="287"/>
      <c r="O365" s="287"/>
      <c r="V365" s="288"/>
    </row>
    <row r="366" spans="3:22" ht="15.75" customHeight="1">
      <c r="C366" s="289"/>
      <c r="D366" s="289"/>
      <c r="G366" s="289"/>
      <c r="H366" s="290"/>
      <c r="J366" s="289"/>
      <c r="K366" s="289"/>
      <c r="L366" s="289"/>
      <c r="M366" s="286"/>
      <c r="N366" s="287"/>
      <c r="O366" s="287"/>
      <c r="V366" s="288"/>
    </row>
    <row r="367" spans="3:22" ht="15.75" customHeight="1">
      <c r="C367" s="289"/>
      <c r="D367" s="289"/>
      <c r="G367" s="289"/>
      <c r="H367" s="290"/>
      <c r="J367" s="289"/>
      <c r="K367" s="289"/>
      <c r="L367" s="289"/>
      <c r="M367" s="286"/>
      <c r="N367" s="287"/>
      <c r="O367" s="287"/>
      <c r="V367" s="288"/>
    </row>
    <row r="368" spans="3:22" ht="15.75" customHeight="1">
      <c r="C368" s="289"/>
      <c r="D368" s="289"/>
      <c r="G368" s="289"/>
      <c r="H368" s="290"/>
      <c r="J368" s="289"/>
      <c r="K368" s="289"/>
      <c r="L368" s="289"/>
      <c r="M368" s="286"/>
      <c r="N368" s="287"/>
      <c r="O368" s="287"/>
      <c r="V368" s="288"/>
    </row>
    <row r="369" spans="3:22" ht="15.75" customHeight="1">
      <c r="C369" s="289"/>
      <c r="D369" s="289"/>
      <c r="G369" s="289"/>
      <c r="H369" s="290"/>
      <c r="J369" s="289"/>
      <c r="K369" s="289"/>
      <c r="L369" s="289"/>
      <c r="M369" s="286"/>
      <c r="N369" s="287"/>
      <c r="O369" s="287"/>
      <c r="V369" s="288"/>
    </row>
    <row r="370" spans="3:22" ht="15.75" customHeight="1">
      <c r="C370" s="289"/>
      <c r="D370" s="289"/>
      <c r="G370" s="289"/>
      <c r="H370" s="290"/>
      <c r="J370" s="289"/>
      <c r="K370" s="289"/>
      <c r="L370" s="289"/>
      <c r="M370" s="286"/>
      <c r="N370" s="287"/>
      <c r="O370" s="287"/>
      <c r="V370" s="288"/>
    </row>
    <row r="371" spans="3:22" ht="15.75" customHeight="1">
      <c r="C371" s="289"/>
      <c r="D371" s="289"/>
      <c r="G371" s="289"/>
      <c r="H371" s="290"/>
      <c r="J371" s="289"/>
      <c r="K371" s="289"/>
      <c r="L371" s="289"/>
      <c r="M371" s="286"/>
      <c r="N371" s="287"/>
      <c r="O371" s="287"/>
      <c r="V371" s="288"/>
    </row>
    <row r="372" spans="3:22" ht="15.75" customHeight="1">
      <c r="C372" s="289"/>
      <c r="D372" s="289"/>
      <c r="G372" s="289"/>
      <c r="H372" s="290"/>
      <c r="J372" s="289"/>
      <c r="K372" s="289"/>
      <c r="L372" s="289"/>
      <c r="M372" s="286"/>
      <c r="N372" s="287"/>
      <c r="O372" s="287"/>
      <c r="V372" s="288"/>
    </row>
    <row r="373" spans="3:22" ht="15.75" customHeight="1">
      <c r="C373" s="289"/>
      <c r="D373" s="289"/>
      <c r="G373" s="289"/>
      <c r="H373" s="290"/>
      <c r="J373" s="289"/>
      <c r="K373" s="289"/>
      <c r="L373" s="289"/>
      <c r="M373" s="286"/>
      <c r="N373" s="287"/>
      <c r="O373" s="287"/>
      <c r="V373" s="288"/>
    </row>
    <row r="374" spans="3:22" ht="15.75" customHeight="1">
      <c r="C374" s="289"/>
      <c r="D374" s="289"/>
      <c r="G374" s="289"/>
      <c r="H374" s="290"/>
      <c r="J374" s="289"/>
      <c r="K374" s="289"/>
      <c r="L374" s="289"/>
      <c r="M374" s="286"/>
      <c r="N374" s="287"/>
      <c r="O374" s="287"/>
      <c r="V374" s="288"/>
    </row>
    <row r="375" spans="3:22" ht="15.75" customHeight="1">
      <c r="C375" s="289"/>
      <c r="D375" s="289"/>
      <c r="G375" s="289"/>
      <c r="H375" s="290"/>
      <c r="J375" s="289"/>
      <c r="K375" s="289"/>
      <c r="L375" s="289"/>
      <c r="M375" s="286"/>
      <c r="N375" s="287"/>
      <c r="O375" s="287"/>
      <c r="V375" s="288"/>
    </row>
    <row r="376" spans="3:22" ht="15.75" customHeight="1">
      <c r="C376" s="289"/>
      <c r="D376" s="289"/>
      <c r="G376" s="289"/>
      <c r="H376" s="290"/>
      <c r="J376" s="289"/>
      <c r="K376" s="289"/>
      <c r="L376" s="289"/>
      <c r="M376" s="286"/>
      <c r="N376" s="287"/>
      <c r="O376" s="287"/>
      <c r="V376" s="288"/>
    </row>
    <row r="377" spans="3:22" ht="15.75" customHeight="1">
      <c r="C377" s="289"/>
      <c r="D377" s="289"/>
      <c r="G377" s="289"/>
      <c r="H377" s="290"/>
      <c r="J377" s="289"/>
      <c r="K377" s="289"/>
      <c r="L377" s="289"/>
      <c r="M377" s="286"/>
      <c r="N377" s="287"/>
      <c r="O377" s="287"/>
      <c r="V377" s="288"/>
    </row>
    <row r="378" spans="3:22" ht="15.75" customHeight="1">
      <c r="C378" s="289"/>
      <c r="D378" s="289"/>
      <c r="G378" s="289"/>
      <c r="H378" s="290"/>
      <c r="J378" s="289"/>
      <c r="K378" s="289"/>
      <c r="L378" s="289"/>
      <c r="M378" s="286"/>
      <c r="N378" s="287"/>
      <c r="O378" s="287"/>
      <c r="V378" s="288"/>
    </row>
    <row r="379" spans="3:22" ht="15.75" customHeight="1">
      <c r="C379" s="289"/>
      <c r="D379" s="289"/>
      <c r="G379" s="289"/>
      <c r="H379" s="290"/>
      <c r="J379" s="289"/>
      <c r="K379" s="289"/>
      <c r="L379" s="289"/>
      <c r="M379" s="286"/>
      <c r="N379" s="287"/>
      <c r="O379" s="287"/>
      <c r="V379" s="288"/>
    </row>
    <row r="380" spans="3:22" ht="15.75" customHeight="1">
      <c r="C380" s="289"/>
      <c r="D380" s="289"/>
      <c r="G380" s="289"/>
      <c r="H380" s="290"/>
      <c r="J380" s="289"/>
      <c r="K380" s="289"/>
      <c r="L380" s="289"/>
      <c r="M380" s="286"/>
      <c r="N380" s="287"/>
      <c r="O380" s="287"/>
      <c r="V380" s="288"/>
    </row>
    <row r="381" spans="3:22" ht="15.75" customHeight="1">
      <c r="C381" s="289"/>
      <c r="D381" s="289"/>
      <c r="G381" s="289"/>
      <c r="H381" s="290"/>
      <c r="J381" s="289"/>
      <c r="K381" s="289"/>
      <c r="L381" s="289"/>
      <c r="M381" s="286"/>
      <c r="N381" s="287"/>
      <c r="O381" s="287"/>
      <c r="V381" s="288"/>
    </row>
    <row r="382" spans="3:22" ht="15.75" customHeight="1">
      <c r="C382" s="289"/>
      <c r="D382" s="289"/>
      <c r="G382" s="289"/>
      <c r="H382" s="290"/>
      <c r="J382" s="289"/>
      <c r="K382" s="289"/>
      <c r="L382" s="289"/>
      <c r="M382" s="286"/>
      <c r="N382" s="287"/>
      <c r="O382" s="287"/>
      <c r="V382" s="288"/>
    </row>
    <row r="383" spans="3:22" ht="15.75" customHeight="1">
      <c r="C383" s="289"/>
      <c r="D383" s="289"/>
      <c r="G383" s="289"/>
      <c r="H383" s="290"/>
      <c r="J383" s="289"/>
      <c r="K383" s="289"/>
      <c r="L383" s="289"/>
      <c r="M383" s="286"/>
      <c r="N383" s="287"/>
      <c r="O383" s="287"/>
      <c r="V383" s="288"/>
    </row>
    <row r="384" spans="3:22" ht="15.75" customHeight="1">
      <c r="C384" s="289"/>
      <c r="D384" s="289"/>
      <c r="G384" s="289"/>
      <c r="H384" s="290"/>
      <c r="J384" s="289"/>
      <c r="K384" s="289"/>
      <c r="L384" s="289"/>
      <c r="M384" s="286"/>
      <c r="N384" s="287"/>
      <c r="O384" s="287"/>
      <c r="V384" s="288"/>
    </row>
    <row r="385" spans="3:22" ht="15.75" customHeight="1">
      <c r="C385" s="289"/>
      <c r="D385" s="289"/>
      <c r="G385" s="289"/>
      <c r="H385" s="290"/>
      <c r="J385" s="289"/>
      <c r="K385" s="289"/>
      <c r="L385" s="289"/>
      <c r="M385" s="286"/>
      <c r="N385" s="287"/>
      <c r="O385" s="287"/>
      <c r="V385" s="288"/>
    </row>
    <row r="386" spans="3:22" ht="15.75" customHeight="1">
      <c r="C386" s="289"/>
      <c r="D386" s="289"/>
      <c r="G386" s="289"/>
      <c r="H386" s="290"/>
      <c r="J386" s="289"/>
      <c r="K386" s="289"/>
      <c r="L386" s="289"/>
      <c r="M386" s="286"/>
      <c r="N386" s="287"/>
      <c r="O386" s="287"/>
      <c r="V386" s="288"/>
    </row>
    <row r="387" spans="3:22" ht="15.75" customHeight="1">
      <c r="C387" s="289"/>
      <c r="D387" s="289"/>
      <c r="G387" s="289"/>
      <c r="H387" s="290"/>
      <c r="J387" s="289"/>
      <c r="K387" s="289"/>
      <c r="L387" s="289"/>
      <c r="M387" s="286"/>
      <c r="N387" s="287"/>
      <c r="O387" s="287"/>
      <c r="V387" s="288"/>
    </row>
    <row r="388" spans="3:22" ht="15.75" customHeight="1">
      <c r="C388" s="289"/>
      <c r="D388" s="289"/>
      <c r="G388" s="289"/>
      <c r="H388" s="290"/>
      <c r="J388" s="289"/>
      <c r="K388" s="289"/>
      <c r="L388" s="289"/>
      <c r="M388" s="286"/>
      <c r="N388" s="287"/>
      <c r="O388" s="287"/>
      <c r="V388" s="288"/>
    </row>
    <row r="389" spans="3:22" ht="15.75" customHeight="1">
      <c r="C389" s="289"/>
      <c r="D389" s="289"/>
      <c r="G389" s="289"/>
      <c r="H389" s="290"/>
      <c r="J389" s="289"/>
      <c r="K389" s="289"/>
      <c r="L389" s="289"/>
      <c r="M389" s="286"/>
      <c r="N389" s="287"/>
      <c r="O389" s="287"/>
      <c r="V389" s="288"/>
    </row>
    <row r="390" spans="3:22" ht="15.75" customHeight="1">
      <c r="C390" s="289"/>
      <c r="D390" s="289"/>
      <c r="G390" s="289"/>
      <c r="H390" s="290"/>
      <c r="J390" s="289"/>
      <c r="K390" s="289"/>
      <c r="L390" s="289"/>
      <c r="M390" s="286"/>
      <c r="N390" s="287"/>
      <c r="O390" s="287"/>
      <c r="V390" s="288"/>
    </row>
    <row r="391" spans="3:22" ht="15.75" customHeight="1">
      <c r="C391" s="289"/>
      <c r="D391" s="289"/>
      <c r="G391" s="289"/>
      <c r="H391" s="290"/>
      <c r="J391" s="289"/>
      <c r="K391" s="289"/>
      <c r="L391" s="289"/>
      <c r="M391" s="286"/>
      <c r="N391" s="287"/>
      <c r="O391" s="287"/>
      <c r="V391" s="288"/>
    </row>
    <row r="392" spans="3:22" ht="15.75" customHeight="1">
      <c r="C392" s="289"/>
      <c r="D392" s="289"/>
      <c r="G392" s="289"/>
      <c r="H392" s="290"/>
      <c r="J392" s="289"/>
      <c r="K392" s="289"/>
      <c r="L392" s="289"/>
      <c r="M392" s="286"/>
      <c r="N392" s="287"/>
      <c r="O392" s="287"/>
      <c r="V392" s="288"/>
    </row>
    <row r="393" spans="3:22" ht="15.75" customHeight="1">
      <c r="C393" s="289"/>
      <c r="D393" s="289"/>
      <c r="G393" s="289"/>
      <c r="H393" s="290"/>
      <c r="J393" s="289"/>
      <c r="K393" s="289"/>
      <c r="L393" s="289"/>
      <c r="M393" s="286"/>
      <c r="N393" s="287"/>
      <c r="O393" s="287"/>
      <c r="V393" s="288"/>
    </row>
    <row r="394" spans="3:22" ht="15.75" customHeight="1">
      <c r="C394" s="289"/>
      <c r="D394" s="289"/>
      <c r="G394" s="289"/>
      <c r="H394" s="290"/>
      <c r="J394" s="289"/>
      <c r="K394" s="289"/>
      <c r="L394" s="289"/>
      <c r="M394" s="286"/>
      <c r="N394" s="287"/>
      <c r="O394" s="287"/>
      <c r="V394" s="288"/>
    </row>
    <row r="395" spans="3:22" ht="15.75" customHeight="1">
      <c r="C395" s="289"/>
      <c r="D395" s="289"/>
      <c r="G395" s="289"/>
      <c r="H395" s="290"/>
      <c r="J395" s="289"/>
      <c r="K395" s="289"/>
      <c r="L395" s="289"/>
      <c r="M395" s="286"/>
      <c r="N395" s="287"/>
      <c r="O395" s="287"/>
      <c r="V395" s="288"/>
    </row>
    <row r="396" spans="3:22" ht="15.75" customHeight="1">
      <c r="C396" s="289"/>
      <c r="D396" s="289"/>
      <c r="G396" s="289"/>
      <c r="H396" s="290"/>
      <c r="J396" s="289"/>
      <c r="K396" s="289"/>
      <c r="L396" s="289"/>
      <c r="M396" s="286"/>
      <c r="N396" s="287"/>
      <c r="O396" s="287"/>
      <c r="V396" s="288"/>
    </row>
    <row r="397" spans="3:22" ht="15.75" customHeight="1">
      <c r="C397" s="289"/>
      <c r="D397" s="289"/>
      <c r="G397" s="289"/>
      <c r="H397" s="290"/>
      <c r="J397" s="289"/>
      <c r="K397" s="289"/>
      <c r="L397" s="289"/>
      <c r="M397" s="286"/>
      <c r="N397" s="287"/>
      <c r="O397" s="287"/>
      <c r="V397" s="288"/>
    </row>
    <row r="398" spans="3:22" ht="15.75" customHeight="1">
      <c r="C398" s="289"/>
      <c r="D398" s="289"/>
      <c r="G398" s="289"/>
      <c r="H398" s="290"/>
      <c r="J398" s="289"/>
      <c r="K398" s="289"/>
      <c r="L398" s="289"/>
      <c r="M398" s="286"/>
      <c r="N398" s="287"/>
      <c r="O398" s="287"/>
      <c r="V398" s="288"/>
    </row>
    <row r="399" spans="3:22" ht="15.75" customHeight="1">
      <c r="C399" s="289"/>
      <c r="D399" s="289"/>
      <c r="G399" s="289"/>
      <c r="H399" s="290"/>
      <c r="J399" s="289"/>
      <c r="K399" s="289"/>
      <c r="L399" s="289"/>
      <c r="M399" s="286"/>
      <c r="N399" s="287"/>
      <c r="O399" s="287"/>
      <c r="V399" s="288"/>
    </row>
    <row r="400" spans="3:22" ht="15.75" customHeight="1">
      <c r="C400" s="289"/>
      <c r="D400" s="289"/>
      <c r="G400" s="289"/>
      <c r="H400" s="290"/>
      <c r="J400" s="289"/>
      <c r="K400" s="289"/>
      <c r="L400" s="289"/>
      <c r="M400" s="286"/>
      <c r="N400" s="287"/>
      <c r="O400" s="287"/>
      <c r="V400" s="288"/>
    </row>
    <row r="401" spans="3:22" ht="15.75" customHeight="1">
      <c r="C401" s="289"/>
      <c r="D401" s="289"/>
      <c r="G401" s="289"/>
      <c r="H401" s="290"/>
      <c r="J401" s="289"/>
      <c r="K401" s="289"/>
      <c r="L401" s="289"/>
      <c r="M401" s="286"/>
      <c r="N401" s="287"/>
      <c r="O401" s="287"/>
      <c r="V401" s="288"/>
    </row>
    <row r="402" spans="3:22" ht="15.75" customHeight="1">
      <c r="C402" s="289"/>
      <c r="D402" s="289"/>
      <c r="G402" s="289"/>
      <c r="H402" s="290"/>
      <c r="J402" s="289"/>
      <c r="K402" s="289"/>
      <c r="L402" s="289"/>
      <c r="M402" s="286"/>
      <c r="N402" s="287"/>
      <c r="O402" s="287"/>
      <c r="V402" s="288"/>
    </row>
    <row r="403" spans="3:22" ht="15.75" customHeight="1">
      <c r="C403" s="289"/>
      <c r="D403" s="289"/>
      <c r="G403" s="289"/>
      <c r="H403" s="290"/>
      <c r="J403" s="289"/>
      <c r="K403" s="289"/>
      <c r="L403" s="289"/>
      <c r="M403" s="286"/>
      <c r="N403" s="287"/>
      <c r="O403" s="287"/>
      <c r="V403" s="288"/>
    </row>
    <row r="404" spans="3:22" ht="15.75" customHeight="1">
      <c r="C404" s="289"/>
      <c r="D404" s="289"/>
      <c r="G404" s="289"/>
      <c r="H404" s="290"/>
      <c r="J404" s="289"/>
      <c r="K404" s="289"/>
      <c r="L404" s="289"/>
      <c r="M404" s="286"/>
      <c r="N404" s="287"/>
      <c r="O404" s="287"/>
      <c r="V404" s="288"/>
    </row>
    <row r="405" spans="3:22" ht="15.75" customHeight="1">
      <c r="C405" s="289"/>
      <c r="D405" s="289"/>
      <c r="G405" s="289"/>
      <c r="H405" s="290"/>
      <c r="J405" s="289"/>
      <c r="K405" s="289"/>
      <c r="L405" s="289"/>
      <c r="M405" s="286"/>
      <c r="N405" s="287"/>
      <c r="O405" s="287"/>
      <c r="V405" s="288"/>
    </row>
    <row r="406" spans="3:22" ht="15.75" customHeight="1">
      <c r="C406" s="289"/>
      <c r="D406" s="289"/>
      <c r="G406" s="289"/>
      <c r="H406" s="290"/>
      <c r="J406" s="289"/>
      <c r="K406" s="289"/>
      <c r="L406" s="289"/>
      <c r="M406" s="286"/>
      <c r="N406" s="287"/>
      <c r="O406" s="287"/>
      <c r="V406" s="288"/>
    </row>
    <row r="407" spans="3:22" ht="15.75" customHeight="1">
      <c r="C407" s="289"/>
      <c r="D407" s="289"/>
      <c r="G407" s="289"/>
      <c r="H407" s="290"/>
      <c r="J407" s="289"/>
      <c r="K407" s="289"/>
      <c r="L407" s="289"/>
      <c r="M407" s="286"/>
      <c r="N407" s="287"/>
      <c r="O407" s="287"/>
      <c r="V407" s="288"/>
    </row>
    <row r="408" spans="3:22" ht="15.75" customHeight="1">
      <c r="C408" s="289"/>
      <c r="D408" s="289"/>
      <c r="G408" s="289"/>
      <c r="H408" s="290"/>
      <c r="J408" s="289"/>
      <c r="K408" s="289"/>
      <c r="L408" s="289"/>
      <c r="M408" s="286"/>
      <c r="N408" s="287"/>
      <c r="O408" s="287"/>
      <c r="V408" s="288"/>
    </row>
    <row r="409" spans="3:22" ht="15.75" customHeight="1">
      <c r="C409" s="289"/>
      <c r="D409" s="289"/>
      <c r="G409" s="289"/>
      <c r="H409" s="290"/>
      <c r="J409" s="289"/>
      <c r="K409" s="289"/>
      <c r="L409" s="289"/>
      <c r="M409" s="286"/>
      <c r="N409" s="287"/>
      <c r="O409" s="287"/>
      <c r="V409" s="288"/>
    </row>
    <row r="410" spans="3:22" ht="15.75" customHeight="1">
      <c r="C410" s="289"/>
      <c r="D410" s="289"/>
      <c r="G410" s="289"/>
      <c r="H410" s="290"/>
      <c r="J410" s="289"/>
      <c r="K410" s="289"/>
      <c r="L410" s="289"/>
      <c r="M410" s="286"/>
      <c r="N410" s="287"/>
      <c r="O410" s="287"/>
      <c r="V410" s="288"/>
    </row>
    <row r="411" spans="3:22" ht="15.75" customHeight="1">
      <c r="C411" s="289"/>
      <c r="D411" s="289"/>
      <c r="G411" s="289"/>
      <c r="H411" s="290"/>
      <c r="J411" s="289"/>
      <c r="K411" s="289"/>
      <c r="L411" s="289"/>
      <c r="M411" s="286"/>
      <c r="N411" s="287"/>
      <c r="O411" s="287"/>
      <c r="V411" s="288"/>
    </row>
    <row r="412" spans="3:22" ht="15.75" customHeight="1">
      <c r="C412" s="289"/>
      <c r="D412" s="289"/>
      <c r="G412" s="289"/>
      <c r="H412" s="290"/>
      <c r="J412" s="289"/>
      <c r="K412" s="289"/>
      <c r="L412" s="289"/>
      <c r="M412" s="286"/>
      <c r="N412" s="287"/>
      <c r="O412" s="287"/>
      <c r="V412" s="288"/>
    </row>
    <row r="413" spans="3:22" ht="15.75" customHeight="1">
      <c r="C413" s="289"/>
      <c r="D413" s="289"/>
      <c r="G413" s="289"/>
      <c r="H413" s="290"/>
      <c r="J413" s="289"/>
      <c r="K413" s="289"/>
      <c r="L413" s="289"/>
      <c r="M413" s="286"/>
      <c r="N413" s="287"/>
      <c r="O413" s="287"/>
      <c r="V413" s="288"/>
    </row>
    <row r="414" spans="3:22" ht="15.75" customHeight="1">
      <c r="C414" s="289"/>
      <c r="D414" s="289"/>
      <c r="G414" s="289"/>
      <c r="H414" s="290"/>
      <c r="J414" s="289"/>
      <c r="K414" s="289"/>
      <c r="L414" s="289"/>
      <c r="M414" s="286"/>
      <c r="N414" s="287"/>
      <c r="O414" s="287"/>
      <c r="V414" s="288"/>
    </row>
    <row r="415" spans="3:22" ht="15.75" customHeight="1">
      <c r="C415" s="289"/>
      <c r="D415" s="289"/>
      <c r="G415" s="289"/>
      <c r="H415" s="290"/>
      <c r="J415" s="289"/>
      <c r="K415" s="289"/>
      <c r="L415" s="289"/>
      <c r="M415" s="286"/>
      <c r="N415" s="287"/>
      <c r="O415" s="287"/>
      <c r="V415" s="288"/>
    </row>
    <row r="416" spans="3:22" ht="15.75" customHeight="1">
      <c r="C416" s="289"/>
      <c r="D416" s="289"/>
      <c r="G416" s="289"/>
      <c r="H416" s="290"/>
      <c r="J416" s="289"/>
      <c r="K416" s="289"/>
      <c r="L416" s="289"/>
      <c r="M416" s="286"/>
      <c r="N416" s="287"/>
      <c r="O416" s="287"/>
      <c r="V416" s="288"/>
    </row>
    <row r="417" spans="3:22" ht="15.75" customHeight="1">
      <c r="C417" s="289"/>
      <c r="D417" s="289"/>
      <c r="G417" s="289"/>
      <c r="H417" s="290"/>
      <c r="J417" s="289"/>
      <c r="K417" s="289"/>
      <c r="L417" s="289"/>
      <c r="M417" s="286"/>
      <c r="N417" s="287"/>
      <c r="O417" s="287"/>
      <c r="V417" s="288"/>
    </row>
    <row r="418" spans="3:22" ht="15.75" customHeight="1">
      <c r="C418" s="289"/>
      <c r="D418" s="289"/>
      <c r="G418" s="289"/>
      <c r="H418" s="290"/>
      <c r="J418" s="289"/>
      <c r="K418" s="289"/>
      <c r="L418" s="289"/>
      <c r="M418" s="286"/>
      <c r="N418" s="287"/>
      <c r="O418" s="287"/>
      <c r="V418" s="288"/>
    </row>
    <row r="419" spans="3:22" ht="15.75" customHeight="1">
      <c r="C419" s="289"/>
      <c r="D419" s="289"/>
      <c r="G419" s="289"/>
      <c r="H419" s="290"/>
      <c r="J419" s="289"/>
      <c r="K419" s="289"/>
      <c r="L419" s="289"/>
      <c r="M419" s="286"/>
      <c r="N419" s="287"/>
      <c r="O419" s="287"/>
      <c r="V419" s="288"/>
    </row>
    <row r="420" spans="3:22" ht="15.75" customHeight="1">
      <c r="C420" s="289"/>
      <c r="D420" s="289"/>
      <c r="G420" s="289"/>
      <c r="H420" s="290"/>
      <c r="J420" s="289"/>
      <c r="K420" s="289"/>
      <c r="L420" s="289"/>
      <c r="M420" s="286"/>
      <c r="N420" s="287"/>
      <c r="O420" s="287"/>
      <c r="V420" s="288"/>
    </row>
    <row r="421" spans="3:22" ht="15.75" customHeight="1">
      <c r="C421" s="289"/>
      <c r="D421" s="289"/>
      <c r="G421" s="289"/>
      <c r="H421" s="290"/>
      <c r="J421" s="289"/>
      <c r="K421" s="289"/>
      <c r="L421" s="289"/>
      <c r="M421" s="286"/>
      <c r="N421" s="287"/>
      <c r="O421" s="287"/>
      <c r="V421" s="288"/>
    </row>
    <row r="422" spans="3:22" ht="15.75" customHeight="1">
      <c r="C422" s="289"/>
      <c r="D422" s="289"/>
      <c r="G422" s="289"/>
      <c r="H422" s="290"/>
      <c r="J422" s="289"/>
      <c r="K422" s="289"/>
      <c r="L422" s="289"/>
      <c r="M422" s="286"/>
      <c r="N422" s="287"/>
      <c r="O422" s="287"/>
      <c r="V422" s="288"/>
    </row>
    <row r="423" spans="3:22" ht="15.75" customHeight="1">
      <c r="C423" s="289"/>
      <c r="D423" s="289"/>
      <c r="G423" s="289"/>
      <c r="H423" s="290"/>
      <c r="J423" s="289"/>
      <c r="K423" s="289"/>
      <c r="L423" s="289"/>
      <c r="M423" s="286"/>
      <c r="N423" s="287"/>
      <c r="O423" s="287"/>
      <c r="V423" s="288"/>
    </row>
    <row r="424" spans="3:22" ht="15.75" customHeight="1">
      <c r="C424" s="289"/>
      <c r="D424" s="289"/>
      <c r="G424" s="289"/>
      <c r="H424" s="290"/>
      <c r="J424" s="289"/>
      <c r="K424" s="289"/>
      <c r="L424" s="289"/>
      <c r="M424" s="286"/>
      <c r="N424" s="287"/>
      <c r="O424" s="287"/>
      <c r="V424" s="288"/>
    </row>
    <row r="425" spans="3:22" ht="15.75" customHeight="1">
      <c r="C425" s="289"/>
      <c r="D425" s="289"/>
      <c r="G425" s="289"/>
      <c r="H425" s="290"/>
      <c r="J425" s="289"/>
      <c r="K425" s="289"/>
      <c r="L425" s="289"/>
      <c r="M425" s="286"/>
      <c r="N425" s="287"/>
      <c r="O425" s="287"/>
      <c r="V425" s="288"/>
    </row>
    <row r="426" spans="3:22" ht="15.75" customHeight="1">
      <c r="C426" s="289"/>
      <c r="D426" s="289"/>
      <c r="G426" s="289"/>
      <c r="H426" s="290"/>
      <c r="J426" s="289"/>
      <c r="K426" s="289"/>
      <c r="L426" s="289"/>
      <c r="M426" s="286"/>
      <c r="N426" s="287"/>
      <c r="O426" s="287"/>
      <c r="V426" s="288"/>
    </row>
    <row r="427" spans="3:22" ht="15.75" customHeight="1">
      <c r="C427" s="289"/>
      <c r="D427" s="289"/>
      <c r="G427" s="289"/>
      <c r="H427" s="290"/>
      <c r="J427" s="289"/>
      <c r="K427" s="289"/>
      <c r="L427" s="289"/>
      <c r="M427" s="286"/>
      <c r="N427" s="287"/>
      <c r="O427" s="287"/>
      <c r="V427" s="288"/>
    </row>
    <row r="428" spans="3:22" ht="15.75" customHeight="1">
      <c r="C428" s="289"/>
      <c r="D428" s="289"/>
      <c r="G428" s="289"/>
      <c r="H428" s="290"/>
      <c r="J428" s="289"/>
      <c r="K428" s="289"/>
      <c r="L428" s="289"/>
      <c r="M428" s="286"/>
      <c r="N428" s="287"/>
      <c r="O428" s="287"/>
      <c r="V428" s="288"/>
    </row>
    <row r="429" spans="3:22" ht="15.75" customHeight="1">
      <c r="C429" s="289"/>
      <c r="D429" s="289"/>
      <c r="G429" s="289"/>
      <c r="H429" s="290"/>
      <c r="J429" s="289"/>
      <c r="K429" s="289"/>
      <c r="L429" s="289"/>
      <c r="M429" s="286"/>
      <c r="N429" s="287"/>
      <c r="O429" s="287"/>
      <c r="V429" s="288"/>
    </row>
    <row r="430" spans="3:22" ht="15.75" customHeight="1">
      <c r="C430" s="289"/>
      <c r="D430" s="289"/>
      <c r="G430" s="289"/>
      <c r="H430" s="290"/>
      <c r="J430" s="289"/>
      <c r="K430" s="289"/>
      <c r="L430" s="289"/>
      <c r="M430" s="286"/>
      <c r="N430" s="287"/>
      <c r="O430" s="287"/>
      <c r="V430" s="288"/>
    </row>
    <row r="431" spans="3:22" ht="15.75" customHeight="1">
      <c r="C431" s="289"/>
      <c r="D431" s="289"/>
      <c r="G431" s="289"/>
      <c r="H431" s="290"/>
      <c r="J431" s="289"/>
      <c r="K431" s="289"/>
      <c r="L431" s="289"/>
      <c r="M431" s="286"/>
      <c r="N431" s="287"/>
      <c r="O431" s="287"/>
      <c r="V431" s="288"/>
    </row>
    <row r="432" spans="3:22" ht="15.75" customHeight="1">
      <c r="C432" s="289"/>
      <c r="D432" s="289"/>
      <c r="G432" s="289"/>
      <c r="H432" s="290"/>
      <c r="J432" s="289"/>
      <c r="K432" s="289"/>
      <c r="L432" s="289"/>
      <c r="M432" s="286"/>
      <c r="N432" s="287"/>
      <c r="O432" s="287"/>
      <c r="V432" s="288"/>
    </row>
    <row r="433" spans="3:22" ht="15.75" customHeight="1">
      <c r="C433" s="289"/>
      <c r="D433" s="289"/>
      <c r="G433" s="289"/>
      <c r="H433" s="290"/>
      <c r="J433" s="289"/>
      <c r="K433" s="289"/>
      <c r="L433" s="289"/>
      <c r="M433" s="286"/>
      <c r="N433" s="287"/>
      <c r="O433" s="287"/>
      <c r="V433" s="288"/>
    </row>
    <row r="434" spans="3:22" ht="15.75" customHeight="1">
      <c r="C434" s="289"/>
      <c r="D434" s="289"/>
      <c r="G434" s="289"/>
      <c r="H434" s="290"/>
      <c r="J434" s="289"/>
      <c r="K434" s="289"/>
      <c r="L434" s="289"/>
      <c r="M434" s="286"/>
      <c r="N434" s="287"/>
      <c r="O434" s="287"/>
      <c r="V434" s="288"/>
    </row>
    <row r="435" spans="3:22" ht="15.75" customHeight="1">
      <c r="C435" s="289"/>
      <c r="D435" s="289"/>
      <c r="G435" s="289"/>
      <c r="H435" s="290"/>
      <c r="J435" s="289"/>
      <c r="K435" s="289"/>
      <c r="L435" s="289"/>
      <c r="M435" s="286"/>
      <c r="N435" s="287"/>
      <c r="O435" s="287"/>
      <c r="V435" s="288"/>
    </row>
    <row r="436" spans="3:22" ht="15.75" customHeight="1">
      <c r="C436" s="289"/>
      <c r="D436" s="289"/>
      <c r="G436" s="289"/>
      <c r="H436" s="290"/>
      <c r="J436" s="289"/>
      <c r="K436" s="289"/>
      <c r="L436" s="289"/>
      <c r="M436" s="286"/>
      <c r="N436" s="287"/>
      <c r="O436" s="287"/>
      <c r="V436" s="288"/>
    </row>
    <row r="437" spans="3:22" ht="15.75" customHeight="1">
      <c r="C437" s="289"/>
      <c r="D437" s="289"/>
      <c r="G437" s="289"/>
      <c r="H437" s="290"/>
      <c r="J437" s="289"/>
      <c r="K437" s="289"/>
      <c r="L437" s="289"/>
      <c r="M437" s="286"/>
      <c r="N437" s="287"/>
      <c r="O437" s="287"/>
      <c r="V437" s="288"/>
    </row>
    <row r="438" spans="3:22" ht="15.75" customHeight="1">
      <c r="C438" s="289"/>
      <c r="D438" s="289"/>
      <c r="G438" s="289"/>
      <c r="H438" s="290"/>
      <c r="J438" s="289"/>
      <c r="K438" s="289"/>
      <c r="L438" s="289"/>
      <c r="M438" s="286"/>
      <c r="N438" s="287"/>
      <c r="O438" s="287"/>
      <c r="V438" s="288"/>
    </row>
    <row r="439" spans="3:22" ht="15.75" customHeight="1">
      <c r="C439" s="289"/>
      <c r="D439" s="289"/>
      <c r="G439" s="289"/>
      <c r="H439" s="290"/>
      <c r="J439" s="289"/>
      <c r="K439" s="289"/>
      <c r="L439" s="289"/>
      <c r="M439" s="286"/>
      <c r="N439" s="287"/>
      <c r="O439" s="287"/>
      <c r="V439" s="288"/>
    </row>
    <row r="440" spans="3:22" ht="15.75" customHeight="1">
      <c r="C440" s="289"/>
      <c r="D440" s="289"/>
      <c r="G440" s="289"/>
      <c r="H440" s="290"/>
      <c r="J440" s="289"/>
      <c r="K440" s="289"/>
      <c r="L440" s="289"/>
      <c r="M440" s="286"/>
      <c r="N440" s="287"/>
      <c r="O440" s="287"/>
      <c r="V440" s="288"/>
    </row>
    <row r="441" spans="3:22" ht="15.75" customHeight="1">
      <c r="C441" s="289"/>
      <c r="D441" s="289"/>
      <c r="G441" s="289"/>
      <c r="H441" s="290"/>
      <c r="J441" s="289"/>
      <c r="K441" s="289"/>
      <c r="L441" s="289"/>
      <c r="M441" s="286"/>
      <c r="N441" s="287"/>
      <c r="O441" s="287"/>
      <c r="V441" s="288"/>
    </row>
    <row r="442" spans="3:22" ht="15.75" customHeight="1">
      <c r="C442" s="289"/>
      <c r="D442" s="289"/>
      <c r="G442" s="289"/>
      <c r="H442" s="290"/>
      <c r="J442" s="289"/>
      <c r="K442" s="289"/>
      <c r="L442" s="289"/>
      <c r="M442" s="286"/>
      <c r="N442" s="287"/>
      <c r="O442" s="287"/>
      <c r="V442" s="288"/>
    </row>
    <row r="443" spans="3:22" ht="15.75" customHeight="1">
      <c r="C443" s="289"/>
      <c r="D443" s="289"/>
      <c r="G443" s="289"/>
      <c r="H443" s="290"/>
      <c r="J443" s="289"/>
      <c r="K443" s="289"/>
      <c r="L443" s="289"/>
      <c r="M443" s="286"/>
      <c r="N443" s="287"/>
      <c r="O443" s="287"/>
      <c r="V443" s="288"/>
    </row>
    <row r="444" spans="3:22" ht="15.75" customHeight="1">
      <c r="C444" s="289"/>
      <c r="D444" s="289"/>
      <c r="G444" s="289"/>
      <c r="H444" s="290"/>
      <c r="J444" s="289"/>
      <c r="K444" s="289"/>
      <c r="L444" s="289"/>
      <c r="M444" s="286"/>
      <c r="N444" s="287"/>
      <c r="O444" s="287"/>
      <c r="V444" s="288"/>
    </row>
    <row r="445" spans="3:22" ht="15.75" customHeight="1">
      <c r="C445" s="289"/>
      <c r="D445" s="289"/>
      <c r="G445" s="289"/>
      <c r="H445" s="290"/>
      <c r="J445" s="289"/>
      <c r="K445" s="289"/>
      <c r="L445" s="289"/>
      <c r="M445" s="286"/>
      <c r="N445" s="287"/>
      <c r="O445" s="287"/>
      <c r="V445" s="288"/>
    </row>
    <row r="446" spans="3:22" ht="15.75" customHeight="1">
      <c r="C446" s="289"/>
      <c r="D446" s="289"/>
      <c r="G446" s="289"/>
      <c r="H446" s="290"/>
      <c r="J446" s="289"/>
      <c r="K446" s="289"/>
      <c r="L446" s="289"/>
      <c r="M446" s="286"/>
      <c r="N446" s="287"/>
      <c r="O446" s="287"/>
      <c r="V446" s="288"/>
    </row>
    <row r="447" spans="3:22" ht="15.75" customHeight="1">
      <c r="C447" s="289"/>
      <c r="D447" s="289"/>
      <c r="G447" s="289"/>
      <c r="H447" s="290"/>
      <c r="J447" s="289"/>
      <c r="K447" s="289"/>
      <c r="L447" s="289"/>
      <c r="M447" s="286"/>
      <c r="N447" s="287"/>
      <c r="O447" s="287"/>
      <c r="V447" s="288"/>
    </row>
    <row r="448" spans="3:22" ht="15.75" customHeight="1">
      <c r="C448" s="289"/>
      <c r="D448" s="289"/>
      <c r="G448" s="289"/>
      <c r="H448" s="290"/>
      <c r="J448" s="289"/>
      <c r="K448" s="289"/>
      <c r="L448" s="289"/>
      <c r="M448" s="286"/>
      <c r="N448" s="287"/>
      <c r="O448" s="287"/>
      <c r="V448" s="288"/>
    </row>
    <row r="449" spans="3:22" ht="15.75" customHeight="1">
      <c r="C449" s="289"/>
      <c r="D449" s="289"/>
      <c r="G449" s="289"/>
      <c r="H449" s="290"/>
      <c r="J449" s="289"/>
      <c r="K449" s="289"/>
      <c r="L449" s="289"/>
      <c r="M449" s="286"/>
      <c r="N449" s="287"/>
      <c r="O449" s="287"/>
      <c r="V449" s="288"/>
    </row>
    <row r="450" spans="3:22" ht="15.75" customHeight="1">
      <c r="C450" s="289"/>
      <c r="D450" s="289"/>
      <c r="G450" s="289"/>
      <c r="H450" s="290"/>
      <c r="J450" s="289"/>
      <c r="K450" s="289"/>
      <c r="L450" s="289"/>
      <c r="M450" s="286"/>
      <c r="N450" s="287"/>
      <c r="O450" s="287"/>
      <c r="V450" s="288"/>
    </row>
    <row r="451" spans="3:22" ht="15.75" customHeight="1">
      <c r="C451" s="289"/>
      <c r="D451" s="289"/>
      <c r="G451" s="289"/>
      <c r="H451" s="290"/>
      <c r="J451" s="289"/>
      <c r="K451" s="289"/>
      <c r="L451" s="289"/>
      <c r="M451" s="286"/>
      <c r="N451" s="287"/>
      <c r="O451" s="287"/>
      <c r="V451" s="288"/>
    </row>
    <row r="452" spans="3:22" ht="15.75" customHeight="1">
      <c r="C452" s="289"/>
      <c r="D452" s="289"/>
      <c r="G452" s="289"/>
      <c r="H452" s="290"/>
      <c r="J452" s="289"/>
      <c r="K452" s="289"/>
      <c r="L452" s="289"/>
      <c r="M452" s="286"/>
      <c r="N452" s="287"/>
      <c r="O452" s="287"/>
      <c r="V452" s="288"/>
    </row>
    <row r="453" spans="3:22" ht="15.75" customHeight="1">
      <c r="C453" s="289"/>
      <c r="D453" s="289"/>
      <c r="G453" s="289"/>
      <c r="H453" s="290"/>
      <c r="J453" s="289"/>
      <c r="K453" s="289"/>
      <c r="L453" s="289"/>
      <c r="M453" s="286"/>
      <c r="N453" s="287"/>
      <c r="O453" s="287"/>
      <c r="V453" s="288"/>
    </row>
    <row r="454" spans="3:22" ht="15.75" customHeight="1">
      <c r="C454" s="289"/>
      <c r="D454" s="289"/>
      <c r="G454" s="289"/>
      <c r="H454" s="290"/>
      <c r="J454" s="289"/>
      <c r="K454" s="289"/>
      <c r="L454" s="289"/>
      <c r="M454" s="286"/>
      <c r="N454" s="287"/>
      <c r="O454" s="287"/>
      <c r="V454" s="288"/>
    </row>
    <row r="455" spans="3:22" ht="15.75" customHeight="1">
      <c r="C455" s="289"/>
      <c r="D455" s="289"/>
      <c r="G455" s="289"/>
      <c r="H455" s="290"/>
      <c r="J455" s="289"/>
      <c r="K455" s="289"/>
      <c r="L455" s="289"/>
      <c r="M455" s="286"/>
      <c r="N455" s="287"/>
      <c r="O455" s="287"/>
      <c r="V455" s="288"/>
    </row>
    <row r="456" spans="3:22" ht="15.75" customHeight="1">
      <c r="C456" s="289"/>
      <c r="D456" s="289"/>
      <c r="G456" s="289"/>
      <c r="H456" s="290"/>
      <c r="J456" s="289"/>
      <c r="K456" s="289"/>
      <c r="L456" s="289"/>
      <c r="M456" s="286"/>
      <c r="N456" s="287"/>
      <c r="O456" s="287"/>
      <c r="V456" s="288"/>
    </row>
    <row r="457" spans="3:22" ht="15.75" customHeight="1">
      <c r="C457" s="289"/>
      <c r="D457" s="289"/>
      <c r="G457" s="289"/>
      <c r="H457" s="290"/>
      <c r="J457" s="289"/>
      <c r="K457" s="289"/>
      <c r="L457" s="289"/>
      <c r="M457" s="286"/>
      <c r="N457" s="287"/>
      <c r="O457" s="287"/>
      <c r="V457" s="288"/>
    </row>
    <row r="458" spans="3:22" ht="15.75" customHeight="1">
      <c r="C458" s="289"/>
      <c r="D458" s="289"/>
      <c r="G458" s="289"/>
      <c r="H458" s="290"/>
      <c r="J458" s="289"/>
      <c r="K458" s="289"/>
      <c r="L458" s="289"/>
      <c r="M458" s="286"/>
      <c r="N458" s="287"/>
      <c r="O458" s="287"/>
      <c r="V458" s="288"/>
    </row>
    <row r="459" spans="3:22" ht="15.75" customHeight="1">
      <c r="C459" s="289"/>
      <c r="D459" s="289"/>
      <c r="G459" s="289"/>
      <c r="H459" s="290"/>
      <c r="J459" s="289"/>
      <c r="K459" s="289"/>
      <c r="L459" s="289"/>
      <c r="M459" s="286"/>
      <c r="N459" s="287"/>
      <c r="O459" s="287"/>
      <c r="V459" s="288"/>
    </row>
    <row r="460" spans="3:22" ht="15.75" customHeight="1">
      <c r="C460" s="289"/>
      <c r="D460" s="289"/>
      <c r="G460" s="289"/>
      <c r="H460" s="290"/>
      <c r="J460" s="289"/>
      <c r="K460" s="289"/>
      <c r="L460" s="289"/>
      <c r="M460" s="286"/>
      <c r="N460" s="287"/>
      <c r="O460" s="287"/>
      <c r="V460" s="288"/>
    </row>
    <row r="461" spans="3:22" ht="15.75" customHeight="1">
      <c r="C461" s="289"/>
      <c r="D461" s="289"/>
      <c r="G461" s="289"/>
      <c r="H461" s="290"/>
      <c r="J461" s="289"/>
      <c r="K461" s="289"/>
      <c r="L461" s="289"/>
      <c r="M461" s="286"/>
      <c r="N461" s="287"/>
      <c r="O461" s="287"/>
      <c r="V461" s="288"/>
    </row>
    <row r="462" spans="3:22" ht="15.75" customHeight="1">
      <c r="C462" s="289"/>
      <c r="D462" s="289"/>
      <c r="G462" s="289"/>
      <c r="H462" s="290"/>
      <c r="J462" s="289"/>
      <c r="K462" s="289"/>
      <c r="L462" s="289"/>
      <c r="M462" s="286"/>
      <c r="N462" s="287"/>
      <c r="O462" s="287"/>
      <c r="V462" s="288"/>
    </row>
    <row r="463" spans="3:22" ht="15.75" customHeight="1">
      <c r="C463" s="289"/>
      <c r="D463" s="289"/>
      <c r="G463" s="289"/>
      <c r="H463" s="290"/>
      <c r="J463" s="289"/>
      <c r="K463" s="289"/>
      <c r="L463" s="289"/>
      <c r="M463" s="286"/>
      <c r="N463" s="287"/>
      <c r="O463" s="287"/>
      <c r="V463" s="288"/>
    </row>
    <row r="464" spans="3:22" ht="15.75" customHeight="1">
      <c r="C464" s="289"/>
      <c r="D464" s="289"/>
      <c r="G464" s="289"/>
      <c r="H464" s="290"/>
      <c r="J464" s="289"/>
      <c r="K464" s="289"/>
      <c r="L464" s="289"/>
      <c r="M464" s="286"/>
      <c r="N464" s="287"/>
      <c r="O464" s="287"/>
      <c r="V464" s="288"/>
    </row>
    <row r="465" spans="3:22" ht="15.75" customHeight="1">
      <c r="C465" s="289"/>
      <c r="D465" s="289"/>
      <c r="G465" s="289"/>
      <c r="H465" s="290"/>
      <c r="J465" s="289"/>
      <c r="K465" s="289"/>
      <c r="L465" s="289"/>
      <c r="M465" s="286"/>
      <c r="N465" s="287"/>
      <c r="O465" s="287"/>
      <c r="V465" s="288"/>
    </row>
    <row r="466" spans="3:22" ht="15.75" customHeight="1">
      <c r="C466" s="289"/>
      <c r="D466" s="289"/>
      <c r="G466" s="289"/>
      <c r="H466" s="290"/>
      <c r="J466" s="289"/>
      <c r="K466" s="289"/>
      <c r="L466" s="289"/>
      <c r="M466" s="286"/>
      <c r="N466" s="287"/>
      <c r="O466" s="287"/>
      <c r="V466" s="288"/>
    </row>
    <row r="467" spans="3:22" ht="15.75" customHeight="1">
      <c r="C467" s="289"/>
      <c r="D467" s="289"/>
      <c r="G467" s="289"/>
      <c r="H467" s="290"/>
      <c r="J467" s="289"/>
      <c r="K467" s="289"/>
      <c r="L467" s="289"/>
      <c r="M467" s="286"/>
      <c r="N467" s="287"/>
      <c r="O467" s="287"/>
      <c r="V467" s="288"/>
    </row>
    <row r="468" spans="3:22" ht="15.75" customHeight="1">
      <c r="C468" s="289"/>
      <c r="D468" s="289"/>
      <c r="G468" s="289"/>
      <c r="H468" s="290"/>
      <c r="J468" s="289"/>
      <c r="K468" s="289"/>
      <c r="L468" s="289"/>
      <c r="M468" s="286"/>
      <c r="N468" s="287"/>
      <c r="O468" s="287"/>
      <c r="V468" s="288"/>
    </row>
    <row r="469" spans="3:22" ht="15.75" customHeight="1">
      <c r="C469" s="289"/>
      <c r="D469" s="289"/>
      <c r="G469" s="289"/>
      <c r="H469" s="290"/>
      <c r="J469" s="289"/>
      <c r="K469" s="289"/>
      <c r="L469" s="289"/>
      <c r="M469" s="286"/>
      <c r="N469" s="287"/>
      <c r="O469" s="287"/>
      <c r="V469" s="288"/>
    </row>
    <row r="470" spans="3:22" ht="15.75" customHeight="1">
      <c r="C470" s="289"/>
      <c r="D470" s="289"/>
      <c r="G470" s="289"/>
      <c r="H470" s="290"/>
      <c r="J470" s="289"/>
      <c r="K470" s="289"/>
      <c r="L470" s="289"/>
      <c r="M470" s="286"/>
      <c r="N470" s="287"/>
      <c r="O470" s="287"/>
      <c r="V470" s="288"/>
    </row>
    <row r="471" spans="3:22" ht="15.75" customHeight="1">
      <c r="C471" s="289"/>
      <c r="D471" s="289"/>
      <c r="G471" s="289"/>
      <c r="H471" s="290"/>
      <c r="J471" s="289"/>
      <c r="K471" s="289"/>
      <c r="L471" s="289"/>
      <c r="M471" s="286"/>
      <c r="N471" s="287"/>
      <c r="O471" s="287"/>
      <c r="V471" s="288"/>
    </row>
    <row r="472" spans="3:22" ht="15.75" customHeight="1">
      <c r="C472" s="289"/>
      <c r="D472" s="289"/>
      <c r="G472" s="289"/>
      <c r="H472" s="290"/>
      <c r="J472" s="289"/>
      <c r="K472" s="289"/>
      <c r="L472" s="289"/>
      <c r="M472" s="286"/>
      <c r="N472" s="287"/>
      <c r="O472" s="287"/>
      <c r="V472" s="288"/>
    </row>
    <row r="473" spans="3:22" ht="15.75" customHeight="1">
      <c r="C473" s="289"/>
      <c r="D473" s="289"/>
      <c r="G473" s="289"/>
      <c r="H473" s="290"/>
      <c r="J473" s="289"/>
      <c r="K473" s="289"/>
      <c r="L473" s="289"/>
      <c r="M473" s="286"/>
      <c r="N473" s="287"/>
      <c r="O473" s="287"/>
      <c r="V473" s="288"/>
    </row>
    <row r="474" spans="3:22" ht="15.75" customHeight="1">
      <c r="C474" s="289"/>
      <c r="D474" s="289"/>
      <c r="G474" s="289"/>
      <c r="H474" s="290"/>
      <c r="J474" s="289"/>
      <c r="K474" s="289"/>
      <c r="L474" s="289"/>
      <c r="M474" s="286"/>
      <c r="N474" s="287"/>
      <c r="O474" s="287"/>
      <c r="V474" s="288"/>
    </row>
    <row r="475" spans="3:22" ht="15.75" customHeight="1">
      <c r="C475" s="289"/>
      <c r="D475" s="289"/>
      <c r="G475" s="289"/>
      <c r="H475" s="290"/>
      <c r="J475" s="289"/>
      <c r="K475" s="289"/>
      <c r="L475" s="289"/>
      <c r="M475" s="286"/>
      <c r="N475" s="287"/>
      <c r="O475" s="287"/>
      <c r="V475" s="288"/>
    </row>
    <row r="476" spans="3:22" ht="15.75" customHeight="1">
      <c r="C476" s="289"/>
      <c r="D476" s="289"/>
      <c r="G476" s="289"/>
      <c r="H476" s="290"/>
      <c r="J476" s="289"/>
      <c r="K476" s="289"/>
      <c r="L476" s="289"/>
      <c r="M476" s="286"/>
      <c r="N476" s="287"/>
      <c r="O476" s="287"/>
      <c r="V476" s="288"/>
    </row>
    <row r="477" spans="3:22" ht="15.75" customHeight="1">
      <c r="C477" s="289"/>
      <c r="D477" s="289"/>
      <c r="G477" s="289"/>
      <c r="H477" s="290"/>
      <c r="J477" s="289"/>
      <c r="K477" s="289"/>
      <c r="L477" s="289"/>
      <c r="M477" s="286"/>
      <c r="N477" s="287"/>
      <c r="O477" s="287"/>
      <c r="V477" s="288"/>
    </row>
    <row r="478" spans="3:22" ht="15.75" customHeight="1">
      <c r="C478" s="289"/>
      <c r="D478" s="289"/>
      <c r="G478" s="289"/>
      <c r="H478" s="290"/>
      <c r="J478" s="289"/>
      <c r="K478" s="289"/>
      <c r="L478" s="289"/>
      <c r="M478" s="286"/>
      <c r="N478" s="287"/>
      <c r="O478" s="287"/>
      <c r="V478" s="288"/>
    </row>
    <row r="479" spans="3:22" ht="15.75" customHeight="1">
      <c r="C479" s="289"/>
      <c r="D479" s="289"/>
      <c r="G479" s="289"/>
      <c r="H479" s="290"/>
      <c r="J479" s="289"/>
      <c r="K479" s="289"/>
      <c r="L479" s="289"/>
      <c r="M479" s="286"/>
      <c r="N479" s="287"/>
      <c r="O479" s="287"/>
      <c r="V479" s="288"/>
    </row>
    <row r="480" spans="3:22" ht="15.75" customHeight="1">
      <c r="C480" s="289"/>
      <c r="D480" s="289"/>
      <c r="G480" s="289"/>
      <c r="H480" s="290"/>
      <c r="J480" s="289"/>
      <c r="K480" s="289"/>
      <c r="L480" s="289"/>
      <c r="M480" s="286"/>
      <c r="N480" s="287"/>
      <c r="O480" s="287"/>
      <c r="V480" s="288"/>
    </row>
    <row r="481" spans="3:22" ht="15.75" customHeight="1">
      <c r="C481" s="289"/>
      <c r="D481" s="289"/>
      <c r="G481" s="289"/>
      <c r="H481" s="290"/>
      <c r="J481" s="289"/>
      <c r="K481" s="289"/>
      <c r="L481" s="289"/>
      <c r="M481" s="286"/>
      <c r="N481" s="287"/>
      <c r="O481" s="287"/>
      <c r="V481" s="288"/>
    </row>
    <row r="482" spans="3:22" ht="15.75" customHeight="1">
      <c r="C482" s="289"/>
      <c r="D482" s="289"/>
      <c r="G482" s="289"/>
      <c r="H482" s="290"/>
      <c r="J482" s="289"/>
      <c r="K482" s="289"/>
      <c r="L482" s="289"/>
      <c r="M482" s="286"/>
      <c r="N482" s="287"/>
      <c r="O482" s="287"/>
      <c r="V482" s="288"/>
    </row>
    <row r="483" spans="3:22" ht="15.75" customHeight="1">
      <c r="C483" s="289"/>
      <c r="D483" s="289"/>
      <c r="G483" s="289"/>
      <c r="H483" s="290"/>
      <c r="J483" s="289"/>
      <c r="K483" s="289"/>
      <c r="L483" s="289"/>
      <c r="M483" s="286"/>
      <c r="N483" s="287"/>
      <c r="O483" s="287"/>
      <c r="V483" s="288"/>
    </row>
    <row r="484" spans="3:22" ht="15.75" customHeight="1">
      <c r="C484" s="289"/>
      <c r="D484" s="289"/>
      <c r="G484" s="289"/>
      <c r="H484" s="290"/>
      <c r="J484" s="289"/>
      <c r="K484" s="289"/>
      <c r="L484" s="289"/>
      <c r="M484" s="286"/>
      <c r="N484" s="287"/>
      <c r="O484" s="287"/>
      <c r="V484" s="288"/>
    </row>
    <row r="485" spans="3:22" ht="15.75" customHeight="1">
      <c r="C485" s="289"/>
      <c r="D485" s="289"/>
      <c r="G485" s="289"/>
      <c r="H485" s="290"/>
      <c r="J485" s="289"/>
      <c r="K485" s="289"/>
      <c r="L485" s="289"/>
      <c r="M485" s="286"/>
      <c r="N485" s="287"/>
      <c r="O485" s="287"/>
      <c r="V485" s="288"/>
    </row>
    <row r="486" spans="3:22" ht="15.75" customHeight="1">
      <c r="C486" s="289"/>
      <c r="D486" s="289"/>
      <c r="G486" s="289"/>
      <c r="H486" s="290"/>
      <c r="J486" s="289"/>
      <c r="K486" s="289"/>
      <c r="L486" s="289"/>
      <c r="M486" s="286"/>
      <c r="N486" s="287"/>
      <c r="O486" s="287"/>
      <c r="V486" s="288"/>
    </row>
    <row r="487" spans="3:22" ht="15.75" customHeight="1">
      <c r="C487" s="289"/>
      <c r="D487" s="289"/>
      <c r="G487" s="289"/>
      <c r="H487" s="290"/>
      <c r="J487" s="289"/>
      <c r="K487" s="289"/>
      <c r="L487" s="289"/>
      <c r="M487" s="286"/>
      <c r="N487" s="287"/>
      <c r="O487" s="287"/>
      <c r="V487" s="288"/>
    </row>
    <row r="488" spans="3:22" ht="15.75" customHeight="1">
      <c r="C488" s="289"/>
      <c r="D488" s="289"/>
      <c r="G488" s="289"/>
      <c r="H488" s="290"/>
      <c r="J488" s="289"/>
      <c r="K488" s="289"/>
      <c r="L488" s="289"/>
      <c r="M488" s="286"/>
      <c r="N488" s="287"/>
      <c r="O488" s="287"/>
      <c r="V488" s="288"/>
    </row>
    <row r="489" spans="3:22" ht="15.75" customHeight="1">
      <c r="C489" s="289"/>
      <c r="D489" s="289"/>
      <c r="G489" s="289"/>
      <c r="H489" s="290"/>
      <c r="J489" s="289"/>
      <c r="K489" s="289"/>
      <c r="L489" s="289"/>
      <c r="M489" s="286"/>
      <c r="N489" s="287"/>
      <c r="O489" s="287"/>
      <c r="V489" s="288"/>
    </row>
    <row r="490" spans="3:22" ht="15.75" customHeight="1">
      <c r="C490" s="289"/>
      <c r="D490" s="289"/>
      <c r="G490" s="289"/>
      <c r="H490" s="290"/>
      <c r="J490" s="289"/>
      <c r="K490" s="289"/>
      <c r="L490" s="289"/>
      <c r="M490" s="286"/>
      <c r="N490" s="287"/>
      <c r="O490" s="287"/>
      <c r="V490" s="288"/>
    </row>
    <row r="491" spans="3:22" ht="15.75" customHeight="1">
      <c r="C491" s="289"/>
      <c r="D491" s="289"/>
      <c r="G491" s="289"/>
      <c r="H491" s="290"/>
      <c r="J491" s="289"/>
      <c r="K491" s="289"/>
      <c r="L491" s="289"/>
      <c r="M491" s="286"/>
      <c r="N491" s="287"/>
      <c r="O491" s="287"/>
      <c r="V491" s="288"/>
    </row>
    <row r="492" spans="3:22" ht="15.75" customHeight="1">
      <c r="C492" s="289"/>
      <c r="D492" s="289"/>
      <c r="G492" s="289"/>
      <c r="H492" s="290"/>
      <c r="J492" s="289"/>
      <c r="K492" s="289"/>
      <c r="L492" s="289"/>
      <c r="M492" s="286"/>
      <c r="N492" s="287"/>
      <c r="O492" s="287"/>
      <c r="V492" s="288"/>
    </row>
    <row r="493" spans="3:22" ht="15.75" customHeight="1">
      <c r="C493" s="289"/>
      <c r="D493" s="289"/>
      <c r="G493" s="289"/>
      <c r="H493" s="290"/>
      <c r="J493" s="289"/>
      <c r="K493" s="289"/>
      <c r="L493" s="289"/>
      <c r="M493" s="286"/>
      <c r="N493" s="287"/>
      <c r="O493" s="287"/>
      <c r="V493" s="288"/>
    </row>
    <row r="494" spans="3:22" ht="15.75" customHeight="1">
      <c r="C494" s="289"/>
      <c r="D494" s="289"/>
      <c r="G494" s="289"/>
      <c r="H494" s="290"/>
      <c r="J494" s="289"/>
      <c r="K494" s="289"/>
      <c r="L494" s="289"/>
      <c r="M494" s="286"/>
      <c r="N494" s="287"/>
      <c r="O494" s="287"/>
      <c r="V494" s="288"/>
    </row>
    <row r="495" spans="3:22" ht="15.75" customHeight="1">
      <c r="C495" s="289"/>
      <c r="D495" s="289"/>
      <c r="G495" s="289"/>
      <c r="H495" s="290"/>
      <c r="J495" s="289"/>
      <c r="K495" s="289"/>
      <c r="L495" s="289"/>
      <c r="M495" s="286"/>
      <c r="N495" s="287"/>
      <c r="O495" s="287"/>
      <c r="V495" s="288"/>
    </row>
    <row r="496" spans="3:22" ht="15.75" customHeight="1">
      <c r="C496" s="289"/>
      <c r="D496" s="289"/>
      <c r="G496" s="289"/>
      <c r="H496" s="290"/>
      <c r="J496" s="289"/>
      <c r="K496" s="289"/>
      <c r="L496" s="289"/>
      <c r="M496" s="286"/>
      <c r="N496" s="287"/>
      <c r="O496" s="287"/>
      <c r="V496" s="288"/>
    </row>
    <row r="497" spans="3:22" ht="15.75" customHeight="1">
      <c r="C497" s="289"/>
      <c r="D497" s="289"/>
      <c r="G497" s="289"/>
      <c r="H497" s="290"/>
      <c r="J497" s="289"/>
      <c r="K497" s="289"/>
      <c r="L497" s="289"/>
      <c r="M497" s="286"/>
      <c r="N497" s="287"/>
      <c r="O497" s="287"/>
      <c r="V497" s="288"/>
    </row>
    <row r="498" spans="3:22" ht="15.75" customHeight="1">
      <c r="C498" s="289"/>
      <c r="D498" s="289"/>
      <c r="G498" s="289"/>
      <c r="H498" s="290"/>
      <c r="J498" s="289"/>
      <c r="K498" s="289"/>
      <c r="L498" s="289"/>
      <c r="M498" s="286"/>
      <c r="N498" s="287"/>
      <c r="O498" s="287"/>
      <c r="V498" s="288"/>
    </row>
    <row r="499" spans="3:22" ht="15.75" customHeight="1">
      <c r="C499" s="289"/>
      <c r="D499" s="289"/>
      <c r="G499" s="289"/>
      <c r="H499" s="290"/>
      <c r="J499" s="289"/>
      <c r="K499" s="289"/>
      <c r="L499" s="289"/>
      <c r="M499" s="286"/>
      <c r="N499" s="287"/>
      <c r="O499" s="287"/>
      <c r="V499" s="288"/>
    </row>
    <row r="500" spans="3:22" ht="15.75" customHeight="1">
      <c r="C500" s="289"/>
      <c r="D500" s="289"/>
      <c r="G500" s="289"/>
      <c r="H500" s="290"/>
      <c r="J500" s="289"/>
      <c r="K500" s="289"/>
      <c r="L500" s="289"/>
      <c r="M500" s="286"/>
      <c r="N500" s="287"/>
      <c r="O500" s="287"/>
      <c r="V500" s="288"/>
    </row>
    <row r="501" spans="3:22" ht="15.75" customHeight="1">
      <c r="C501" s="289"/>
      <c r="D501" s="289"/>
      <c r="G501" s="289"/>
      <c r="H501" s="290"/>
      <c r="J501" s="289"/>
      <c r="K501" s="289"/>
      <c r="L501" s="289"/>
      <c r="M501" s="286"/>
      <c r="N501" s="287"/>
      <c r="O501" s="287"/>
      <c r="V501" s="288"/>
    </row>
    <row r="502" spans="3:22" ht="15.75" customHeight="1">
      <c r="C502" s="289"/>
      <c r="D502" s="289"/>
      <c r="G502" s="289"/>
      <c r="H502" s="290"/>
      <c r="J502" s="289"/>
      <c r="K502" s="289"/>
      <c r="L502" s="289"/>
      <c r="M502" s="286"/>
      <c r="N502" s="287"/>
      <c r="O502" s="287"/>
      <c r="V502" s="288"/>
    </row>
    <row r="503" spans="3:22" ht="15.75" customHeight="1">
      <c r="C503" s="289"/>
      <c r="D503" s="289"/>
      <c r="G503" s="289"/>
      <c r="H503" s="290"/>
      <c r="J503" s="289"/>
      <c r="K503" s="289"/>
      <c r="L503" s="289"/>
      <c r="M503" s="286"/>
      <c r="N503" s="287"/>
      <c r="O503" s="287"/>
      <c r="V503" s="288"/>
    </row>
    <row r="504" spans="3:22" ht="15.75" customHeight="1">
      <c r="C504" s="289"/>
      <c r="D504" s="289"/>
      <c r="G504" s="289"/>
      <c r="H504" s="290"/>
      <c r="J504" s="289"/>
      <c r="K504" s="289"/>
      <c r="L504" s="289"/>
      <c r="M504" s="286"/>
      <c r="N504" s="287"/>
      <c r="O504" s="287"/>
      <c r="V504" s="288"/>
    </row>
    <row r="505" spans="3:22" ht="15.75" customHeight="1">
      <c r="C505" s="289"/>
      <c r="D505" s="289"/>
      <c r="G505" s="289"/>
      <c r="H505" s="290"/>
      <c r="J505" s="289"/>
      <c r="K505" s="289"/>
      <c r="L505" s="289"/>
      <c r="M505" s="286"/>
      <c r="N505" s="287"/>
      <c r="O505" s="287"/>
      <c r="V505" s="288"/>
    </row>
    <row r="506" spans="3:22" ht="15.75" customHeight="1">
      <c r="C506" s="289"/>
      <c r="D506" s="289"/>
      <c r="G506" s="289"/>
      <c r="H506" s="290"/>
      <c r="J506" s="289"/>
      <c r="K506" s="289"/>
      <c r="L506" s="289"/>
      <c r="M506" s="286"/>
      <c r="N506" s="287"/>
      <c r="O506" s="287"/>
      <c r="V506" s="288"/>
    </row>
    <row r="507" spans="3:22" ht="15.75" customHeight="1">
      <c r="C507" s="289"/>
      <c r="D507" s="289"/>
      <c r="G507" s="289"/>
      <c r="H507" s="290"/>
      <c r="J507" s="289"/>
      <c r="K507" s="289"/>
      <c r="L507" s="289"/>
      <c r="M507" s="286"/>
      <c r="N507" s="287"/>
      <c r="O507" s="287"/>
      <c r="V507" s="288"/>
    </row>
    <row r="508" spans="3:22" ht="15.75" customHeight="1">
      <c r="C508" s="289"/>
      <c r="D508" s="289"/>
      <c r="G508" s="289"/>
      <c r="H508" s="290"/>
      <c r="J508" s="289"/>
      <c r="K508" s="289"/>
      <c r="L508" s="289"/>
      <c r="M508" s="286"/>
      <c r="N508" s="287"/>
      <c r="O508" s="287"/>
      <c r="V508" s="288"/>
    </row>
    <row r="509" spans="3:22" ht="15.75" customHeight="1">
      <c r="C509" s="289"/>
      <c r="D509" s="289"/>
      <c r="G509" s="289"/>
      <c r="H509" s="290"/>
      <c r="J509" s="289"/>
      <c r="K509" s="289"/>
      <c r="L509" s="289"/>
      <c r="M509" s="286"/>
      <c r="N509" s="287"/>
      <c r="O509" s="287"/>
      <c r="V509" s="288"/>
    </row>
    <row r="510" spans="3:22" ht="15.75" customHeight="1">
      <c r="C510" s="289"/>
      <c r="D510" s="289"/>
      <c r="G510" s="289"/>
      <c r="H510" s="290"/>
      <c r="J510" s="289"/>
      <c r="K510" s="289"/>
      <c r="L510" s="289"/>
      <c r="M510" s="286"/>
      <c r="N510" s="287"/>
      <c r="O510" s="287"/>
      <c r="V510" s="288"/>
    </row>
    <row r="511" spans="3:22" ht="15.75" customHeight="1">
      <c r="C511" s="289"/>
      <c r="D511" s="289"/>
      <c r="G511" s="289"/>
      <c r="H511" s="290"/>
      <c r="J511" s="289"/>
      <c r="K511" s="289"/>
      <c r="L511" s="289"/>
      <c r="M511" s="286"/>
      <c r="N511" s="287"/>
      <c r="O511" s="287"/>
      <c r="V511" s="288"/>
    </row>
    <row r="512" spans="3:22" ht="15.75" customHeight="1">
      <c r="C512" s="289"/>
      <c r="D512" s="289"/>
      <c r="G512" s="289"/>
      <c r="H512" s="290"/>
      <c r="J512" s="289"/>
      <c r="K512" s="289"/>
      <c r="L512" s="289"/>
      <c r="M512" s="286"/>
      <c r="N512" s="287"/>
      <c r="O512" s="287"/>
      <c r="V512" s="288"/>
    </row>
    <row r="513" spans="3:22" ht="15.75" customHeight="1">
      <c r="C513" s="289"/>
      <c r="D513" s="289"/>
      <c r="G513" s="289"/>
      <c r="H513" s="290"/>
      <c r="J513" s="289"/>
      <c r="K513" s="289"/>
      <c r="L513" s="289"/>
      <c r="M513" s="286"/>
      <c r="N513" s="287"/>
      <c r="O513" s="287"/>
      <c r="V513" s="288"/>
    </row>
    <row r="514" spans="3:22" ht="15.75" customHeight="1">
      <c r="C514" s="289"/>
      <c r="D514" s="289"/>
      <c r="G514" s="289"/>
      <c r="H514" s="290"/>
      <c r="J514" s="289"/>
      <c r="K514" s="289"/>
      <c r="L514" s="289"/>
      <c r="M514" s="286"/>
      <c r="N514" s="287"/>
      <c r="O514" s="287"/>
      <c r="V514" s="288"/>
    </row>
    <row r="515" spans="3:22" ht="15.75" customHeight="1">
      <c r="C515" s="289"/>
      <c r="D515" s="289"/>
      <c r="G515" s="289"/>
      <c r="H515" s="290"/>
      <c r="J515" s="289"/>
      <c r="K515" s="289"/>
      <c r="L515" s="289"/>
      <c r="M515" s="286"/>
      <c r="N515" s="287"/>
      <c r="O515" s="287"/>
      <c r="V515" s="288"/>
    </row>
    <row r="516" spans="3:22" ht="15.75" customHeight="1">
      <c r="C516" s="289"/>
      <c r="D516" s="289"/>
      <c r="G516" s="289"/>
      <c r="H516" s="290"/>
      <c r="J516" s="289"/>
      <c r="K516" s="289"/>
      <c r="L516" s="289"/>
      <c r="M516" s="286"/>
      <c r="N516" s="287"/>
      <c r="O516" s="287"/>
      <c r="V516" s="288"/>
    </row>
    <row r="517" spans="3:22" ht="15.75" customHeight="1">
      <c r="C517" s="289"/>
      <c r="D517" s="289"/>
      <c r="G517" s="289"/>
      <c r="H517" s="290"/>
      <c r="J517" s="289"/>
      <c r="K517" s="289"/>
      <c r="L517" s="289"/>
      <c r="M517" s="286"/>
      <c r="N517" s="287"/>
      <c r="O517" s="287"/>
      <c r="V517" s="288"/>
    </row>
    <row r="518" spans="3:22" ht="15.75" customHeight="1">
      <c r="C518" s="289"/>
      <c r="D518" s="289"/>
      <c r="G518" s="289"/>
      <c r="H518" s="290"/>
      <c r="J518" s="289"/>
      <c r="K518" s="289"/>
      <c r="L518" s="289"/>
      <c r="M518" s="286"/>
      <c r="N518" s="287"/>
      <c r="O518" s="287"/>
      <c r="V518" s="288"/>
    </row>
    <row r="519" spans="3:22" ht="15.75" customHeight="1">
      <c r="C519" s="289"/>
      <c r="D519" s="289"/>
      <c r="G519" s="289"/>
      <c r="H519" s="290"/>
      <c r="J519" s="289"/>
      <c r="K519" s="289"/>
      <c r="L519" s="289"/>
      <c r="M519" s="286"/>
      <c r="N519" s="287"/>
      <c r="O519" s="287"/>
      <c r="V519" s="288"/>
    </row>
    <row r="520" spans="3:22" ht="15.75" customHeight="1">
      <c r="C520" s="289"/>
      <c r="D520" s="289"/>
      <c r="G520" s="289"/>
      <c r="H520" s="290"/>
      <c r="J520" s="289"/>
      <c r="K520" s="289"/>
      <c r="L520" s="289"/>
      <c r="M520" s="286"/>
      <c r="N520" s="287"/>
      <c r="O520" s="287"/>
      <c r="V520" s="288"/>
    </row>
    <row r="521" spans="3:22" ht="15.75" customHeight="1">
      <c r="C521" s="289"/>
      <c r="D521" s="289"/>
      <c r="G521" s="289"/>
      <c r="H521" s="290"/>
      <c r="J521" s="289"/>
      <c r="K521" s="289"/>
      <c r="L521" s="289"/>
      <c r="M521" s="286"/>
      <c r="N521" s="287"/>
      <c r="O521" s="287"/>
      <c r="V521" s="288"/>
    </row>
    <row r="522" spans="3:22" ht="15.75" customHeight="1">
      <c r="C522" s="289"/>
      <c r="D522" s="289"/>
      <c r="G522" s="289"/>
      <c r="H522" s="290"/>
      <c r="J522" s="289"/>
      <c r="K522" s="289"/>
      <c r="L522" s="289"/>
      <c r="M522" s="286"/>
      <c r="N522" s="287"/>
      <c r="O522" s="287"/>
      <c r="V522" s="288"/>
    </row>
    <row r="523" spans="3:22" ht="15.75" customHeight="1">
      <c r="C523" s="289"/>
      <c r="D523" s="289"/>
      <c r="G523" s="289"/>
      <c r="H523" s="290"/>
      <c r="J523" s="289"/>
      <c r="K523" s="289"/>
      <c r="L523" s="289"/>
      <c r="M523" s="286"/>
      <c r="N523" s="287"/>
      <c r="O523" s="287"/>
      <c r="V523" s="288"/>
    </row>
    <row r="524" spans="3:22" ht="15.75" customHeight="1">
      <c r="C524" s="289"/>
      <c r="D524" s="289"/>
      <c r="G524" s="289"/>
      <c r="H524" s="290"/>
      <c r="J524" s="289"/>
      <c r="K524" s="289"/>
      <c r="L524" s="289"/>
      <c r="M524" s="286"/>
      <c r="N524" s="287"/>
      <c r="O524" s="287"/>
      <c r="V524" s="288"/>
    </row>
    <row r="525" spans="3:22" ht="15.75" customHeight="1">
      <c r="C525" s="289"/>
      <c r="D525" s="289"/>
      <c r="G525" s="289"/>
      <c r="H525" s="290"/>
      <c r="J525" s="289"/>
      <c r="K525" s="289"/>
      <c r="L525" s="289"/>
      <c r="M525" s="286"/>
      <c r="N525" s="287"/>
      <c r="O525" s="287"/>
      <c r="V525" s="288"/>
    </row>
    <row r="526" spans="3:22" ht="15.75" customHeight="1">
      <c r="C526" s="289"/>
      <c r="D526" s="289"/>
      <c r="G526" s="289"/>
      <c r="H526" s="290"/>
      <c r="J526" s="289"/>
      <c r="K526" s="289"/>
      <c r="L526" s="289"/>
      <c r="M526" s="286"/>
      <c r="N526" s="287"/>
      <c r="O526" s="287"/>
      <c r="V526" s="288"/>
    </row>
    <row r="527" spans="3:22" ht="15.75" customHeight="1">
      <c r="C527" s="289"/>
      <c r="D527" s="289"/>
      <c r="G527" s="289"/>
      <c r="H527" s="290"/>
      <c r="J527" s="289"/>
      <c r="K527" s="289"/>
      <c r="L527" s="289"/>
      <c r="M527" s="286"/>
      <c r="N527" s="287"/>
      <c r="O527" s="287"/>
      <c r="V527" s="288"/>
    </row>
    <row r="528" spans="3:22" ht="15.75" customHeight="1">
      <c r="C528" s="289"/>
      <c r="D528" s="289"/>
      <c r="G528" s="289"/>
      <c r="H528" s="290"/>
      <c r="J528" s="289"/>
      <c r="K528" s="289"/>
      <c r="L528" s="289"/>
      <c r="M528" s="286"/>
      <c r="N528" s="287"/>
      <c r="O528" s="287"/>
      <c r="V528" s="288"/>
    </row>
    <row r="529" spans="3:22" ht="15.75" customHeight="1">
      <c r="C529" s="289"/>
      <c r="D529" s="289"/>
      <c r="G529" s="289"/>
      <c r="H529" s="290"/>
      <c r="J529" s="289"/>
      <c r="K529" s="289"/>
      <c r="L529" s="289"/>
      <c r="M529" s="286"/>
      <c r="N529" s="287"/>
      <c r="O529" s="287"/>
      <c r="V529" s="288"/>
    </row>
    <row r="530" spans="3:22" ht="15.75" customHeight="1">
      <c r="C530" s="289"/>
      <c r="D530" s="289"/>
      <c r="G530" s="289"/>
      <c r="H530" s="290"/>
      <c r="J530" s="289"/>
      <c r="K530" s="289"/>
      <c r="L530" s="289"/>
      <c r="M530" s="286"/>
      <c r="N530" s="287"/>
      <c r="O530" s="287"/>
      <c r="V530" s="288"/>
    </row>
    <row r="531" spans="3:22" ht="15.75" customHeight="1">
      <c r="C531" s="289"/>
      <c r="D531" s="289"/>
      <c r="G531" s="289"/>
      <c r="H531" s="290"/>
      <c r="J531" s="289"/>
      <c r="K531" s="289"/>
      <c r="L531" s="289"/>
      <c r="M531" s="286"/>
      <c r="N531" s="287"/>
      <c r="O531" s="287"/>
      <c r="V531" s="288"/>
    </row>
    <row r="532" spans="3:22" ht="15.75" customHeight="1">
      <c r="C532" s="289"/>
      <c r="D532" s="289"/>
      <c r="G532" s="289"/>
      <c r="H532" s="290"/>
      <c r="J532" s="289"/>
      <c r="K532" s="289"/>
      <c r="L532" s="289"/>
      <c r="M532" s="286"/>
      <c r="N532" s="287"/>
      <c r="O532" s="287"/>
      <c r="V532" s="288"/>
    </row>
    <row r="533" spans="3:22" ht="15.75" customHeight="1">
      <c r="C533" s="289"/>
      <c r="D533" s="289"/>
      <c r="G533" s="289"/>
      <c r="H533" s="290"/>
      <c r="J533" s="289"/>
      <c r="K533" s="289"/>
      <c r="L533" s="289"/>
      <c r="M533" s="286"/>
      <c r="N533" s="287"/>
      <c r="O533" s="287"/>
      <c r="V533" s="288"/>
    </row>
    <row r="534" spans="3:22" ht="15.75" customHeight="1">
      <c r="C534" s="289"/>
      <c r="D534" s="289"/>
      <c r="G534" s="289"/>
      <c r="H534" s="290"/>
      <c r="J534" s="289"/>
      <c r="K534" s="289"/>
      <c r="L534" s="289"/>
      <c r="M534" s="286"/>
      <c r="N534" s="287"/>
      <c r="O534" s="287"/>
      <c r="V534" s="288"/>
    </row>
    <row r="535" spans="3:22" ht="15.75" customHeight="1">
      <c r="C535" s="289"/>
      <c r="D535" s="289"/>
      <c r="G535" s="289"/>
      <c r="H535" s="290"/>
      <c r="J535" s="289"/>
      <c r="K535" s="289"/>
      <c r="L535" s="289"/>
      <c r="M535" s="286"/>
      <c r="N535" s="287"/>
      <c r="O535" s="287"/>
      <c r="V535" s="288"/>
    </row>
    <row r="536" spans="3:22" ht="15.75" customHeight="1">
      <c r="C536" s="289"/>
      <c r="D536" s="289"/>
      <c r="G536" s="289"/>
      <c r="H536" s="290"/>
      <c r="J536" s="289"/>
      <c r="K536" s="289"/>
      <c r="L536" s="289"/>
      <c r="M536" s="286"/>
      <c r="N536" s="287"/>
      <c r="O536" s="287"/>
      <c r="V536" s="288"/>
    </row>
    <row r="537" spans="3:22" ht="15.75" customHeight="1">
      <c r="C537" s="289"/>
      <c r="D537" s="289"/>
      <c r="G537" s="289"/>
      <c r="H537" s="290"/>
      <c r="J537" s="289"/>
      <c r="K537" s="289"/>
      <c r="L537" s="289"/>
      <c r="M537" s="286"/>
      <c r="N537" s="287"/>
      <c r="O537" s="287"/>
      <c r="V537" s="288"/>
    </row>
    <row r="538" spans="3:22" ht="15.75" customHeight="1">
      <c r="C538" s="289"/>
      <c r="D538" s="289"/>
      <c r="G538" s="289"/>
      <c r="H538" s="290"/>
      <c r="J538" s="289"/>
      <c r="K538" s="289"/>
      <c r="L538" s="289"/>
      <c r="M538" s="286"/>
      <c r="N538" s="287"/>
      <c r="O538" s="287"/>
      <c r="V538" s="288"/>
    </row>
    <row r="539" spans="3:22" ht="15.75" customHeight="1">
      <c r="C539" s="289"/>
      <c r="D539" s="289"/>
      <c r="G539" s="289"/>
      <c r="H539" s="290"/>
      <c r="J539" s="289"/>
      <c r="K539" s="289"/>
      <c r="L539" s="289"/>
      <c r="M539" s="286"/>
      <c r="N539" s="287"/>
      <c r="O539" s="287"/>
      <c r="V539" s="288"/>
    </row>
    <row r="540" spans="3:22" ht="15.75" customHeight="1">
      <c r="C540" s="289"/>
      <c r="D540" s="289"/>
      <c r="G540" s="289"/>
      <c r="H540" s="290"/>
      <c r="J540" s="289"/>
      <c r="K540" s="289"/>
      <c r="L540" s="289"/>
      <c r="M540" s="286"/>
      <c r="N540" s="287"/>
      <c r="O540" s="287"/>
      <c r="V540" s="288"/>
    </row>
    <row r="541" spans="3:22" ht="15.75" customHeight="1">
      <c r="C541" s="289"/>
      <c r="D541" s="289"/>
      <c r="G541" s="289"/>
      <c r="H541" s="290"/>
      <c r="J541" s="289"/>
      <c r="K541" s="289"/>
      <c r="L541" s="289"/>
      <c r="M541" s="286"/>
      <c r="N541" s="287"/>
      <c r="O541" s="287"/>
      <c r="V541" s="288"/>
    </row>
    <row r="542" spans="3:22" ht="15.75" customHeight="1">
      <c r="C542" s="289"/>
      <c r="D542" s="289"/>
      <c r="G542" s="289"/>
      <c r="H542" s="290"/>
      <c r="J542" s="289"/>
      <c r="K542" s="289"/>
      <c r="L542" s="289"/>
      <c r="M542" s="286"/>
      <c r="N542" s="287"/>
      <c r="O542" s="287"/>
      <c r="V542" s="288"/>
    </row>
    <row r="543" spans="3:22" ht="15.75" customHeight="1">
      <c r="C543" s="289"/>
      <c r="D543" s="289"/>
      <c r="G543" s="289"/>
      <c r="H543" s="290"/>
      <c r="J543" s="289"/>
      <c r="K543" s="289"/>
      <c r="L543" s="289"/>
      <c r="M543" s="286"/>
      <c r="N543" s="287"/>
      <c r="O543" s="287"/>
      <c r="V543" s="288"/>
    </row>
    <row r="544" spans="3:22" ht="15.75" customHeight="1">
      <c r="C544" s="289"/>
      <c r="D544" s="289"/>
      <c r="G544" s="289"/>
      <c r="H544" s="290"/>
      <c r="J544" s="289"/>
      <c r="K544" s="289"/>
      <c r="L544" s="289"/>
      <c r="M544" s="286"/>
      <c r="N544" s="287"/>
      <c r="O544" s="287"/>
      <c r="V544" s="288"/>
    </row>
    <row r="545" spans="3:22" ht="15.75" customHeight="1">
      <c r="C545" s="289"/>
      <c r="D545" s="289"/>
      <c r="G545" s="289"/>
      <c r="H545" s="290"/>
      <c r="J545" s="289"/>
      <c r="K545" s="289"/>
      <c r="L545" s="289"/>
      <c r="M545" s="286"/>
      <c r="N545" s="287"/>
      <c r="O545" s="287"/>
      <c r="V545" s="288"/>
    </row>
    <row r="546" spans="3:22" ht="15.75" customHeight="1">
      <c r="C546" s="289"/>
      <c r="D546" s="289"/>
      <c r="G546" s="289"/>
      <c r="H546" s="290"/>
      <c r="J546" s="289"/>
      <c r="K546" s="289"/>
      <c r="L546" s="289"/>
      <c r="M546" s="286"/>
      <c r="N546" s="287"/>
      <c r="O546" s="287"/>
      <c r="V546" s="288"/>
    </row>
    <row r="547" spans="3:22" ht="15.75" customHeight="1">
      <c r="C547" s="289"/>
      <c r="D547" s="289"/>
      <c r="G547" s="289"/>
      <c r="H547" s="290"/>
      <c r="J547" s="289"/>
      <c r="K547" s="289"/>
      <c r="L547" s="289"/>
      <c r="M547" s="286"/>
      <c r="N547" s="287"/>
      <c r="O547" s="287"/>
      <c r="V547" s="288"/>
    </row>
    <row r="548" spans="3:22" ht="15.75" customHeight="1">
      <c r="C548" s="289"/>
      <c r="D548" s="289"/>
      <c r="G548" s="289"/>
      <c r="H548" s="290"/>
      <c r="J548" s="289"/>
      <c r="K548" s="289"/>
      <c r="L548" s="289"/>
      <c r="M548" s="286"/>
      <c r="N548" s="287"/>
      <c r="O548" s="287"/>
      <c r="V548" s="288"/>
    </row>
    <row r="549" spans="3:22" ht="15.75" customHeight="1">
      <c r="C549" s="289"/>
      <c r="D549" s="289"/>
      <c r="G549" s="289"/>
      <c r="H549" s="290"/>
      <c r="J549" s="289"/>
      <c r="K549" s="289"/>
      <c r="L549" s="289"/>
      <c r="M549" s="286"/>
      <c r="N549" s="287"/>
      <c r="O549" s="287"/>
      <c r="V549" s="288"/>
    </row>
    <row r="550" spans="3:22" ht="15.75" customHeight="1">
      <c r="C550" s="289"/>
      <c r="D550" s="289"/>
      <c r="G550" s="289"/>
      <c r="H550" s="290"/>
      <c r="J550" s="289"/>
      <c r="K550" s="289"/>
      <c r="L550" s="289"/>
      <c r="M550" s="286"/>
      <c r="N550" s="287"/>
      <c r="O550" s="287"/>
      <c r="V550" s="288"/>
    </row>
    <row r="551" spans="3:22" ht="15.75" customHeight="1">
      <c r="C551" s="289"/>
      <c r="D551" s="289"/>
      <c r="G551" s="289"/>
      <c r="H551" s="290"/>
      <c r="J551" s="289"/>
      <c r="K551" s="289"/>
      <c r="L551" s="289"/>
      <c r="M551" s="286"/>
      <c r="N551" s="287"/>
      <c r="O551" s="287"/>
      <c r="V551" s="288"/>
    </row>
    <row r="552" spans="3:22" ht="15.75" customHeight="1">
      <c r="C552" s="289"/>
      <c r="D552" s="289"/>
      <c r="G552" s="289"/>
      <c r="H552" s="290"/>
      <c r="J552" s="289"/>
      <c r="K552" s="289"/>
      <c r="L552" s="289"/>
      <c r="M552" s="286"/>
      <c r="N552" s="287"/>
      <c r="O552" s="287"/>
      <c r="V552" s="288"/>
    </row>
    <row r="553" spans="3:22" ht="15.75" customHeight="1">
      <c r="C553" s="289"/>
      <c r="D553" s="289"/>
      <c r="G553" s="289"/>
      <c r="H553" s="290"/>
      <c r="J553" s="289"/>
      <c r="K553" s="289"/>
      <c r="L553" s="289"/>
      <c r="M553" s="286"/>
      <c r="N553" s="287"/>
      <c r="O553" s="287"/>
      <c r="V553" s="288"/>
    </row>
    <row r="554" spans="3:22" ht="15.75" customHeight="1">
      <c r="C554" s="289"/>
      <c r="D554" s="289"/>
      <c r="G554" s="289"/>
      <c r="H554" s="290"/>
      <c r="J554" s="289"/>
      <c r="K554" s="289"/>
      <c r="L554" s="289"/>
      <c r="M554" s="286"/>
      <c r="N554" s="287"/>
      <c r="O554" s="287"/>
      <c r="V554" s="288"/>
    </row>
    <row r="555" spans="3:22" ht="15.75" customHeight="1">
      <c r="C555" s="289"/>
      <c r="D555" s="289"/>
      <c r="G555" s="289"/>
      <c r="H555" s="290"/>
      <c r="J555" s="289"/>
      <c r="K555" s="289"/>
      <c r="L555" s="289"/>
      <c r="M555" s="286"/>
      <c r="N555" s="287"/>
      <c r="O555" s="287"/>
      <c r="V555" s="288"/>
    </row>
    <row r="556" spans="3:22" ht="15.75" customHeight="1">
      <c r="C556" s="289"/>
      <c r="D556" s="289"/>
      <c r="G556" s="289"/>
      <c r="H556" s="290"/>
      <c r="J556" s="289"/>
      <c r="K556" s="289"/>
      <c r="L556" s="289"/>
      <c r="M556" s="286"/>
      <c r="N556" s="287"/>
      <c r="O556" s="287"/>
      <c r="V556" s="288"/>
    </row>
    <row r="557" spans="3:22" ht="15.75" customHeight="1">
      <c r="C557" s="289"/>
      <c r="D557" s="289"/>
      <c r="G557" s="289"/>
      <c r="H557" s="290"/>
      <c r="J557" s="289"/>
      <c r="K557" s="289"/>
      <c r="L557" s="289"/>
      <c r="M557" s="286"/>
      <c r="N557" s="287"/>
      <c r="O557" s="287"/>
      <c r="V557" s="288"/>
    </row>
    <row r="558" spans="3:22" ht="15.75" customHeight="1">
      <c r="C558" s="289"/>
      <c r="D558" s="289"/>
      <c r="G558" s="289"/>
      <c r="H558" s="290"/>
      <c r="J558" s="289"/>
      <c r="K558" s="289"/>
      <c r="L558" s="289"/>
      <c r="M558" s="286"/>
      <c r="N558" s="287"/>
      <c r="O558" s="287"/>
      <c r="V558" s="288"/>
    </row>
    <row r="559" spans="3:22" ht="15.75" customHeight="1">
      <c r="C559" s="289"/>
      <c r="D559" s="289"/>
      <c r="G559" s="289"/>
      <c r="H559" s="290"/>
      <c r="J559" s="289"/>
      <c r="K559" s="289"/>
      <c r="L559" s="289"/>
      <c r="M559" s="286"/>
      <c r="N559" s="287"/>
      <c r="O559" s="287"/>
      <c r="V559" s="288"/>
    </row>
    <row r="560" spans="3:22" ht="15.75" customHeight="1">
      <c r="C560" s="289"/>
      <c r="D560" s="289"/>
      <c r="G560" s="289"/>
      <c r="H560" s="290"/>
      <c r="J560" s="289"/>
      <c r="K560" s="289"/>
      <c r="L560" s="289"/>
      <c r="M560" s="286"/>
      <c r="N560" s="287"/>
      <c r="O560" s="287"/>
      <c r="V560" s="288"/>
    </row>
    <row r="561" spans="3:22" ht="15.75" customHeight="1">
      <c r="C561" s="289"/>
      <c r="D561" s="289"/>
      <c r="G561" s="289"/>
      <c r="H561" s="290"/>
      <c r="J561" s="289"/>
      <c r="K561" s="289"/>
      <c r="L561" s="289"/>
      <c r="M561" s="286"/>
      <c r="N561" s="287"/>
      <c r="O561" s="287"/>
      <c r="V561" s="288"/>
    </row>
    <row r="562" spans="3:22" ht="15.75" customHeight="1">
      <c r="C562" s="289"/>
      <c r="D562" s="289"/>
      <c r="G562" s="289"/>
      <c r="H562" s="290"/>
      <c r="J562" s="289"/>
      <c r="K562" s="289"/>
      <c r="L562" s="289"/>
      <c r="M562" s="286"/>
      <c r="N562" s="287"/>
      <c r="O562" s="287"/>
      <c r="V562" s="288"/>
    </row>
    <row r="563" spans="3:22" ht="15.75" customHeight="1">
      <c r="C563" s="289"/>
      <c r="D563" s="289"/>
      <c r="G563" s="289"/>
      <c r="H563" s="290"/>
      <c r="J563" s="289"/>
      <c r="K563" s="289"/>
      <c r="L563" s="289"/>
      <c r="M563" s="286"/>
      <c r="N563" s="287"/>
      <c r="O563" s="287"/>
      <c r="V563" s="288"/>
    </row>
    <row r="564" spans="3:22" ht="15.75" customHeight="1">
      <c r="C564" s="289"/>
      <c r="D564" s="289"/>
      <c r="G564" s="289"/>
      <c r="H564" s="290"/>
      <c r="J564" s="289"/>
      <c r="K564" s="289"/>
      <c r="L564" s="289"/>
      <c r="M564" s="286"/>
      <c r="N564" s="287"/>
      <c r="O564" s="287"/>
      <c r="V564" s="288"/>
    </row>
    <row r="565" spans="3:22" ht="15.75" customHeight="1">
      <c r="C565" s="289"/>
      <c r="D565" s="289"/>
      <c r="G565" s="289"/>
      <c r="H565" s="290"/>
      <c r="J565" s="289"/>
      <c r="K565" s="289"/>
      <c r="L565" s="289"/>
      <c r="M565" s="286"/>
      <c r="N565" s="287"/>
      <c r="O565" s="287"/>
      <c r="V565" s="288"/>
    </row>
    <row r="566" spans="3:22" ht="15.75" customHeight="1">
      <c r="C566" s="289"/>
      <c r="D566" s="289"/>
      <c r="G566" s="289"/>
      <c r="H566" s="290"/>
      <c r="J566" s="289"/>
      <c r="K566" s="289"/>
      <c r="L566" s="289"/>
      <c r="M566" s="286"/>
      <c r="N566" s="287"/>
      <c r="O566" s="287"/>
      <c r="V566" s="288"/>
    </row>
    <row r="567" spans="3:22" ht="15.75" customHeight="1">
      <c r="C567" s="289"/>
      <c r="D567" s="289"/>
      <c r="G567" s="289"/>
      <c r="H567" s="290"/>
      <c r="J567" s="289"/>
      <c r="K567" s="289"/>
      <c r="L567" s="289"/>
      <c r="M567" s="286"/>
      <c r="N567" s="287"/>
      <c r="O567" s="287"/>
      <c r="V567" s="288"/>
    </row>
    <row r="568" spans="3:22" ht="15.75" customHeight="1">
      <c r="C568" s="289"/>
      <c r="D568" s="289"/>
      <c r="G568" s="289"/>
      <c r="H568" s="290"/>
      <c r="J568" s="289"/>
      <c r="K568" s="289"/>
      <c r="L568" s="289"/>
      <c r="M568" s="286"/>
      <c r="N568" s="287"/>
      <c r="O568" s="287"/>
      <c r="V568" s="288"/>
    </row>
    <row r="569" spans="3:22" ht="15.75" customHeight="1">
      <c r="C569" s="289"/>
      <c r="D569" s="289"/>
      <c r="G569" s="289"/>
      <c r="H569" s="290"/>
      <c r="J569" s="289"/>
      <c r="K569" s="289"/>
      <c r="L569" s="289"/>
      <c r="M569" s="286"/>
      <c r="N569" s="287"/>
      <c r="O569" s="287"/>
      <c r="V569" s="288"/>
    </row>
    <row r="570" spans="3:22" ht="15.75" customHeight="1">
      <c r="C570" s="289"/>
      <c r="D570" s="289"/>
      <c r="G570" s="289"/>
      <c r="H570" s="290"/>
      <c r="J570" s="289"/>
      <c r="K570" s="289"/>
      <c r="L570" s="289"/>
      <c r="M570" s="286"/>
      <c r="N570" s="287"/>
      <c r="O570" s="287"/>
      <c r="V570" s="288"/>
    </row>
    <row r="571" spans="3:22" ht="15.75" customHeight="1">
      <c r="C571" s="289"/>
      <c r="D571" s="289"/>
      <c r="G571" s="289"/>
      <c r="H571" s="290"/>
      <c r="J571" s="289"/>
      <c r="K571" s="289"/>
      <c r="L571" s="289"/>
      <c r="M571" s="286"/>
      <c r="N571" s="287"/>
      <c r="O571" s="287"/>
      <c r="V571" s="288"/>
    </row>
    <row r="572" spans="3:22" ht="15.75" customHeight="1">
      <c r="C572" s="289"/>
      <c r="D572" s="289"/>
      <c r="G572" s="289"/>
      <c r="H572" s="290"/>
      <c r="J572" s="289"/>
      <c r="K572" s="289"/>
      <c r="L572" s="289"/>
      <c r="M572" s="286"/>
      <c r="N572" s="287"/>
      <c r="O572" s="287"/>
      <c r="V572" s="288"/>
    </row>
    <row r="573" spans="3:22" ht="15.75" customHeight="1">
      <c r="C573" s="289"/>
      <c r="D573" s="289"/>
      <c r="G573" s="289"/>
      <c r="H573" s="290"/>
      <c r="J573" s="289"/>
      <c r="K573" s="289"/>
      <c r="L573" s="289"/>
      <c r="M573" s="286"/>
      <c r="N573" s="287"/>
      <c r="O573" s="287"/>
      <c r="V573" s="288"/>
    </row>
    <row r="574" spans="3:22" ht="15.75" customHeight="1">
      <c r="C574" s="289"/>
      <c r="D574" s="289"/>
      <c r="G574" s="289"/>
      <c r="H574" s="290"/>
      <c r="J574" s="289"/>
      <c r="K574" s="289"/>
      <c r="L574" s="289"/>
      <c r="M574" s="286"/>
      <c r="N574" s="287"/>
      <c r="O574" s="287"/>
      <c r="V574" s="288"/>
    </row>
    <row r="575" spans="3:22" ht="15.75" customHeight="1">
      <c r="C575" s="289"/>
      <c r="D575" s="289"/>
      <c r="G575" s="289"/>
      <c r="H575" s="290"/>
      <c r="J575" s="289"/>
      <c r="K575" s="289"/>
      <c r="L575" s="289"/>
      <c r="M575" s="286"/>
      <c r="N575" s="287"/>
      <c r="O575" s="287"/>
      <c r="V575" s="288"/>
    </row>
    <row r="576" spans="3:22" ht="15.75" customHeight="1">
      <c r="C576" s="289"/>
      <c r="D576" s="289"/>
      <c r="G576" s="289"/>
      <c r="H576" s="290"/>
      <c r="J576" s="289"/>
      <c r="K576" s="289"/>
      <c r="L576" s="289"/>
      <c r="M576" s="286"/>
      <c r="N576" s="287"/>
      <c r="O576" s="287"/>
      <c r="V576" s="288"/>
    </row>
    <row r="577" spans="3:22" ht="15.75" customHeight="1">
      <c r="C577" s="289"/>
      <c r="D577" s="289"/>
      <c r="G577" s="289"/>
      <c r="H577" s="290"/>
      <c r="J577" s="289"/>
      <c r="K577" s="289"/>
      <c r="L577" s="289"/>
      <c r="M577" s="286"/>
      <c r="N577" s="287"/>
      <c r="O577" s="287"/>
      <c r="V577" s="288"/>
    </row>
    <row r="578" spans="3:22" ht="15.75" customHeight="1">
      <c r="C578" s="289"/>
      <c r="D578" s="289"/>
      <c r="G578" s="289"/>
      <c r="H578" s="290"/>
      <c r="J578" s="289"/>
      <c r="K578" s="289"/>
      <c r="L578" s="289"/>
      <c r="M578" s="286"/>
      <c r="N578" s="287"/>
      <c r="O578" s="287"/>
      <c r="V578" s="288"/>
    </row>
    <row r="579" spans="3:22" ht="15.75" customHeight="1">
      <c r="C579" s="289"/>
      <c r="D579" s="289"/>
      <c r="G579" s="289"/>
      <c r="H579" s="290"/>
      <c r="J579" s="289"/>
      <c r="K579" s="289"/>
      <c r="L579" s="289"/>
      <c r="M579" s="286"/>
      <c r="N579" s="287"/>
      <c r="O579" s="287"/>
      <c r="V579" s="288"/>
    </row>
    <row r="580" spans="3:22" ht="15.75" customHeight="1">
      <c r="C580" s="289"/>
      <c r="D580" s="289"/>
      <c r="G580" s="289"/>
      <c r="H580" s="290"/>
      <c r="J580" s="289"/>
      <c r="K580" s="289"/>
      <c r="L580" s="289"/>
      <c r="M580" s="286"/>
      <c r="N580" s="287"/>
      <c r="O580" s="287"/>
      <c r="V580" s="288"/>
    </row>
    <row r="581" spans="3:22" ht="15.75" customHeight="1">
      <c r="C581" s="289"/>
      <c r="D581" s="289"/>
      <c r="G581" s="289"/>
      <c r="H581" s="290"/>
      <c r="J581" s="289"/>
      <c r="K581" s="289"/>
      <c r="L581" s="289"/>
      <c r="M581" s="286"/>
      <c r="N581" s="287"/>
      <c r="O581" s="287"/>
      <c r="V581" s="288"/>
    </row>
    <row r="582" spans="3:22" ht="15.75" customHeight="1">
      <c r="C582" s="289"/>
      <c r="D582" s="289"/>
      <c r="G582" s="289"/>
      <c r="H582" s="290"/>
      <c r="J582" s="289"/>
      <c r="K582" s="289"/>
      <c r="L582" s="289"/>
      <c r="M582" s="286"/>
      <c r="N582" s="287"/>
      <c r="O582" s="287"/>
      <c r="V582" s="288"/>
    </row>
    <row r="583" spans="3:22" ht="15.75" customHeight="1">
      <c r="C583" s="289"/>
      <c r="D583" s="289"/>
      <c r="G583" s="289"/>
      <c r="H583" s="290"/>
      <c r="J583" s="289"/>
      <c r="K583" s="289"/>
      <c r="L583" s="289"/>
      <c r="M583" s="286"/>
      <c r="N583" s="287"/>
      <c r="O583" s="287"/>
      <c r="V583" s="288"/>
    </row>
    <row r="584" spans="3:22" ht="15.75" customHeight="1">
      <c r="C584" s="289"/>
      <c r="D584" s="289"/>
      <c r="G584" s="289"/>
      <c r="H584" s="290"/>
      <c r="J584" s="289"/>
      <c r="K584" s="289"/>
      <c r="L584" s="289"/>
      <c r="M584" s="286"/>
      <c r="N584" s="287"/>
      <c r="O584" s="287"/>
      <c r="V584" s="288"/>
    </row>
    <row r="585" spans="3:22" ht="15.75" customHeight="1">
      <c r="C585" s="289"/>
      <c r="D585" s="289"/>
      <c r="G585" s="289"/>
      <c r="H585" s="290"/>
      <c r="J585" s="289"/>
      <c r="K585" s="289"/>
      <c r="L585" s="289"/>
      <c r="M585" s="286"/>
      <c r="N585" s="287"/>
      <c r="O585" s="287"/>
      <c r="V585" s="288"/>
    </row>
    <row r="586" spans="3:22" ht="15.75" customHeight="1">
      <c r="C586" s="289"/>
      <c r="D586" s="289"/>
      <c r="G586" s="289"/>
      <c r="H586" s="290"/>
      <c r="J586" s="289"/>
      <c r="K586" s="289"/>
      <c r="L586" s="289"/>
      <c r="M586" s="286"/>
      <c r="N586" s="287"/>
      <c r="O586" s="287"/>
      <c r="V586" s="288"/>
    </row>
    <row r="587" spans="3:22" ht="15.75" customHeight="1">
      <c r="C587" s="289"/>
      <c r="D587" s="289"/>
      <c r="G587" s="289"/>
      <c r="H587" s="290"/>
      <c r="J587" s="289"/>
      <c r="K587" s="289"/>
      <c r="L587" s="289"/>
      <c r="M587" s="286"/>
      <c r="N587" s="287"/>
      <c r="O587" s="287"/>
      <c r="V587" s="288"/>
    </row>
    <row r="588" spans="3:22" ht="15.75" customHeight="1">
      <c r="C588" s="289"/>
      <c r="D588" s="289"/>
      <c r="G588" s="289"/>
      <c r="H588" s="290"/>
      <c r="J588" s="289"/>
      <c r="K588" s="289"/>
      <c r="L588" s="289"/>
      <c r="M588" s="286"/>
      <c r="N588" s="287"/>
      <c r="O588" s="287"/>
      <c r="V588" s="288"/>
    </row>
    <row r="589" spans="3:22" ht="15.75" customHeight="1">
      <c r="C589" s="289"/>
      <c r="D589" s="289"/>
      <c r="G589" s="289"/>
      <c r="H589" s="290"/>
      <c r="J589" s="289"/>
      <c r="K589" s="289"/>
      <c r="L589" s="289"/>
      <c r="M589" s="286"/>
      <c r="N589" s="287"/>
      <c r="O589" s="287"/>
      <c r="V589" s="288"/>
    </row>
    <row r="590" spans="3:22" ht="15.75" customHeight="1">
      <c r="C590" s="289"/>
      <c r="D590" s="289"/>
      <c r="G590" s="289"/>
      <c r="H590" s="290"/>
      <c r="J590" s="289"/>
      <c r="K590" s="289"/>
      <c r="L590" s="289"/>
      <c r="M590" s="286"/>
      <c r="N590" s="287"/>
      <c r="O590" s="287"/>
      <c r="V590" s="288"/>
    </row>
    <row r="591" spans="3:22" ht="15.75" customHeight="1">
      <c r="C591" s="289"/>
      <c r="D591" s="289"/>
      <c r="G591" s="289"/>
      <c r="H591" s="290"/>
      <c r="J591" s="289"/>
      <c r="K591" s="289"/>
      <c r="L591" s="289"/>
      <c r="M591" s="286"/>
      <c r="N591" s="287"/>
      <c r="O591" s="287"/>
      <c r="V591" s="288"/>
    </row>
    <row r="592" spans="3:22" ht="15.75" customHeight="1">
      <c r="C592" s="289"/>
      <c r="D592" s="289"/>
      <c r="G592" s="289"/>
      <c r="H592" s="290"/>
      <c r="J592" s="289"/>
      <c r="K592" s="289"/>
      <c r="L592" s="289"/>
      <c r="M592" s="286"/>
      <c r="N592" s="287"/>
      <c r="O592" s="287"/>
      <c r="V592" s="288"/>
    </row>
    <row r="593" spans="3:22" ht="15.75" customHeight="1">
      <c r="C593" s="289"/>
      <c r="D593" s="289"/>
      <c r="G593" s="289"/>
      <c r="H593" s="290"/>
      <c r="J593" s="289"/>
      <c r="K593" s="289"/>
      <c r="L593" s="289"/>
      <c r="M593" s="286"/>
      <c r="N593" s="287"/>
      <c r="O593" s="287"/>
      <c r="V593" s="288"/>
    </row>
    <row r="594" spans="3:22" ht="15.75" customHeight="1">
      <c r="C594" s="289"/>
      <c r="D594" s="289"/>
      <c r="G594" s="289"/>
      <c r="H594" s="290"/>
      <c r="J594" s="289"/>
      <c r="K594" s="289"/>
      <c r="L594" s="289"/>
      <c r="M594" s="286"/>
      <c r="N594" s="287"/>
      <c r="O594" s="287"/>
      <c r="V594" s="288"/>
    </row>
    <row r="595" spans="3:22" ht="15.75" customHeight="1">
      <c r="C595" s="289"/>
      <c r="D595" s="289"/>
      <c r="G595" s="289"/>
      <c r="H595" s="290"/>
      <c r="J595" s="289"/>
      <c r="K595" s="289"/>
      <c r="L595" s="289"/>
      <c r="M595" s="286"/>
      <c r="N595" s="287"/>
      <c r="O595" s="287"/>
      <c r="V595" s="288"/>
    </row>
    <row r="596" spans="3:22" ht="15.75" customHeight="1">
      <c r="C596" s="289"/>
      <c r="D596" s="289"/>
      <c r="G596" s="289"/>
      <c r="H596" s="290"/>
      <c r="J596" s="289"/>
      <c r="K596" s="289"/>
      <c r="L596" s="289"/>
      <c r="M596" s="286"/>
      <c r="N596" s="287"/>
      <c r="O596" s="287"/>
      <c r="V596" s="288"/>
    </row>
    <row r="597" spans="3:22" ht="15.75" customHeight="1">
      <c r="C597" s="289"/>
      <c r="D597" s="289"/>
      <c r="G597" s="289"/>
      <c r="H597" s="290"/>
      <c r="J597" s="289"/>
      <c r="K597" s="289"/>
      <c r="L597" s="289"/>
      <c r="M597" s="286"/>
      <c r="N597" s="287"/>
      <c r="O597" s="287"/>
      <c r="V597" s="288"/>
    </row>
    <row r="598" spans="3:22" ht="15.75" customHeight="1">
      <c r="C598" s="289"/>
      <c r="D598" s="289"/>
      <c r="G598" s="289"/>
      <c r="H598" s="290"/>
      <c r="J598" s="289"/>
      <c r="K598" s="289"/>
      <c r="L598" s="289"/>
      <c r="M598" s="286"/>
      <c r="N598" s="287"/>
      <c r="O598" s="287"/>
      <c r="V598" s="288"/>
    </row>
    <row r="599" spans="3:22" ht="15.75" customHeight="1">
      <c r="C599" s="289"/>
      <c r="D599" s="289"/>
      <c r="G599" s="289"/>
      <c r="H599" s="290"/>
      <c r="J599" s="289"/>
      <c r="K599" s="289"/>
      <c r="L599" s="289"/>
      <c r="M599" s="286"/>
      <c r="N599" s="287"/>
      <c r="O599" s="287"/>
      <c r="V599" s="288"/>
    </row>
    <row r="600" spans="3:22" ht="15.75" customHeight="1">
      <c r="C600" s="289"/>
      <c r="D600" s="289"/>
      <c r="G600" s="289"/>
      <c r="H600" s="290"/>
      <c r="J600" s="289"/>
      <c r="K600" s="289"/>
      <c r="L600" s="289"/>
      <c r="M600" s="286"/>
      <c r="N600" s="287"/>
      <c r="O600" s="287"/>
      <c r="V600" s="288"/>
    </row>
    <row r="601" spans="3:22" ht="15.75" customHeight="1">
      <c r="C601" s="289"/>
      <c r="D601" s="289"/>
      <c r="G601" s="289"/>
      <c r="H601" s="290"/>
      <c r="J601" s="289"/>
      <c r="K601" s="289"/>
      <c r="L601" s="289"/>
      <c r="M601" s="286"/>
      <c r="N601" s="287"/>
      <c r="O601" s="287"/>
      <c r="V601" s="288"/>
    </row>
    <row r="602" spans="3:22" ht="15.75" customHeight="1">
      <c r="C602" s="289"/>
      <c r="D602" s="289"/>
      <c r="G602" s="289"/>
      <c r="H602" s="290"/>
      <c r="J602" s="289"/>
      <c r="K602" s="289"/>
      <c r="L602" s="289"/>
      <c r="M602" s="286"/>
      <c r="N602" s="287"/>
      <c r="O602" s="287"/>
      <c r="V602" s="288"/>
    </row>
    <row r="603" spans="3:22" ht="15.75" customHeight="1">
      <c r="C603" s="289"/>
      <c r="D603" s="289"/>
      <c r="G603" s="289"/>
      <c r="H603" s="290"/>
      <c r="J603" s="289"/>
      <c r="K603" s="289"/>
      <c r="L603" s="289"/>
      <c r="M603" s="286"/>
      <c r="N603" s="287"/>
      <c r="O603" s="287"/>
      <c r="V603" s="288"/>
    </row>
    <row r="604" spans="3:22" ht="15.75" customHeight="1">
      <c r="C604" s="289"/>
      <c r="D604" s="289"/>
      <c r="G604" s="289"/>
      <c r="H604" s="290"/>
      <c r="J604" s="289"/>
      <c r="K604" s="289"/>
      <c r="L604" s="289"/>
      <c r="M604" s="286"/>
      <c r="N604" s="287"/>
      <c r="O604" s="287"/>
      <c r="V604" s="288"/>
    </row>
    <row r="605" spans="3:22" ht="15.75" customHeight="1">
      <c r="C605" s="289"/>
      <c r="D605" s="289"/>
      <c r="G605" s="289"/>
      <c r="H605" s="290"/>
      <c r="J605" s="289"/>
      <c r="K605" s="289"/>
      <c r="L605" s="289"/>
      <c r="M605" s="286"/>
      <c r="N605" s="287"/>
      <c r="O605" s="287"/>
      <c r="V605" s="288"/>
    </row>
    <row r="606" spans="3:22" ht="15.75" customHeight="1">
      <c r="C606" s="289"/>
      <c r="D606" s="289"/>
      <c r="G606" s="289"/>
      <c r="H606" s="290"/>
      <c r="J606" s="289"/>
      <c r="K606" s="289"/>
      <c r="L606" s="289"/>
      <c r="M606" s="286"/>
      <c r="N606" s="287"/>
      <c r="O606" s="287"/>
      <c r="V606" s="288"/>
    </row>
    <row r="607" spans="3:22" ht="15.75" customHeight="1">
      <c r="C607" s="289"/>
      <c r="D607" s="289"/>
      <c r="G607" s="289"/>
      <c r="H607" s="290"/>
      <c r="J607" s="289"/>
      <c r="K607" s="289"/>
      <c r="L607" s="289"/>
      <c r="M607" s="286"/>
      <c r="N607" s="287"/>
      <c r="O607" s="287"/>
      <c r="V607" s="288"/>
    </row>
    <row r="608" spans="3:22" ht="15.75" customHeight="1">
      <c r="C608" s="289"/>
      <c r="D608" s="289"/>
      <c r="G608" s="289"/>
      <c r="H608" s="290"/>
      <c r="J608" s="289"/>
      <c r="K608" s="289"/>
      <c r="L608" s="289"/>
      <c r="M608" s="286"/>
      <c r="N608" s="287"/>
      <c r="O608" s="287"/>
      <c r="V608" s="288"/>
    </row>
    <row r="609" spans="3:22" ht="15.75" customHeight="1">
      <c r="C609" s="289"/>
      <c r="D609" s="289"/>
      <c r="G609" s="289"/>
      <c r="H609" s="290"/>
      <c r="J609" s="289"/>
      <c r="K609" s="289"/>
      <c r="L609" s="289"/>
      <c r="M609" s="286"/>
      <c r="N609" s="287"/>
      <c r="O609" s="287"/>
      <c r="V609" s="288"/>
    </row>
    <row r="610" spans="3:22" ht="15.75" customHeight="1">
      <c r="C610" s="289"/>
      <c r="D610" s="289"/>
      <c r="G610" s="289"/>
      <c r="H610" s="290"/>
      <c r="J610" s="289"/>
      <c r="K610" s="289"/>
      <c r="L610" s="289"/>
      <c r="M610" s="286"/>
      <c r="N610" s="287"/>
      <c r="O610" s="287"/>
      <c r="V610" s="288"/>
    </row>
    <row r="611" spans="3:22" ht="15.75" customHeight="1">
      <c r="C611" s="289"/>
      <c r="D611" s="289"/>
      <c r="G611" s="289"/>
      <c r="H611" s="290"/>
      <c r="J611" s="289"/>
      <c r="K611" s="289"/>
      <c r="L611" s="289"/>
      <c r="M611" s="286"/>
      <c r="N611" s="287"/>
      <c r="O611" s="287"/>
      <c r="V611" s="288"/>
    </row>
    <row r="612" spans="3:22" ht="15.75" customHeight="1">
      <c r="C612" s="289"/>
      <c r="D612" s="289"/>
      <c r="G612" s="289"/>
      <c r="H612" s="290"/>
      <c r="J612" s="289"/>
      <c r="K612" s="289"/>
      <c r="L612" s="289"/>
      <c r="M612" s="286"/>
      <c r="N612" s="287"/>
      <c r="O612" s="287"/>
      <c r="V612" s="288"/>
    </row>
    <row r="613" spans="3:22" ht="15.75" customHeight="1">
      <c r="C613" s="289"/>
      <c r="D613" s="289"/>
      <c r="G613" s="289"/>
      <c r="H613" s="290"/>
      <c r="J613" s="289"/>
      <c r="K613" s="289"/>
      <c r="L613" s="289"/>
      <c r="M613" s="286"/>
      <c r="N613" s="287"/>
      <c r="O613" s="287"/>
      <c r="V613" s="288"/>
    </row>
    <row r="614" spans="3:22" ht="15.75" customHeight="1">
      <c r="C614" s="289"/>
      <c r="D614" s="289"/>
      <c r="G614" s="289"/>
      <c r="H614" s="290"/>
      <c r="J614" s="289"/>
      <c r="K614" s="289"/>
      <c r="L614" s="289"/>
      <c r="M614" s="286"/>
      <c r="N614" s="287"/>
      <c r="O614" s="287"/>
      <c r="V614" s="288"/>
    </row>
    <row r="615" spans="3:22" ht="15.75" customHeight="1">
      <c r="C615" s="289"/>
      <c r="D615" s="289"/>
      <c r="G615" s="289"/>
      <c r="H615" s="290"/>
      <c r="J615" s="289"/>
      <c r="K615" s="289"/>
      <c r="L615" s="289"/>
      <c r="M615" s="286"/>
      <c r="N615" s="287"/>
      <c r="O615" s="287"/>
      <c r="V615" s="288"/>
    </row>
    <row r="616" spans="3:22" ht="15.75" customHeight="1">
      <c r="C616" s="289"/>
      <c r="D616" s="289"/>
      <c r="G616" s="289"/>
      <c r="H616" s="290"/>
      <c r="J616" s="289"/>
      <c r="K616" s="289"/>
      <c r="L616" s="289"/>
      <c r="M616" s="286"/>
      <c r="N616" s="287"/>
      <c r="O616" s="287"/>
      <c r="V616" s="288"/>
    </row>
    <row r="617" spans="3:22" ht="15.75" customHeight="1">
      <c r="C617" s="289"/>
      <c r="D617" s="289"/>
      <c r="G617" s="289"/>
      <c r="H617" s="290"/>
      <c r="J617" s="289"/>
      <c r="K617" s="289"/>
      <c r="L617" s="289"/>
      <c r="M617" s="286"/>
      <c r="N617" s="287"/>
      <c r="O617" s="287"/>
      <c r="V617" s="288"/>
    </row>
    <row r="618" spans="3:22" ht="15.75" customHeight="1">
      <c r="C618" s="289"/>
      <c r="D618" s="289"/>
      <c r="G618" s="289"/>
      <c r="H618" s="290"/>
      <c r="J618" s="289"/>
      <c r="K618" s="289"/>
      <c r="L618" s="289"/>
      <c r="M618" s="286"/>
      <c r="N618" s="287"/>
      <c r="O618" s="287"/>
      <c r="V618" s="288"/>
    </row>
    <row r="619" spans="3:22" ht="15.75" customHeight="1">
      <c r="C619" s="289"/>
      <c r="D619" s="289"/>
      <c r="G619" s="289"/>
      <c r="H619" s="290"/>
      <c r="J619" s="289"/>
      <c r="K619" s="289"/>
      <c r="L619" s="289"/>
      <c r="M619" s="286"/>
      <c r="N619" s="287"/>
      <c r="O619" s="287"/>
      <c r="V619" s="288"/>
    </row>
    <row r="620" spans="3:22" ht="15.75" customHeight="1">
      <c r="C620" s="289"/>
      <c r="D620" s="289"/>
      <c r="G620" s="289"/>
      <c r="H620" s="290"/>
      <c r="J620" s="289"/>
      <c r="K620" s="289"/>
      <c r="L620" s="289"/>
      <c r="M620" s="286"/>
      <c r="N620" s="287"/>
      <c r="O620" s="287"/>
      <c r="V620" s="288"/>
    </row>
    <row r="621" spans="3:22" ht="15.75" customHeight="1">
      <c r="C621" s="289"/>
      <c r="D621" s="289"/>
      <c r="G621" s="289"/>
      <c r="H621" s="290"/>
      <c r="J621" s="289"/>
      <c r="K621" s="289"/>
      <c r="L621" s="289"/>
      <c r="M621" s="286"/>
      <c r="N621" s="287"/>
      <c r="O621" s="287"/>
      <c r="V621" s="288"/>
    </row>
    <row r="622" spans="3:22" ht="15.75" customHeight="1">
      <c r="C622" s="289"/>
      <c r="D622" s="289"/>
      <c r="G622" s="289"/>
      <c r="H622" s="290"/>
      <c r="J622" s="289"/>
      <c r="K622" s="289"/>
      <c r="L622" s="289"/>
      <c r="M622" s="286"/>
      <c r="N622" s="287"/>
      <c r="O622" s="287"/>
      <c r="V622" s="288"/>
    </row>
    <row r="623" spans="3:22" ht="15.75" customHeight="1">
      <c r="C623" s="289"/>
      <c r="D623" s="289"/>
      <c r="G623" s="289"/>
      <c r="H623" s="290"/>
      <c r="J623" s="289"/>
      <c r="K623" s="289"/>
      <c r="L623" s="289"/>
      <c r="M623" s="286"/>
      <c r="N623" s="287"/>
      <c r="O623" s="287"/>
      <c r="V623" s="288"/>
    </row>
    <row r="624" spans="3:22" ht="15.75" customHeight="1">
      <c r="C624" s="289"/>
      <c r="D624" s="289"/>
      <c r="G624" s="289"/>
      <c r="H624" s="290"/>
      <c r="J624" s="289"/>
      <c r="K624" s="289"/>
      <c r="L624" s="289"/>
      <c r="M624" s="286"/>
      <c r="N624" s="287"/>
      <c r="O624" s="287"/>
      <c r="V624" s="288"/>
    </row>
    <row r="625" spans="3:22" ht="15.75" customHeight="1">
      <c r="C625" s="289"/>
      <c r="D625" s="289"/>
      <c r="G625" s="289"/>
      <c r="H625" s="290"/>
      <c r="J625" s="289"/>
      <c r="K625" s="289"/>
      <c r="L625" s="289"/>
      <c r="M625" s="286"/>
      <c r="N625" s="287"/>
      <c r="O625" s="287"/>
      <c r="V625" s="288"/>
    </row>
    <row r="626" spans="3:22" ht="15.75" customHeight="1">
      <c r="C626" s="289"/>
      <c r="D626" s="289"/>
      <c r="G626" s="289"/>
      <c r="H626" s="290"/>
      <c r="J626" s="289"/>
      <c r="K626" s="289"/>
      <c r="L626" s="289"/>
      <c r="M626" s="286"/>
      <c r="N626" s="287"/>
      <c r="O626" s="287"/>
      <c r="V626" s="288"/>
    </row>
    <row r="627" spans="3:22" ht="15.75" customHeight="1">
      <c r="C627" s="289"/>
      <c r="D627" s="289"/>
      <c r="G627" s="289"/>
      <c r="H627" s="290"/>
      <c r="J627" s="289"/>
      <c r="K627" s="289"/>
      <c r="L627" s="289"/>
      <c r="M627" s="286"/>
      <c r="N627" s="287"/>
      <c r="O627" s="287"/>
      <c r="V627" s="288"/>
    </row>
    <row r="628" spans="3:22" ht="15.75" customHeight="1">
      <c r="C628" s="289"/>
      <c r="D628" s="289"/>
      <c r="G628" s="289"/>
      <c r="H628" s="290"/>
      <c r="J628" s="289"/>
      <c r="K628" s="289"/>
      <c r="L628" s="289"/>
      <c r="M628" s="286"/>
      <c r="N628" s="287"/>
      <c r="O628" s="287"/>
      <c r="V628" s="288"/>
    </row>
    <row r="629" spans="3:22" ht="15.75" customHeight="1">
      <c r="C629" s="289"/>
      <c r="D629" s="289"/>
      <c r="G629" s="289"/>
      <c r="H629" s="290"/>
      <c r="J629" s="289"/>
      <c r="K629" s="289"/>
      <c r="L629" s="289"/>
      <c r="M629" s="286"/>
      <c r="N629" s="287"/>
      <c r="O629" s="287"/>
      <c r="V629" s="288"/>
    </row>
    <row r="630" spans="3:22" ht="15.75" customHeight="1">
      <c r="C630" s="289"/>
      <c r="D630" s="289"/>
      <c r="G630" s="289"/>
      <c r="H630" s="290"/>
      <c r="J630" s="289"/>
      <c r="K630" s="289"/>
      <c r="L630" s="289"/>
      <c r="M630" s="286"/>
      <c r="N630" s="287"/>
      <c r="O630" s="287"/>
      <c r="V630" s="288"/>
    </row>
    <row r="631" spans="3:22" ht="15.75" customHeight="1">
      <c r="C631" s="289"/>
      <c r="D631" s="289"/>
      <c r="G631" s="289"/>
      <c r="H631" s="290"/>
      <c r="J631" s="289"/>
      <c r="K631" s="289"/>
      <c r="L631" s="289"/>
      <c r="M631" s="286"/>
      <c r="N631" s="287"/>
      <c r="O631" s="287"/>
      <c r="V631" s="288"/>
    </row>
    <row r="632" spans="3:22" ht="15.75" customHeight="1">
      <c r="C632" s="289"/>
      <c r="D632" s="289"/>
      <c r="G632" s="289"/>
      <c r="H632" s="290"/>
      <c r="J632" s="289"/>
      <c r="K632" s="289"/>
      <c r="L632" s="289"/>
      <c r="M632" s="286"/>
      <c r="N632" s="287"/>
      <c r="O632" s="287"/>
      <c r="V632" s="288"/>
    </row>
    <row r="633" spans="3:22" ht="15.75" customHeight="1">
      <c r="C633" s="289"/>
      <c r="D633" s="289"/>
      <c r="G633" s="289"/>
      <c r="H633" s="290"/>
      <c r="J633" s="289"/>
      <c r="K633" s="289"/>
      <c r="L633" s="289"/>
      <c r="M633" s="286"/>
      <c r="N633" s="287"/>
      <c r="O633" s="287"/>
      <c r="V633" s="288"/>
    </row>
    <row r="634" spans="3:22" ht="15.75" customHeight="1">
      <c r="C634" s="289"/>
      <c r="D634" s="289"/>
      <c r="G634" s="289"/>
      <c r="H634" s="290"/>
      <c r="J634" s="289"/>
      <c r="K634" s="289"/>
      <c r="L634" s="289"/>
      <c r="M634" s="286"/>
      <c r="N634" s="287"/>
      <c r="O634" s="287"/>
      <c r="V634" s="288"/>
    </row>
    <row r="635" spans="3:22" ht="15.75" customHeight="1">
      <c r="C635" s="289"/>
      <c r="D635" s="289"/>
      <c r="G635" s="289"/>
      <c r="H635" s="290"/>
      <c r="J635" s="289"/>
      <c r="K635" s="289"/>
      <c r="L635" s="289"/>
      <c r="M635" s="286"/>
      <c r="N635" s="287"/>
      <c r="O635" s="287"/>
      <c r="V635" s="288"/>
    </row>
    <row r="636" spans="3:22" ht="15.75" customHeight="1">
      <c r="C636" s="289"/>
      <c r="D636" s="289"/>
      <c r="G636" s="289"/>
      <c r="H636" s="290"/>
      <c r="J636" s="289"/>
      <c r="K636" s="289"/>
      <c r="L636" s="289"/>
      <c r="M636" s="286"/>
      <c r="N636" s="287"/>
      <c r="O636" s="287"/>
      <c r="V636" s="288"/>
    </row>
    <row r="637" spans="3:22" ht="15.75" customHeight="1">
      <c r="C637" s="289"/>
      <c r="D637" s="289"/>
      <c r="G637" s="289"/>
      <c r="H637" s="290"/>
      <c r="J637" s="289"/>
      <c r="K637" s="289"/>
      <c r="L637" s="289"/>
      <c r="M637" s="286"/>
      <c r="N637" s="287"/>
      <c r="O637" s="287"/>
      <c r="V637" s="288"/>
    </row>
    <row r="638" spans="3:22" ht="15.75" customHeight="1">
      <c r="C638" s="289"/>
      <c r="D638" s="289"/>
      <c r="G638" s="289"/>
      <c r="H638" s="290"/>
      <c r="J638" s="289"/>
      <c r="K638" s="289"/>
      <c r="L638" s="289"/>
      <c r="M638" s="286"/>
      <c r="N638" s="287"/>
      <c r="O638" s="287"/>
      <c r="V638" s="288"/>
    </row>
    <row r="639" spans="3:22" ht="15.75" customHeight="1">
      <c r="C639" s="289"/>
      <c r="D639" s="289"/>
      <c r="G639" s="289"/>
      <c r="H639" s="290"/>
      <c r="J639" s="289"/>
      <c r="K639" s="289"/>
      <c r="L639" s="289"/>
      <c r="M639" s="286"/>
      <c r="N639" s="287"/>
      <c r="O639" s="287"/>
      <c r="V639" s="288"/>
    </row>
    <row r="640" spans="3:22" ht="15.75" customHeight="1">
      <c r="C640" s="289"/>
      <c r="D640" s="289"/>
      <c r="G640" s="289"/>
      <c r="H640" s="290"/>
      <c r="J640" s="289"/>
      <c r="K640" s="289"/>
      <c r="L640" s="289"/>
      <c r="M640" s="286"/>
      <c r="N640" s="287"/>
      <c r="O640" s="287"/>
      <c r="V640" s="288"/>
    </row>
    <row r="641" spans="3:22" ht="15.75" customHeight="1">
      <c r="C641" s="289"/>
      <c r="D641" s="289"/>
      <c r="G641" s="289"/>
      <c r="H641" s="290"/>
      <c r="J641" s="289"/>
      <c r="K641" s="289"/>
      <c r="L641" s="289"/>
      <c r="M641" s="286"/>
      <c r="N641" s="287"/>
      <c r="O641" s="287"/>
      <c r="V641" s="288"/>
    </row>
    <row r="642" spans="3:22" ht="15.75" customHeight="1">
      <c r="C642" s="289"/>
      <c r="D642" s="289"/>
      <c r="G642" s="289"/>
      <c r="H642" s="290"/>
      <c r="J642" s="289"/>
      <c r="K642" s="289"/>
      <c r="L642" s="289"/>
      <c r="M642" s="286"/>
      <c r="N642" s="287"/>
      <c r="O642" s="287"/>
      <c r="V642" s="288"/>
    </row>
    <row r="643" spans="3:22" ht="15.75" customHeight="1">
      <c r="C643" s="289"/>
      <c r="D643" s="289"/>
      <c r="G643" s="289"/>
      <c r="H643" s="290"/>
      <c r="J643" s="289"/>
      <c r="K643" s="289"/>
      <c r="L643" s="289"/>
      <c r="M643" s="286"/>
      <c r="N643" s="287"/>
      <c r="O643" s="287"/>
      <c r="V643" s="288"/>
    </row>
    <row r="644" spans="3:22" ht="15.75" customHeight="1">
      <c r="C644" s="289"/>
      <c r="D644" s="289"/>
      <c r="G644" s="289"/>
      <c r="H644" s="290"/>
      <c r="J644" s="289"/>
      <c r="K644" s="289"/>
      <c r="L644" s="289"/>
      <c r="M644" s="286"/>
      <c r="N644" s="287"/>
      <c r="O644" s="287"/>
      <c r="V644" s="288"/>
    </row>
    <row r="645" spans="3:22" ht="15.75" customHeight="1">
      <c r="C645" s="289"/>
      <c r="D645" s="289"/>
      <c r="G645" s="289"/>
      <c r="H645" s="290"/>
      <c r="J645" s="289"/>
      <c r="K645" s="289"/>
      <c r="L645" s="289"/>
      <c r="M645" s="286"/>
      <c r="N645" s="287"/>
      <c r="O645" s="287"/>
      <c r="V645" s="288"/>
    </row>
    <row r="646" spans="3:22" ht="15.75" customHeight="1">
      <c r="C646" s="289"/>
      <c r="D646" s="289"/>
      <c r="G646" s="289"/>
      <c r="H646" s="290"/>
      <c r="J646" s="289"/>
      <c r="K646" s="289"/>
      <c r="L646" s="289"/>
      <c r="M646" s="286"/>
      <c r="N646" s="287"/>
      <c r="O646" s="287"/>
      <c r="V646" s="288"/>
    </row>
    <row r="647" spans="3:22" ht="15.75" customHeight="1">
      <c r="C647" s="289"/>
      <c r="D647" s="289"/>
      <c r="G647" s="289"/>
      <c r="H647" s="290"/>
      <c r="J647" s="289"/>
      <c r="K647" s="289"/>
      <c r="L647" s="289"/>
      <c r="M647" s="286"/>
      <c r="N647" s="287"/>
      <c r="O647" s="287"/>
      <c r="V647" s="288"/>
    </row>
    <row r="648" spans="3:22" ht="15.75" customHeight="1">
      <c r="C648" s="289"/>
      <c r="D648" s="289"/>
      <c r="G648" s="289"/>
      <c r="H648" s="290"/>
      <c r="J648" s="289"/>
      <c r="K648" s="289"/>
      <c r="L648" s="289"/>
      <c r="M648" s="286"/>
      <c r="N648" s="287"/>
      <c r="O648" s="287"/>
      <c r="V648" s="288"/>
    </row>
    <row r="649" spans="3:22" ht="15.75" customHeight="1">
      <c r="C649" s="289"/>
      <c r="D649" s="289"/>
      <c r="G649" s="289"/>
      <c r="H649" s="290"/>
      <c r="J649" s="289"/>
      <c r="K649" s="289"/>
      <c r="L649" s="289"/>
      <c r="M649" s="286"/>
      <c r="N649" s="287"/>
      <c r="O649" s="287"/>
      <c r="V649" s="288"/>
    </row>
    <row r="650" spans="3:22" ht="15.75" customHeight="1">
      <c r="C650" s="289"/>
      <c r="D650" s="289"/>
      <c r="G650" s="289"/>
      <c r="H650" s="290"/>
      <c r="J650" s="289"/>
      <c r="K650" s="289"/>
      <c r="L650" s="289"/>
      <c r="M650" s="286"/>
      <c r="N650" s="287"/>
      <c r="O650" s="287"/>
      <c r="V650" s="288"/>
    </row>
    <row r="651" spans="3:22" ht="15.75" customHeight="1">
      <c r="C651" s="289"/>
      <c r="D651" s="289"/>
      <c r="G651" s="289"/>
      <c r="H651" s="290"/>
      <c r="J651" s="289"/>
      <c r="K651" s="289"/>
      <c r="L651" s="289"/>
      <c r="M651" s="286"/>
      <c r="N651" s="287"/>
      <c r="O651" s="287"/>
      <c r="V651" s="288"/>
    </row>
    <row r="652" spans="3:22" ht="15.75" customHeight="1">
      <c r="C652" s="289"/>
      <c r="D652" s="289"/>
      <c r="G652" s="289"/>
      <c r="H652" s="290"/>
      <c r="J652" s="289"/>
      <c r="K652" s="289"/>
      <c r="L652" s="289"/>
      <c r="M652" s="286"/>
      <c r="N652" s="287"/>
      <c r="O652" s="287"/>
      <c r="V652" s="288"/>
    </row>
    <row r="653" spans="3:22" ht="15.75" customHeight="1">
      <c r="C653" s="289"/>
      <c r="D653" s="289"/>
      <c r="G653" s="289"/>
      <c r="H653" s="290"/>
      <c r="J653" s="289"/>
      <c r="K653" s="289"/>
      <c r="L653" s="289"/>
      <c r="M653" s="286"/>
      <c r="N653" s="287"/>
      <c r="O653" s="287"/>
      <c r="V653" s="288"/>
    </row>
    <row r="654" spans="3:22" ht="15.75" customHeight="1">
      <c r="C654" s="289"/>
      <c r="D654" s="289"/>
      <c r="G654" s="289"/>
      <c r="H654" s="290"/>
      <c r="J654" s="289"/>
      <c r="K654" s="289"/>
      <c r="L654" s="289"/>
      <c r="M654" s="286"/>
      <c r="N654" s="287"/>
      <c r="O654" s="287"/>
      <c r="V654" s="288"/>
    </row>
    <row r="655" spans="3:22" ht="15.75" customHeight="1">
      <c r="C655" s="289"/>
      <c r="D655" s="289"/>
      <c r="G655" s="289"/>
      <c r="H655" s="290"/>
      <c r="J655" s="289"/>
      <c r="K655" s="289"/>
      <c r="L655" s="289"/>
      <c r="M655" s="286"/>
      <c r="N655" s="287"/>
      <c r="O655" s="287"/>
      <c r="V655" s="288"/>
    </row>
    <row r="656" spans="3:22" ht="15.75" customHeight="1">
      <c r="C656" s="289"/>
      <c r="D656" s="289"/>
      <c r="G656" s="289"/>
      <c r="H656" s="290"/>
      <c r="J656" s="289"/>
      <c r="K656" s="289"/>
      <c r="L656" s="289"/>
      <c r="M656" s="286"/>
      <c r="N656" s="287"/>
      <c r="O656" s="287"/>
      <c r="V656" s="288"/>
    </row>
    <row r="657" spans="3:22" ht="15.75" customHeight="1">
      <c r="C657" s="289"/>
      <c r="D657" s="289"/>
      <c r="G657" s="289"/>
      <c r="H657" s="290"/>
      <c r="J657" s="289"/>
      <c r="K657" s="289"/>
      <c r="L657" s="289"/>
      <c r="M657" s="286"/>
      <c r="N657" s="287"/>
      <c r="O657" s="287"/>
      <c r="V657" s="288"/>
    </row>
    <row r="658" spans="3:22" ht="15.75" customHeight="1">
      <c r="C658" s="289"/>
      <c r="D658" s="289"/>
      <c r="G658" s="289"/>
      <c r="H658" s="290"/>
      <c r="J658" s="289"/>
      <c r="K658" s="289"/>
      <c r="L658" s="289"/>
      <c r="M658" s="286"/>
      <c r="N658" s="287"/>
      <c r="O658" s="287"/>
      <c r="V658" s="288"/>
    </row>
    <row r="659" spans="3:22" ht="15.75" customHeight="1">
      <c r="C659" s="289"/>
      <c r="D659" s="289"/>
      <c r="G659" s="289"/>
      <c r="H659" s="290"/>
      <c r="J659" s="289"/>
      <c r="K659" s="289"/>
      <c r="L659" s="289"/>
      <c r="M659" s="286"/>
      <c r="N659" s="287"/>
      <c r="O659" s="287"/>
      <c r="V659" s="288"/>
    </row>
    <row r="660" spans="3:22" ht="15.75" customHeight="1">
      <c r="C660" s="289"/>
      <c r="D660" s="289"/>
      <c r="G660" s="289"/>
      <c r="H660" s="290"/>
      <c r="J660" s="289"/>
      <c r="K660" s="289"/>
      <c r="L660" s="289"/>
      <c r="M660" s="286"/>
      <c r="N660" s="287"/>
      <c r="O660" s="287"/>
      <c r="V660" s="288"/>
    </row>
    <row r="661" spans="3:22" ht="15.75" customHeight="1">
      <c r="C661" s="289"/>
      <c r="D661" s="289"/>
      <c r="G661" s="289"/>
      <c r="H661" s="290"/>
      <c r="J661" s="289"/>
      <c r="K661" s="289"/>
      <c r="L661" s="289"/>
      <c r="M661" s="286"/>
      <c r="N661" s="287"/>
      <c r="O661" s="287"/>
      <c r="V661" s="288"/>
    </row>
    <row r="662" spans="3:22" ht="15.75" customHeight="1">
      <c r="C662" s="289"/>
      <c r="D662" s="289"/>
      <c r="G662" s="289"/>
      <c r="H662" s="290"/>
      <c r="J662" s="289"/>
      <c r="K662" s="289"/>
      <c r="L662" s="289"/>
      <c r="M662" s="286"/>
      <c r="N662" s="287"/>
      <c r="O662" s="287"/>
      <c r="V662" s="288"/>
    </row>
    <row r="663" spans="3:22" ht="15.75" customHeight="1">
      <c r="C663" s="289"/>
      <c r="D663" s="289"/>
      <c r="G663" s="289"/>
      <c r="H663" s="290"/>
      <c r="J663" s="289"/>
      <c r="K663" s="289"/>
      <c r="L663" s="289"/>
      <c r="M663" s="286"/>
      <c r="N663" s="287"/>
      <c r="O663" s="287"/>
      <c r="V663" s="288"/>
    </row>
    <row r="664" spans="3:22" ht="15.75" customHeight="1">
      <c r="C664" s="289"/>
      <c r="D664" s="289"/>
      <c r="G664" s="289"/>
      <c r="H664" s="290"/>
      <c r="J664" s="289"/>
      <c r="K664" s="289"/>
      <c r="L664" s="289"/>
      <c r="M664" s="286"/>
      <c r="N664" s="287"/>
      <c r="O664" s="287"/>
      <c r="V664" s="288"/>
    </row>
    <row r="665" spans="3:22" ht="15.75" customHeight="1">
      <c r="C665" s="289"/>
      <c r="D665" s="289"/>
      <c r="G665" s="289"/>
      <c r="H665" s="290"/>
      <c r="J665" s="289"/>
      <c r="K665" s="289"/>
      <c r="L665" s="289"/>
      <c r="M665" s="286"/>
      <c r="N665" s="287"/>
      <c r="O665" s="287"/>
      <c r="V665" s="288"/>
    </row>
    <row r="666" spans="3:22" ht="15.75" customHeight="1">
      <c r="C666" s="289"/>
      <c r="D666" s="289"/>
      <c r="G666" s="289"/>
      <c r="H666" s="290"/>
      <c r="J666" s="289"/>
      <c r="K666" s="289"/>
      <c r="L666" s="289"/>
      <c r="M666" s="286"/>
      <c r="N666" s="287"/>
      <c r="O666" s="287"/>
      <c r="V666" s="288"/>
    </row>
    <row r="667" spans="3:22" ht="15.75" customHeight="1">
      <c r="C667" s="289"/>
      <c r="D667" s="289"/>
      <c r="G667" s="289"/>
      <c r="H667" s="290"/>
      <c r="J667" s="289"/>
      <c r="K667" s="289"/>
      <c r="L667" s="289"/>
      <c r="M667" s="286"/>
      <c r="N667" s="287"/>
      <c r="O667" s="287"/>
      <c r="V667" s="288"/>
    </row>
    <row r="668" spans="3:22" ht="15.75" customHeight="1">
      <c r="C668" s="289"/>
      <c r="D668" s="289"/>
      <c r="G668" s="289"/>
      <c r="H668" s="290"/>
      <c r="J668" s="289"/>
      <c r="K668" s="289"/>
      <c r="L668" s="289"/>
      <c r="M668" s="286"/>
      <c r="N668" s="287"/>
      <c r="O668" s="287"/>
      <c r="V668" s="288"/>
    </row>
    <row r="669" spans="3:22" ht="15.75" customHeight="1">
      <c r="C669" s="289"/>
      <c r="D669" s="289"/>
      <c r="G669" s="289"/>
      <c r="H669" s="290"/>
      <c r="J669" s="289"/>
      <c r="K669" s="289"/>
      <c r="L669" s="289"/>
      <c r="M669" s="286"/>
      <c r="N669" s="287"/>
      <c r="O669" s="287"/>
      <c r="V669" s="288"/>
    </row>
    <row r="670" spans="3:22" ht="15.75" customHeight="1">
      <c r="C670" s="289"/>
      <c r="D670" s="289"/>
      <c r="G670" s="289"/>
      <c r="H670" s="290"/>
      <c r="J670" s="289"/>
      <c r="K670" s="289"/>
      <c r="L670" s="289"/>
      <c r="M670" s="286"/>
      <c r="N670" s="287"/>
      <c r="O670" s="287"/>
      <c r="V670" s="288"/>
    </row>
    <row r="671" spans="3:22" ht="15.75" customHeight="1">
      <c r="C671" s="289"/>
      <c r="D671" s="289"/>
      <c r="G671" s="289"/>
      <c r="H671" s="290"/>
      <c r="J671" s="289"/>
      <c r="K671" s="289"/>
      <c r="L671" s="289"/>
      <c r="M671" s="286"/>
      <c r="N671" s="287"/>
      <c r="O671" s="287"/>
      <c r="V671" s="288"/>
    </row>
    <row r="672" spans="3:22" ht="15.75" customHeight="1">
      <c r="C672" s="289"/>
      <c r="D672" s="289"/>
      <c r="G672" s="289"/>
      <c r="H672" s="290"/>
      <c r="J672" s="289"/>
      <c r="K672" s="289"/>
      <c r="L672" s="289"/>
      <c r="M672" s="286"/>
      <c r="N672" s="287"/>
      <c r="O672" s="287"/>
      <c r="V672" s="288"/>
    </row>
    <row r="673" spans="3:22" ht="15.75" customHeight="1">
      <c r="C673" s="289"/>
      <c r="D673" s="289"/>
      <c r="G673" s="289"/>
      <c r="H673" s="290"/>
      <c r="J673" s="289"/>
      <c r="K673" s="289"/>
      <c r="L673" s="289"/>
      <c r="M673" s="286"/>
      <c r="N673" s="287"/>
      <c r="O673" s="287"/>
      <c r="V673" s="288"/>
    </row>
    <row r="674" spans="3:22" ht="15.75" customHeight="1">
      <c r="C674" s="289"/>
      <c r="D674" s="289"/>
      <c r="G674" s="289"/>
      <c r="H674" s="290"/>
      <c r="J674" s="289"/>
      <c r="K674" s="289"/>
      <c r="L674" s="289"/>
      <c r="M674" s="286"/>
      <c r="N674" s="287"/>
      <c r="O674" s="287"/>
      <c r="V674" s="288"/>
    </row>
    <row r="675" spans="3:22" ht="15.75" customHeight="1">
      <c r="C675" s="289"/>
      <c r="D675" s="289"/>
      <c r="G675" s="289"/>
      <c r="H675" s="290"/>
      <c r="J675" s="289"/>
      <c r="K675" s="289"/>
      <c r="L675" s="289"/>
      <c r="M675" s="286"/>
      <c r="N675" s="287"/>
      <c r="O675" s="287"/>
      <c r="V675" s="288"/>
    </row>
    <row r="676" spans="3:22" ht="15.75" customHeight="1">
      <c r="C676" s="289"/>
      <c r="D676" s="289"/>
      <c r="G676" s="289"/>
      <c r="H676" s="290"/>
      <c r="J676" s="289"/>
      <c r="K676" s="289"/>
      <c r="L676" s="289"/>
      <c r="M676" s="286"/>
      <c r="N676" s="287"/>
      <c r="O676" s="287"/>
      <c r="V676" s="288"/>
    </row>
    <row r="677" spans="3:22" ht="15.75" customHeight="1">
      <c r="C677" s="289"/>
      <c r="D677" s="289"/>
      <c r="G677" s="289"/>
      <c r="H677" s="290"/>
      <c r="J677" s="289"/>
      <c r="K677" s="289"/>
      <c r="L677" s="289"/>
      <c r="M677" s="286"/>
      <c r="N677" s="287"/>
      <c r="O677" s="287"/>
      <c r="V677" s="288"/>
    </row>
    <row r="678" spans="3:22" ht="15.75" customHeight="1">
      <c r="C678" s="289"/>
      <c r="D678" s="289"/>
      <c r="G678" s="289"/>
      <c r="H678" s="290"/>
      <c r="J678" s="289"/>
      <c r="K678" s="289"/>
      <c r="L678" s="289"/>
      <c r="M678" s="286"/>
      <c r="N678" s="287"/>
      <c r="O678" s="287"/>
      <c r="V678" s="288"/>
    </row>
    <row r="679" spans="3:22" ht="15.75" customHeight="1">
      <c r="C679" s="289"/>
      <c r="D679" s="289"/>
      <c r="G679" s="289"/>
      <c r="H679" s="290"/>
      <c r="J679" s="289"/>
      <c r="K679" s="289"/>
      <c r="L679" s="289"/>
      <c r="M679" s="286"/>
      <c r="N679" s="287"/>
      <c r="O679" s="287"/>
      <c r="V679" s="288"/>
    </row>
    <row r="680" spans="3:22" ht="15.75" customHeight="1">
      <c r="C680" s="289"/>
      <c r="D680" s="289"/>
      <c r="G680" s="289"/>
      <c r="H680" s="290"/>
      <c r="J680" s="289"/>
      <c r="K680" s="289"/>
      <c r="L680" s="289"/>
      <c r="M680" s="286"/>
      <c r="N680" s="287"/>
      <c r="O680" s="287"/>
      <c r="V680" s="288"/>
    </row>
    <row r="681" spans="3:22" ht="15.75" customHeight="1">
      <c r="C681" s="289"/>
      <c r="D681" s="289"/>
      <c r="G681" s="289"/>
      <c r="H681" s="290"/>
      <c r="J681" s="289"/>
      <c r="K681" s="289"/>
      <c r="L681" s="289"/>
      <c r="M681" s="286"/>
      <c r="N681" s="287"/>
      <c r="O681" s="287"/>
      <c r="V681" s="288"/>
    </row>
    <row r="682" spans="3:22" ht="15.75" customHeight="1">
      <c r="C682" s="289"/>
      <c r="D682" s="289"/>
      <c r="G682" s="289"/>
      <c r="H682" s="290"/>
      <c r="J682" s="289"/>
      <c r="K682" s="289"/>
      <c r="L682" s="289"/>
      <c r="M682" s="286"/>
      <c r="N682" s="287"/>
      <c r="O682" s="287"/>
      <c r="V682" s="288"/>
    </row>
    <row r="683" spans="3:22" ht="15.75" customHeight="1">
      <c r="C683" s="289"/>
      <c r="D683" s="289"/>
      <c r="G683" s="289"/>
      <c r="H683" s="290"/>
      <c r="J683" s="289"/>
      <c r="K683" s="289"/>
      <c r="L683" s="289"/>
      <c r="M683" s="286"/>
      <c r="N683" s="287"/>
      <c r="O683" s="287"/>
      <c r="V683" s="288"/>
    </row>
    <row r="684" spans="3:22" ht="15.75" customHeight="1">
      <c r="C684" s="289"/>
      <c r="D684" s="289"/>
      <c r="G684" s="289"/>
      <c r="H684" s="290"/>
      <c r="J684" s="289"/>
      <c r="K684" s="289"/>
      <c r="L684" s="289"/>
      <c r="M684" s="286"/>
      <c r="N684" s="287"/>
      <c r="O684" s="287"/>
      <c r="V684" s="288"/>
    </row>
    <row r="685" spans="3:22" ht="15.75" customHeight="1">
      <c r="C685" s="289"/>
      <c r="D685" s="289"/>
      <c r="G685" s="289"/>
      <c r="H685" s="290"/>
      <c r="J685" s="289"/>
      <c r="K685" s="289"/>
      <c r="L685" s="289"/>
      <c r="M685" s="286"/>
      <c r="N685" s="287"/>
      <c r="O685" s="287"/>
      <c r="V685" s="288"/>
    </row>
    <row r="686" spans="3:22" ht="15.75" customHeight="1">
      <c r="C686" s="289"/>
      <c r="D686" s="289"/>
      <c r="G686" s="289"/>
      <c r="H686" s="290"/>
      <c r="J686" s="289"/>
      <c r="K686" s="289"/>
      <c r="L686" s="289"/>
      <c r="M686" s="286"/>
      <c r="N686" s="287"/>
      <c r="O686" s="287"/>
      <c r="V686" s="288"/>
    </row>
    <row r="687" spans="3:22" ht="15.75" customHeight="1">
      <c r="C687" s="289"/>
      <c r="D687" s="289"/>
      <c r="G687" s="289"/>
      <c r="H687" s="290"/>
      <c r="J687" s="289"/>
      <c r="K687" s="289"/>
      <c r="L687" s="289"/>
      <c r="M687" s="286"/>
      <c r="N687" s="287"/>
      <c r="O687" s="287"/>
      <c r="V687" s="288"/>
    </row>
    <row r="688" spans="3:22" ht="15.75" customHeight="1">
      <c r="C688" s="289"/>
      <c r="D688" s="289"/>
      <c r="G688" s="289"/>
      <c r="H688" s="290"/>
      <c r="J688" s="289"/>
      <c r="K688" s="289"/>
      <c r="L688" s="289"/>
      <c r="M688" s="286"/>
      <c r="N688" s="287"/>
      <c r="O688" s="287"/>
      <c r="V688" s="288"/>
    </row>
    <row r="689" spans="3:22" ht="15.75" customHeight="1">
      <c r="C689" s="289"/>
      <c r="D689" s="289"/>
      <c r="G689" s="289"/>
      <c r="H689" s="290"/>
      <c r="J689" s="289"/>
      <c r="K689" s="289"/>
      <c r="L689" s="289"/>
      <c r="M689" s="286"/>
      <c r="N689" s="287"/>
      <c r="O689" s="287"/>
      <c r="V689" s="288"/>
    </row>
    <row r="690" spans="3:22" ht="15.75" customHeight="1">
      <c r="C690" s="289"/>
      <c r="D690" s="289"/>
      <c r="G690" s="289"/>
      <c r="H690" s="290"/>
      <c r="J690" s="289"/>
      <c r="K690" s="289"/>
      <c r="L690" s="289"/>
      <c r="M690" s="286"/>
      <c r="N690" s="287"/>
      <c r="O690" s="287"/>
      <c r="V690" s="288"/>
    </row>
    <row r="691" spans="3:22" ht="15.75" customHeight="1">
      <c r="C691" s="289"/>
      <c r="D691" s="289"/>
      <c r="G691" s="289"/>
      <c r="H691" s="290"/>
      <c r="J691" s="289"/>
      <c r="K691" s="289"/>
      <c r="L691" s="289"/>
      <c r="M691" s="286"/>
      <c r="N691" s="287"/>
      <c r="O691" s="287"/>
      <c r="V691" s="288"/>
    </row>
    <row r="692" spans="3:22" ht="15.75" customHeight="1">
      <c r="C692" s="289"/>
      <c r="D692" s="289"/>
      <c r="G692" s="289"/>
      <c r="H692" s="290"/>
      <c r="J692" s="289"/>
      <c r="K692" s="289"/>
      <c r="L692" s="289"/>
      <c r="M692" s="286"/>
      <c r="N692" s="287"/>
      <c r="O692" s="287"/>
      <c r="V692" s="288"/>
    </row>
    <row r="693" spans="3:22" ht="15.75" customHeight="1">
      <c r="C693" s="289"/>
      <c r="D693" s="289"/>
      <c r="G693" s="289"/>
      <c r="H693" s="290"/>
      <c r="J693" s="289"/>
      <c r="K693" s="289"/>
      <c r="L693" s="289"/>
      <c r="M693" s="286"/>
      <c r="N693" s="287"/>
      <c r="O693" s="287"/>
      <c r="V693" s="288"/>
    </row>
    <row r="694" spans="3:22" ht="15.75" customHeight="1">
      <c r="C694" s="289"/>
      <c r="D694" s="289"/>
      <c r="G694" s="289"/>
      <c r="H694" s="290"/>
      <c r="J694" s="289"/>
      <c r="K694" s="289"/>
      <c r="L694" s="289"/>
      <c r="M694" s="286"/>
      <c r="N694" s="287"/>
      <c r="O694" s="287"/>
      <c r="V694" s="288"/>
    </row>
    <row r="695" spans="3:22" ht="15.75" customHeight="1">
      <c r="C695" s="289"/>
      <c r="D695" s="289"/>
      <c r="G695" s="289"/>
      <c r="H695" s="290"/>
      <c r="J695" s="289"/>
      <c r="K695" s="289"/>
      <c r="L695" s="289"/>
      <c r="M695" s="286"/>
      <c r="N695" s="287"/>
      <c r="O695" s="287"/>
      <c r="V695" s="288"/>
    </row>
    <row r="696" spans="3:22" ht="15.75" customHeight="1">
      <c r="C696" s="289"/>
      <c r="D696" s="289"/>
      <c r="G696" s="289"/>
      <c r="H696" s="290"/>
      <c r="J696" s="289"/>
      <c r="K696" s="289"/>
      <c r="L696" s="289"/>
      <c r="M696" s="286"/>
      <c r="N696" s="287"/>
      <c r="O696" s="287"/>
      <c r="V696" s="288"/>
    </row>
    <row r="697" spans="3:22" ht="15.75" customHeight="1">
      <c r="C697" s="289"/>
      <c r="D697" s="289"/>
      <c r="G697" s="289"/>
      <c r="H697" s="290"/>
      <c r="J697" s="289"/>
      <c r="K697" s="289"/>
      <c r="L697" s="289"/>
      <c r="M697" s="286"/>
      <c r="N697" s="287"/>
      <c r="O697" s="287"/>
      <c r="V697" s="288"/>
    </row>
    <row r="698" spans="3:22" ht="15.75" customHeight="1">
      <c r="C698" s="289"/>
      <c r="D698" s="289"/>
      <c r="G698" s="289"/>
      <c r="H698" s="290"/>
      <c r="J698" s="289"/>
      <c r="K698" s="289"/>
      <c r="L698" s="289"/>
      <c r="M698" s="286"/>
      <c r="N698" s="287"/>
      <c r="O698" s="287"/>
      <c r="V698" s="288"/>
    </row>
    <row r="699" spans="3:22" ht="15.75" customHeight="1">
      <c r="C699" s="289"/>
      <c r="D699" s="289"/>
      <c r="G699" s="289"/>
      <c r="H699" s="290"/>
      <c r="J699" s="289"/>
      <c r="K699" s="289"/>
      <c r="L699" s="289"/>
      <c r="M699" s="286"/>
      <c r="N699" s="287"/>
      <c r="O699" s="287"/>
      <c r="V699" s="288"/>
    </row>
    <row r="700" spans="3:22" ht="15.75" customHeight="1">
      <c r="C700" s="289"/>
      <c r="D700" s="289"/>
      <c r="G700" s="289"/>
      <c r="H700" s="290"/>
      <c r="J700" s="289"/>
      <c r="K700" s="289"/>
      <c r="L700" s="289"/>
      <c r="M700" s="286"/>
      <c r="N700" s="287"/>
      <c r="O700" s="287"/>
      <c r="V700" s="288"/>
    </row>
    <row r="701" spans="3:22" ht="15.75" customHeight="1">
      <c r="C701" s="289"/>
      <c r="D701" s="289"/>
      <c r="G701" s="289"/>
      <c r="H701" s="290"/>
      <c r="J701" s="289"/>
      <c r="K701" s="289"/>
      <c r="L701" s="289"/>
      <c r="M701" s="286"/>
      <c r="N701" s="287"/>
      <c r="O701" s="287"/>
      <c r="V701" s="288"/>
    </row>
    <row r="702" spans="3:22" ht="15.75" customHeight="1">
      <c r="C702" s="289"/>
      <c r="D702" s="289"/>
      <c r="G702" s="289"/>
      <c r="H702" s="290"/>
      <c r="J702" s="289"/>
      <c r="K702" s="289"/>
      <c r="L702" s="289"/>
      <c r="M702" s="286"/>
      <c r="N702" s="287"/>
      <c r="O702" s="287"/>
      <c r="V702" s="288"/>
    </row>
    <row r="703" spans="3:22" ht="15.75" customHeight="1">
      <c r="C703" s="289"/>
      <c r="D703" s="289"/>
      <c r="G703" s="289"/>
      <c r="H703" s="290"/>
      <c r="J703" s="289"/>
      <c r="K703" s="289"/>
      <c r="L703" s="289"/>
      <c r="M703" s="286"/>
      <c r="N703" s="287"/>
      <c r="O703" s="287"/>
      <c r="V703" s="288"/>
    </row>
    <row r="704" spans="3:22" ht="15.75" customHeight="1">
      <c r="C704" s="289"/>
      <c r="D704" s="289"/>
      <c r="G704" s="289"/>
      <c r="H704" s="290"/>
      <c r="J704" s="289"/>
      <c r="K704" s="289"/>
      <c r="L704" s="289"/>
      <c r="M704" s="286"/>
      <c r="N704" s="287"/>
      <c r="O704" s="287"/>
      <c r="V704" s="288"/>
    </row>
    <row r="705" spans="3:22" ht="15.75" customHeight="1">
      <c r="C705" s="289"/>
      <c r="D705" s="289"/>
      <c r="G705" s="289"/>
      <c r="H705" s="290"/>
      <c r="J705" s="289"/>
      <c r="K705" s="289"/>
      <c r="L705" s="289"/>
      <c r="M705" s="286"/>
      <c r="N705" s="287"/>
      <c r="O705" s="287"/>
      <c r="V705" s="288"/>
    </row>
    <row r="706" spans="3:22" ht="15.75" customHeight="1">
      <c r="C706" s="289"/>
      <c r="D706" s="289"/>
      <c r="G706" s="289"/>
      <c r="H706" s="290"/>
      <c r="J706" s="289"/>
      <c r="K706" s="289"/>
      <c r="L706" s="289"/>
      <c r="M706" s="286"/>
      <c r="N706" s="287"/>
      <c r="O706" s="287"/>
      <c r="V706" s="288"/>
    </row>
    <row r="707" spans="3:22" ht="15.75" customHeight="1">
      <c r="C707" s="289"/>
      <c r="D707" s="289"/>
      <c r="G707" s="289"/>
      <c r="H707" s="290"/>
      <c r="J707" s="289"/>
      <c r="K707" s="289"/>
      <c r="L707" s="289"/>
      <c r="M707" s="286"/>
      <c r="N707" s="287"/>
      <c r="O707" s="287"/>
      <c r="V707" s="288"/>
    </row>
    <row r="708" spans="3:22" ht="15.75" customHeight="1">
      <c r="C708" s="289"/>
      <c r="D708" s="289"/>
      <c r="G708" s="289"/>
      <c r="H708" s="290"/>
      <c r="J708" s="289"/>
      <c r="K708" s="289"/>
      <c r="L708" s="289"/>
      <c r="M708" s="286"/>
      <c r="N708" s="287"/>
      <c r="O708" s="287"/>
      <c r="V708" s="288"/>
    </row>
    <row r="709" spans="3:22" ht="15.75" customHeight="1">
      <c r="C709" s="289"/>
      <c r="D709" s="289"/>
      <c r="G709" s="289"/>
      <c r="H709" s="290"/>
      <c r="J709" s="289"/>
      <c r="K709" s="289"/>
      <c r="L709" s="289"/>
      <c r="M709" s="286"/>
      <c r="N709" s="287"/>
      <c r="O709" s="287"/>
      <c r="V709" s="288"/>
    </row>
    <row r="710" spans="3:22" ht="15.75" customHeight="1">
      <c r="C710" s="289"/>
      <c r="D710" s="289"/>
      <c r="G710" s="289"/>
      <c r="H710" s="290"/>
      <c r="J710" s="289"/>
      <c r="K710" s="289"/>
      <c r="L710" s="289"/>
      <c r="M710" s="286"/>
      <c r="N710" s="287"/>
      <c r="O710" s="287"/>
      <c r="V710" s="288"/>
    </row>
    <row r="711" spans="3:22" ht="15.75" customHeight="1">
      <c r="C711" s="289"/>
      <c r="D711" s="289"/>
      <c r="G711" s="289"/>
      <c r="H711" s="290"/>
      <c r="J711" s="289"/>
      <c r="K711" s="289"/>
      <c r="L711" s="289"/>
      <c r="M711" s="286"/>
      <c r="N711" s="287"/>
      <c r="O711" s="287"/>
      <c r="V711" s="288"/>
    </row>
    <row r="712" spans="3:22" ht="15.75" customHeight="1">
      <c r="C712" s="289"/>
      <c r="D712" s="289"/>
      <c r="G712" s="289"/>
      <c r="H712" s="290"/>
      <c r="J712" s="289"/>
      <c r="K712" s="289"/>
      <c r="L712" s="289"/>
      <c r="M712" s="286"/>
      <c r="N712" s="287"/>
      <c r="O712" s="287"/>
      <c r="V712" s="288"/>
    </row>
    <row r="713" spans="3:22" ht="15.75" customHeight="1">
      <c r="C713" s="289"/>
      <c r="D713" s="289"/>
      <c r="G713" s="289"/>
      <c r="H713" s="290"/>
      <c r="J713" s="289"/>
      <c r="K713" s="289"/>
      <c r="L713" s="289"/>
      <c r="M713" s="286"/>
      <c r="N713" s="287"/>
      <c r="O713" s="287"/>
      <c r="V713" s="288"/>
    </row>
    <row r="714" spans="3:22" ht="15.75" customHeight="1">
      <c r="C714" s="289"/>
      <c r="D714" s="289"/>
      <c r="G714" s="289"/>
      <c r="H714" s="290"/>
      <c r="J714" s="289"/>
      <c r="K714" s="289"/>
      <c r="L714" s="289"/>
      <c r="M714" s="286"/>
      <c r="N714" s="287"/>
      <c r="O714" s="287"/>
      <c r="V714" s="288"/>
    </row>
    <row r="715" spans="3:22" ht="15.75" customHeight="1">
      <c r="C715" s="289"/>
      <c r="D715" s="289"/>
      <c r="G715" s="289"/>
      <c r="H715" s="290"/>
      <c r="J715" s="289"/>
      <c r="K715" s="289"/>
      <c r="L715" s="289"/>
      <c r="M715" s="286"/>
      <c r="N715" s="287"/>
      <c r="O715" s="287"/>
      <c r="V715" s="288"/>
    </row>
    <row r="716" spans="3:22" ht="15.75" customHeight="1">
      <c r="C716" s="289"/>
      <c r="D716" s="289"/>
      <c r="G716" s="289"/>
      <c r="H716" s="290"/>
      <c r="J716" s="289"/>
      <c r="K716" s="289"/>
      <c r="L716" s="289"/>
      <c r="M716" s="286"/>
      <c r="N716" s="287"/>
      <c r="O716" s="287"/>
      <c r="V716" s="288"/>
    </row>
    <row r="717" spans="3:22" ht="15.75" customHeight="1">
      <c r="C717" s="289"/>
      <c r="D717" s="289"/>
      <c r="G717" s="289"/>
      <c r="H717" s="290"/>
      <c r="J717" s="289"/>
      <c r="K717" s="289"/>
      <c r="L717" s="289"/>
      <c r="M717" s="286"/>
      <c r="N717" s="287"/>
      <c r="O717" s="287"/>
      <c r="V717" s="288"/>
    </row>
    <row r="718" spans="3:22" ht="15.75" customHeight="1">
      <c r="C718" s="289"/>
      <c r="D718" s="289"/>
      <c r="G718" s="289"/>
      <c r="H718" s="290"/>
      <c r="J718" s="289"/>
      <c r="K718" s="289"/>
      <c r="L718" s="289"/>
      <c r="M718" s="286"/>
      <c r="N718" s="287"/>
      <c r="O718" s="287"/>
      <c r="V718" s="288"/>
    </row>
    <row r="719" spans="3:22" ht="15.75" customHeight="1">
      <c r="C719" s="289"/>
      <c r="D719" s="289"/>
      <c r="G719" s="289"/>
      <c r="H719" s="290"/>
      <c r="J719" s="289"/>
      <c r="K719" s="289"/>
      <c r="L719" s="289"/>
      <c r="M719" s="286"/>
      <c r="N719" s="287"/>
      <c r="O719" s="287"/>
      <c r="V719" s="288"/>
    </row>
    <row r="720" spans="3:22" ht="15.75" customHeight="1">
      <c r="C720" s="289"/>
      <c r="D720" s="289"/>
      <c r="G720" s="289"/>
      <c r="H720" s="290"/>
      <c r="J720" s="289"/>
      <c r="K720" s="289"/>
      <c r="L720" s="289"/>
      <c r="M720" s="286"/>
      <c r="N720" s="287"/>
      <c r="O720" s="287"/>
      <c r="V720" s="288"/>
    </row>
    <row r="721" spans="3:22" ht="15.75" customHeight="1">
      <c r="C721" s="289"/>
      <c r="D721" s="289"/>
      <c r="G721" s="289"/>
      <c r="H721" s="290"/>
      <c r="J721" s="289"/>
      <c r="K721" s="289"/>
      <c r="L721" s="289"/>
      <c r="M721" s="286"/>
      <c r="N721" s="287"/>
      <c r="O721" s="287"/>
      <c r="V721" s="288"/>
    </row>
    <row r="722" spans="3:22" ht="15.75" customHeight="1">
      <c r="C722" s="289"/>
      <c r="D722" s="289"/>
      <c r="G722" s="289"/>
      <c r="H722" s="290"/>
      <c r="J722" s="289"/>
      <c r="K722" s="289"/>
      <c r="L722" s="289"/>
      <c r="M722" s="286"/>
      <c r="N722" s="287"/>
      <c r="O722" s="287"/>
      <c r="V722" s="288"/>
    </row>
    <row r="723" spans="3:22" ht="15.75" customHeight="1">
      <c r="C723" s="289"/>
      <c r="D723" s="289"/>
      <c r="G723" s="289"/>
      <c r="H723" s="290"/>
      <c r="J723" s="289"/>
      <c r="K723" s="289"/>
      <c r="L723" s="289"/>
      <c r="M723" s="286"/>
      <c r="N723" s="287"/>
      <c r="O723" s="287"/>
      <c r="V723" s="288"/>
    </row>
    <row r="724" spans="3:22" ht="15.75" customHeight="1">
      <c r="C724" s="289"/>
      <c r="D724" s="289"/>
      <c r="G724" s="289"/>
      <c r="H724" s="290"/>
      <c r="J724" s="289"/>
      <c r="K724" s="289"/>
      <c r="L724" s="289"/>
      <c r="M724" s="286"/>
      <c r="N724" s="287"/>
      <c r="O724" s="287"/>
      <c r="V724" s="288"/>
    </row>
    <row r="725" spans="3:22" ht="15.75" customHeight="1">
      <c r="C725" s="289"/>
      <c r="D725" s="289"/>
      <c r="G725" s="289"/>
      <c r="H725" s="290"/>
      <c r="J725" s="289"/>
      <c r="K725" s="289"/>
      <c r="L725" s="289"/>
      <c r="M725" s="286"/>
      <c r="N725" s="287"/>
      <c r="O725" s="287"/>
      <c r="V725" s="288"/>
    </row>
    <row r="726" spans="3:22" ht="15.75" customHeight="1">
      <c r="C726" s="289"/>
      <c r="D726" s="289"/>
      <c r="G726" s="289"/>
      <c r="H726" s="290"/>
      <c r="J726" s="289"/>
      <c r="K726" s="289"/>
      <c r="L726" s="289"/>
      <c r="M726" s="286"/>
      <c r="N726" s="287"/>
      <c r="O726" s="287"/>
      <c r="V726" s="288"/>
    </row>
    <row r="727" spans="3:22" ht="15.75" customHeight="1">
      <c r="C727" s="289"/>
      <c r="D727" s="289"/>
      <c r="G727" s="289"/>
      <c r="H727" s="290"/>
      <c r="J727" s="289"/>
      <c r="K727" s="289"/>
      <c r="L727" s="289"/>
      <c r="M727" s="286"/>
      <c r="N727" s="287"/>
      <c r="O727" s="287"/>
      <c r="V727" s="288"/>
    </row>
    <row r="728" spans="3:22" ht="15.75" customHeight="1">
      <c r="C728" s="289"/>
      <c r="D728" s="289"/>
      <c r="G728" s="289"/>
      <c r="H728" s="290"/>
      <c r="J728" s="289"/>
      <c r="K728" s="289"/>
      <c r="L728" s="289"/>
      <c r="M728" s="286"/>
      <c r="N728" s="287"/>
      <c r="O728" s="287"/>
      <c r="V728" s="288"/>
    </row>
    <row r="729" spans="3:22" ht="15.75" customHeight="1">
      <c r="C729" s="289"/>
      <c r="D729" s="289"/>
      <c r="G729" s="289"/>
      <c r="H729" s="290"/>
      <c r="J729" s="289"/>
      <c r="K729" s="289"/>
      <c r="L729" s="289"/>
      <c r="M729" s="286"/>
      <c r="N729" s="287"/>
      <c r="O729" s="287"/>
      <c r="V729" s="288"/>
    </row>
    <row r="730" spans="3:22" ht="15.75" customHeight="1">
      <c r="C730" s="289"/>
      <c r="D730" s="289"/>
      <c r="G730" s="289"/>
      <c r="H730" s="290"/>
      <c r="J730" s="289"/>
      <c r="K730" s="289"/>
      <c r="L730" s="289"/>
      <c r="M730" s="286"/>
      <c r="N730" s="287"/>
      <c r="O730" s="287"/>
      <c r="V730" s="288"/>
    </row>
    <row r="731" spans="3:22" ht="15.75" customHeight="1">
      <c r="C731" s="289"/>
      <c r="D731" s="289"/>
      <c r="G731" s="289"/>
      <c r="H731" s="290"/>
      <c r="J731" s="289"/>
      <c r="K731" s="289"/>
      <c r="L731" s="289"/>
      <c r="M731" s="286"/>
      <c r="N731" s="287"/>
      <c r="O731" s="287"/>
      <c r="V731" s="288"/>
    </row>
    <row r="732" spans="3:22" ht="15.75" customHeight="1">
      <c r="C732" s="289"/>
      <c r="D732" s="289"/>
      <c r="G732" s="289"/>
      <c r="H732" s="290"/>
      <c r="J732" s="289"/>
      <c r="K732" s="289"/>
      <c r="L732" s="289"/>
      <c r="M732" s="286"/>
      <c r="N732" s="287"/>
      <c r="O732" s="287"/>
      <c r="V732" s="288"/>
    </row>
    <row r="733" spans="3:22" ht="15.75" customHeight="1">
      <c r="C733" s="289"/>
      <c r="D733" s="289"/>
      <c r="G733" s="289"/>
      <c r="H733" s="290"/>
      <c r="J733" s="289"/>
      <c r="K733" s="289"/>
      <c r="L733" s="289"/>
      <c r="M733" s="286"/>
      <c r="N733" s="287"/>
      <c r="O733" s="287"/>
      <c r="V733" s="288"/>
    </row>
    <row r="734" spans="3:22" ht="15.75" customHeight="1">
      <c r="C734" s="289"/>
      <c r="D734" s="289"/>
      <c r="G734" s="289"/>
      <c r="H734" s="290"/>
      <c r="J734" s="289"/>
      <c r="K734" s="289"/>
      <c r="L734" s="289"/>
      <c r="M734" s="286"/>
      <c r="N734" s="287"/>
      <c r="O734" s="287"/>
      <c r="V734" s="288"/>
    </row>
    <row r="735" spans="3:22" ht="15.75" customHeight="1">
      <c r="C735" s="289"/>
      <c r="D735" s="289"/>
      <c r="G735" s="289"/>
      <c r="H735" s="290"/>
      <c r="J735" s="289"/>
      <c r="K735" s="289"/>
      <c r="L735" s="289"/>
      <c r="M735" s="286"/>
      <c r="N735" s="287"/>
      <c r="O735" s="287"/>
      <c r="V735" s="288"/>
    </row>
    <row r="736" spans="3:22" ht="15.75" customHeight="1">
      <c r="C736" s="289"/>
      <c r="D736" s="289"/>
      <c r="G736" s="289"/>
      <c r="H736" s="290"/>
      <c r="J736" s="289"/>
      <c r="K736" s="289"/>
      <c r="L736" s="289"/>
      <c r="M736" s="286"/>
      <c r="N736" s="287"/>
      <c r="O736" s="287"/>
      <c r="V736" s="288"/>
    </row>
    <row r="737" spans="3:22" ht="15.75" customHeight="1">
      <c r="C737" s="289"/>
      <c r="D737" s="289"/>
      <c r="G737" s="289"/>
      <c r="H737" s="290"/>
      <c r="J737" s="289"/>
      <c r="K737" s="289"/>
      <c r="L737" s="289"/>
      <c r="M737" s="286"/>
      <c r="N737" s="287"/>
      <c r="O737" s="287"/>
      <c r="V737" s="288"/>
    </row>
    <row r="738" spans="3:22" ht="15.75" customHeight="1">
      <c r="C738" s="289"/>
      <c r="D738" s="289"/>
      <c r="G738" s="289"/>
      <c r="H738" s="290"/>
      <c r="J738" s="289"/>
      <c r="K738" s="289"/>
      <c r="L738" s="289"/>
      <c r="M738" s="286"/>
      <c r="N738" s="287"/>
      <c r="O738" s="287"/>
      <c r="V738" s="288"/>
    </row>
    <row r="739" spans="3:22" ht="15.75" customHeight="1">
      <c r="C739" s="289"/>
      <c r="D739" s="289"/>
      <c r="G739" s="289"/>
      <c r="H739" s="290"/>
      <c r="J739" s="289"/>
      <c r="K739" s="289"/>
      <c r="L739" s="289"/>
      <c r="M739" s="286"/>
      <c r="N739" s="287"/>
      <c r="O739" s="287"/>
      <c r="V739" s="288"/>
    </row>
    <row r="740" spans="3:22" ht="15.75" customHeight="1">
      <c r="C740" s="289"/>
      <c r="D740" s="289"/>
      <c r="G740" s="289"/>
      <c r="H740" s="290"/>
      <c r="J740" s="289"/>
      <c r="K740" s="289"/>
      <c r="L740" s="289"/>
      <c r="M740" s="286"/>
      <c r="N740" s="287"/>
      <c r="O740" s="287"/>
      <c r="V740" s="288"/>
    </row>
    <row r="741" spans="3:22" ht="15.75" customHeight="1">
      <c r="C741" s="289"/>
      <c r="D741" s="289"/>
      <c r="G741" s="289"/>
      <c r="H741" s="290"/>
      <c r="J741" s="289"/>
      <c r="K741" s="289"/>
      <c r="L741" s="289"/>
      <c r="M741" s="286"/>
      <c r="N741" s="287"/>
      <c r="O741" s="287"/>
      <c r="V741" s="288"/>
    </row>
    <row r="742" spans="3:22" ht="15.75" customHeight="1">
      <c r="C742" s="289"/>
      <c r="D742" s="289"/>
      <c r="G742" s="289"/>
      <c r="H742" s="290"/>
      <c r="J742" s="289"/>
      <c r="K742" s="289"/>
      <c r="L742" s="289"/>
      <c r="M742" s="286"/>
      <c r="N742" s="287"/>
      <c r="O742" s="287"/>
      <c r="V742" s="288"/>
    </row>
    <row r="743" spans="3:22" ht="15.75" customHeight="1">
      <c r="C743" s="289"/>
      <c r="D743" s="289"/>
      <c r="G743" s="289"/>
      <c r="H743" s="290"/>
      <c r="J743" s="289"/>
      <c r="K743" s="289"/>
      <c r="L743" s="289"/>
      <c r="M743" s="286"/>
      <c r="N743" s="287"/>
      <c r="O743" s="287"/>
      <c r="V743" s="288"/>
    </row>
    <row r="744" spans="3:22" ht="15.75" customHeight="1">
      <c r="C744" s="289"/>
      <c r="D744" s="289"/>
      <c r="G744" s="289"/>
      <c r="H744" s="290"/>
      <c r="J744" s="289"/>
      <c r="K744" s="289"/>
      <c r="L744" s="289"/>
      <c r="M744" s="286"/>
      <c r="N744" s="287"/>
      <c r="O744" s="287"/>
      <c r="V744" s="288"/>
    </row>
    <row r="745" spans="3:22" ht="15.75" customHeight="1">
      <c r="C745" s="289"/>
      <c r="D745" s="289"/>
      <c r="G745" s="289"/>
      <c r="H745" s="290"/>
      <c r="J745" s="289"/>
      <c r="K745" s="289"/>
      <c r="L745" s="289"/>
      <c r="M745" s="286"/>
      <c r="N745" s="287"/>
      <c r="O745" s="287"/>
      <c r="V745" s="288"/>
    </row>
    <row r="746" spans="3:22" ht="15.75" customHeight="1">
      <c r="C746" s="289"/>
      <c r="D746" s="289"/>
      <c r="G746" s="289"/>
      <c r="H746" s="290"/>
      <c r="J746" s="289"/>
      <c r="K746" s="289"/>
      <c r="L746" s="289"/>
      <c r="M746" s="286"/>
      <c r="N746" s="287"/>
      <c r="O746" s="287"/>
      <c r="V746" s="288"/>
    </row>
    <row r="747" spans="3:22" ht="15.75" customHeight="1">
      <c r="C747" s="289"/>
      <c r="D747" s="289"/>
      <c r="G747" s="289"/>
      <c r="H747" s="290"/>
      <c r="J747" s="289"/>
      <c r="K747" s="289"/>
      <c r="L747" s="289"/>
      <c r="M747" s="286"/>
      <c r="N747" s="287"/>
      <c r="O747" s="287"/>
      <c r="V747" s="288"/>
    </row>
    <row r="748" spans="3:22" ht="15.75" customHeight="1">
      <c r="C748" s="289"/>
      <c r="D748" s="289"/>
      <c r="G748" s="289"/>
      <c r="H748" s="290"/>
      <c r="J748" s="289"/>
      <c r="K748" s="289"/>
      <c r="L748" s="289"/>
      <c r="M748" s="286"/>
      <c r="N748" s="287"/>
      <c r="O748" s="287"/>
      <c r="V748" s="288"/>
    </row>
    <row r="749" spans="3:22" ht="15.75" customHeight="1">
      <c r="C749" s="289"/>
      <c r="D749" s="289"/>
      <c r="G749" s="289"/>
      <c r="H749" s="290"/>
      <c r="J749" s="289"/>
      <c r="K749" s="289"/>
      <c r="L749" s="289"/>
      <c r="M749" s="286"/>
      <c r="N749" s="287"/>
      <c r="O749" s="287"/>
      <c r="V749" s="288"/>
    </row>
    <row r="750" spans="3:22" ht="15.75" customHeight="1">
      <c r="C750" s="289"/>
      <c r="D750" s="289"/>
      <c r="G750" s="289"/>
      <c r="H750" s="290"/>
      <c r="J750" s="289"/>
      <c r="K750" s="289"/>
      <c r="L750" s="289"/>
      <c r="M750" s="286"/>
      <c r="N750" s="287"/>
      <c r="O750" s="287"/>
      <c r="V750" s="288"/>
    </row>
    <row r="751" spans="3:22" ht="15.75" customHeight="1">
      <c r="C751" s="289"/>
      <c r="D751" s="289"/>
      <c r="G751" s="289"/>
      <c r="H751" s="290"/>
      <c r="J751" s="289"/>
      <c r="K751" s="289"/>
      <c r="L751" s="289"/>
      <c r="M751" s="286"/>
      <c r="N751" s="287"/>
      <c r="O751" s="287"/>
      <c r="V751" s="288"/>
    </row>
    <row r="752" spans="3:22" ht="15.75" customHeight="1">
      <c r="C752" s="289"/>
      <c r="D752" s="289"/>
      <c r="G752" s="289"/>
      <c r="H752" s="290"/>
      <c r="J752" s="289"/>
      <c r="K752" s="289"/>
      <c r="L752" s="289"/>
      <c r="M752" s="286"/>
      <c r="N752" s="287"/>
      <c r="O752" s="287"/>
      <c r="V752" s="288"/>
    </row>
    <row r="753" spans="3:22" ht="15.75" customHeight="1">
      <c r="C753" s="289"/>
      <c r="D753" s="289"/>
      <c r="G753" s="289"/>
      <c r="H753" s="290"/>
      <c r="J753" s="289"/>
      <c r="K753" s="289"/>
      <c r="L753" s="289"/>
      <c r="M753" s="286"/>
      <c r="N753" s="287"/>
      <c r="O753" s="287"/>
      <c r="V753" s="288"/>
    </row>
    <row r="754" spans="3:22" ht="15.75" customHeight="1">
      <c r="C754" s="289"/>
      <c r="D754" s="289"/>
      <c r="G754" s="289"/>
      <c r="H754" s="290"/>
      <c r="J754" s="289"/>
      <c r="K754" s="289"/>
      <c r="L754" s="289"/>
      <c r="M754" s="286"/>
      <c r="N754" s="287"/>
      <c r="O754" s="287"/>
      <c r="V754" s="288"/>
    </row>
    <row r="755" spans="3:22" ht="15.75" customHeight="1">
      <c r="C755" s="289"/>
      <c r="D755" s="289"/>
      <c r="G755" s="289"/>
      <c r="H755" s="290"/>
      <c r="J755" s="289"/>
      <c r="K755" s="289"/>
      <c r="L755" s="289"/>
      <c r="M755" s="286"/>
      <c r="N755" s="287"/>
      <c r="O755" s="287"/>
      <c r="V755" s="288"/>
    </row>
    <row r="756" spans="3:22" ht="15.75" customHeight="1">
      <c r="C756" s="289"/>
      <c r="D756" s="289"/>
      <c r="G756" s="289"/>
      <c r="H756" s="290"/>
      <c r="J756" s="289"/>
      <c r="K756" s="289"/>
      <c r="L756" s="289"/>
      <c r="M756" s="286"/>
      <c r="N756" s="287"/>
      <c r="O756" s="287"/>
      <c r="V756" s="288"/>
    </row>
    <row r="757" spans="3:22" ht="15.75" customHeight="1">
      <c r="C757" s="289"/>
      <c r="D757" s="289"/>
      <c r="G757" s="289"/>
      <c r="H757" s="290"/>
      <c r="J757" s="289"/>
      <c r="K757" s="289"/>
      <c r="L757" s="289"/>
      <c r="M757" s="286"/>
      <c r="N757" s="287"/>
      <c r="O757" s="287"/>
      <c r="V757" s="288"/>
    </row>
    <row r="758" spans="3:22" ht="15.75" customHeight="1">
      <c r="C758" s="289"/>
      <c r="D758" s="289"/>
      <c r="G758" s="289"/>
      <c r="H758" s="290"/>
      <c r="J758" s="289"/>
      <c r="K758" s="289"/>
      <c r="L758" s="289"/>
      <c r="M758" s="286"/>
      <c r="N758" s="287"/>
      <c r="O758" s="287"/>
      <c r="V758" s="288"/>
    </row>
    <row r="759" spans="3:22" ht="15.75" customHeight="1">
      <c r="C759" s="289"/>
      <c r="D759" s="289"/>
      <c r="G759" s="289"/>
      <c r="H759" s="290"/>
      <c r="J759" s="289"/>
      <c r="K759" s="289"/>
      <c r="L759" s="289"/>
      <c r="M759" s="286"/>
      <c r="N759" s="287"/>
      <c r="O759" s="287"/>
      <c r="V759" s="288"/>
    </row>
    <row r="760" spans="3:22" ht="15.75" customHeight="1">
      <c r="C760" s="289"/>
      <c r="D760" s="289"/>
      <c r="G760" s="289"/>
      <c r="H760" s="290"/>
      <c r="J760" s="289"/>
      <c r="K760" s="289"/>
      <c r="L760" s="289"/>
      <c r="M760" s="286"/>
      <c r="N760" s="287"/>
      <c r="O760" s="287"/>
      <c r="V760" s="288"/>
    </row>
    <row r="761" spans="3:22" ht="15.75" customHeight="1">
      <c r="C761" s="289"/>
      <c r="D761" s="289"/>
      <c r="G761" s="289"/>
      <c r="H761" s="290"/>
      <c r="J761" s="289"/>
      <c r="K761" s="289"/>
      <c r="L761" s="289"/>
      <c r="M761" s="286"/>
      <c r="N761" s="287"/>
      <c r="O761" s="287"/>
      <c r="V761" s="288"/>
    </row>
    <row r="762" spans="3:22" ht="15.75" customHeight="1">
      <c r="C762" s="289"/>
      <c r="D762" s="289"/>
      <c r="G762" s="289"/>
      <c r="H762" s="290"/>
      <c r="J762" s="289"/>
      <c r="K762" s="289"/>
      <c r="L762" s="289"/>
      <c r="M762" s="286"/>
      <c r="N762" s="287"/>
      <c r="O762" s="287"/>
      <c r="V762" s="288"/>
    </row>
    <row r="763" spans="3:22" ht="15.75" customHeight="1">
      <c r="C763" s="289"/>
      <c r="D763" s="289"/>
      <c r="G763" s="289"/>
      <c r="H763" s="290"/>
      <c r="J763" s="289"/>
      <c r="K763" s="289"/>
      <c r="L763" s="289"/>
      <c r="M763" s="286"/>
      <c r="N763" s="287"/>
      <c r="O763" s="287"/>
      <c r="V763" s="288"/>
    </row>
    <row r="764" spans="3:22" ht="15.75" customHeight="1">
      <c r="C764" s="289"/>
      <c r="D764" s="289"/>
      <c r="G764" s="289"/>
      <c r="H764" s="290"/>
      <c r="J764" s="289"/>
      <c r="K764" s="289"/>
      <c r="L764" s="289"/>
      <c r="M764" s="286"/>
      <c r="N764" s="287"/>
      <c r="O764" s="287"/>
      <c r="V764" s="288"/>
    </row>
    <row r="765" spans="3:22" ht="15.75" customHeight="1">
      <c r="C765" s="289"/>
      <c r="D765" s="289"/>
      <c r="G765" s="289"/>
      <c r="H765" s="290"/>
      <c r="J765" s="289"/>
      <c r="K765" s="289"/>
      <c r="L765" s="289"/>
      <c r="M765" s="286"/>
      <c r="N765" s="287"/>
      <c r="O765" s="287"/>
      <c r="V765" s="288"/>
    </row>
    <row r="766" spans="3:22" ht="15.75" customHeight="1">
      <c r="C766" s="289"/>
      <c r="D766" s="289"/>
      <c r="G766" s="289"/>
      <c r="H766" s="290"/>
      <c r="J766" s="289"/>
      <c r="K766" s="289"/>
      <c r="L766" s="289"/>
      <c r="M766" s="286"/>
      <c r="N766" s="287"/>
      <c r="O766" s="287"/>
      <c r="V766" s="288"/>
    </row>
    <row r="767" spans="3:22" ht="15.75" customHeight="1">
      <c r="C767" s="289"/>
      <c r="D767" s="289"/>
      <c r="G767" s="289"/>
      <c r="H767" s="290"/>
      <c r="J767" s="289"/>
      <c r="K767" s="289"/>
      <c r="L767" s="289"/>
      <c r="M767" s="286"/>
      <c r="N767" s="287"/>
      <c r="O767" s="287"/>
      <c r="V767" s="288"/>
    </row>
    <row r="768" spans="3:22" ht="15.75" customHeight="1">
      <c r="C768" s="289"/>
      <c r="D768" s="289"/>
      <c r="G768" s="289"/>
      <c r="H768" s="290"/>
      <c r="J768" s="289"/>
      <c r="K768" s="289"/>
      <c r="L768" s="289"/>
      <c r="M768" s="286"/>
      <c r="N768" s="287"/>
      <c r="O768" s="287"/>
      <c r="V768" s="288"/>
    </row>
    <row r="769" spans="3:22" ht="15.75" customHeight="1">
      <c r="C769" s="289"/>
      <c r="D769" s="289"/>
      <c r="G769" s="289"/>
      <c r="H769" s="290"/>
      <c r="J769" s="289"/>
      <c r="K769" s="289"/>
      <c r="L769" s="289"/>
      <c r="M769" s="286"/>
      <c r="N769" s="287"/>
      <c r="O769" s="287"/>
      <c r="V769" s="288"/>
    </row>
    <row r="770" spans="3:22" ht="15.75" customHeight="1">
      <c r="C770" s="289"/>
      <c r="D770" s="289"/>
      <c r="G770" s="289"/>
      <c r="H770" s="290"/>
      <c r="J770" s="289"/>
      <c r="K770" s="289"/>
      <c r="L770" s="289"/>
      <c r="M770" s="286"/>
      <c r="N770" s="287"/>
      <c r="O770" s="287"/>
      <c r="V770" s="288"/>
    </row>
    <row r="771" spans="3:22" ht="15.75" customHeight="1">
      <c r="C771" s="289"/>
      <c r="D771" s="289"/>
      <c r="G771" s="289"/>
      <c r="H771" s="290"/>
      <c r="J771" s="289"/>
      <c r="K771" s="289"/>
      <c r="L771" s="289"/>
      <c r="M771" s="286"/>
      <c r="N771" s="287"/>
      <c r="O771" s="287"/>
      <c r="V771" s="288"/>
    </row>
    <row r="772" spans="3:22" ht="15.75" customHeight="1">
      <c r="C772" s="289"/>
      <c r="D772" s="289"/>
      <c r="G772" s="289"/>
      <c r="H772" s="290"/>
      <c r="J772" s="289"/>
      <c r="K772" s="289"/>
      <c r="L772" s="289"/>
      <c r="M772" s="286"/>
      <c r="N772" s="287"/>
      <c r="O772" s="287"/>
      <c r="V772" s="288"/>
    </row>
    <row r="773" spans="3:22" ht="15.75" customHeight="1">
      <c r="C773" s="289"/>
      <c r="D773" s="289"/>
      <c r="G773" s="289"/>
      <c r="H773" s="290"/>
      <c r="J773" s="289"/>
      <c r="K773" s="289"/>
      <c r="L773" s="289"/>
      <c r="M773" s="286"/>
      <c r="N773" s="287"/>
      <c r="O773" s="287"/>
      <c r="V773" s="288"/>
    </row>
    <row r="774" spans="3:22" ht="15.75" customHeight="1">
      <c r="C774" s="289"/>
      <c r="D774" s="289"/>
      <c r="G774" s="289"/>
      <c r="H774" s="290"/>
      <c r="J774" s="289"/>
      <c r="K774" s="289"/>
      <c r="L774" s="289"/>
      <c r="M774" s="286"/>
      <c r="N774" s="287"/>
      <c r="O774" s="287"/>
      <c r="V774" s="288"/>
    </row>
    <row r="775" spans="3:22" ht="15.75" customHeight="1">
      <c r="C775" s="289"/>
      <c r="D775" s="289"/>
      <c r="G775" s="289"/>
      <c r="H775" s="290"/>
      <c r="J775" s="289"/>
      <c r="K775" s="289"/>
      <c r="L775" s="289"/>
      <c r="M775" s="286"/>
      <c r="N775" s="287"/>
      <c r="O775" s="287"/>
      <c r="V775" s="288"/>
    </row>
    <row r="776" spans="3:22" ht="15.75" customHeight="1">
      <c r="C776" s="289"/>
      <c r="D776" s="289"/>
      <c r="G776" s="289"/>
      <c r="H776" s="290"/>
      <c r="J776" s="289"/>
      <c r="K776" s="289"/>
      <c r="L776" s="289"/>
      <c r="M776" s="286"/>
      <c r="N776" s="287"/>
      <c r="O776" s="287"/>
      <c r="V776" s="288"/>
    </row>
    <row r="777" spans="3:22" ht="15.75" customHeight="1">
      <c r="C777" s="289"/>
      <c r="D777" s="289"/>
      <c r="G777" s="289"/>
      <c r="H777" s="290"/>
      <c r="J777" s="289"/>
      <c r="K777" s="289"/>
      <c r="L777" s="289"/>
      <c r="M777" s="286"/>
      <c r="N777" s="287"/>
      <c r="O777" s="287"/>
      <c r="V777" s="288"/>
    </row>
    <row r="778" spans="3:22" ht="15.75" customHeight="1">
      <c r="C778" s="289"/>
      <c r="D778" s="289"/>
      <c r="G778" s="289"/>
      <c r="H778" s="290"/>
      <c r="J778" s="289"/>
      <c r="K778" s="289"/>
      <c r="L778" s="289"/>
      <c r="M778" s="286"/>
      <c r="N778" s="287"/>
      <c r="O778" s="287"/>
      <c r="V778" s="288"/>
    </row>
    <row r="779" spans="3:22" ht="15.75" customHeight="1">
      <c r="C779" s="289"/>
      <c r="D779" s="289"/>
      <c r="G779" s="289"/>
      <c r="H779" s="290"/>
      <c r="J779" s="289"/>
      <c r="K779" s="289"/>
      <c r="L779" s="289"/>
      <c r="M779" s="286"/>
      <c r="N779" s="287"/>
      <c r="O779" s="287"/>
      <c r="V779" s="288"/>
    </row>
    <row r="780" spans="3:22" ht="15.75" customHeight="1">
      <c r="C780" s="289"/>
      <c r="D780" s="289"/>
      <c r="G780" s="289"/>
      <c r="H780" s="290"/>
      <c r="J780" s="289"/>
      <c r="K780" s="289"/>
      <c r="L780" s="289"/>
      <c r="M780" s="286"/>
      <c r="N780" s="287"/>
      <c r="O780" s="287"/>
      <c r="V780" s="288"/>
    </row>
    <row r="781" spans="3:22" ht="15.75" customHeight="1">
      <c r="C781" s="289"/>
      <c r="D781" s="289"/>
      <c r="G781" s="289"/>
      <c r="H781" s="290"/>
      <c r="J781" s="289"/>
      <c r="K781" s="289"/>
      <c r="L781" s="289"/>
      <c r="M781" s="286"/>
      <c r="N781" s="287"/>
      <c r="O781" s="287"/>
      <c r="V781" s="288"/>
    </row>
    <row r="782" spans="3:22" ht="15.75" customHeight="1">
      <c r="C782" s="289"/>
      <c r="D782" s="289"/>
      <c r="G782" s="289"/>
      <c r="H782" s="290"/>
      <c r="J782" s="289"/>
      <c r="K782" s="289"/>
      <c r="L782" s="289"/>
      <c r="M782" s="286"/>
      <c r="N782" s="287"/>
      <c r="O782" s="287"/>
      <c r="V782" s="288"/>
    </row>
    <row r="783" spans="3:22" ht="15.75" customHeight="1">
      <c r="C783" s="289"/>
      <c r="D783" s="289"/>
      <c r="G783" s="289"/>
      <c r="H783" s="290"/>
      <c r="J783" s="289"/>
      <c r="K783" s="289"/>
      <c r="L783" s="289"/>
      <c r="M783" s="286"/>
      <c r="N783" s="287"/>
      <c r="O783" s="287"/>
      <c r="V783" s="288"/>
    </row>
    <row r="784" spans="3:22" ht="15.75" customHeight="1">
      <c r="C784" s="289"/>
      <c r="D784" s="289"/>
      <c r="G784" s="289"/>
      <c r="H784" s="290"/>
      <c r="J784" s="289"/>
      <c r="K784" s="289"/>
      <c r="L784" s="289"/>
      <c r="M784" s="286"/>
      <c r="N784" s="287"/>
      <c r="O784" s="287"/>
      <c r="V784" s="288"/>
    </row>
    <row r="785" spans="3:22" ht="15.75" customHeight="1">
      <c r="C785" s="289"/>
      <c r="D785" s="289"/>
      <c r="G785" s="289"/>
      <c r="H785" s="290"/>
      <c r="J785" s="289"/>
      <c r="K785" s="289"/>
      <c r="L785" s="289"/>
      <c r="M785" s="286"/>
      <c r="N785" s="287"/>
      <c r="O785" s="287"/>
      <c r="V785" s="288"/>
    </row>
    <row r="786" spans="3:22" ht="15.75" customHeight="1">
      <c r="C786" s="289"/>
      <c r="D786" s="289"/>
      <c r="G786" s="289"/>
      <c r="H786" s="290"/>
      <c r="J786" s="289"/>
      <c r="K786" s="289"/>
      <c r="L786" s="289"/>
      <c r="M786" s="286"/>
      <c r="N786" s="287"/>
      <c r="O786" s="287"/>
      <c r="V786" s="288"/>
    </row>
    <row r="787" spans="3:22" ht="15.75" customHeight="1">
      <c r="C787" s="289"/>
      <c r="D787" s="289"/>
      <c r="G787" s="289"/>
      <c r="H787" s="290"/>
      <c r="J787" s="289"/>
      <c r="K787" s="289"/>
      <c r="L787" s="289"/>
      <c r="M787" s="286"/>
      <c r="N787" s="287"/>
      <c r="O787" s="287"/>
      <c r="V787" s="288"/>
    </row>
    <row r="788" spans="3:22" ht="15.75" customHeight="1">
      <c r="C788" s="289"/>
      <c r="D788" s="289"/>
      <c r="G788" s="289"/>
      <c r="H788" s="290"/>
      <c r="J788" s="289"/>
      <c r="K788" s="289"/>
      <c r="L788" s="289"/>
      <c r="M788" s="286"/>
      <c r="N788" s="287"/>
      <c r="O788" s="287"/>
      <c r="V788" s="288"/>
    </row>
    <row r="789" spans="3:22" ht="15.75" customHeight="1">
      <c r="C789" s="289"/>
      <c r="D789" s="289"/>
      <c r="G789" s="289"/>
      <c r="H789" s="290"/>
      <c r="J789" s="289"/>
      <c r="K789" s="289"/>
      <c r="L789" s="289"/>
      <c r="M789" s="286"/>
      <c r="N789" s="287"/>
      <c r="O789" s="287"/>
      <c r="V789" s="288"/>
    </row>
    <row r="790" spans="3:22" ht="15.75" customHeight="1">
      <c r="C790" s="289"/>
      <c r="D790" s="289"/>
      <c r="G790" s="289"/>
      <c r="H790" s="290"/>
      <c r="J790" s="289"/>
      <c r="K790" s="289"/>
      <c r="L790" s="289"/>
      <c r="M790" s="286"/>
      <c r="N790" s="287"/>
      <c r="O790" s="287"/>
      <c r="V790" s="288"/>
    </row>
    <row r="791" spans="3:22" ht="15.75" customHeight="1">
      <c r="C791" s="289"/>
      <c r="D791" s="289"/>
      <c r="G791" s="289"/>
      <c r="H791" s="290"/>
      <c r="J791" s="289"/>
      <c r="K791" s="289"/>
      <c r="L791" s="289"/>
      <c r="M791" s="286"/>
      <c r="N791" s="287"/>
      <c r="O791" s="287"/>
      <c r="V791" s="288"/>
    </row>
    <row r="792" spans="3:22" ht="15.75" customHeight="1">
      <c r="C792" s="289"/>
      <c r="D792" s="289"/>
      <c r="G792" s="289"/>
      <c r="H792" s="290"/>
      <c r="J792" s="289"/>
      <c r="K792" s="289"/>
      <c r="L792" s="289"/>
      <c r="M792" s="286"/>
      <c r="N792" s="287"/>
      <c r="O792" s="287"/>
      <c r="V792" s="288"/>
    </row>
    <row r="793" spans="3:22" ht="15.75" customHeight="1">
      <c r="C793" s="289"/>
      <c r="D793" s="289"/>
      <c r="G793" s="289"/>
      <c r="H793" s="290"/>
      <c r="J793" s="289"/>
      <c r="K793" s="289"/>
      <c r="L793" s="289"/>
      <c r="M793" s="286"/>
      <c r="N793" s="287"/>
      <c r="O793" s="287"/>
      <c r="V793" s="288"/>
    </row>
    <row r="794" spans="3:22" ht="15.75" customHeight="1">
      <c r="C794" s="289"/>
      <c r="D794" s="289"/>
      <c r="G794" s="289"/>
      <c r="H794" s="290"/>
      <c r="J794" s="289"/>
      <c r="K794" s="289"/>
      <c r="L794" s="289"/>
      <c r="M794" s="286"/>
      <c r="N794" s="287"/>
      <c r="O794" s="287"/>
      <c r="V794" s="288"/>
    </row>
    <row r="795" spans="3:22" ht="15.75" customHeight="1">
      <c r="C795" s="289"/>
      <c r="D795" s="289"/>
      <c r="G795" s="289"/>
      <c r="H795" s="290"/>
      <c r="J795" s="289"/>
      <c r="K795" s="289"/>
      <c r="L795" s="289"/>
      <c r="M795" s="286"/>
      <c r="N795" s="287"/>
      <c r="O795" s="287"/>
      <c r="V795" s="288"/>
    </row>
    <row r="796" spans="3:22" ht="15.75" customHeight="1">
      <c r="C796" s="289"/>
      <c r="D796" s="289"/>
      <c r="G796" s="289"/>
      <c r="H796" s="290"/>
      <c r="J796" s="289"/>
      <c r="K796" s="289"/>
      <c r="L796" s="289"/>
      <c r="M796" s="286"/>
      <c r="N796" s="287"/>
      <c r="O796" s="287"/>
      <c r="V796" s="288"/>
    </row>
    <row r="797" spans="3:22" ht="15.75" customHeight="1">
      <c r="C797" s="289"/>
      <c r="D797" s="289"/>
      <c r="G797" s="289"/>
      <c r="H797" s="290"/>
      <c r="J797" s="289"/>
      <c r="K797" s="289"/>
      <c r="L797" s="289"/>
      <c r="M797" s="286"/>
      <c r="N797" s="287"/>
      <c r="O797" s="287"/>
      <c r="V797" s="288"/>
    </row>
    <row r="798" spans="3:22" ht="15.75" customHeight="1">
      <c r="C798" s="289"/>
      <c r="D798" s="289"/>
      <c r="G798" s="289"/>
      <c r="H798" s="290"/>
      <c r="J798" s="289"/>
      <c r="K798" s="289"/>
      <c r="L798" s="289"/>
      <c r="M798" s="286"/>
      <c r="N798" s="287"/>
      <c r="O798" s="287"/>
      <c r="V798" s="288"/>
    </row>
    <row r="799" spans="3:22" ht="15.75" customHeight="1">
      <c r="C799" s="289"/>
      <c r="D799" s="289"/>
      <c r="G799" s="289"/>
      <c r="H799" s="290"/>
      <c r="J799" s="289"/>
      <c r="K799" s="289"/>
      <c r="L799" s="289"/>
      <c r="M799" s="286"/>
      <c r="N799" s="287"/>
      <c r="O799" s="287"/>
      <c r="V799" s="288"/>
    </row>
    <row r="800" spans="3:22" ht="15.75" customHeight="1">
      <c r="C800" s="289"/>
      <c r="D800" s="289"/>
      <c r="G800" s="289"/>
      <c r="H800" s="290"/>
      <c r="J800" s="289"/>
      <c r="K800" s="289"/>
      <c r="L800" s="289"/>
      <c r="M800" s="286"/>
      <c r="N800" s="287"/>
      <c r="O800" s="287"/>
      <c r="V800" s="288"/>
    </row>
    <row r="801" spans="3:22" ht="15.75" customHeight="1">
      <c r="C801" s="289"/>
      <c r="D801" s="289"/>
      <c r="G801" s="289"/>
      <c r="H801" s="290"/>
      <c r="J801" s="289"/>
      <c r="K801" s="289"/>
      <c r="L801" s="289"/>
      <c r="M801" s="286"/>
      <c r="N801" s="287"/>
      <c r="O801" s="287"/>
      <c r="V801" s="288"/>
    </row>
    <row r="802" spans="3:22" ht="15.75" customHeight="1">
      <c r="C802" s="289"/>
      <c r="D802" s="289"/>
      <c r="G802" s="289"/>
      <c r="H802" s="290"/>
      <c r="J802" s="289"/>
      <c r="K802" s="289"/>
      <c r="L802" s="289"/>
      <c r="M802" s="286"/>
      <c r="N802" s="287"/>
      <c r="O802" s="287"/>
      <c r="V802" s="288"/>
    </row>
    <row r="803" spans="3:22" ht="15.75" customHeight="1">
      <c r="C803" s="289"/>
      <c r="D803" s="289"/>
      <c r="G803" s="289"/>
      <c r="H803" s="290"/>
      <c r="J803" s="289"/>
      <c r="K803" s="289"/>
      <c r="L803" s="289"/>
      <c r="M803" s="286"/>
      <c r="N803" s="287"/>
      <c r="O803" s="287"/>
      <c r="V803" s="288"/>
    </row>
    <row r="804" spans="3:22" ht="15.75" customHeight="1">
      <c r="C804" s="289"/>
      <c r="D804" s="289"/>
      <c r="G804" s="289"/>
      <c r="H804" s="290"/>
      <c r="J804" s="289"/>
      <c r="K804" s="289"/>
      <c r="L804" s="289"/>
      <c r="M804" s="286"/>
      <c r="N804" s="287"/>
      <c r="O804" s="287"/>
      <c r="V804" s="288"/>
    </row>
    <row r="805" spans="3:22" ht="15.75" customHeight="1">
      <c r="C805" s="289"/>
      <c r="D805" s="289"/>
      <c r="G805" s="289"/>
      <c r="H805" s="290"/>
      <c r="J805" s="289"/>
      <c r="K805" s="289"/>
      <c r="L805" s="289"/>
      <c r="M805" s="286"/>
      <c r="N805" s="287"/>
      <c r="O805" s="287"/>
      <c r="V805" s="288"/>
    </row>
    <row r="806" spans="3:22" ht="15.75" customHeight="1">
      <c r="C806" s="289"/>
      <c r="D806" s="289"/>
      <c r="G806" s="289"/>
      <c r="H806" s="290"/>
      <c r="J806" s="289"/>
      <c r="K806" s="289"/>
      <c r="L806" s="289"/>
      <c r="M806" s="286"/>
      <c r="N806" s="287"/>
      <c r="O806" s="287"/>
      <c r="V806" s="288"/>
    </row>
    <row r="807" spans="3:22" ht="15.75" customHeight="1">
      <c r="C807" s="289"/>
      <c r="D807" s="289"/>
      <c r="G807" s="289"/>
      <c r="H807" s="290"/>
      <c r="J807" s="289"/>
      <c r="K807" s="289"/>
      <c r="L807" s="289"/>
      <c r="M807" s="286"/>
      <c r="N807" s="287"/>
      <c r="O807" s="287"/>
      <c r="V807" s="288"/>
    </row>
    <row r="808" spans="3:22" ht="15.75" customHeight="1">
      <c r="C808" s="289"/>
      <c r="D808" s="289"/>
      <c r="G808" s="289"/>
      <c r="H808" s="290"/>
      <c r="J808" s="289"/>
      <c r="K808" s="289"/>
      <c r="L808" s="289"/>
      <c r="M808" s="286"/>
      <c r="N808" s="287"/>
      <c r="O808" s="287"/>
      <c r="V808" s="288"/>
    </row>
    <row r="809" spans="3:22" ht="15.75" customHeight="1">
      <c r="C809" s="289"/>
      <c r="D809" s="289"/>
      <c r="G809" s="289"/>
      <c r="H809" s="290"/>
      <c r="J809" s="289"/>
      <c r="K809" s="289"/>
      <c r="L809" s="289"/>
      <c r="M809" s="286"/>
      <c r="N809" s="287"/>
      <c r="O809" s="287"/>
      <c r="V809" s="288"/>
    </row>
    <row r="810" spans="3:22" ht="15.75" customHeight="1">
      <c r="C810" s="289"/>
      <c r="D810" s="289"/>
      <c r="G810" s="289"/>
      <c r="H810" s="290"/>
      <c r="J810" s="289"/>
      <c r="K810" s="289"/>
      <c r="L810" s="289"/>
      <c r="M810" s="286"/>
      <c r="N810" s="287"/>
      <c r="O810" s="287"/>
      <c r="V810" s="288"/>
    </row>
    <row r="811" spans="3:22" ht="15.75" customHeight="1">
      <c r="C811" s="289"/>
      <c r="D811" s="289"/>
      <c r="G811" s="289"/>
      <c r="H811" s="290"/>
      <c r="J811" s="289"/>
      <c r="K811" s="289"/>
      <c r="L811" s="289"/>
      <c r="M811" s="286"/>
      <c r="N811" s="287"/>
      <c r="O811" s="287"/>
      <c r="V811" s="288"/>
    </row>
    <row r="812" spans="3:22" ht="15.75" customHeight="1">
      <c r="C812" s="289"/>
      <c r="D812" s="289"/>
      <c r="G812" s="289"/>
      <c r="H812" s="290"/>
      <c r="J812" s="289"/>
      <c r="K812" s="289"/>
      <c r="L812" s="289"/>
      <c r="M812" s="286"/>
      <c r="N812" s="287"/>
      <c r="O812" s="287"/>
      <c r="V812" s="288"/>
    </row>
    <row r="813" spans="3:22" ht="15.75" customHeight="1">
      <c r="C813" s="289"/>
      <c r="D813" s="289"/>
      <c r="G813" s="289"/>
      <c r="H813" s="290"/>
      <c r="J813" s="289"/>
      <c r="K813" s="289"/>
      <c r="L813" s="289"/>
      <c r="M813" s="286"/>
      <c r="N813" s="287"/>
      <c r="O813" s="287"/>
      <c r="V813" s="288"/>
    </row>
    <row r="814" spans="3:22" ht="15.75" customHeight="1">
      <c r="C814" s="289"/>
      <c r="D814" s="289"/>
      <c r="G814" s="289"/>
      <c r="H814" s="290"/>
      <c r="J814" s="289"/>
      <c r="K814" s="289"/>
      <c r="L814" s="289"/>
      <c r="M814" s="286"/>
      <c r="N814" s="287"/>
      <c r="O814" s="287"/>
      <c r="V814" s="288"/>
    </row>
    <row r="815" spans="3:22" ht="15.75" customHeight="1">
      <c r="C815" s="289"/>
      <c r="D815" s="289"/>
      <c r="G815" s="289"/>
      <c r="H815" s="290"/>
      <c r="J815" s="289"/>
      <c r="K815" s="289"/>
      <c r="L815" s="289"/>
      <c r="M815" s="286"/>
      <c r="N815" s="287"/>
      <c r="O815" s="287"/>
      <c r="V815" s="288"/>
    </row>
    <row r="816" spans="3:22" ht="15.75" customHeight="1">
      <c r="C816" s="289"/>
      <c r="D816" s="289"/>
      <c r="G816" s="289"/>
      <c r="H816" s="290"/>
      <c r="J816" s="289"/>
      <c r="K816" s="289"/>
      <c r="L816" s="289"/>
      <c r="M816" s="286"/>
      <c r="N816" s="287"/>
      <c r="O816" s="287"/>
      <c r="V816" s="288"/>
    </row>
    <row r="817" spans="3:22" ht="15.75" customHeight="1">
      <c r="C817" s="289"/>
      <c r="D817" s="289"/>
      <c r="G817" s="289"/>
      <c r="H817" s="290"/>
      <c r="J817" s="289"/>
      <c r="K817" s="289"/>
      <c r="L817" s="289"/>
      <c r="M817" s="286"/>
      <c r="N817" s="287"/>
      <c r="O817" s="287"/>
      <c r="V817" s="288"/>
    </row>
    <row r="818" spans="3:22" ht="15.75" customHeight="1">
      <c r="C818" s="289"/>
      <c r="D818" s="289"/>
      <c r="G818" s="289"/>
      <c r="H818" s="290"/>
      <c r="J818" s="289"/>
      <c r="K818" s="289"/>
      <c r="L818" s="289"/>
      <c r="M818" s="286"/>
      <c r="N818" s="287"/>
      <c r="O818" s="287"/>
      <c r="V818" s="288"/>
    </row>
    <row r="819" spans="3:22" ht="15.75" customHeight="1">
      <c r="C819" s="289"/>
      <c r="D819" s="289"/>
      <c r="G819" s="289"/>
      <c r="H819" s="290"/>
      <c r="J819" s="289"/>
      <c r="K819" s="289"/>
      <c r="L819" s="289"/>
      <c r="M819" s="286"/>
      <c r="N819" s="287"/>
      <c r="O819" s="287"/>
      <c r="V819" s="288"/>
    </row>
    <row r="820" spans="3:22" ht="15.75" customHeight="1">
      <c r="C820" s="289"/>
      <c r="D820" s="289"/>
      <c r="G820" s="289"/>
      <c r="H820" s="290"/>
      <c r="J820" s="289"/>
      <c r="K820" s="289"/>
      <c r="L820" s="289"/>
      <c r="M820" s="286"/>
      <c r="N820" s="287"/>
      <c r="O820" s="287"/>
      <c r="V820" s="288"/>
    </row>
    <row r="821" spans="3:22" ht="15.75" customHeight="1">
      <c r="C821" s="289"/>
      <c r="D821" s="289"/>
      <c r="G821" s="289"/>
      <c r="H821" s="290"/>
      <c r="J821" s="289"/>
      <c r="K821" s="289"/>
      <c r="L821" s="289"/>
      <c r="M821" s="286"/>
      <c r="N821" s="287"/>
      <c r="O821" s="287"/>
      <c r="V821" s="288"/>
    </row>
    <row r="822" spans="3:22" ht="15.75" customHeight="1">
      <c r="C822" s="289"/>
      <c r="D822" s="289"/>
      <c r="G822" s="289"/>
      <c r="H822" s="290"/>
      <c r="J822" s="289"/>
      <c r="K822" s="289"/>
      <c r="L822" s="289"/>
      <c r="M822" s="286"/>
      <c r="N822" s="287"/>
      <c r="O822" s="287"/>
      <c r="V822" s="288"/>
    </row>
    <row r="823" spans="3:22" ht="15.75" customHeight="1">
      <c r="C823" s="289"/>
      <c r="D823" s="289"/>
      <c r="G823" s="289"/>
      <c r="H823" s="290"/>
      <c r="J823" s="289"/>
      <c r="K823" s="289"/>
      <c r="L823" s="289"/>
      <c r="M823" s="286"/>
      <c r="N823" s="287"/>
      <c r="O823" s="287"/>
      <c r="V823" s="288"/>
    </row>
    <row r="824" spans="3:22" ht="15.75" customHeight="1">
      <c r="C824" s="289"/>
      <c r="D824" s="289"/>
      <c r="G824" s="289"/>
      <c r="H824" s="290"/>
      <c r="J824" s="289"/>
      <c r="K824" s="289"/>
      <c r="L824" s="289"/>
      <c r="M824" s="286"/>
      <c r="N824" s="287"/>
      <c r="O824" s="287"/>
      <c r="V824" s="288"/>
    </row>
    <row r="825" spans="3:22" ht="15.75" customHeight="1">
      <c r="C825" s="289"/>
      <c r="D825" s="289"/>
      <c r="G825" s="289"/>
      <c r="H825" s="290"/>
      <c r="J825" s="289"/>
      <c r="K825" s="289"/>
      <c r="L825" s="289"/>
      <c r="M825" s="286"/>
      <c r="N825" s="287"/>
      <c r="O825" s="287"/>
      <c r="V825" s="288"/>
    </row>
    <row r="826" spans="3:22" ht="15.75" customHeight="1">
      <c r="C826" s="289"/>
      <c r="D826" s="289"/>
      <c r="G826" s="289"/>
      <c r="H826" s="290"/>
      <c r="J826" s="289"/>
      <c r="K826" s="289"/>
      <c r="L826" s="289"/>
      <c r="M826" s="286"/>
      <c r="N826" s="287"/>
      <c r="O826" s="287"/>
      <c r="V826" s="288"/>
    </row>
    <row r="827" spans="3:22" ht="15.75" customHeight="1">
      <c r="C827" s="289"/>
      <c r="D827" s="289"/>
      <c r="G827" s="289"/>
      <c r="H827" s="290"/>
      <c r="J827" s="289"/>
      <c r="K827" s="289"/>
      <c r="L827" s="289"/>
      <c r="M827" s="286"/>
      <c r="N827" s="287"/>
      <c r="O827" s="287"/>
      <c r="V827" s="288"/>
    </row>
    <row r="828" spans="3:22" ht="15.75" customHeight="1">
      <c r="C828" s="289"/>
      <c r="D828" s="289"/>
      <c r="G828" s="289"/>
      <c r="H828" s="290"/>
      <c r="J828" s="289"/>
      <c r="K828" s="289"/>
      <c r="L828" s="289"/>
      <c r="M828" s="286"/>
      <c r="N828" s="287"/>
      <c r="O828" s="287"/>
      <c r="V828" s="288"/>
    </row>
    <row r="829" spans="3:22" ht="15.75" customHeight="1">
      <c r="C829" s="289"/>
      <c r="D829" s="289"/>
      <c r="G829" s="289"/>
      <c r="H829" s="290"/>
      <c r="J829" s="289"/>
      <c r="K829" s="289"/>
      <c r="L829" s="289"/>
      <c r="M829" s="286"/>
      <c r="N829" s="287"/>
      <c r="O829" s="287"/>
      <c r="V829" s="288"/>
    </row>
    <row r="830" spans="3:22" ht="15.75" customHeight="1">
      <c r="C830" s="289"/>
      <c r="D830" s="289"/>
      <c r="G830" s="289"/>
      <c r="H830" s="290"/>
      <c r="J830" s="289"/>
      <c r="K830" s="289"/>
      <c r="L830" s="289"/>
      <c r="M830" s="286"/>
      <c r="N830" s="287"/>
      <c r="O830" s="287"/>
      <c r="V830" s="288"/>
    </row>
    <row r="831" spans="3:22" ht="15.75" customHeight="1">
      <c r="C831" s="289"/>
      <c r="D831" s="289"/>
      <c r="G831" s="289"/>
      <c r="H831" s="290"/>
      <c r="J831" s="289"/>
      <c r="K831" s="289"/>
      <c r="L831" s="289"/>
      <c r="M831" s="286"/>
      <c r="N831" s="287"/>
      <c r="O831" s="287"/>
      <c r="V831" s="288"/>
    </row>
    <row r="832" spans="3:22" ht="15.75" customHeight="1">
      <c r="C832" s="289"/>
      <c r="D832" s="289"/>
      <c r="G832" s="289"/>
      <c r="H832" s="290"/>
      <c r="J832" s="289"/>
      <c r="K832" s="289"/>
      <c r="L832" s="289"/>
      <c r="M832" s="286"/>
      <c r="N832" s="287"/>
      <c r="O832" s="287"/>
      <c r="V832" s="288"/>
    </row>
    <row r="833" spans="3:22" ht="15.75" customHeight="1">
      <c r="C833" s="289"/>
      <c r="D833" s="289"/>
      <c r="G833" s="289"/>
      <c r="H833" s="290"/>
      <c r="J833" s="289"/>
      <c r="K833" s="289"/>
      <c r="L833" s="289"/>
      <c r="M833" s="286"/>
      <c r="N833" s="287"/>
      <c r="O833" s="287"/>
      <c r="V833" s="288"/>
    </row>
    <row r="834" spans="3:22" ht="15.75" customHeight="1">
      <c r="C834" s="289"/>
      <c r="D834" s="289"/>
      <c r="G834" s="289"/>
      <c r="H834" s="290"/>
      <c r="J834" s="289"/>
      <c r="K834" s="289"/>
      <c r="L834" s="289"/>
      <c r="M834" s="286"/>
      <c r="N834" s="287"/>
      <c r="O834" s="287"/>
      <c r="V834" s="288"/>
    </row>
    <row r="835" spans="3:22" ht="15.75" customHeight="1">
      <c r="C835" s="289"/>
      <c r="D835" s="289"/>
      <c r="G835" s="289"/>
      <c r="H835" s="290"/>
      <c r="J835" s="289"/>
      <c r="K835" s="289"/>
      <c r="L835" s="289"/>
      <c r="M835" s="286"/>
      <c r="N835" s="287"/>
      <c r="O835" s="287"/>
      <c r="V835" s="288"/>
    </row>
    <row r="836" spans="3:22" ht="15.75" customHeight="1">
      <c r="C836" s="289"/>
      <c r="D836" s="289"/>
      <c r="G836" s="289"/>
      <c r="H836" s="290"/>
      <c r="J836" s="289"/>
      <c r="K836" s="289"/>
      <c r="L836" s="289"/>
      <c r="M836" s="286"/>
      <c r="N836" s="287"/>
      <c r="O836" s="287"/>
      <c r="V836" s="288"/>
    </row>
    <row r="837" spans="3:22" ht="15.75" customHeight="1">
      <c r="C837" s="289"/>
      <c r="D837" s="289"/>
      <c r="G837" s="289"/>
      <c r="H837" s="290"/>
      <c r="J837" s="289"/>
      <c r="K837" s="289"/>
      <c r="L837" s="289"/>
      <c r="M837" s="286"/>
      <c r="N837" s="287"/>
      <c r="O837" s="287"/>
      <c r="V837" s="288"/>
    </row>
    <row r="838" spans="3:22" ht="15.75" customHeight="1">
      <c r="C838" s="289"/>
      <c r="D838" s="289"/>
      <c r="G838" s="289"/>
      <c r="H838" s="290"/>
      <c r="J838" s="289"/>
      <c r="K838" s="289"/>
      <c r="L838" s="289"/>
      <c r="M838" s="286"/>
      <c r="N838" s="287"/>
      <c r="O838" s="287"/>
      <c r="V838" s="288"/>
    </row>
    <row r="839" spans="3:22" ht="15.75" customHeight="1">
      <c r="C839" s="289"/>
      <c r="D839" s="289"/>
      <c r="G839" s="289"/>
      <c r="H839" s="290"/>
      <c r="J839" s="289"/>
      <c r="K839" s="289"/>
      <c r="L839" s="289"/>
      <c r="M839" s="286"/>
      <c r="N839" s="287"/>
      <c r="O839" s="287"/>
      <c r="V839" s="288"/>
    </row>
    <row r="840" spans="3:22" ht="15.75" customHeight="1">
      <c r="C840" s="289"/>
      <c r="D840" s="289"/>
      <c r="G840" s="289"/>
      <c r="H840" s="290"/>
      <c r="J840" s="289"/>
      <c r="K840" s="289"/>
      <c r="L840" s="289"/>
      <c r="M840" s="286"/>
      <c r="N840" s="287"/>
      <c r="O840" s="287"/>
      <c r="V840" s="288"/>
    </row>
    <row r="841" spans="3:22" ht="15.75" customHeight="1">
      <c r="C841" s="289"/>
      <c r="D841" s="289"/>
      <c r="G841" s="289"/>
      <c r="H841" s="290"/>
      <c r="J841" s="289"/>
      <c r="K841" s="289"/>
      <c r="L841" s="289"/>
      <c r="M841" s="286"/>
      <c r="N841" s="287"/>
      <c r="O841" s="287"/>
      <c r="V841" s="288"/>
    </row>
    <row r="842" spans="3:22" ht="15.75" customHeight="1">
      <c r="C842" s="289"/>
      <c r="D842" s="289"/>
      <c r="G842" s="289"/>
      <c r="H842" s="290"/>
      <c r="J842" s="289"/>
      <c r="K842" s="289"/>
      <c r="L842" s="289"/>
      <c r="M842" s="286"/>
      <c r="N842" s="287"/>
      <c r="O842" s="287"/>
      <c r="V842" s="288"/>
    </row>
    <row r="843" spans="3:22" ht="15.75" customHeight="1">
      <c r="C843" s="289"/>
      <c r="D843" s="289"/>
      <c r="G843" s="289"/>
      <c r="H843" s="290"/>
      <c r="J843" s="289"/>
      <c r="K843" s="289"/>
      <c r="L843" s="289"/>
      <c r="M843" s="286"/>
      <c r="N843" s="287"/>
      <c r="O843" s="287"/>
      <c r="V843" s="288"/>
    </row>
    <row r="844" spans="3:22" ht="15.75" customHeight="1">
      <c r="C844" s="289"/>
      <c r="D844" s="289"/>
      <c r="G844" s="289"/>
      <c r="H844" s="290"/>
      <c r="J844" s="289"/>
      <c r="K844" s="289"/>
      <c r="L844" s="289"/>
      <c r="M844" s="286"/>
      <c r="N844" s="287"/>
      <c r="O844" s="287"/>
      <c r="V844" s="288"/>
    </row>
    <row r="845" spans="3:22" ht="15.75" customHeight="1">
      <c r="C845" s="289"/>
      <c r="D845" s="289"/>
      <c r="G845" s="289"/>
      <c r="H845" s="290"/>
      <c r="J845" s="289"/>
      <c r="K845" s="289"/>
      <c r="L845" s="289"/>
      <c r="M845" s="286"/>
      <c r="N845" s="287"/>
      <c r="O845" s="287"/>
      <c r="V845" s="288"/>
    </row>
    <row r="846" spans="3:22" ht="15.75" customHeight="1">
      <c r="C846" s="289"/>
      <c r="D846" s="289"/>
      <c r="G846" s="289"/>
      <c r="H846" s="290"/>
      <c r="J846" s="289"/>
      <c r="K846" s="289"/>
      <c r="L846" s="289"/>
      <c r="M846" s="286"/>
      <c r="N846" s="287"/>
      <c r="O846" s="287"/>
      <c r="V846" s="288"/>
    </row>
    <row r="847" spans="3:22" ht="15.75" customHeight="1">
      <c r="C847" s="289"/>
      <c r="D847" s="289"/>
      <c r="G847" s="289"/>
      <c r="H847" s="290"/>
      <c r="J847" s="289"/>
      <c r="K847" s="289"/>
      <c r="L847" s="289"/>
      <c r="M847" s="286"/>
      <c r="N847" s="287"/>
      <c r="O847" s="287"/>
      <c r="V847" s="288"/>
    </row>
    <row r="848" spans="3:22" ht="15.75" customHeight="1">
      <c r="C848" s="289"/>
      <c r="D848" s="289"/>
      <c r="G848" s="289"/>
      <c r="H848" s="290"/>
      <c r="J848" s="289"/>
      <c r="K848" s="289"/>
      <c r="L848" s="289"/>
      <c r="M848" s="286"/>
      <c r="N848" s="287"/>
      <c r="O848" s="287"/>
      <c r="V848" s="288"/>
    </row>
    <row r="849" spans="3:22" ht="15.75" customHeight="1">
      <c r="C849" s="289"/>
      <c r="D849" s="289"/>
      <c r="G849" s="289"/>
      <c r="H849" s="290"/>
      <c r="J849" s="289"/>
      <c r="K849" s="289"/>
      <c r="L849" s="289"/>
      <c r="M849" s="286"/>
      <c r="N849" s="287"/>
      <c r="O849" s="287"/>
      <c r="V849" s="288"/>
    </row>
    <row r="850" spans="3:22" ht="15.75" customHeight="1">
      <c r="C850" s="289"/>
      <c r="D850" s="289"/>
      <c r="G850" s="289"/>
      <c r="H850" s="290"/>
      <c r="J850" s="289"/>
      <c r="K850" s="289"/>
      <c r="L850" s="289"/>
      <c r="M850" s="286"/>
      <c r="N850" s="287"/>
      <c r="O850" s="287"/>
      <c r="V850" s="288"/>
    </row>
    <row r="851" spans="3:22" ht="15.75" customHeight="1">
      <c r="C851" s="289"/>
      <c r="D851" s="289"/>
      <c r="G851" s="289"/>
      <c r="H851" s="290"/>
      <c r="J851" s="289"/>
      <c r="K851" s="289"/>
      <c r="L851" s="289"/>
      <c r="M851" s="286"/>
      <c r="N851" s="287"/>
      <c r="O851" s="287"/>
      <c r="V851" s="288"/>
    </row>
    <row r="852" spans="3:22" ht="15.75" customHeight="1">
      <c r="C852" s="289"/>
      <c r="D852" s="289"/>
      <c r="G852" s="289"/>
      <c r="H852" s="290"/>
      <c r="J852" s="289"/>
      <c r="K852" s="289"/>
      <c r="L852" s="289"/>
      <c r="M852" s="286"/>
      <c r="N852" s="287"/>
      <c r="O852" s="287"/>
      <c r="V852" s="288"/>
    </row>
    <row r="853" spans="3:22" ht="15.75" customHeight="1">
      <c r="C853" s="289"/>
      <c r="D853" s="289"/>
      <c r="G853" s="289"/>
      <c r="H853" s="290"/>
      <c r="J853" s="289"/>
      <c r="K853" s="289"/>
      <c r="L853" s="289"/>
      <c r="M853" s="286"/>
      <c r="N853" s="287"/>
      <c r="O853" s="287"/>
      <c r="V853" s="288"/>
    </row>
    <row r="854" spans="3:22" ht="15.75" customHeight="1">
      <c r="C854" s="289"/>
      <c r="D854" s="289"/>
      <c r="G854" s="289"/>
      <c r="H854" s="290"/>
      <c r="J854" s="289"/>
      <c r="K854" s="289"/>
      <c r="L854" s="289"/>
      <c r="M854" s="286"/>
      <c r="N854" s="287"/>
      <c r="O854" s="287"/>
      <c r="V854" s="288"/>
    </row>
    <row r="855" spans="3:22" ht="15.75" customHeight="1">
      <c r="C855" s="289"/>
      <c r="D855" s="289"/>
      <c r="G855" s="289"/>
      <c r="H855" s="290"/>
      <c r="J855" s="289"/>
      <c r="K855" s="289"/>
      <c r="L855" s="289"/>
      <c r="M855" s="286"/>
      <c r="N855" s="287"/>
      <c r="O855" s="287"/>
      <c r="V855" s="288"/>
    </row>
    <row r="856" spans="3:22" ht="15.75" customHeight="1">
      <c r="C856" s="289"/>
      <c r="D856" s="289"/>
      <c r="G856" s="289"/>
      <c r="H856" s="290"/>
      <c r="J856" s="289"/>
      <c r="K856" s="289"/>
      <c r="L856" s="289"/>
      <c r="M856" s="286"/>
      <c r="N856" s="287"/>
      <c r="O856" s="287"/>
      <c r="V856" s="288"/>
    </row>
    <row r="857" spans="3:22" ht="15.75" customHeight="1">
      <c r="C857" s="289"/>
      <c r="D857" s="289"/>
      <c r="G857" s="289"/>
      <c r="H857" s="290"/>
      <c r="J857" s="289"/>
      <c r="K857" s="289"/>
      <c r="L857" s="289"/>
      <c r="M857" s="286"/>
      <c r="N857" s="287"/>
      <c r="O857" s="287"/>
      <c r="V857" s="288"/>
    </row>
    <row r="858" spans="3:22" ht="15.75" customHeight="1">
      <c r="C858" s="289"/>
      <c r="D858" s="289"/>
      <c r="G858" s="289"/>
      <c r="H858" s="290"/>
      <c r="J858" s="289"/>
      <c r="K858" s="289"/>
      <c r="L858" s="289"/>
      <c r="M858" s="286"/>
      <c r="N858" s="287"/>
      <c r="O858" s="287"/>
      <c r="V858" s="288"/>
    </row>
    <row r="859" spans="3:22" ht="15.75" customHeight="1">
      <c r="C859" s="289"/>
      <c r="D859" s="289"/>
      <c r="G859" s="289"/>
      <c r="H859" s="290"/>
      <c r="J859" s="289"/>
      <c r="K859" s="289"/>
      <c r="L859" s="289"/>
      <c r="M859" s="286"/>
      <c r="N859" s="287"/>
      <c r="O859" s="287"/>
      <c r="V859" s="288"/>
    </row>
    <row r="860" spans="3:22" ht="15.75" customHeight="1">
      <c r="C860" s="289"/>
      <c r="D860" s="289"/>
      <c r="G860" s="289"/>
      <c r="H860" s="290"/>
      <c r="J860" s="289"/>
      <c r="K860" s="289"/>
      <c r="L860" s="289"/>
      <c r="M860" s="286"/>
      <c r="N860" s="287"/>
      <c r="O860" s="287"/>
      <c r="V860" s="288"/>
    </row>
    <row r="861" spans="3:22" ht="15.75" customHeight="1">
      <c r="C861" s="289"/>
      <c r="D861" s="289"/>
      <c r="G861" s="289"/>
      <c r="H861" s="290"/>
      <c r="J861" s="289"/>
      <c r="K861" s="289"/>
      <c r="L861" s="289"/>
      <c r="M861" s="286"/>
      <c r="N861" s="287"/>
      <c r="O861" s="287"/>
      <c r="V861" s="288"/>
    </row>
    <row r="862" spans="3:22" ht="15.75" customHeight="1">
      <c r="C862" s="289"/>
      <c r="D862" s="289"/>
      <c r="G862" s="289"/>
      <c r="H862" s="290"/>
      <c r="J862" s="289"/>
      <c r="K862" s="289"/>
      <c r="L862" s="289"/>
      <c r="M862" s="286"/>
      <c r="N862" s="287"/>
      <c r="O862" s="287"/>
      <c r="V862" s="288"/>
    </row>
    <row r="863" spans="3:22" ht="15.75" customHeight="1">
      <c r="C863" s="289"/>
      <c r="D863" s="289"/>
      <c r="G863" s="289"/>
      <c r="H863" s="290"/>
      <c r="J863" s="289"/>
      <c r="K863" s="289"/>
      <c r="L863" s="289"/>
      <c r="M863" s="286"/>
      <c r="N863" s="287"/>
      <c r="O863" s="287"/>
      <c r="V863" s="288"/>
    </row>
    <row r="864" spans="3:22" ht="15.75" customHeight="1">
      <c r="C864" s="289"/>
      <c r="D864" s="289"/>
      <c r="G864" s="289"/>
      <c r="H864" s="290"/>
      <c r="J864" s="289"/>
      <c r="K864" s="289"/>
      <c r="L864" s="289"/>
      <c r="M864" s="286"/>
      <c r="N864" s="287"/>
      <c r="O864" s="287"/>
      <c r="V864" s="288"/>
    </row>
    <row r="865" spans="3:22" ht="15.75" customHeight="1">
      <c r="C865" s="289"/>
      <c r="D865" s="289"/>
      <c r="G865" s="289"/>
      <c r="H865" s="290"/>
      <c r="J865" s="289"/>
      <c r="K865" s="289"/>
      <c r="L865" s="289"/>
      <c r="M865" s="286"/>
      <c r="N865" s="287"/>
      <c r="O865" s="287"/>
      <c r="V865" s="288"/>
    </row>
    <row r="866" spans="3:22" ht="15.75" customHeight="1">
      <c r="C866" s="289"/>
      <c r="D866" s="289"/>
      <c r="G866" s="289"/>
      <c r="H866" s="290"/>
      <c r="J866" s="289"/>
      <c r="K866" s="289"/>
      <c r="L866" s="289"/>
      <c r="M866" s="286"/>
      <c r="N866" s="287"/>
      <c r="O866" s="287"/>
      <c r="V866" s="288"/>
    </row>
    <row r="867" spans="3:22" ht="15.75" customHeight="1">
      <c r="C867" s="289"/>
      <c r="D867" s="289"/>
      <c r="G867" s="289"/>
      <c r="H867" s="290"/>
      <c r="J867" s="289"/>
      <c r="K867" s="289"/>
      <c r="L867" s="289"/>
      <c r="M867" s="286"/>
      <c r="N867" s="287"/>
      <c r="O867" s="287"/>
      <c r="V867" s="288"/>
    </row>
    <row r="868" spans="3:22" ht="15.75" customHeight="1">
      <c r="C868" s="289"/>
      <c r="D868" s="289"/>
      <c r="G868" s="289"/>
      <c r="H868" s="290"/>
      <c r="J868" s="289"/>
      <c r="K868" s="289"/>
      <c r="L868" s="289"/>
      <c r="M868" s="286"/>
      <c r="N868" s="287"/>
      <c r="O868" s="287"/>
      <c r="V868" s="288"/>
    </row>
    <row r="869" spans="3:22" ht="15.75" customHeight="1">
      <c r="C869" s="289"/>
      <c r="D869" s="289"/>
      <c r="G869" s="289"/>
      <c r="H869" s="290"/>
      <c r="J869" s="289"/>
      <c r="K869" s="289"/>
      <c r="L869" s="289"/>
      <c r="M869" s="286"/>
      <c r="N869" s="287"/>
      <c r="O869" s="287"/>
      <c r="V869" s="288"/>
    </row>
    <row r="870" spans="3:22" ht="15.75" customHeight="1">
      <c r="C870" s="289"/>
      <c r="D870" s="289"/>
      <c r="G870" s="289"/>
      <c r="H870" s="290"/>
      <c r="J870" s="289"/>
      <c r="K870" s="289"/>
      <c r="L870" s="289"/>
      <c r="M870" s="286"/>
      <c r="N870" s="287"/>
      <c r="O870" s="287"/>
      <c r="V870" s="288"/>
    </row>
    <row r="871" spans="3:22" ht="15.75" customHeight="1">
      <c r="C871" s="289"/>
      <c r="D871" s="289"/>
      <c r="G871" s="289"/>
      <c r="H871" s="290"/>
      <c r="J871" s="289"/>
      <c r="K871" s="289"/>
      <c r="L871" s="289"/>
      <c r="M871" s="286"/>
      <c r="N871" s="287"/>
      <c r="O871" s="287"/>
      <c r="V871" s="288"/>
    </row>
    <row r="872" spans="3:22" ht="15.75" customHeight="1">
      <c r="C872" s="289"/>
      <c r="D872" s="289"/>
      <c r="G872" s="289"/>
      <c r="H872" s="290"/>
      <c r="J872" s="289"/>
      <c r="K872" s="289"/>
      <c r="L872" s="289"/>
      <c r="M872" s="286"/>
      <c r="N872" s="287"/>
      <c r="O872" s="287"/>
      <c r="V872" s="288"/>
    </row>
    <row r="873" spans="3:22" ht="15.75" customHeight="1">
      <c r="C873" s="289"/>
      <c r="D873" s="289"/>
      <c r="G873" s="289"/>
      <c r="H873" s="290"/>
      <c r="J873" s="289"/>
      <c r="K873" s="289"/>
      <c r="L873" s="289"/>
      <c r="M873" s="286"/>
      <c r="N873" s="287"/>
      <c r="O873" s="287"/>
      <c r="V873" s="288"/>
    </row>
    <row r="874" spans="3:22" ht="15.75" customHeight="1">
      <c r="C874" s="289"/>
      <c r="D874" s="289"/>
      <c r="G874" s="289"/>
      <c r="H874" s="290"/>
      <c r="J874" s="289"/>
      <c r="K874" s="289"/>
      <c r="L874" s="289"/>
      <c r="M874" s="286"/>
      <c r="N874" s="287"/>
      <c r="O874" s="287"/>
      <c r="V874" s="288"/>
    </row>
    <row r="875" spans="3:22" ht="15.75" customHeight="1">
      <c r="C875" s="289"/>
      <c r="D875" s="289"/>
      <c r="G875" s="289"/>
      <c r="H875" s="290"/>
      <c r="J875" s="289"/>
      <c r="K875" s="289"/>
      <c r="L875" s="289"/>
      <c r="M875" s="286"/>
      <c r="N875" s="287"/>
      <c r="O875" s="287"/>
      <c r="V875" s="288"/>
    </row>
    <row r="876" spans="3:22" ht="15.75" customHeight="1">
      <c r="C876" s="289"/>
      <c r="D876" s="289"/>
      <c r="G876" s="289"/>
      <c r="H876" s="290"/>
      <c r="J876" s="289"/>
      <c r="K876" s="289"/>
      <c r="L876" s="289"/>
      <c r="M876" s="286"/>
      <c r="N876" s="287"/>
      <c r="O876" s="287"/>
      <c r="V876" s="288"/>
    </row>
    <row r="877" spans="3:22" ht="15.75" customHeight="1">
      <c r="C877" s="289"/>
      <c r="D877" s="289"/>
      <c r="G877" s="289"/>
      <c r="H877" s="290"/>
      <c r="J877" s="289"/>
      <c r="K877" s="289"/>
      <c r="L877" s="289"/>
      <c r="M877" s="286"/>
      <c r="N877" s="287"/>
      <c r="O877" s="287"/>
      <c r="V877" s="288"/>
    </row>
    <row r="878" spans="3:22" ht="15.75" customHeight="1">
      <c r="C878" s="289"/>
      <c r="D878" s="289"/>
      <c r="G878" s="289"/>
      <c r="H878" s="290"/>
      <c r="J878" s="289"/>
      <c r="K878" s="289"/>
      <c r="L878" s="289"/>
      <c r="M878" s="286"/>
      <c r="N878" s="287"/>
      <c r="O878" s="287"/>
      <c r="V878" s="288"/>
    </row>
    <row r="879" spans="3:22" ht="15.75" customHeight="1">
      <c r="C879" s="289"/>
      <c r="D879" s="289"/>
      <c r="G879" s="289"/>
      <c r="H879" s="290"/>
      <c r="J879" s="289"/>
      <c r="K879" s="289"/>
      <c r="L879" s="289"/>
      <c r="M879" s="286"/>
      <c r="N879" s="287"/>
      <c r="O879" s="287"/>
      <c r="V879" s="288"/>
    </row>
    <row r="880" spans="3:22" ht="15.75" customHeight="1">
      <c r="C880" s="289"/>
      <c r="D880" s="289"/>
      <c r="G880" s="289"/>
      <c r="H880" s="290"/>
      <c r="J880" s="289"/>
      <c r="K880" s="289"/>
      <c r="L880" s="289"/>
      <c r="M880" s="286"/>
      <c r="N880" s="287"/>
      <c r="O880" s="287"/>
      <c r="V880" s="288"/>
    </row>
    <row r="881" spans="3:22" ht="15.75" customHeight="1">
      <c r="C881" s="289"/>
      <c r="D881" s="289"/>
      <c r="G881" s="289"/>
      <c r="H881" s="290"/>
      <c r="J881" s="289"/>
      <c r="K881" s="289"/>
      <c r="L881" s="289"/>
      <c r="M881" s="286"/>
      <c r="N881" s="287"/>
      <c r="O881" s="287"/>
      <c r="V881" s="288"/>
    </row>
    <row r="882" spans="3:22" ht="15.75" customHeight="1">
      <c r="C882" s="289"/>
      <c r="D882" s="289"/>
      <c r="G882" s="289"/>
      <c r="H882" s="290"/>
      <c r="J882" s="289"/>
      <c r="K882" s="289"/>
      <c r="L882" s="289"/>
      <c r="M882" s="286"/>
      <c r="N882" s="287"/>
      <c r="O882" s="287"/>
      <c r="V882" s="288"/>
    </row>
    <row r="883" spans="3:22" ht="15.75" customHeight="1">
      <c r="C883" s="289"/>
      <c r="D883" s="289"/>
      <c r="G883" s="289"/>
      <c r="H883" s="290"/>
      <c r="J883" s="289"/>
      <c r="K883" s="289"/>
      <c r="L883" s="289"/>
      <c r="M883" s="286"/>
      <c r="N883" s="287"/>
      <c r="O883" s="287"/>
      <c r="V883" s="288"/>
    </row>
    <row r="884" spans="3:22" ht="15.75" customHeight="1">
      <c r="C884" s="289"/>
      <c r="D884" s="289"/>
      <c r="G884" s="289"/>
      <c r="H884" s="290"/>
      <c r="J884" s="289"/>
      <c r="K884" s="289"/>
      <c r="L884" s="289"/>
      <c r="M884" s="286"/>
      <c r="N884" s="287"/>
      <c r="O884" s="287"/>
      <c r="V884" s="288"/>
    </row>
    <row r="885" spans="3:22" ht="15.75" customHeight="1">
      <c r="C885" s="289"/>
      <c r="D885" s="289"/>
      <c r="G885" s="289"/>
      <c r="H885" s="290"/>
      <c r="J885" s="289"/>
      <c r="K885" s="289"/>
      <c r="L885" s="289"/>
      <c r="M885" s="286"/>
      <c r="N885" s="287"/>
      <c r="O885" s="287"/>
      <c r="V885" s="288"/>
    </row>
    <row r="886" spans="3:22" ht="15.75" customHeight="1">
      <c r="C886" s="289"/>
      <c r="D886" s="289"/>
      <c r="G886" s="289"/>
      <c r="H886" s="290"/>
      <c r="J886" s="289"/>
      <c r="K886" s="289"/>
      <c r="L886" s="289"/>
      <c r="M886" s="286"/>
      <c r="N886" s="287"/>
      <c r="O886" s="287"/>
      <c r="V886" s="288"/>
    </row>
    <row r="887" spans="3:22" ht="15.75" customHeight="1">
      <c r="C887" s="289"/>
      <c r="D887" s="289"/>
      <c r="G887" s="289"/>
      <c r="H887" s="290"/>
      <c r="J887" s="289"/>
      <c r="K887" s="289"/>
      <c r="L887" s="289"/>
      <c r="M887" s="286"/>
      <c r="N887" s="287"/>
      <c r="O887" s="287"/>
      <c r="V887" s="288"/>
    </row>
    <row r="888" spans="3:22" ht="15.75" customHeight="1">
      <c r="C888" s="289"/>
      <c r="D888" s="289"/>
      <c r="G888" s="289"/>
      <c r="H888" s="290"/>
      <c r="J888" s="289"/>
      <c r="K888" s="289"/>
      <c r="L888" s="289"/>
      <c r="M888" s="286"/>
      <c r="N888" s="287"/>
      <c r="O888" s="287"/>
      <c r="V888" s="288"/>
    </row>
    <row r="889" spans="3:22" ht="15.75" customHeight="1">
      <c r="C889" s="289"/>
      <c r="D889" s="289"/>
      <c r="G889" s="289"/>
      <c r="H889" s="290"/>
      <c r="J889" s="289"/>
      <c r="K889" s="289"/>
      <c r="L889" s="289"/>
      <c r="M889" s="286"/>
      <c r="N889" s="287"/>
      <c r="O889" s="287"/>
      <c r="V889" s="288"/>
    </row>
    <row r="890" spans="3:22" ht="15.75" customHeight="1">
      <c r="C890" s="289"/>
      <c r="D890" s="289"/>
      <c r="G890" s="289"/>
      <c r="H890" s="290"/>
      <c r="J890" s="289"/>
      <c r="K890" s="289"/>
      <c r="L890" s="289"/>
      <c r="M890" s="286"/>
      <c r="N890" s="287"/>
      <c r="O890" s="287"/>
      <c r="V890" s="288"/>
    </row>
    <row r="891" spans="3:22" ht="15.75" customHeight="1">
      <c r="C891" s="289"/>
      <c r="D891" s="289"/>
      <c r="G891" s="289"/>
      <c r="H891" s="290"/>
      <c r="J891" s="289"/>
      <c r="K891" s="289"/>
      <c r="L891" s="289"/>
      <c r="M891" s="286"/>
      <c r="N891" s="287"/>
      <c r="O891" s="287"/>
      <c r="V891" s="288"/>
    </row>
    <row r="892" spans="3:22" ht="15.75" customHeight="1">
      <c r="C892" s="289"/>
      <c r="D892" s="289"/>
      <c r="G892" s="289"/>
      <c r="H892" s="290"/>
      <c r="J892" s="289"/>
      <c r="K892" s="289"/>
      <c r="L892" s="289"/>
      <c r="M892" s="286"/>
      <c r="N892" s="287"/>
      <c r="O892" s="287"/>
      <c r="V892" s="288"/>
    </row>
    <row r="893" spans="3:22" ht="15.75" customHeight="1">
      <c r="C893" s="289"/>
      <c r="D893" s="289"/>
      <c r="G893" s="289"/>
      <c r="H893" s="290"/>
      <c r="J893" s="289"/>
      <c r="K893" s="289"/>
      <c r="L893" s="289"/>
      <c r="M893" s="286"/>
      <c r="N893" s="287"/>
      <c r="O893" s="287"/>
      <c r="V893" s="288"/>
    </row>
    <row r="894" spans="3:22" ht="15.75" customHeight="1">
      <c r="C894" s="289"/>
      <c r="D894" s="289"/>
      <c r="G894" s="289"/>
      <c r="H894" s="290"/>
      <c r="J894" s="289"/>
      <c r="K894" s="289"/>
      <c r="L894" s="289"/>
      <c r="M894" s="286"/>
      <c r="N894" s="287"/>
      <c r="O894" s="287"/>
      <c r="V894" s="288"/>
    </row>
    <row r="895" spans="3:22" ht="15.75" customHeight="1">
      <c r="C895" s="289"/>
      <c r="D895" s="289"/>
      <c r="G895" s="289"/>
      <c r="H895" s="290"/>
      <c r="J895" s="289"/>
      <c r="K895" s="289"/>
      <c r="L895" s="289"/>
      <c r="M895" s="286"/>
      <c r="N895" s="287"/>
      <c r="O895" s="287"/>
      <c r="V895" s="288"/>
    </row>
    <row r="896" spans="3:22" ht="15.75" customHeight="1">
      <c r="C896" s="289"/>
      <c r="D896" s="289"/>
      <c r="G896" s="289"/>
      <c r="H896" s="290"/>
      <c r="J896" s="289"/>
      <c r="K896" s="289"/>
      <c r="L896" s="289"/>
      <c r="M896" s="286"/>
      <c r="N896" s="287"/>
      <c r="O896" s="287"/>
      <c r="V896" s="288"/>
    </row>
    <row r="897" spans="3:22" ht="15.75" customHeight="1">
      <c r="C897" s="289"/>
      <c r="D897" s="289"/>
      <c r="G897" s="289"/>
      <c r="H897" s="290"/>
      <c r="J897" s="289"/>
      <c r="K897" s="289"/>
      <c r="L897" s="289"/>
      <c r="M897" s="286"/>
      <c r="N897" s="287"/>
      <c r="O897" s="287"/>
      <c r="V897" s="288"/>
    </row>
    <row r="898" spans="3:22" ht="15.75" customHeight="1">
      <c r="C898" s="289"/>
      <c r="D898" s="289"/>
      <c r="G898" s="289"/>
      <c r="H898" s="290"/>
      <c r="J898" s="289"/>
      <c r="K898" s="289"/>
      <c r="L898" s="289"/>
      <c r="M898" s="286"/>
      <c r="N898" s="287"/>
      <c r="O898" s="287"/>
      <c r="V898" s="288"/>
    </row>
    <row r="899" spans="3:22" ht="15.75" customHeight="1">
      <c r="C899" s="289"/>
      <c r="D899" s="289"/>
      <c r="G899" s="289"/>
      <c r="H899" s="290"/>
      <c r="J899" s="289"/>
      <c r="K899" s="289"/>
      <c r="L899" s="289"/>
      <c r="M899" s="286"/>
      <c r="N899" s="287"/>
      <c r="O899" s="287"/>
      <c r="V899" s="288"/>
    </row>
    <row r="900" spans="3:22" ht="15.75" customHeight="1">
      <c r="C900" s="289"/>
      <c r="D900" s="289"/>
      <c r="G900" s="289"/>
      <c r="H900" s="290"/>
      <c r="J900" s="289"/>
      <c r="K900" s="289"/>
      <c r="L900" s="289"/>
      <c r="M900" s="286"/>
      <c r="N900" s="287"/>
      <c r="O900" s="287"/>
      <c r="V900" s="288"/>
    </row>
    <row r="901" spans="3:22" ht="15.75" customHeight="1">
      <c r="C901" s="289"/>
      <c r="D901" s="289"/>
      <c r="G901" s="289"/>
      <c r="H901" s="290"/>
      <c r="J901" s="289"/>
      <c r="K901" s="289"/>
      <c r="L901" s="289"/>
      <c r="M901" s="286"/>
      <c r="N901" s="287"/>
      <c r="O901" s="287"/>
      <c r="V901" s="288"/>
    </row>
    <row r="902" spans="3:22" ht="15.75" customHeight="1">
      <c r="C902" s="289"/>
      <c r="D902" s="289"/>
      <c r="G902" s="289"/>
      <c r="H902" s="290"/>
      <c r="J902" s="289"/>
      <c r="K902" s="289"/>
      <c r="L902" s="289"/>
      <c r="M902" s="286"/>
      <c r="N902" s="287"/>
      <c r="O902" s="287"/>
      <c r="V902" s="288"/>
    </row>
    <row r="903" spans="3:22" ht="15.75" customHeight="1">
      <c r="C903" s="289"/>
      <c r="D903" s="289"/>
      <c r="G903" s="289"/>
      <c r="H903" s="290"/>
      <c r="J903" s="289"/>
      <c r="K903" s="289"/>
      <c r="L903" s="289"/>
      <c r="M903" s="286"/>
      <c r="N903" s="287"/>
      <c r="O903" s="287"/>
      <c r="V903" s="288"/>
    </row>
    <row r="904" spans="3:22" ht="15.75" customHeight="1">
      <c r="C904" s="289"/>
      <c r="D904" s="289"/>
      <c r="G904" s="289"/>
      <c r="H904" s="290"/>
      <c r="J904" s="289"/>
      <c r="K904" s="289"/>
      <c r="L904" s="289"/>
      <c r="M904" s="286"/>
      <c r="N904" s="287"/>
      <c r="O904" s="287"/>
      <c r="V904" s="288"/>
    </row>
    <row r="905" spans="3:22" ht="15.75" customHeight="1">
      <c r="C905" s="289"/>
      <c r="D905" s="289"/>
      <c r="G905" s="289"/>
      <c r="H905" s="290"/>
      <c r="J905" s="289"/>
      <c r="K905" s="289"/>
      <c r="L905" s="289"/>
      <c r="M905" s="286"/>
      <c r="N905" s="287"/>
      <c r="O905" s="287"/>
      <c r="V905" s="288"/>
    </row>
    <row r="906" spans="3:22" ht="15.75" customHeight="1">
      <c r="C906" s="289"/>
      <c r="D906" s="289"/>
      <c r="G906" s="289"/>
      <c r="H906" s="290"/>
      <c r="J906" s="289"/>
      <c r="K906" s="289"/>
      <c r="L906" s="289"/>
      <c r="M906" s="286"/>
      <c r="N906" s="287"/>
      <c r="O906" s="287"/>
      <c r="V906" s="288"/>
    </row>
    <row r="907" spans="3:22" ht="15.75" customHeight="1">
      <c r="C907" s="289"/>
      <c r="D907" s="289"/>
      <c r="G907" s="289"/>
      <c r="H907" s="290"/>
      <c r="J907" s="289"/>
      <c r="K907" s="289"/>
      <c r="L907" s="289"/>
      <c r="M907" s="286"/>
      <c r="N907" s="287"/>
      <c r="O907" s="287"/>
      <c r="V907" s="288"/>
    </row>
    <row r="908" spans="3:22" ht="15.75" customHeight="1">
      <c r="C908" s="289"/>
      <c r="D908" s="289"/>
      <c r="G908" s="289"/>
      <c r="H908" s="290"/>
      <c r="J908" s="289"/>
      <c r="K908" s="289"/>
      <c r="L908" s="289"/>
      <c r="M908" s="286"/>
      <c r="N908" s="287"/>
      <c r="O908" s="287"/>
      <c r="V908" s="288"/>
    </row>
    <row r="909" spans="3:22" ht="15.75" customHeight="1">
      <c r="C909" s="289"/>
      <c r="D909" s="289"/>
      <c r="G909" s="289"/>
      <c r="H909" s="290"/>
      <c r="J909" s="289"/>
      <c r="K909" s="289"/>
      <c r="L909" s="289"/>
      <c r="M909" s="286"/>
      <c r="N909" s="287"/>
      <c r="O909" s="287"/>
      <c r="V909" s="288"/>
    </row>
    <row r="910" spans="3:22" ht="15.75" customHeight="1">
      <c r="C910" s="289"/>
      <c r="D910" s="289"/>
      <c r="G910" s="289"/>
      <c r="H910" s="290"/>
      <c r="J910" s="289"/>
      <c r="K910" s="289"/>
      <c r="L910" s="289"/>
      <c r="M910" s="286"/>
      <c r="N910" s="287"/>
      <c r="O910" s="287"/>
      <c r="V910" s="288"/>
    </row>
    <row r="911" spans="3:22" ht="15.75" customHeight="1">
      <c r="C911" s="289"/>
      <c r="D911" s="289"/>
      <c r="G911" s="289"/>
      <c r="H911" s="290"/>
      <c r="J911" s="289"/>
      <c r="K911" s="289"/>
      <c r="L911" s="289"/>
      <c r="M911" s="286"/>
      <c r="N911" s="287"/>
      <c r="O911" s="287"/>
      <c r="V911" s="288"/>
    </row>
    <row r="912" spans="3:22" ht="15.75" customHeight="1">
      <c r="C912" s="289"/>
      <c r="D912" s="289"/>
      <c r="G912" s="289"/>
      <c r="H912" s="290"/>
      <c r="J912" s="289"/>
      <c r="K912" s="289"/>
      <c r="L912" s="289"/>
      <c r="M912" s="286"/>
      <c r="N912" s="287"/>
      <c r="O912" s="287"/>
      <c r="V912" s="288"/>
    </row>
    <row r="913" spans="3:22" ht="15.75" customHeight="1">
      <c r="C913" s="289"/>
      <c r="D913" s="289"/>
      <c r="G913" s="289"/>
      <c r="H913" s="290"/>
      <c r="J913" s="289"/>
      <c r="K913" s="289"/>
      <c r="L913" s="289"/>
      <c r="M913" s="286"/>
      <c r="N913" s="287"/>
      <c r="O913" s="287"/>
      <c r="V913" s="288"/>
    </row>
    <row r="914" spans="3:22" ht="15.75" customHeight="1">
      <c r="C914" s="289"/>
      <c r="D914" s="289"/>
      <c r="G914" s="289"/>
      <c r="H914" s="290"/>
      <c r="J914" s="289"/>
      <c r="K914" s="289"/>
      <c r="L914" s="289"/>
      <c r="M914" s="286"/>
      <c r="N914" s="287"/>
      <c r="O914" s="287"/>
      <c r="V914" s="288"/>
    </row>
    <row r="915" spans="3:22" ht="15.75" customHeight="1">
      <c r="C915" s="289"/>
      <c r="D915" s="289"/>
      <c r="G915" s="289"/>
      <c r="H915" s="290"/>
      <c r="J915" s="289"/>
      <c r="K915" s="289"/>
      <c r="L915" s="289"/>
      <c r="M915" s="286"/>
      <c r="N915" s="287"/>
      <c r="O915" s="287"/>
      <c r="V915" s="288"/>
    </row>
    <row r="916" spans="3:22" ht="15.75" customHeight="1">
      <c r="C916" s="289"/>
      <c r="D916" s="289"/>
      <c r="G916" s="289"/>
      <c r="H916" s="290"/>
      <c r="J916" s="289"/>
      <c r="K916" s="289"/>
      <c r="L916" s="289"/>
      <c r="M916" s="286"/>
      <c r="N916" s="287"/>
      <c r="O916" s="287"/>
      <c r="V916" s="288"/>
    </row>
    <row r="917" spans="3:22" ht="15.75" customHeight="1">
      <c r="C917" s="289"/>
      <c r="D917" s="289"/>
      <c r="G917" s="289"/>
      <c r="H917" s="290"/>
      <c r="J917" s="289"/>
      <c r="K917" s="289"/>
      <c r="L917" s="289"/>
      <c r="M917" s="286"/>
      <c r="N917" s="287"/>
      <c r="O917" s="287"/>
      <c r="V917" s="288"/>
    </row>
    <row r="918" spans="3:22" ht="15.75" customHeight="1">
      <c r="C918" s="289"/>
      <c r="D918" s="289"/>
      <c r="G918" s="289"/>
      <c r="H918" s="290"/>
      <c r="J918" s="289"/>
      <c r="K918" s="289"/>
      <c r="L918" s="289"/>
      <c r="M918" s="286"/>
      <c r="N918" s="287"/>
      <c r="O918" s="287"/>
      <c r="V918" s="288"/>
    </row>
    <row r="919" spans="3:22" ht="15.75" customHeight="1">
      <c r="C919" s="289"/>
      <c r="D919" s="289"/>
      <c r="G919" s="289"/>
      <c r="H919" s="290"/>
      <c r="J919" s="289"/>
      <c r="K919" s="289"/>
      <c r="L919" s="289"/>
      <c r="M919" s="286"/>
      <c r="N919" s="287"/>
      <c r="O919" s="287"/>
      <c r="V919" s="288"/>
    </row>
    <row r="920" spans="3:22" ht="15.75" customHeight="1">
      <c r="C920" s="289"/>
      <c r="D920" s="289"/>
      <c r="G920" s="289"/>
      <c r="H920" s="290"/>
      <c r="J920" s="289"/>
      <c r="K920" s="289"/>
      <c r="L920" s="289"/>
      <c r="M920" s="286"/>
      <c r="N920" s="287"/>
      <c r="O920" s="287"/>
      <c r="V920" s="288"/>
    </row>
    <row r="921" spans="3:22" ht="15.75" customHeight="1">
      <c r="C921" s="289"/>
      <c r="D921" s="289"/>
      <c r="G921" s="289"/>
      <c r="H921" s="290"/>
      <c r="J921" s="289"/>
      <c r="K921" s="289"/>
      <c r="L921" s="289"/>
      <c r="M921" s="286"/>
      <c r="N921" s="287"/>
      <c r="O921" s="287"/>
      <c r="V921" s="288"/>
    </row>
    <row r="922" spans="3:22" ht="15.75" customHeight="1">
      <c r="C922" s="289"/>
      <c r="D922" s="289"/>
      <c r="G922" s="289"/>
      <c r="H922" s="290"/>
      <c r="J922" s="289"/>
      <c r="K922" s="289"/>
      <c r="L922" s="289"/>
      <c r="M922" s="286"/>
      <c r="N922" s="287"/>
      <c r="O922" s="287"/>
      <c r="V922" s="288"/>
    </row>
    <row r="923" spans="3:22" ht="15.75" customHeight="1">
      <c r="C923" s="289"/>
      <c r="D923" s="289"/>
      <c r="G923" s="289"/>
      <c r="H923" s="290"/>
      <c r="J923" s="289"/>
      <c r="K923" s="289"/>
      <c r="L923" s="289"/>
      <c r="M923" s="286"/>
      <c r="N923" s="287"/>
      <c r="O923" s="287"/>
      <c r="V923" s="288"/>
    </row>
    <row r="924" spans="3:22" ht="15.75" customHeight="1">
      <c r="C924" s="289"/>
      <c r="D924" s="289"/>
      <c r="G924" s="289"/>
      <c r="H924" s="290"/>
      <c r="J924" s="289"/>
      <c r="K924" s="289"/>
      <c r="L924" s="289"/>
      <c r="M924" s="286"/>
      <c r="N924" s="287"/>
      <c r="O924" s="287"/>
      <c r="V924" s="288"/>
    </row>
    <row r="925" spans="3:22" ht="15.75" customHeight="1">
      <c r="C925" s="289"/>
      <c r="D925" s="289"/>
      <c r="G925" s="289"/>
      <c r="H925" s="290"/>
      <c r="J925" s="289"/>
      <c r="K925" s="289"/>
      <c r="L925" s="289"/>
      <c r="M925" s="286"/>
      <c r="N925" s="287"/>
      <c r="O925" s="287"/>
      <c r="V925" s="288"/>
    </row>
    <row r="926" spans="3:22" ht="15.75" customHeight="1">
      <c r="C926" s="289"/>
      <c r="D926" s="289"/>
      <c r="G926" s="289"/>
      <c r="H926" s="290"/>
      <c r="J926" s="289"/>
      <c r="K926" s="289"/>
      <c r="L926" s="289"/>
      <c r="M926" s="286"/>
      <c r="N926" s="287"/>
      <c r="O926" s="287"/>
      <c r="V926" s="288"/>
    </row>
    <row r="927" spans="3:22" ht="15.75" customHeight="1">
      <c r="C927" s="289"/>
      <c r="D927" s="289"/>
      <c r="G927" s="289"/>
      <c r="H927" s="290"/>
      <c r="J927" s="289"/>
      <c r="K927" s="289"/>
      <c r="L927" s="289"/>
      <c r="M927" s="286"/>
      <c r="N927" s="287"/>
      <c r="O927" s="287"/>
      <c r="V927" s="288"/>
    </row>
    <row r="928" spans="3:22" ht="15.75" customHeight="1">
      <c r="C928" s="289"/>
      <c r="D928" s="289"/>
      <c r="G928" s="289"/>
      <c r="H928" s="290"/>
      <c r="J928" s="289"/>
      <c r="K928" s="289"/>
      <c r="L928" s="289"/>
      <c r="M928" s="286"/>
      <c r="N928" s="287"/>
      <c r="O928" s="287"/>
      <c r="V928" s="288"/>
    </row>
    <row r="929" spans="3:22" ht="15.75" customHeight="1">
      <c r="C929" s="289"/>
      <c r="D929" s="289"/>
      <c r="G929" s="289"/>
      <c r="H929" s="290"/>
      <c r="J929" s="289"/>
      <c r="K929" s="289"/>
      <c r="L929" s="289"/>
      <c r="M929" s="286"/>
      <c r="N929" s="287"/>
      <c r="O929" s="287"/>
      <c r="V929" s="288"/>
    </row>
    <row r="930" spans="3:22" ht="15.75" customHeight="1">
      <c r="C930" s="289"/>
      <c r="D930" s="289"/>
      <c r="G930" s="289"/>
      <c r="H930" s="290"/>
      <c r="J930" s="289"/>
      <c r="K930" s="289"/>
      <c r="L930" s="289"/>
      <c r="M930" s="286"/>
      <c r="N930" s="287"/>
      <c r="O930" s="287"/>
      <c r="V930" s="288"/>
    </row>
    <row r="931" spans="3:22" ht="15.75" customHeight="1">
      <c r="C931" s="289"/>
      <c r="D931" s="289"/>
      <c r="G931" s="289"/>
      <c r="H931" s="290"/>
      <c r="J931" s="289"/>
      <c r="K931" s="289"/>
      <c r="L931" s="289"/>
      <c r="M931" s="286"/>
      <c r="N931" s="287"/>
      <c r="O931" s="287"/>
      <c r="V931" s="288"/>
    </row>
    <row r="932" spans="3:22" ht="15.75" customHeight="1">
      <c r="C932" s="289"/>
      <c r="D932" s="289"/>
      <c r="G932" s="289"/>
      <c r="H932" s="290"/>
      <c r="J932" s="289"/>
      <c r="K932" s="289"/>
      <c r="L932" s="289"/>
      <c r="M932" s="286"/>
      <c r="N932" s="287"/>
      <c r="O932" s="287"/>
      <c r="V932" s="288"/>
    </row>
    <row r="933" spans="3:22" ht="15.75" customHeight="1">
      <c r="C933" s="289"/>
      <c r="D933" s="289"/>
      <c r="G933" s="289"/>
      <c r="H933" s="290"/>
      <c r="J933" s="289"/>
      <c r="K933" s="289"/>
      <c r="L933" s="289"/>
      <c r="M933" s="286"/>
      <c r="N933" s="287"/>
      <c r="O933" s="287"/>
      <c r="V933" s="288"/>
    </row>
    <row r="934" spans="3:22" ht="15.75" customHeight="1">
      <c r="C934" s="289"/>
      <c r="D934" s="289"/>
      <c r="G934" s="289"/>
      <c r="H934" s="290"/>
      <c r="J934" s="289"/>
      <c r="K934" s="289"/>
      <c r="L934" s="289"/>
      <c r="M934" s="286"/>
      <c r="N934" s="287"/>
      <c r="O934" s="287"/>
      <c r="V934" s="288"/>
    </row>
    <row r="935" spans="3:22" ht="15.75" customHeight="1">
      <c r="C935" s="289"/>
      <c r="D935" s="289"/>
      <c r="G935" s="289"/>
      <c r="H935" s="290"/>
      <c r="J935" s="289"/>
      <c r="K935" s="289"/>
      <c r="L935" s="289"/>
      <c r="M935" s="286"/>
      <c r="N935" s="287"/>
      <c r="O935" s="287"/>
      <c r="V935" s="288"/>
    </row>
    <row r="936" spans="3:22" ht="15.75" customHeight="1">
      <c r="C936" s="289"/>
      <c r="D936" s="289"/>
      <c r="G936" s="289"/>
      <c r="H936" s="290"/>
      <c r="J936" s="289"/>
      <c r="K936" s="289"/>
      <c r="L936" s="289"/>
      <c r="M936" s="286"/>
      <c r="N936" s="287"/>
      <c r="O936" s="287"/>
      <c r="V936" s="288"/>
    </row>
    <row r="937" spans="3:22" ht="15.75" customHeight="1">
      <c r="C937" s="289"/>
      <c r="D937" s="289"/>
      <c r="G937" s="289"/>
      <c r="H937" s="290"/>
      <c r="J937" s="289"/>
      <c r="K937" s="289"/>
      <c r="L937" s="289"/>
      <c r="M937" s="286"/>
      <c r="N937" s="287"/>
      <c r="O937" s="287"/>
      <c r="V937" s="288"/>
    </row>
    <row r="938" spans="3:22" ht="15.75" customHeight="1">
      <c r="C938" s="289"/>
      <c r="D938" s="289"/>
      <c r="G938" s="289"/>
      <c r="H938" s="290"/>
      <c r="J938" s="289"/>
      <c r="K938" s="289"/>
      <c r="L938" s="289"/>
      <c r="M938" s="286"/>
      <c r="N938" s="287"/>
      <c r="O938" s="287"/>
      <c r="V938" s="288"/>
    </row>
    <row r="939" spans="3:22" ht="15.75" customHeight="1">
      <c r="C939" s="289"/>
      <c r="D939" s="289"/>
      <c r="G939" s="289"/>
      <c r="H939" s="290"/>
      <c r="J939" s="289"/>
      <c r="K939" s="289"/>
      <c r="L939" s="289"/>
      <c r="M939" s="286"/>
      <c r="N939" s="287"/>
      <c r="O939" s="287"/>
      <c r="V939" s="288"/>
    </row>
    <row r="940" spans="3:22" ht="15.75" customHeight="1">
      <c r="C940" s="289"/>
      <c r="D940" s="289"/>
      <c r="G940" s="289"/>
      <c r="H940" s="290"/>
      <c r="J940" s="289"/>
      <c r="K940" s="289"/>
      <c r="L940" s="289"/>
      <c r="M940" s="286"/>
      <c r="N940" s="287"/>
      <c r="O940" s="287"/>
      <c r="V940" s="288"/>
    </row>
    <row r="941" spans="3:22" ht="15.75" customHeight="1">
      <c r="C941" s="289"/>
      <c r="D941" s="289"/>
      <c r="G941" s="289"/>
      <c r="H941" s="290"/>
      <c r="J941" s="289"/>
      <c r="K941" s="289"/>
      <c r="L941" s="289"/>
      <c r="M941" s="286"/>
      <c r="N941" s="287"/>
      <c r="O941" s="287"/>
      <c r="V941" s="288"/>
    </row>
    <row r="942" spans="3:22" ht="15.75" customHeight="1">
      <c r="C942" s="289"/>
      <c r="D942" s="289"/>
      <c r="G942" s="289"/>
      <c r="H942" s="290"/>
      <c r="J942" s="289"/>
      <c r="K942" s="289"/>
      <c r="L942" s="289"/>
      <c r="M942" s="286"/>
      <c r="N942" s="287"/>
      <c r="O942" s="287"/>
      <c r="V942" s="288"/>
    </row>
    <row r="943" spans="3:22" ht="15.75" customHeight="1">
      <c r="C943" s="289"/>
      <c r="D943" s="289"/>
      <c r="G943" s="289"/>
      <c r="H943" s="290"/>
      <c r="J943" s="289"/>
      <c r="K943" s="289"/>
      <c r="L943" s="289"/>
      <c r="M943" s="286"/>
      <c r="N943" s="287"/>
      <c r="O943" s="287"/>
      <c r="V943" s="288"/>
    </row>
    <row r="944" spans="3:22" ht="15.75" customHeight="1">
      <c r="C944" s="289"/>
      <c r="D944" s="289"/>
      <c r="G944" s="289"/>
      <c r="H944" s="290"/>
      <c r="J944" s="289"/>
      <c r="K944" s="289"/>
      <c r="L944" s="289"/>
      <c r="M944" s="286"/>
      <c r="N944" s="287"/>
      <c r="O944" s="287"/>
      <c r="V944" s="288"/>
    </row>
    <row r="945" spans="3:22" ht="15.75" customHeight="1">
      <c r="C945" s="289"/>
      <c r="D945" s="289"/>
      <c r="G945" s="289"/>
      <c r="H945" s="290"/>
      <c r="J945" s="289"/>
      <c r="K945" s="289"/>
      <c r="L945" s="289"/>
      <c r="M945" s="286"/>
      <c r="N945" s="287"/>
      <c r="O945" s="287"/>
      <c r="V945" s="288"/>
    </row>
    <row r="946" spans="3:22" ht="15.75" customHeight="1">
      <c r="C946" s="289"/>
      <c r="D946" s="289"/>
      <c r="G946" s="289"/>
      <c r="H946" s="290"/>
      <c r="J946" s="289"/>
      <c r="K946" s="289"/>
      <c r="L946" s="289"/>
      <c r="M946" s="286"/>
      <c r="N946" s="287"/>
      <c r="O946" s="287"/>
      <c r="V946" s="288"/>
    </row>
    <row r="947" spans="3:22" ht="15.75" customHeight="1">
      <c r="C947" s="289"/>
      <c r="D947" s="289"/>
      <c r="G947" s="289"/>
      <c r="H947" s="290"/>
      <c r="J947" s="289"/>
      <c r="K947" s="289"/>
      <c r="L947" s="289"/>
      <c r="M947" s="286"/>
      <c r="N947" s="287"/>
      <c r="O947" s="287"/>
      <c r="V947" s="288"/>
    </row>
    <row r="948" spans="3:22" ht="15.75" customHeight="1">
      <c r="C948" s="289"/>
      <c r="D948" s="289"/>
      <c r="G948" s="289"/>
      <c r="H948" s="290"/>
      <c r="J948" s="289"/>
      <c r="K948" s="289"/>
      <c r="L948" s="289"/>
      <c r="M948" s="286"/>
      <c r="N948" s="287"/>
      <c r="O948" s="287"/>
      <c r="V948" s="288"/>
    </row>
    <row r="949" spans="3:22" ht="15.75" customHeight="1">
      <c r="C949" s="289"/>
      <c r="D949" s="289"/>
      <c r="G949" s="289"/>
      <c r="H949" s="290"/>
      <c r="J949" s="289"/>
      <c r="K949" s="289"/>
      <c r="L949" s="289"/>
      <c r="M949" s="286"/>
      <c r="N949" s="287"/>
      <c r="O949" s="287"/>
      <c r="V949" s="288"/>
    </row>
    <row r="950" spans="3:22" ht="15.75" customHeight="1">
      <c r="C950" s="289"/>
      <c r="D950" s="289"/>
      <c r="G950" s="289"/>
      <c r="H950" s="290"/>
      <c r="J950" s="289"/>
      <c r="K950" s="289"/>
      <c r="L950" s="289"/>
      <c r="M950" s="286"/>
      <c r="N950" s="287"/>
      <c r="O950" s="287"/>
      <c r="V950" s="288"/>
    </row>
    <row r="951" spans="3:22" ht="15.75" customHeight="1">
      <c r="C951" s="289"/>
      <c r="D951" s="289"/>
      <c r="G951" s="289"/>
      <c r="H951" s="290"/>
      <c r="J951" s="289"/>
      <c r="K951" s="289"/>
      <c r="L951" s="289"/>
      <c r="M951" s="286"/>
      <c r="N951" s="287"/>
      <c r="O951" s="287"/>
      <c r="V951" s="288"/>
    </row>
    <row r="952" spans="3:22" ht="15.75" customHeight="1">
      <c r="C952" s="289"/>
      <c r="D952" s="289"/>
      <c r="G952" s="289"/>
      <c r="H952" s="290"/>
      <c r="J952" s="289"/>
      <c r="K952" s="289"/>
      <c r="L952" s="289"/>
      <c r="M952" s="286"/>
      <c r="N952" s="287"/>
      <c r="O952" s="287"/>
      <c r="V952" s="288"/>
    </row>
    <row r="953" spans="3:22" ht="15.75" customHeight="1">
      <c r="C953" s="289"/>
      <c r="D953" s="289"/>
      <c r="G953" s="289"/>
      <c r="H953" s="290"/>
      <c r="J953" s="289"/>
      <c r="K953" s="289"/>
      <c r="L953" s="289"/>
      <c r="M953" s="286"/>
      <c r="N953" s="287"/>
      <c r="O953" s="287"/>
      <c r="V953" s="288"/>
    </row>
    <row r="954" spans="3:22" ht="15.75" customHeight="1">
      <c r="C954" s="289"/>
      <c r="D954" s="289"/>
      <c r="G954" s="289"/>
      <c r="H954" s="290"/>
      <c r="J954" s="289"/>
      <c r="K954" s="289"/>
      <c r="L954" s="289"/>
      <c r="M954" s="286"/>
      <c r="N954" s="287"/>
      <c r="O954" s="287"/>
      <c r="V954" s="288"/>
    </row>
    <row r="955" spans="3:22" ht="15.75" customHeight="1">
      <c r="C955" s="289"/>
      <c r="D955" s="289"/>
      <c r="G955" s="289"/>
      <c r="H955" s="290"/>
      <c r="J955" s="289"/>
      <c r="K955" s="289"/>
      <c r="L955" s="289"/>
      <c r="M955" s="286"/>
      <c r="N955" s="287"/>
      <c r="O955" s="287"/>
      <c r="V955" s="288"/>
    </row>
    <row r="956" spans="3:22" ht="15.75" customHeight="1">
      <c r="C956" s="289"/>
      <c r="D956" s="289"/>
      <c r="G956" s="289"/>
      <c r="H956" s="290"/>
      <c r="J956" s="289"/>
      <c r="K956" s="289"/>
      <c r="L956" s="289"/>
      <c r="M956" s="286"/>
      <c r="N956" s="287"/>
      <c r="O956" s="287"/>
      <c r="V956" s="288"/>
    </row>
    <row r="957" spans="3:22" ht="15.75" customHeight="1">
      <c r="C957" s="289"/>
      <c r="D957" s="289"/>
      <c r="G957" s="289"/>
      <c r="H957" s="290"/>
      <c r="J957" s="289"/>
      <c r="K957" s="289"/>
      <c r="L957" s="289"/>
      <c r="M957" s="286"/>
      <c r="N957" s="287"/>
      <c r="O957" s="287"/>
      <c r="V957" s="288"/>
    </row>
    <row r="958" spans="3:22" ht="15.75" customHeight="1">
      <c r="C958" s="289"/>
      <c r="D958" s="289"/>
      <c r="G958" s="289"/>
      <c r="H958" s="290"/>
      <c r="J958" s="289"/>
      <c r="K958" s="289"/>
      <c r="L958" s="289"/>
      <c r="M958" s="286"/>
      <c r="N958" s="287"/>
      <c r="O958" s="287"/>
      <c r="V958" s="288"/>
    </row>
    <row r="959" spans="3:22" ht="15.75" customHeight="1">
      <c r="C959" s="289"/>
      <c r="D959" s="289"/>
      <c r="G959" s="289"/>
      <c r="H959" s="290"/>
      <c r="J959" s="289"/>
      <c r="K959" s="289"/>
      <c r="L959" s="289"/>
      <c r="M959" s="286"/>
      <c r="N959" s="287"/>
      <c r="O959" s="287"/>
      <c r="V959" s="288"/>
    </row>
    <row r="960" spans="3:22" ht="15.75" customHeight="1">
      <c r="C960" s="289"/>
      <c r="D960" s="289"/>
      <c r="G960" s="289"/>
      <c r="H960" s="290"/>
      <c r="J960" s="289"/>
      <c r="K960" s="289"/>
      <c r="L960" s="289"/>
      <c r="M960" s="286"/>
      <c r="N960" s="287"/>
      <c r="O960" s="287"/>
      <c r="V960" s="288"/>
    </row>
    <row r="961" spans="3:22" ht="15.75" customHeight="1">
      <c r="C961" s="289"/>
      <c r="D961" s="289"/>
      <c r="G961" s="289"/>
      <c r="H961" s="290"/>
      <c r="J961" s="289"/>
      <c r="K961" s="289"/>
      <c r="L961" s="289"/>
      <c r="M961" s="286"/>
      <c r="N961" s="287"/>
      <c r="O961" s="287"/>
      <c r="V961" s="288"/>
    </row>
    <row r="962" spans="3:22" ht="15.75" customHeight="1">
      <c r="C962" s="289"/>
      <c r="D962" s="289"/>
      <c r="G962" s="289"/>
      <c r="H962" s="290"/>
      <c r="J962" s="289"/>
      <c r="K962" s="289"/>
      <c r="L962" s="289"/>
      <c r="M962" s="286"/>
      <c r="N962" s="287"/>
      <c r="O962" s="287"/>
      <c r="V962" s="288"/>
    </row>
    <row r="963" spans="3:22" ht="15.75" customHeight="1">
      <c r="C963" s="289"/>
      <c r="D963" s="289"/>
      <c r="G963" s="289"/>
      <c r="H963" s="290"/>
      <c r="J963" s="289"/>
      <c r="K963" s="289"/>
      <c r="L963" s="289"/>
      <c r="M963" s="286"/>
      <c r="N963" s="287"/>
      <c r="O963" s="287"/>
      <c r="V963" s="288"/>
    </row>
    <row r="964" spans="3:22" ht="15.75" customHeight="1">
      <c r="C964" s="289"/>
      <c r="D964" s="289"/>
      <c r="G964" s="289"/>
      <c r="H964" s="290"/>
      <c r="J964" s="289"/>
      <c r="K964" s="289"/>
      <c r="L964" s="289"/>
      <c r="M964" s="286"/>
      <c r="N964" s="287"/>
      <c r="O964" s="287"/>
      <c r="V964" s="288"/>
    </row>
    <row r="965" spans="3:22" ht="15.75" customHeight="1">
      <c r="C965" s="289"/>
      <c r="D965" s="289"/>
      <c r="G965" s="289"/>
      <c r="H965" s="290"/>
      <c r="J965" s="289"/>
      <c r="K965" s="289"/>
      <c r="L965" s="289"/>
      <c r="M965" s="286"/>
      <c r="N965" s="287"/>
      <c r="O965" s="287"/>
      <c r="V965" s="288"/>
    </row>
    <row r="966" spans="3:22" ht="15.75" customHeight="1">
      <c r="C966" s="289"/>
      <c r="D966" s="289"/>
      <c r="G966" s="289"/>
      <c r="H966" s="290"/>
      <c r="J966" s="289"/>
      <c r="K966" s="289"/>
      <c r="L966" s="289"/>
      <c r="M966" s="286"/>
      <c r="N966" s="287"/>
      <c r="O966" s="287"/>
      <c r="V966" s="288"/>
    </row>
    <row r="967" spans="3:22" ht="15.75" customHeight="1">
      <c r="C967" s="289"/>
      <c r="D967" s="289"/>
      <c r="G967" s="289"/>
      <c r="H967" s="290"/>
      <c r="J967" s="289"/>
      <c r="K967" s="289"/>
      <c r="L967" s="289"/>
      <c r="M967" s="286"/>
      <c r="N967" s="287"/>
      <c r="O967" s="287"/>
      <c r="V967" s="288"/>
    </row>
    <row r="968" spans="3:22" ht="15.75" customHeight="1">
      <c r="C968" s="289"/>
      <c r="D968" s="289"/>
      <c r="G968" s="289"/>
      <c r="H968" s="290"/>
      <c r="J968" s="289"/>
      <c r="K968" s="289"/>
      <c r="L968" s="289"/>
      <c r="M968" s="286"/>
      <c r="N968" s="287"/>
      <c r="O968" s="287"/>
      <c r="V968" s="288"/>
    </row>
    <row r="969" spans="3:22" ht="15.75" customHeight="1">
      <c r="C969" s="289"/>
      <c r="D969" s="289"/>
      <c r="G969" s="289"/>
      <c r="H969" s="290"/>
      <c r="J969" s="289"/>
      <c r="K969" s="289"/>
      <c r="L969" s="289"/>
      <c r="M969" s="286"/>
      <c r="N969" s="287"/>
      <c r="O969" s="287"/>
      <c r="V969" s="288"/>
    </row>
    <row r="970" spans="3:22" ht="15.75" customHeight="1">
      <c r="C970" s="289"/>
      <c r="D970" s="289"/>
      <c r="G970" s="289"/>
      <c r="H970" s="290"/>
      <c r="J970" s="289"/>
      <c r="K970" s="289"/>
      <c r="L970" s="289"/>
      <c r="M970" s="286"/>
      <c r="N970" s="287"/>
      <c r="O970" s="287"/>
      <c r="V970" s="288"/>
    </row>
    <row r="971" spans="3:22" ht="15.75" customHeight="1">
      <c r="C971" s="289"/>
      <c r="D971" s="289"/>
      <c r="G971" s="289"/>
      <c r="H971" s="290"/>
      <c r="J971" s="289"/>
      <c r="K971" s="289"/>
      <c r="L971" s="289"/>
      <c r="M971" s="286"/>
      <c r="N971" s="287"/>
      <c r="O971" s="287"/>
      <c r="V971" s="288"/>
    </row>
    <row r="972" spans="3:22" ht="15.75" customHeight="1">
      <c r="C972" s="289"/>
      <c r="D972" s="289"/>
      <c r="G972" s="289"/>
      <c r="H972" s="290"/>
      <c r="J972" s="289"/>
      <c r="K972" s="289"/>
      <c r="L972" s="289"/>
      <c r="M972" s="286"/>
      <c r="N972" s="287"/>
      <c r="O972" s="287"/>
      <c r="V972" s="288"/>
    </row>
    <row r="973" spans="3:22" ht="15.75" customHeight="1">
      <c r="C973" s="289"/>
      <c r="D973" s="289"/>
      <c r="G973" s="289"/>
      <c r="H973" s="290"/>
      <c r="J973" s="289"/>
      <c r="K973" s="289"/>
      <c r="L973" s="289"/>
      <c r="M973" s="286"/>
      <c r="N973" s="287"/>
      <c r="O973" s="287"/>
      <c r="V973" s="288"/>
    </row>
    <row r="974" spans="3:22" ht="15.75" customHeight="1">
      <c r="C974" s="289"/>
      <c r="D974" s="289"/>
      <c r="G974" s="289"/>
      <c r="H974" s="290"/>
      <c r="J974" s="289"/>
      <c r="K974" s="289"/>
      <c r="L974" s="289"/>
      <c r="M974" s="286"/>
      <c r="N974" s="287"/>
      <c r="O974" s="287"/>
      <c r="V974" s="288"/>
    </row>
    <row r="975" spans="3:22" ht="15.75" customHeight="1">
      <c r="C975" s="289"/>
      <c r="D975" s="289"/>
      <c r="G975" s="289"/>
      <c r="H975" s="290"/>
      <c r="J975" s="289"/>
      <c r="K975" s="289"/>
      <c r="L975" s="289"/>
      <c r="M975" s="286"/>
      <c r="N975" s="287"/>
      <c r="O975" s="287"/>
      <c r="V975" s="288"/>
    </row>
    <row r="976" spans="3:22" ht="15.75" customHeight="1">
      <c r="C976" s="289"/>
      <c r="D976" s="289"/>
      <c r="G976" s="289"/>
      <c r="H976" s="290"/>
      <c r="J976" s="289"/>
      <c r="K976" s="289"/>
      <c r="L976" s="289"/>
      <c r="M976" s="286"/>
      <c r="N976" s="287"/>
      <c r="O976" s="287"/>
      <c r="V976" s="288"/>
    </row>
    <row r="977" spans="3:22" ht="15.75" customHeight="1">
      <c r="C977" s="289"/>
      <c r="D977" s="289"/>
      <c r="G977" s="289"/>
      <c r="H977" s="290"/>
      <c r="J977" s="289"/>
      <c r="K977" s="289"/>
      <c r="L977" s="289"/>
      <c r="M977" s="286"/>
      <c r="N977" s="287"/>
      <c r="O977" s="287"/>
      <c r="V977" s="288"/>
    </row>
    <row r="978" spans="3:22" ht="15.75" customHeight="1">
      <c r="C978" s="289"/>
      <c r="D978" s="289"/>
      <c r="G978" s="289"/>
      <c r="H978" s="290"/>
      <c r="J978" s="289"/>
      <c r="K978" s="289"/>
      <c r="L978" s="289"/>
      <c r="M978" s="286"/>
      <c r="N978" s="287"/>
      <c r="O978" s="287"/>
      <c r="V978" s="288"/>
    </row>
    <row r="979" spans="3:22" ht="15.75" customHeight="1">
      <c r="C979" s="289"/>
      <c r="D979" s="289"/>
      <c r="G979" s="289"/>
      <c r="H979" s="290"/>
      <c r="J979" s="289"/>
      <c r="K979" s="289"/>
      <c r="L979" s="289"/>
      <c r="M979" s="286"/>
      <c r="N979" s="287"/>
      <c r="O979" s="287"/>
      <c r="V979" s="288"/>
    </row>
    <row r="980" spans="3:22" ht="15.75" customHeight="1">
      <c r="C980" s="289"/>
      <c r="D980" s="289"/>
      <c r="G980" s="289"/>
      <c r="H980" s="290"/>
      <c r="J980" s="289"/>
      <c r="K980" s="289"/>
      <c r="L980" s="289"/>
      <c r="M980" s="286"/>
      <c r="N980" s="287"/>
      <c r="O980" s="287"/>
      <c r="V980" s="288"/>
    </row>
    <row r="981" spans="3:22" ht="15.75" customHeight="1">
      <c r="C981" s="289"/>
      <c r="D981" s="289"/>
      <c r="G981" s="289"/>
      <c r="H981" s="290"/>
      <c r="J981" s="289"/>
      <c r="K981" s="289"/>
      <c r="L981" s="289"/>
      <c r="M981" s="286"/>
      <c r="N981" s="287"/>
      <c r="O981" s="287"/>
      <c r="V981" s="288"/>
    </row>
    <row r="982" spans="3:22" ht="15.75" customHeight="1">
      <c r="C982" s="289"/>
      <c r="D982" s="289"/>
      <c r="G982" s="289"/>
      <c r="H982" s="290"/>
      <c r="J982" s="289"/>
      <c r="K982" s="289"/>
      <c r="L982" s="289"/>
      <c r="M982" s="286"/>
      <c r="N982" s="287"/>
      <c r="O982" s="287"/>
      <c r="V982" s="288"/>
    </row>
    <row r="983" spans="3:22" ht="15.75" customHeight="1">
      <c r="C983" s="289"/>
      <c r="D983" s="289"/>
      <c r="G983" s="289"/>
      <c r="H983" s="290"/>
      <c r="J983" s="289"/>
      <c r="K983" s="289"/>
      <c r="L983" s="289"/>
      <c r="M983" s="286"/>
      <c r="N983" s="287"/>
      <c r="O983" s="287"/>
      <c r="V983" s="288"/>
    </row>
    <row r="984" spans="3:22" ht="15.75" customHeight="1">
      <c r="C984" s="289"/>
      <c r="D984" s="289"/>
      <c r="G984" s="289"/>
      <c r="H984" s="290"/>
      <c r="J984" s="289"/>
      <c r="K984" s="289"/>
      <c r="L984" s="289"/>
      <c r="M984" s="286"/>
      <c r="N984" s="287"/>
      <c r="O984" s="287"/>
      <c r="V984" s="288"/>
    </row>
    <row r="985" spans="3:22" ht="15.75" customHeight="1">
      <c r="C985" s="289"/>
      <c r="D985" s="289"/>
      <c r="G985" s="289"/>
      <c r="H985" s="290"/>
      <c r="J985" s="289"/>
      <c r="K985" s="289"/>
      <c r="L985" s="289"/>
      <c r="M985" s="286"/>
      <c r="N985" s="287"/>
      <c r="O985" s="287"/>
      <c r="V985" s="288"/>
    </row>
    <row r="986" spans="3:22" ht="15.75" customHeight="1">
      <c r="C986" s="289"/>
      <c r="D986" s="289"/>
      <c r="G986" s="289"/>
      <c r="H986" s="290"/>
      <c r="J986" s="289"/>
      <c r="K986" s="289"/>
      <c r="L986" s="289"/>
      <c r="M986" s="286"/>
      <c r="N986" s="287"/>
      <c r="O986" s="287"/>
      <c r="V986" s="288"/>
    </row>
    <row r="987" spans="3:22" ht="15.75" customHeight="1">
      <c r="C987" s="289"/>
      <c r="D987" s="289"/>
      <c r="G987" s="289"/>
      <c r="H987" s="290"/>
      <c r="J987" s="289"/>
      <c r="K987" s="289"/>
      <c r="L987" s="289"/>
      <c r="M987" s="286"/>
      <c r="N987" s="287"/>
      <c r="O987" s="287"/>
      <c r="V987" s="288"/>
    </row>
    <row r="988" spans="3:22" ht="15.75" customHeight="1">
      <c r="C988" s="289"/>
      <c r="D988" s="289"/>
      <c r="G988" s="289"/>
      <c r="H988" s="290"/>
      <c r="J988" s="289"/>
      <c r="K988" s="289"/>
      <c r="L988" s="289"/>
      <c r="M988" s="286"/>
      <c r="N988" s="287"/>
      <c r="O988" s="287"/>
      <c r="V988" s="288"/>
    </row>
    <row r="989" spans="3:22" ht="15.75" customHeight="1">
      <c r="C989" s="289"/>
      <c r="D989" s="289"/>
      <c r="G989" s="289"/>
      <c r="H989" s="290"/>
      <c r="J989" s="289"/>
      <c r="K989" s="289"/>
      <c r="L989" s="289"/>
      <c r="M989" s="286"/>
      <c r="N989" s="287"/>
      <c r="O989" s="287"/>
      <c r="V989" s="288"/>
    </row>
    <row r="990" spans="3:22" ht="15.75" customHeight="1">
      <c r="C990" s="289"/>
      <c r="D990" s="289"/>
      <c r="G990" s="289"/>
      <c r="H990" s="290"/>
      <c r="J990" s="289"/>
      <c r="K990" s="289"/>
      <c r="L990" s="289"/>
      <c r="M990" s="286"/>
      <c r="N990" s="287"/>
      <c r="O990" s="287"/>
      <c r="V990" s="288"/>
    </row>
    <row r="991" spans="3:22" ht="15.75" customHeight="1">
      <c r="C991" s="289"/>
      <c r="D991" s="289"/>
      <c r="G991" s="289"/>
      <c r="H991" s="290"/>
      <c r="J991" s="289"/>
      <c r="K991" s="289"/>
      <c r="L991" s="289"/>
      <c r="M991" s="286"/>
      <c r="N991" s="287"/>
      <c r="O991" s="287"/>
      <c r="V991" s="288"/>
    </row>
    <row r="992" spans="3:22" ht="15.75" customHeight="1">
      <c r="C992" s="289"/>
      <c r="D992" s="289"/>
      <c r="G992" s="289"/>
      <c r="H992" s="290"/>
      <c r="J992" s="289"/>
      <c r="K992" s="289"/>
      <c r="L992" s="289"/>
      <c r="M992" s="286"/>
      <c r="N992" s="287"/>
      <c r="O992" s="287"/>
      <c r="V992" s="288"/>
    </row>
    <row r="993" spans="3:22" ht="15.75" customHeight="1">
      <c r="C993" s="289"/>
      <c r="D993" s="289"/>
      <c r="G993" s="289"/>
      <c r="H993" s="290"/>
      <c r="J993" s="289"/>
      <c r="K993" s="289"/>
      <c r="L993" s="289"/>
      <c r="M993" s="286"/>
      <c r="N993" s="287"/>
      <c r="O993" s="287"/>
      <c r="V993" s="288"/>
    </row>
    <row r="994" spans="3:22" ht="15.75" customHeight="1">
      <c r="C994" s="289"/>
      <c r="D994" s="289"/>
      <c r="G994" s="289"/>
      <c r="H994" s="290"/>
      <c r="J994" s="289"/>
      <c r="K994" s="289"/>
      <c r="L994" s="289"/>
      <c r="M994" s="286"/>
      <c r="N994" s="287"/>
      <c r="O994" s="287"/>
      <c r="V994" s="288"/>
    </row>
    <row r="995" spans="3:22" ht="15.75" customHeight="1">
      <c r="C995" s="289"/>
      <c r="D995" s="289"/>
      <c r="G995" s="289"/>
      <c r="H995" s="290"/>
      <c r="J995" s="289"/>
      <c r="K995" s="289"/>
      <c r="L995" s="289"/>
      <c r="M995" s="286"/>
      <c r="N995" s="287"/>
      <c r="O995" s="287"/>
      <c r="V995" s="288"/>
    </row>
    <row r="996" spans="3:22" ht="15.75" customHeight="1">
      <c r="C996" s="289"/>
      <c r="D996" s="289"/>
      <c r="G996" s="289"/>
      <c r="H996" s="290"/>
      <c r="J996" s="289"/>
      <c r="K996" s="289"/>
      <c r="L996" s="289"/>
      <c r="M996" s="286"/>
      <c r="N996" s="287"/>
      <c r="O996" s="287"/>
      <c r="V996" s="288"/>
    </row>
    <row r="997" spans="3:22" ht="15.75" customHeight="1">
      <c r="C997" s="289"/>
      <c r="D997" s="289"/>
      <c r="G997" s="289"/>
      <c r="H997" s="290"/>
      <c r="J997" s="289"/>
      <c r="K997" s="289"/>
      <c r="L997" s="289"/>
      <c r="M997" s="286"/>
      <c r="N997" s="287"/>
      <c r="O997" s="287"/>
      <c r="V997" s="288"/>
    </row>
    <row r="998" spans="3:22" ht="15.75" customHeight="1">
      <c r="C998" s="289"/>
      <c r="D998" s="289"/>
      <c r="G998" s="289"/>
      <c r="H998" s="290"/>
      <c r="J998" s="289"/>
      <c r="K998" s="289"/>
      <c r="L998" s="289"/>
      <c r="M998" s="286"/>
      <c r="N998" s="287"/>
      <c r="O998" s="287"/>
      <c r="V998" s="288"/>
    </row>
    <row r="999" spans="3:22" ht="15.75" customHeight="1">
      <c r="C999" s="289"/>
      <c r="D999" s="289"/>
      <c r="G999" s="289"/>
      <c r="H999" s="290"/>
      <c r="J999" s="289"/>
      <c r="K999" s="289"/>
      <c r="L999" s="289"/>
      <c r="M999" s="286"/>
      <c r="N999" s="287"/>
      <c r="O999" s="287"/>
      <c r="V999" s="288"/>
    </row>
    <row r="1000" spans="3:22" ht="15.75" customHeight="1">
      <c r="C1000" s="289"/>
      <c r="D1000" s="289"/>
      <c r="G1000" s="289"/>
      <c r="H1000" s="290"/>
      <c r="J1000" s="289"/>
      <c r="K1000" s="289"/>
      <c r="L1000" s="289"/>
      <c r="M1000" s="286"/>
      <c r="N1000" s="287"/>
      <c r="O1000" s="287"/>
      <c r="V1000" s="288"/>
    </row>
  </sheetData>
  <autoFilter ref="A2:V40" xr:uid="{00000000-0009-0000-0000-000002000000}"/>
  <hyperlinks>
    <hyperlink ref="B4" location="'2'!A1" display="'2'!A1" xr:uid="{00000000-0004-0000-0200-000000000000}"/>
    <hyperlink ref="B3" location="'1'!A1" display="'1'!A1" xr:uid="{00000000-0004-0000-0200-000001000000}"/>
    <hyperlink ref="B5" location="'3'!A1" display="'3'!A1" xr:uid="{00000000-0004-0000-0200-000002000000}"/>
  </hyperlink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>
      <selection sqref="A1:F1"/>
    </sheetView>
  </sheetViews>
  <sheetFormatPr baseColWidth="10" defaultColWidth="14.5" defaultRowHeight="15" customHeight="1"/>
  <cols>
    <col min="1" max="1" width="3.5" customWidth="1"/>
    <col min="2" max="2" width="2.5" customWidth="1"/>
    <col min="3" max="3" width="6.5" customWidth="1"/>
    <col min="4" max="4" width="4.6640625" customWidth="1"/>
    <col min="5" max="6" width="8.33203125" customWidth="1"/>
    <col min="7" max="7" width="7" customWidth="1"/>
    <col min="8" max="8" width="6.5" customWidth="1"/>
    <col min="9" max="9" width="10.5" customWidth="1"/>
    <col min="10" max="10" width="7.83203125" customWidth="1"/>
    <col min="11" max="11" width="5.5" customWidth="1"/>
    <col min="12" max="12" width="8.6640625" customWidth="1"/>
    <col min="13" max="13" width="5.6640625" customWidth="1"/>
    <col min="14" max="14" width="8.5" customWidth="1"/>
    <col min="15" max="15" width="17" customWidth="1"/>
    <col min="16" max="17" width="9.1640625" customWidth="1"/>
    <col min="18" max="18" width="9.1640625" hidden="1" customWidth="1"/>
    <col min="19" max="19" width="13.33203125" hidden="1" customWidth="1"/>
    <col min="20" max="22" width="9.1640625" hidden="1" customWidth="1"/>
    <col min="23" max="23" width="7.6640625" hidden="1" customWidth="1"/>
    <col min="24" max="25" width="9.1640625" customWidth="1"/>
  </cols>
  <sheetData>
    <row r="1" spans="1:25" ht="30" customHeight="1">
      <c r="A1" s="485" t="s">
        <v>39</v>
      </c>
      <c r="B1" s="486"/>
      <c r="C1" s="486"/>
      <c r="D1" s="486"/>
      <c r="E1" s="486"/>
      <c r="F1" s="486"/>
      <c r="G1" s="1"/>
      <c r="H1" s="1"/>
      <c r="I1" s="1"/>
      <c r="J1" s="2"/>
      <c r="K1" s="487" t="s">
        <v>40</v>
      </c>
      <c r="L1" s="486"/>
      <c r="M1" s="486"/>
      <c r="N1" s="486"/>
      <c r="O1" s="488"/>
      <c r="W1" s="4">
        <v>1377</v>
      </c>
    </row>
    <row r="2" spans="1:25" ht="17.25" customHeight="1">
      <c r="A2" s="493"/>
      <c r="B2" s="494"/>
      <c r="C2" s="72"/>
      <c r="D2" s="73"/>
      <c r="E2" s="73"/>
      <c r="F2" s="37"/>
      <c r="G2" s="37"/>
      <c r="H2" s="37"/>
      <c r="I2" s="37"/>
      <c r="J2" s="74"/>
      <c r="K2" s="495"/>
      <c r="L2" s="494"/>
      <c r="M2" s="494"/>
      <c r="N2" s="75"/>
      <c r="O2" s="76"/>
      <c r="W2" s="4">
        <v>1378</v>
      </c>
      <c r="Y2" s="37" t="s">
        <v>41</v>
      </c>
    </row>
    <row r="3" spans="1:25" ht="16.5" customHeight="1">
      <c r="A3" s="7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8"/>
      <c r="R3" s="79" t="s">
        <v>42</v>
      </c>
      <c r="S3" s="17" t="s">
        <v>3</v>
      </c>
      <c r="T3" s="4">
        <v>1400</v>
      </c>
      <c r="U3" s="4">
        <v>1</v>
      </c>
      <c r="V3" s="4">
        <v>1</v>
      </c>
      <c r="W3" s="4">
        <v>1379</v>
      </c>
    </row>
    <row r="4" spans="1:25" ht="23.25" customHeight="1">
      <c r="A4" s="80"/>
      <c r="B4" s="81"/>
      <c r="C4" s="81"/>
      <c r="D4" s="81"/>
      <c r="E4" s="81"/>
      <c r="F4" s="81"/>
      <c r="G4" s="81"/>
      <c r="H4" s="81"/>
      <c r="I4" s="82" t="s">
        <v>43</v>
      </c>
      <c r="J4" s="83"/>
      <c r="K4" s="83"/>
      <c r="L4" s="84">
        <v>1401</v>
      </c>
      <c r="M4" s="84">
        <v>4</v>
      </c>
      <c r="N4" s="84">
        <v>11</v>
      </c>
      <c r="O4" s="85" t="s">
        <v>44</v>
      </c>
      <c r="R4" s="79" t="s">
        <v>45</v>
      </c>
      <c r="S4" s="17" t="s">
        <v>10</v>
      </c>
      <c r="T4" s="4">
        <v>1401</v>
      </c>
      <c r="U4" s="4">
        <v>2</v>
      </c>
      <c r="V4" s="4">
        <v>2</v>
      </c>
      <c r="W4" s="4">
        <v>1380</v>
      </c>
      <c r="X4" s="4"/>
    </row>
    <row r="5" spans="1:25" ht="24" customHeight="1">
      <c r="A5" s="86"/>
      <c r="B5" s="87"/>
      <c r="C5" s="87"/>
      <c r="D5" s="87"/>
      <c r="E5" s="88" t="s">
        <v>42</v>
      </c>
      <c r="F5" s="88" t="s">
        <v>46</v>
      </c>
      <c r="G5" s="87"/>
      <c r="H5" s="89" t="s">
        <v>10</v>
      </c>
      <c r="I5" s="88" t="s">
        <v>4</v>
      </c>
      <c r="J5" s="496" t="s">
        <v>47</v>
      </c>
      <c r="K5" s="497"/>
      <c r="L5" s="497"/>
      <c r="M5" s="497"/>
      <c r="N5" s="497"/>
      <c r="O5" s="90" t="s">
        <v>48</v>
      </c>
      <c r="R5" s="79" t="s">
        <v>49</v>
      </c>
      <c r="S5" s="17" t="s">
        <v>16</v>
      </c>
      <c r="T5" s="4">
        <v>1402</v>
      </c>
      <c r="U5" s="4">
        <v>3</v>
      </c>
      <c r="V5" s="4">
        <v>3</v>
      </c>
      <c r="W5" s="4">
        <v>1381</v>
      </c>
      <c r="X5" s="4"/>
    </row>
    <row r="6" spans="1:25" ht="21" customHeight="1">
      <c r="A6" s="91"/>
      <c r="B6" s="87"/>
      <c r="C6" s="87"/>
      <c r="D6" s="87"/>
      <c r="E6" s="87"/>
      <c r="F6" s="92" t="s">
        <v>50</v>
      </c>
      <c r="G6" s="92">
        <v>6</v>
      </c>
      <c r="H6" s="92">
        <v>8</v>
      </c>
      <c r="I6" s="93" t="s">
        <v>51</v>
      </c>
      <c r="J6" s="496" t="s">
        <v>47</v>
      </c>
      <c r="K6" s="497"/>
      <c r="L6" s="497"/>
      <c r="M6" s="497"/>
      <c r="N6" s="497"/>
      <c r="O6" s="90" t="s">
        <v>52</v>
      </c>
      <c r="R6" s="79" t="s">
        <v>53</v>
      </c>
      <c r="S6" s="17" t="s">
        <v>18</v>
      </c>
      <c r="T6" s="4">
        <v>1403</v>
      </c>
      <c r="U6" s="4">
        <v>4</v>
      </c>
      <c r="V6" s="4">
        <v>4</v>
      </c>
      <c r="W6" s="4">
        <v>1382</v>
      </c>
      <c r="X6" s="4"/>
    </row>
    <row r="7" spans="1:25" ht="23.25" customHeight="1">
      <c r="A7" s="498" t="s">
        <v>54</v>
      </c>
      <c r="B7" s="497"/>
      <c r="C7" s="497"/>
      <c r="D7" s="497"/>
      <c r="E7" s="497"/>
      <c r="F7" s="497"/>
      <c r="G7" s="497"/>
      <c r="H7" s="497"/>
      <c r="I7" s="88" t="s">
        <v>12</v>
      </c>
      <c r="J7" s="496" t="s">
        <v>47</v>
      </c>
      <c r="K7" s="497"/>
      <c r="L7" s="497"/>
      <c r="M7" s="497"/>
      <c r="N7" s="497"/>
      <c r="O7" s="90" t="s">
        <v>55</v>
      </c>
      <c r="R7" s="79" t="s">
        <v>56</v>
      </c>
      <c r="S7" s="37" t="s">
        <v>57</v>
      </c>
      <c r="T7" s="4">
        <v>1404</v>
      </c>
      <c r="U7" s="4">
        <v>5</v>
      </c>
      <c r="V7" s="4">
        <v>5</v>
      </c>
      <c r="W7" s="4">
        <v>1383</v>
      </c>
      <c r="X7" s="4"/>
    </row>
    <row r="8" spans="1:25" ht="25.5" customHeight="1">
      <c r="A8" s="498" t="s">
        <v>54</v>
      </c>
      <c r="B8" s="497"/>
      <c r="C8" s="497"/>
      <c r="D8" s="497"/>
      <c r="E8" s="497"/>
      <c r="F8" s="497"/>
      <c r="G8" s="497"/>
      <c r="H8" s="497"/>
      <c r="I8" s="88" t="s">
        <v>58</v>
      </c>
      <c r="J8" s="496" t="s">
        <v>47</v>
      </c>
      <c r="K8" s="497"/>
      <c r="L8" s="497"/>
      <c r="M8" s="497"/>
      <c r="N8" s="497"/>
      <c r="O8" s="90" t="s">
        <v>59</v>
      </c>
      <c r="R8" s="79" t="s">
        <v>60</v>
      </c>
      <c r="S8" s="37" t="s">
        <v>61</v>
      </c>
      <c r="T8" s="4">
        <v>1405</v>
      </c>
      <c r="U8" s="4">
        <v>6</v>
      </c>
      <c r="V8" s="4">
        <v>6</v>
      </c>
      <c r="W8" s="4">
        <v>1384</v>
      </c>
      <c r="X8" s="4"/>
    </row>
    <row r="9" spans="1:25" ht="27" customHeight="1">
      <c r="A9" s="498" t="s">
        <v>62</v>
      </c>
      <c r="B9" s="497"/>
      <c r="C9" s="497"/>
      <c r="D9" s="497"/>
      <c r="E9" s="497"/>
      <c r="F9" s="497"/>
      <c r="G9" s="497"/>
      <c r="H9" s="497"/>
      <c r="I9" s="497"/>
      <c r="J9" s="497"/>
      <c r="K9" s="497"/>
      <c r="L9" s="497"/>
      <c r="M9" s="497"/>
      <c r="N9" s="497"/>
      <c r="O9" s="90" t="s">
        <v>20</v>
      </c>
      <c r="R9" s="79" t="s">
        <v>63</v>
      </c>
      <c r="S9" s="37" t="s">
        <v>64</v>
      </c>
      <c r="T9" s="4">
        <v>1406</v>
      </c>
      <c r="U9" s="4">
        <v>7</v>
      </c>
      <c r="V9" s="4">
        <v>7</v>
      </c>
      <c r="W9" s="4">
        <v>1385</v>
      </c>
      <c r="X9" s="4"/>
    </row>
    <row r="10" spans="1:25" ht="26.25" customHeight="1">
      <c r="A10" s="94"/>
      <c r="B10" s="95"/>
      <c r="C10" s="95"/>
      <c r="D10" s="95"/>
      <c r="E10" s="95"/>
      <c r="F10" s="95"/>
      <c r="G10" s="95"/>
      <c r="H10" s="95"/>
      <c r="I10" s="95"/>
      <c r="J10" s="95"/>
      <c r="K10" s="496" t="s">
        <v>65</v>
      </c>
      <c r="L10" s="497"/>
      <c r="M10" s="497"/>
      <c r="N10" s="497"/>
      <c r="O10" s="90" t="s">
        <v>66</v>
      </c>
      <c r="R10" s="79" t="s">
        <v>67</v>
      </c>
      <c r="S10" s="37" t="s">
        <v>68</v>
      </c>
      <c r="T10" s="4">
        <v>1407</v>
      </c>
      <c r="U10" s="4">
        <v>8</v>
      </c>
      <c r="V10" s="4">
        <v>8</v>
      </c>
      <c r="W10" s="4">
        <v>1386</v>
      </c>
      <c r="X10" s="4"/>
    </row>
    <row r="11" spans="1:25" ht="25.5" customHeight="1">
      <c r="A11" s="502" t="s">
        <v>69</v>
      </c>
      <c r="B11" s="497"/>
      <c r="C11" s="497"/>
      <c r="D11" s="497"/>
      <c r="E11" s="497"/>
      <c r="F11" s="497"/>
      <c r="G11" s="497"/>
      <c r="H11" s="497"/>
      <c r="I11" s="497"/>
      <c r="J11" s="88" t="s">
        <v>70</v>
      </c>
      <c r="K11" s="499">
        <v>13444</v>
      </c>
      <c r="L11" s="497"/>
      <c r="M11" s="497"/>
      <c r="N11" s="497"/>
      <c r="O11" s="90" t="s">
        <v>24</v>
      </c>
      <c r="R11" s="79" t="s">
        <v>71</v>
      </c>
      <c r="S11" s="37" t="s">
        <v>72</v>
      </c>
      <c r="T11" s="4">
        <v>1408</v>
      </c>
      <c r="U11" s="4">
        <v>9</v>
      </c>
      <c r="V11" s="4">
        <v>9</v>
      </c>
      <c r="W11" s="4">
        <v>1387</v>
      </c>
      <c r="X11" s="4"/>
    </row>
    <row r="12" spans="1:25" ht="30" customHeight="1">
      <c r="A12" s="500" t="s">
        <v>73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1"/>
      <c r="N12" s="501"/>
      <c r="O12" s="96" t="s">
        <v>74</v>
      </c>
      <c r="R12" s="79" t="s">
        <v>75</v>
      </c>
      <c r="S12" s="37" t="s">
        <v>76</v>
      </c>
      <c r="T12" s="4">
        <v>1409</v>
      </c>
      <c r="U12" s="4">
        <v>10</v>
      </c>
      <c r="V12" s="4">
        <v>10</v>
      </c>
      <c r="W12" s="4">
        <v>1388</v>
      </c>
      <c r="X12" s="4"/>
    </row>
    <row r="13" spans="1:25" ht="16.5" customHeight="1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31"/>
      <c r="N13" s="31"/>
      <c r="O13" s="32" t="s">
        <v>77</v>
      </c>
      <c r="R13" s="79" t="s">
        <v>78</v>
      </c>
      <c r="S13" s="37" t="s">
        <v>79</v>
      </c>
      <c r="T13" s="4">
        <v>1410</v>
      </c>
      <c r="U13" s="4">
        <v>11</v>
      </c>
      <c r="V13" s="4">
        <v>11</v>
      </c>
      <c r="W13" s="4">
        <v>1389</v>
      </c>
      <c r="X13" s="4"/>
    </row>
    <row r="14" spans="1:25" ht="24.75" customHeight="1">
      <c r="A14" s="97"/>
      <c r="B14" s="81"/>
      <c r="C14" s="503"/>
      <c r="D14" s="504"/>
      <c r="E14" s="504"/>
      <c r="F14" s="82" t="s">
        <v>80</v>
      </c>
      <c r="G14" s="505"/>
      <c r="H14" s="504"/>
      <c r="I14" s="504"/>
      <c r="J14" s="506" t="s">
        <v>81</v>
      </c>
      <c r="K14" s="504"/>
      <c r="L14" s="81"/>
      <c r="M14" s="507" t="s">
        <v>57</v>
      </c>
      <c r="N14" s="504"/>
      <c r="O14" s="98" t="s">
        <v>82</v>
      </c>
      <c r="R14" s="79" t="s">
        <v>83</v>
      </c>
      <c r="S14" s="37" t="s">
        <v>84</v>
      </c>
      <c r="U14" s="4">
        <v>12</v>
      </c>
      <c r="V14" s="4">
        <v>12</v>
      </c>
      <c r="W14" s="4">
        <v>1390</v>
      </c>
      <c r="X14" s="4"/>
    </row>
    <row r="15" spans="1:25" ht="24.75" customHeight="1">
      <c r="A15" s="498"/>
      <c r="B15" s="497"/>
      <c r="C15" s="497"/>
      <c r="D15" s="497"/>
      <c r="E15" s="497"/>
      <c r="F15" s="497"/>
      <c r="G15" s="497"/>
      <c r="H15" s="497"/>
      <c r="I15" s="497"/>
      <c r="J15" s="497"/>
      <c r="K15" s="497"/>
      <c r="L15" s="497"/>
      <c r="M15" s="497"/>
      <c r="N15" s="497"/>
      <c r="O15" s="90" t="s">
        <v>85</v>
      </c>
      <c r="R15" s="79" t="s">
        <v>86</v>
      </c>
      <c r="S15" s="37" t="s">
        <v>87</v>
      </c>
      <c r="V15" s="4">
        <v>13</v>
      </c>
      <c r="W15" s="4">
        <v>1391</v>
      </c>
      <c r="X15" s="4"/>
    </row>
    <row r="16" spans="1:25" ht="21" customHeight="1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508"/>
      <c r="L16" s="509"/>
      <c r="M16" s="509"/>
      <c r="N16" s="509"/>
      <c r="O16" s="99" t="s">
        <v>66</v>
      </c>
      <c r="R16" s="79" t="s">
        <v>88</v>
      </c>
      <c r="S16" s="37" t="s">
        <v>89</v>
      </c>
      <c r="V16" s="4">
        <v>14</v>
      </c>
      <c r="W16" s="4">
        <v>1392</v>
      </c>
      <c r="X16" s="4"/>
    </row>
    <row r="17" spans="1:24" ht="21.75" customHeight="1">
      <c r="A17" s="100"/>
      <c r="B17" s="101"/>
      <c r="C17" s="101"/>
      <c r="D17" s="101"/>
      <c r="E17" s="101"/>
      <c r="F17" s="101"/>
      <c r="G17" s="102"/>
      <c r="H17" s="101"/>
      <c r="I17" s="101"/>
      <c r="J17" s="88" t="s">
        <v>70</v>
      </c>
      <c r="K17" s="508"/>
      <c r="L17" s="509"/>
      <c r="M17" s="509"/>
      <c r="N17" s="509"/>
      <c r="O17" s="103" t="s">
        <v>90</v>
      </c>
      <c r="R17" s="79" t="s">
        <v>91</v>
      </c>
      <c r="S17" s="37" t="s">
        <v>92</v>
      </c>
      <c r="V17" s="4">
        <v>15</v>
      </c>
      <c r="W17" s="4">
        <v>1393</v>
      </c>
      <c r="X17" s="4"/>
    </row>
    <row r="18" spans="1:24" ht="25.5" customHeight="1">
      <c r="A18" s="104"/>
      <c r="B18" s="48"/>
      <c r="C18" s="48"/>
      <c r="D18" s="48"/>
      <c r="E18" s="48"/>
      <c r="F18" s="48"/>
      <c r="G18" s="105"/>
      <c r="H18" s="106"/>
      <c r="I18" s="106"/>
      <c r="J18" s="106"/>
      <c r="K18" s="510"/>
      <c r="L18" s="511"/>
      <c r="M18" s="511"/>
      <c r="N18" s="511"/>
      <c r="O18" s="107" t="s">
        <v>74</v>
      </c>
      <c r="R18" s="79" t="s">
        <v>93</v>
      </c>
      <c r="S18" s="37" t="s">
        <v>94</v>
      </c>
      <c r="V18" s="4">
        <v>16</v>
      </c>
      <c r="W18" s="4">
        <v>1394</v>
      </c>
      <c r="X18" s="4"/>
    </row>
    <row r="19" spans="1:24" ht="20.25" customHeight="1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1"/>
      <c r="M19" s="31"/>
      <c r="N19" s="31"/>
      <c r="O19" s="32" t="s">
        <v>95</v>
      </c>
      <c r="R19" s="79" t="s">
        <v>96</v>
      </c>
      <c r="S19" s="73" t="s">
        <v>97</v>
      </c>
      <c r="V19" s="4">
        <v>17</v>
      </c>
      <c r="W19" s="4">
        <v>1395</v>
      </c>
      <c r="X19" s="4"/>
    </row>
    <row r="20" spans="1:24" ht="18.75" customHeight="1">
      <c r="A20" s="512"/>
      <c r="B20" s="486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6"/>
      <c r="O20" s="108" t="s">
        <v>98</v>
      </c>
      <c r="R20" s="79" t="s">
        <v>99</v>
      </c>
      <c r="S20" s="73" t="s">
        <v>100</v>
      </c>
      <c r="V20" s="4">
        <v>18</v>
      </c>
      <c r="W20" s="4">
        <v>1396</v>
      </c>
      <c r="X20" s="4"/>
    </row>
    <row r="21" spans="1:24" ht="18" customHeight="1">
      <c r="A21" s="513"/>
      <c r="B21" s="494"/>
      <c r="C21" s="494"/>
      <c r="D21" s="494"/>
      <c r="E21" s="494"/>
      <c r="F21" s="494"/>
      <c r="G21" s="494"/>
      <c r="H21" s="494"/>
      <c r="I21" s="494"/>
      <c r="J21" s="494"/>
      <c r="K21" s="494"/>
      <c r="L21" s="494"/>
      <c r="M21" s="494"/>
      <c r="N21" s="494"/>
      <c r="O21" s="514"/>
      <c r="R21" s="79" t="s">
        <v>101</v>
      </c>
      <c r="S21" s="73" t="s">
        <v>102</v>
      </c>
      <c r="V21" s="4">
        <v>19</v>
      </c>
      <c r="W21" s="4">
        <v>1397</v>
      </c>
      <c r="X21" s="4"/>
    </row>
    <row r="22" spans="1:24" ht="18" customHeight="1">
      <c r="A22" s="513"/>
      <c r="B22" s="494"/>
      <c r="C22" s="494"/>
      <c r="D22" s="494"/>
      <c r="E22" s="494"/>
      <c r="F22" s="494"/>
      <c r="G22" s="494"/>
      <c r="H22" s="494"/>
      <c r="I22" s="494"/>
      <c r="J22" s="494"/>
      <c r="K22" s="494"/>
      <c r="L22" s="494"/>
      <c r="M22" s="494"/>
      <c r="N22" s="494"/>
      <c r="O22" s="514"/>
      <c r="R22" s="79" t="s">
        <v>103</v>
      </c>
      <c r="S22" s="73" t="s">
        <v>104</v>
      </c>
      <c r="V22" s="4">
        <v>20</v>
      </c>
      <c r="W22" s="4">
        <v>1398</v>
      </c>
      <c r="X22" s="4"/>
    </row>
    <row r="23" spans="1:24" ht="17.25" customHeight="1">
      <c r="A23" s="513"/>
      <c r="B23" s="494"/>
      <c r="C23" s="494"/>
      <c r="D23" s="494"/>
      <c r="E23" s="494"/>
      <c r="F23" s="494"/>
      <c r="G23" s="494"/>
      <c r="H23" s="494"/>
      <c r="I23" s="494"/>
      <c r="J23" s="494"/>
      <c r="K23" s="494"/>
      <c r="L23" s="494"/>
      <c r="M23" s="494"/>
      <c r="N23" s="494"/>
      <c r="O23" s="514"/>
      <c r="R23" s="79" t="s">
        <v>105</v>
      </c>
      <c r="S23" s="73" t="s">
        <v>106</v>
      </c>
      <c r="V23" s="4">
        <v>21</v>
      </c>
      <c r="W23" s="4">
        <v>1399</v>
      </c>
      <c r="X23" s="4"/>
    </row>
    <row r="24" spans="1:24" ht="19.5" customHeight="1">
      <c r="A24" s="513"/>
      <c r="B24" s="494"/>
      <c r="C24" s="494"/>
      <c r="D24" s="494"/>
      <c r="E24" s="494"/>
      <c r="F24" s="494"/>
      <c r="G24" s="494"/>
      <c r="H24" s="494"/>
      <c r="I24" s="494"/>
      <c r="J24" s="494"/>
      <c r="K24" s="494"/>
      <c r="L24" s="494"/>
      <c r="M24" s="494"/>
      <c r="N24" s="494"/>
      <c r="O24" s="108" t="s">
        <v>107</v>
      </c>
      <c r="R24" s="79" t="s">
        <v>108</v>
      </c>
      <c r="S24" s="73" t="s">
        <v>109</v>
      </c>
      <c r="V24" s="4">
        <v>22</v>
      </c>
      <c r="W24" s="4">
        <v>1400</v>
      </c>
      <c r="X24" s="4"/>
    </row>
    <row r="25" spans="1:24" ht="18.75" customHeight="1">
      <c r="A25" s="513"/>
      <c r="B25" s="494"/>
      <c r="C25" s="494"/>
      <c r="D25" s="494"/>
      <c r="E25" s="494"/>
      <c r="F25" s="494"/>
      <c r="G25" s="494"/>
      <c r="H25" s="494"/>
      <c r="I25" s="494"/>
      <c r="J25" s="494"/>
      <c r="K25" s="494"/>
      <c r="L25" s="494"/>
      <c r="M25" s="494"/>
      <c r="N25" s="494"/>
      <c r="O25" s="514"/>
      <c r="R25" s="79" t="s">
        <v>110</v>
      </c>
      <c r="S25" s="73" t="s">
        <v>111</v>
      </c>
      <c r="V25" s="4">
        <v>23</v>
      </c>
      <c r="W25" s="4">
        <v>1401</v>
      </c>
      <c r="X25" s="4"/>
    </row>
    <row r="26" spans="1:24" ht="18.75" customHeight="1">
      <c r="A26" s="513"/>
      <c r="B26" s="494"/>
      <c r="C26" s="494"/>
      <c r="D26" s="494"/>
      <c r="E26" s="494"/>
      <c r="F26" s="494"/>
      <c r="G26" s="494"/>
      <c r="H26" s="494"/>
      <c r="I26" s="494"/>
      <c r="J26" s="494"/>
      <c r="K26" s="494"/>
      <c r="L26" s="494"/>
      <c r="M26" s="494"/>
      <c r="N26" s="494"/>
      <c r="O26" s="514"/>
      <c r="R26" s="79" t="s">
        <v>112</v>
      </c>
      <c r="S26" s="73" t="s">
        <v>113</v>
      </c>
      <c r="V26" s="4">
        <v>24</v>
      </c>
      <c r="W26" s="4">
        <v>1402</v>
      </c>
      <c r="X26" s="4"/>
    </row>
    <row r="27" spans="1:24" ht="18.75" customHeight="1">
      <c r="A27" s="513"/>
      <c r="B27" s="494"/>
      <c r="C27" s="494"/>
      <c r="D27" s="494"/>
      <c r="E27" s="494"/>
      <c r="F27" s="494"/>
      <c r="G27" s="494"/>
      <c r="H27" s="494"/>
      <c r="I27" s="494"/>
      <c r="J27" s="494"/>
      <c r="K27" s="494"/>
      <c r="L27" s="494"/>
      <c r="M27" s="494"/>
      <c r="N27" s="494"/>
      <c r="O27" s="514"/>
      <c r="R27" s="79" t="s">
        <v>114</v>
      </c>
      <c r="V27" s="4">
        <v>25</v>
      </c>
      <c r="W27" s="4">
        <v>1403</v>
      </c>
      <c r="X27" s="4"/>
    </row>
    <row r="28" spans="1:24" ht="16.5" customHeight="1">
      <c r="A28" s="109"/>
      <c r="B28" s="44"/>
      <c r="C28" s="44"/>
      <c r="D28" s="44"/>
      <c r="E28" s="44"/>
      <c r="F28" s="44"/>
      <c r="G28" s="44"/>
      <c r="H28" s="44"/>
      <c r="I28" s="44"/>
      <c r="J28" s="44"/>
      <c r="K28" s="110"/>
      <c r="L28" s="111"/>
      <c r="M28" s="111"/>
      <c r="N28" s="111"/>
      <c r="O28" s="45" t="s">
        <v>115</v>
      </c>
      <c r="R28" s="79" t="s">
        <v>116</v>
      </c>
      <c r="V28" s="4">
        <v>26</v>
      </c>
      <c r="W28" s="4">
        <v>1404</v>
      </c>
      <c r="X28" s="4"/>
    </row>
    <row r="29" spans="1:24" ht="18.75" customHeight="1">
      <c r="A29" s="513"/>
      <c r="B29" s="494"/>
      <c r="C29" s="494"/>
      <c r="D29" s="494"/>
      <c r="E29" s="494"/>
      <c r="F29" s="494"/>
      <c r="G29" s="494"/>
      <c r="H29" s="494"/>
      <c r="I29" s="494"/>
      <c r="J29" s="516" t="s">
        <v>117</v>
      </c>
      <c r="K29" s="494"/>
      <c r="L29" s="27"/>
      <c r="M29" s="27"/>
      <c r="N29" s="27"/>
      <c r="O29" s="52"/>
      <c r="R29" s="79" t="s">
        <v>118</v>
      </c>
      <c r="V29" s="4">
        <v>27</v>
      </c>
      <c r="W29" s="4">
        <v>1405</v>
      </c>
      <c r="X29" s="4"/>
    </row>
    <row r="30" spans="1:24" ht="20.25" customHeight="1">
      <c r="A30" s="513"/>
      <c r="B30" s="494"/>
      <c r="C30" s="494"/>
      <c r="D30" s="494"/>
      <c r="E30" s="494"/>
      <c r="F30" s="494"/>
      <c r="G30" s="494"/>
      <c r="H30" s="494"/>
      <c r="I30" s="494"/>
      <c r="J30" s="494"/>
      <c r="K30" s="112" t="s">
        <v>119</v>
      </c>
      <c r="L30" s="27"/>
      <c r="M30" s="27"/>
      <c r="N30" s="27"/>
      <c r="O30" s="52"/>
      <c r="R30" s="79" t="s">
        <v>120</v>
      </c>
      <c r="V30" s="4">
        <v>28</v>
      </c>
      <c r="W30" s="4">
        <v>1406</v>
      </c>
      <c r="X30" s="4"/>
    </row>
    <row r="31" spans="1:24" ht="19.5" customHeight="1">
      <c r="A31" s="513"/>
      <c r="B31" s="494"/>
      <c r="C31" s="494"/>
      <c r="D31" s="494"/>
      <c r="E31" s="494"/>
      <c r="F31" s="494"/>
      <c r="G31" s="494"/>
      <c r="H31" s="494"/>
      <c r="I31" s="494"/>
      <c r="J31" s="494"/>
      <c r="K31" s="112" t="s">
        <v>121</v>
      </c>
      <c r="L31" s="27"/>
      <c r="M31" s="27"/>
      <c r="N31" s="27"/>
      <c r="O31" s="52"/>
      <c r="R31" s="79" t="s">
        <v>122</v>
      </c>
      <c r="V31" s="4">
        <v>29</v>
      </c>
      <c r="W31" s="4">
        <v>1407</v>
      </c>
      <c r="X31" s="4"/>
    </row>
    <row r="32" spans="1:24" ht="14.25" customHeight="1">
      <c r="A32" s="515"/>
      <c r="B32" s="494"/>
      <c r="C32" s="494"/>
      <c r="D32" s="494"/>
      <c r="E32" s="494"/>
      <c r="F32" s="494"/>
      <c r="G32" s="494"/>
      <c r="H32" s="494"/>
      <c r="I32" s="494"/>
      <c r="J32" s="494"/>
      <c r="K32" s="494"/>
      <c r="L32" s="494"/>
      <c r="M32" s="494"/>
      <c r="N32" s="494"/>
      <c r="O32" s="67" t="s">
        <v>123</v>
      </c>
      <c r="R32" s="79" t="s">
        <v>124</v>
      </c>
      <c r="V32" s="4">
        <v>30</v>
      </c>
      <c r="W32" s="4">
        <v>1408</v>
      </c>
      <c r="X32" s="4"/>
    </row>
    <row r="33" spans="1:24" ht="14.25" customHeight="1">
      <c r="A33" s="515"/>
      <c r="B33" s="494"/>
      <c r="C33" s="494"/>
      <c r="D33" s="494"/>
      <c r="E33" s="494"/>
      <c r="F33" s="494"/>
      <c r="G33" s="494"/>
      <c r="H33" s="494"/>
      <c r="I33" s="494"/>
      <c r="J33" s="494"/>
      <c r="K33" s="494"/>
      <c r="L33" s="494"/>
      <c r="M33" s="494"/>
      <c r="N33" s="494"/>
      <c r="O33" s="514"/>
      <c r="R33" s="79" t="s">
        <v>125</v>
      </c>
      <c r="V33" s="4">
        <v>31</v>
      </c>
      <c r="W33" s="4">
        <v>1409</v>
      </c>
      <c r="X33" s="4"/>
    </row>
    <row r="34" spans="1:24" ht="14.25" customHeight="1">
      <c r="A34" s="515"/>
      <c r="B34" s="494"/>
      <c r="C34" s="494"/>
      <c r="D34" s="494"/>
      <c r="E34" s="494"/>
      <c r="F34" s="494"/>
      <c r="G34" s="494"/>
      <c r="H34" s="494"/>
      <c r="I34" s="494"/>
      <c r="J34" s="494"/>
      <c r="K34" s="494"/>
      <c r="L34" s="494"/>
      <c r="M34" s="494"/>
      <c r="N34" s="494"/>
      <c r="O34" s="514"/>
      <c r="R34" s="79" t="s">
        <v>126</v>
      </c>
      <c r="W34" s="4">
        <v>1410</v>
      </c>
      <c r="X34" s="4"/>
    </row>
    <row r="35" spans="1:24" ht="14.25" customHeight="1">
      <c r="A35" s="515"/>
      <c r="B35" s="494"/>
      <c r="C35" s="494"/>
      <c r="D35" s="494"/>
      <c r="E35" s="494"/>
      <c r="F35" s="494"/>
      <c r="G35" s="494"/>
      <c r="H35" s="494"/>
      <c r="I35" s="494"/>
      <c r="J35" s="494"/>
      <c r="K35" s="494"/>
      <c r="L35" s="494"/>
      <c r="M35" s="494"/>
      <c r="N35" s="494"/>
      <c r="O35" s="514"/>
      <c r="R35" s="79" t="s">
        <v>127</v>
      </c>
      <c r="W35" s="4">
        <v>1411</v>
      </c>
    </row>
    <row r="36" spans="1:24" ht="14.25" customHeight="1">
      <c r="A36" s="515"/>
      <c r="B36" s="494"/>
      <c r="C36" s="494"/>
      <c r="D36" s="494"/>
      <c r="E36" s="494"/>
      <c r="F36" s="494"/>
      <c r="G36" s="494"/>
      <c r="H36" s="494"/>
      <c r="I36" s="494"/>
      <c r="J36" s="494"/>
      <c r="K36" s="494"/>
      <c r="L36" s="494"/>
      <c r="M36" s="494"/>
      <c r="N36" s="494"/>
      <c r="O36" s="514"/>
      <c r="R36" s="79" t="s">
        <v>128</v>
      </c>
      <c r="W36" s="4"/>
    </row>
    <row r="37" spans="1:24" ht="14.25" customHeight="1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  <c r="R37" s="79" t="s">
        <v>129</v>
      </c>
      <c r="W37" s="4"/>
    </row>
    <row r="38" spans="1:24" ht="14.2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R38" s="79" t="s">
        <v>130</v>
      </c>
      <c r="W38" s="4"/>
    </row>
    <row r="39" spans="1:24" ht="14.2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R39" s="79" t="s">
        <v>131</v>
      </c>
      <c r="W39" s="4"/>
    </row>
    <row r="40" spans="1:24" ht="14.2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R40" s="79" t="s">
        <v>132</v>
      </c>
      <c r="W40" s="4"/>
    </row>
    <row r="41" spans="1:24" ht="14.2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R41" s="79" t="s">
        <v>133</v>
      </c>
      <c r="W41" s="4"/>
    </row>
    <row r="42" spans="1:24" ht="14.2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R42" s="79" t="s">
        <v>134</v>
      </c>
      <c r="W42" s="4"/>
    </row>
    <row r="43" spans="1:24" ht="14.25" customHeight="1">
      <c r="A43" s="66"/>
      <c r="B43" s="66"/>
      <c r="C43" s="66"/>
      <c r="D43" s="66"/>
      <c r="E43" s="66"/>
      <c r="F43" s="66"/>
      <c r="G43" s="66"/>
      <c r="H43" s="66"/>
      <c r="I43" s="66"/>
      <c r="J43" s="71"/>
      <c r="K43" s="66"/>
      <c r="L43" s="66"/>
      <c r="M43" s="66"/>
      <c r="N43" s="66"/>
      <c r="O43" s="66"/>
      <c r="R43" s="79" t="s">
        <v>135</v>
      </c>
      <c r="W43" s="4"/>
    </row>
    <row r="44" spans="1:24" ht="14.2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R44" s="79" t="s">
        <v>136</v>
      </c>
      <c r="W44" s="4"/>
    </row>
    <row r="45" spans="1:24" ht="18.75" customHeight="1">
      <c r="A45" s="71"/>
      <c r="B45" s="71"/>
      <c r="C45" s="71"/>
      <c r="D45" s="71"/>
      <c r="E45" s="71"/>
      <c r="F45" s="71"/>
      <c r="G45" s="71"/>
      <c r="H45" s="71"/>
      <c r="I45" s="71"/>
      <c r="K45" s="71"/>
      <c r="L45" s="71"/>
      <c r="M45" s="71"/>
      <c r="N45" s="71"/>
      <c r="O45" s="71"/>
      <c r="R45" s="79" t="s">
        <v>137</v>
      </c>
    </row>
    <row r="46" spans="1:24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R46" s="79" t="s">
        <v>138</v>
      </c>
    </row>
    <row r="47" spans="1:24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R47" s="79" t="s">
        <v>139</v>
      </c>
    </row>
    <row r="48" spans="1:24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R48" s="79" t="s">
        <v>140</v>
      </c>
    </row>
    <row r="49" spans="1:18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R49" s="79" t="s">
        <v>141</v>
      </c>
    </row>
    <row r="50" spans="1:18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R50" s="79" t="s">
        <v>142</v>
      </c>
    </row>
    <row r="51" spans="1:18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R51" s="79" t="s">
        <v>143</v>
      </c>
    </row>
    <row r="52" spans="1:18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R52" s="79" t="s">
        <v>144</v>
      </c>
    </row>
    <row r="53" spans="1:18" ht="12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R53" s="116"/>
    </row>
    <row r="54" spans="1:18" ht="12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R54" s="116"/>
    </row>
    <row r="55" spans="1:18" ht="12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R55" s="116"/>
    </row>
    <row r="56" spans="1:18" ht="12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R56" s="116"/>
    </row>
    <row r="57" spans="1:18" ht="12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R57" s="116"/>
    </row>
    <row r="58" spans="1:18" ht="12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</row>
    <row r="59" spans="1:18" ht="12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</row>
    <row r="60" spans="1:18" ht="12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</row>
    <row r="61" spans="1:18" ht="12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</row>
    <row r="62" spans="1:18" ht="12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</row>
    <row r="63" spans="1:18" ht="12.75" customHeight="1"/>
    <row r="64" spans="1:1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34:O34"/>
    <mergeCell ref="A35:O35"/>
    <mergeCell ref="A36:O36"/>
    <mergeCell ref="A25:O25"/>
    <mergeCell ref="A26:O26"/>
    <mergeCell ref="A27:O27"/>
    <mergeCell ref="A29:I29"/>
    <mergeCell ref="J29:K29"/>
    <mergeCell ref="A30:J30"/>
    <mergeCell ref="A31:J31"/>
    <mergeCell ref="A22:O22"/>
    <mergeCell ref="A23:O23"/>
    <mergeCell ref="A24:N24"/>
    <mergeCell ref="A32:N32"/>
    <mergeCell ref="A33:O33"/>
    <mergeCell ref="K16:N16"/>
    <mergeCell ref="K17:N17"/>
    <mergeCell ref="K18:N18"/>
    <mergeCell ref="A20:N20"/>
    <mergeCell ref="A21:O21"/>
    <mergeCell ref="C14:E14"/>
    <mergeCell ref="G14:I14"/>
    <mergeCell ref="J14:K14"/>
    <mergeCell ref="M14:N14"/>
    <mergeCell ref="A15:N15"/>
    <mergeCell ref="A9:N9"/>
    <mergeCell ref="K10:N10"/>
    <mergeCell ref="K11:N11"/>
    <mergeCell ref="A12:N12"/>
    <mergeCell ref="A11:I11"/>
    <mergeCell ref="J6:N6"/>
    <mergeCell ref="J7:N7"/>
    <mergeCell ref="A7:H7"/>
    <mergeCell ref="A8:H8"/>
    <mergeCell ref="J8:N8"/>
    <mergeCell ref="A1:F1"/>
    <mergeCell ref="K1:O1"/>
    <mergeCell ref="A2:B2"/>
    <mergeCell ref="K2:M2"/>
    <mergeCell ref="J5:N5"/>
  </mergeCells>
  <dataValidations count="7">
    <dataValidation type="list" allowBlank="1" showInputMessage="1" showErrorMessage="1" prompt=" - " sqref="M4 G6" xr:uid="{00000000-0002-0000-0300-000000000000}">
      <formula1>$U$3:$U$14</formula1>
    </dataValidation>
    <dataValidation type="list" allowBlank="1" showInputMessage="1" showErrorMessage="1" prompt=" - " sqref="M14" xr:uid="{00000000-0002-0000-0300-000001000000}">
      <formula1>$S$7:$S$26</formula1>
    </dataValidation>
    <dataValidation type="list" allowBlank="1" showInputMessage="1" showErrorMessage="1" prompt=" - " sqref="H5" xr:uid="{00000000-0002-0000-0300-000002000000}">
      <formula1>$S$3:$S$4</formula1>
    </dataValidation>
    <dataValidation type="list" allowBlank="1" showInputMessage="1" showErrorMessage="1" prompt=" - " sqref="N4 H6" xr:uid="{00000000-0002-0000-0300-000003000000}">
      <formula1>$V$3:$V$33</formula1>
    </dataValidation>
    <dataValidation type="list" allowBlank="1" showInputMessage="1" showErrorMessage="1" prompt=" - " sqref="L4" xr:uid="{00000000-0002-0000-0300-000004000000}">
      <formula1>$T$3:$T$13</formula1>
    </dataValidation>
    <dataValidation type="list" allowBlank="1" showInputMessage="1" showErrorMessage="1" prompt=" - " sqref="F6" xr:uid="{00000000-0002-0000-0300-000005000000}">
      <formula1>$W$1:$W$35</formula1>
    </dataValidation>
    <dataValidation type="list" allowBlank="1" showInputMessage="1" showErrorMessage="1" prompt=" - " sqref="E5" xr:uid="{00000000-0002-0000-0300-000006000000}">
      <formula1>$R$3:$R$52</formula1>
    </dataValidation>
  </dataValidations>
  <hyperlinks>
    <hyperlink ref="A12" r:id="rId1" xr:uid="{00000000-0004-0000-0300-000000000000}"/>
  </hyperlinks>
  <pageMargins left="0.7" right="0.7" top="0.75" bottom="0.75" header="0" footer="0"/>
  <pageSetup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outlinePr summaryBelow="0" summaryRight="0"/>
  </sheetPr>
  <dimension ref="A1:CQ1000"/>
  <sheetViews>
    <sheetView rightToLeft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O7" sqref="BO7"/>
    </sheetView>
  </sheetViews>
  <sheetFormatPr baseColWidth="10" defaultColWidth="14.5" defaultRowHeight="15" customHeight="1"/>
  <cols>
    <col min="1" max="1" width="9.6640625" customWidth="1"/>
    <col min="2" max="2" width="13.5" customWidth="1"/>
    <col min="3" max="3" width="20.5" customWidth="1"/>
    <col min="4" max="4" width="20.5" style="187" customWidth="1"/>
    <col min="5" max="5" width="28.6640625" customWidth="1"/>
    <col min="6" max="6" width="28.5" customWidth="1"/>
    <col min="7" max="7" width="39.6640625" customWidth="1"/>
    <col min="8" max="8" width="41.6640625" customWidth="1"/>
    <col min="9" max="10" width="37.5" customWidth="1"/>
    <col min="11" max="25" width="41.5" customWidth="1"/>
    <col min="26" max="26" width="39.6640625" customWidth="1"/>
    <col min="27" max="40" width="44.1640625" customWidth="1"/>
    <col min="41" max="41" width="44.1640625" style="449" customWidth="1"/>
    <col min="42" max="42" width="17.5" style="450" customWidth="1"/>
    <col min="43" max="43" width="17.83203125" style="450" customWidth="1"/>
    <col min="44" max="44" width="16.6640625" style="450" customWidth="1"/>
    <col min="45" max="45" width="17.5" style="450" customWidth="1"/>
    <col min="46" max="46" width="22.5" style="451" customWidth="1"/>
    <col min="47" max="49" width="14.5" style="451"/>
    <col min="50" max="50" width="27.83203125" style="451" customWidth="1"/>
    <col min="51" max="51" width="28.33203125" style="451" customWidth="1"/>
    <col min="52" max="52" width="30.33203125" style="451" customWidth="1"/>
    <col min="53" max="53" width="31" style="451" customWidth="1"/>
    <col min="54" max="54" width="26.1640625" style="451" customWidth="1"/>
    <col min="55" max="55" width="26.33203125" style="451" customWidth="1"/>
    <col min="56" max="56" width="25.5" style="451" customWidth="1"/>
    <col min="57" max="57" width="27.5" style="451" customWidth="1"/>
    <col min="58" max="58" width="27.33203125" style="451" customWidth="1"/>
    <col min="59" max="59" width="26.5" style="451" customWidth="1"/>
    <col min="60" max="60" width="25.83203125" style="451" customWidth="1"/>
    <col min="61" max="61" width="26.5" style="451" customWidth="1"/>
    <col min="62" max="62" width="22" style="451" customWidth="1"/>
    <col min="63" max="63" width="23" style="451" customWidth="1"/>
    <col min="64" max="66" width="14.5" style="450"/>
  </cols>
  <sheetData>
    <row r="1" spans="1:95" ht="15" customHeight="1">
      <c r="A1" s="117"/>
      <c r="B1" s="117" t="s">
        <v>145</v>
      </c>
      <c r="C1" s="117" t="s">
        <v>146</v>
      </c>
      <c r="D1" s="381" t="s">
        <v>1351</v>
      </c>
      <c r="E1" s="117"/>
      <c r="F1" s="118" t="s">
        <v>147</v>
      </c>
      <c r="G1" s="118">
        <v>1</v>
      </c>
      <c r="H1" s="118">
        <v>2</v>
      </c>
      <c r="I1" s="118">
        <v>3</v>
      </c>
      <c r="J1" s="118">
        <v>4</v>
      </c>
      <c r="K1" s="118">
        <v>5</v>
      </c>
      <c r="L1" s="118">
        <v>6</v>
      </c>
      <c r="M1" s="118">
        <v>7</v>
      </c>
      <c r="N1" s="118">
        <v>8</v>
      </c>
      <c r="O1" s="118">
        <v>9</v>
      </c>
      <c r="P1" s="118">
        <v>10</v>
      </c>
      <c r="Q1" s="118">
        <v>11</v>
      </c>
      <c r="R1" s="118">
        <v>12</v>
      </c>
      <c r="S1" s="118">
        <v>13</v>
      </c>
      <c r="T1" s="118">
        <v>14</v>
      </c>
      <c r="U1" s="118">
        <v>15</v>
      </c>
      <c r="V1" s="118">
        <v>16</v>
      </c>
      <c r="W1" s="118">
        <v>17</v>
      </c>
      <c r="X1" s="118">
        <v>18</v>
      </c>
      <c r="Y1" s="118">
        <v>19</v>
      </c>
      <c r="Z1" s="118">
        <v>20</v>
      </c>
      <c r="AA1" s="118">
        <v>21</v>
      </c>
      <c r="AB1" s="118">
        <v>22</v>
      </c>
      <c r="AC1" s="118">
        <v>23</v>
      </c>
      <c r="AD1" s="118">
        <v>24</v>
      </c>
      <c r="AE1" s="118">
        <v>25</v>
      </c>
      <c r="AF1" s="118">
        <v>26</v>
      </c>
      <c r="AG1" s="118">
        <v>27</v>
      </c>
      <c r="AH1" s="118">
        <v>28</v>
      </c>
      <c r="AI1" s="118">
        <v>29</v>
      </c>
      <c r="AJ1" s="118">
        <v>30</v>
      </c>
      <c r="AK1" s="118">
        <v>31</v>
      </c>
      <c r="AL1" s="118">
        <v>32</v>
      </c>
      <c r="AM1" s="118">
        <v>33</v>
      </c>
      <c r="AN1" s="118">
        <v>34</v>
      </c>
      <c r="AO1" s="444">
        <v>35</v>
      </c>
      <c r="AP1" s="451">
        <v>36</v>
      </c>
      <c r="AQ1" s="451">
        <v>37</v>
      </c>
      <c r="AR1" s="451">
        <v>38</v>
      </c>
      <c r="AS1" s="451">
        <v>39</v>
      </c>
      <c r="AT1" s="451">
        <v>40</v>
      </c>
      <c r="AU1" s="451">
        <v>41</v>
      </c>
      <c r="AV1" s="451">
        <v>42</v>
      </c>
      <c r="AW1" s="451">
        <v>43</v>
      </c>
      <c r="AX1" s="451">
        <v>44</v>
      </c>
      <c r="AY1" s="451">
        <v>45</v>
      </c>
      <c r="AZ1" s="451">
        <v>46</v>
      </c>
      <c r="BA1" s="451">
        <v>47</v>
      </c>
      <c r="BB1" s="451">
        <v>48</v>
      </c>
      <c r="BC1" s="451">
        <v>49</v>
      </c>
      <c r="BD1" s="451">
        <v>50</v>
      </c>
      <c r="BE1" s="451">
        <v>51</v>
      </c>
      <c r="BF1" s="451">
        <v>52</v>
      </c>
      <c r="BG1" s="451">
        <v>53</v>
      </c>
      <c r="BH1" s="451">
        <v>54</v>
      </c>
      <c r="BI1" s="451">
        <v>55</v>
      </c>
      <c r="BJ1" s="451">
        <v>56</v>
      </c>
      <c r="BK1" s="451">
        <v>57</v>
      </c>
      <c r="BL1" s="451">
        <v>58</v>
      </c>
      <c r="BM1" s="451">
        <v>59</v>
      </c>
      <c r="BN1" s="451">
        <v>60</v>
      </c>
      <c r="BO1" s="451">
        <v>61</v>
      </c>
      <c r="BP1" s="451"/>
      <c r="BQ1" s="451"/>
      <c r="BR1" s="451"/>
      <c r="BS1" s="451"/>
      <c r="BT1" s="451"/>
      <c r="BU1" s="451"/>
      <c r="BV1" s="451"/>
      <c r="BW1" s="451"/>
      <c r="BX1" s="451"/>
      <c r="BY1" s="451"/>
      <c r="BZ1" s="451"/>
      <c r="CA1" s="451"/>
      <c r="CB1" s="451"/>
      <c r="CC1" s="451"/>
      <c r="CD1" s="451"/>
      <c r="CE1" s="451"/>
      <c r="CF1" s="451"/>
      <c r="CG1" s="451"/>
      <c r="CH1" s="451"/>
      <c r="CI1" s="451"/>
      <c r="CJ1" s="451"/>
      <c r="CK1" s="451"/>
      <c r="CL1" s="451"/>
      <c r="CM1" s="451"/>
      <c r="CN1" s="451"/>
      <c r="CO1" s="451"/>
      <c r="CP1" s="451"/>
      <c r="CQ1" s="451"/>
    </row>
    <row r="2" spans="1:95" ht="32">
      <c r="A2" s="117">
        <v>1</v>
      </c>
      <c r="B2" s="117" t="s">
        <v>148</v>
      </c>
      <c r="C2" s="117" t="s">
        <v>149</v>
      </c>
      <c r="D2" s="381" t="s">
        <v>1352</v>
      </c>
      <c r="E2" s="117"/>
      <c r="F2" s="118" t="s">
        <v>150</v>
      </c>
      <c r="G2" s="118" t="s">
        <v>151</v>
      </c>
      <c r="H2" s="118" t="s">
        <v>152</v>
      </c>
      <c r="I2" s="118" t="s">
        <v>153</v>
      </c>
      <c r="J2" s="118" t="s">
        <v>154</v>
      </c>
      <c r="K2" s="118" t="s">
        <v>155</v>
      </c>
      <c r="L2" s="118" t="s">
        <v>156</v>
      </c>
      <c r="M2" s="118" t="s">
        <v>157</v>
      </c>
      <c r="N2" s="118" t="s">
        <v>158</v>
      </c>
      <c r="O2" s="118" t="s">
        <v>159</v>
      </c>
      <c r="P2" s="118" t="s">
        <v>160</v>
      </c>
      <c r="Q2" s="119" t="s">
        <v>161</v>
      </c>
      <c r="R2" s="118" t="s">
        <v>162</v>
      </c>
      <c r="S2" s="118" t="s">
        <v>163</v>
      </c>
      <c r="T2" s="118" t="s">
        <v>164</v>
      </c>
      <c r="U2" s="118" t="s">
        <v>165</v>
      </c>
      <c r="V2" s="118" t="s">
        <v>166</v>
      </c>
      <c r="W2" s="118" t="s">
        <v>167</v>
      </c>
      <c r="X2" s="118" t="s">
        <v>168</v>
      </c>
      <c r="Y2" s="118" t="s">
        <v>169</v>
      </c>
      <c r="Z2" s="118" t="s">
        <v>170</v>
      </c>
      <c r="AA2" s="118" t="s">
        <v>171</v>
      </c>
      <c r="AB2" s="118" t="s">
        <v>172</v>
      </c>
      <c r="AC2" s="118" t="s">
        <v>173</v>
      </c>
      <c r="AD2" s="118" t="s">
        <v>174</v>
      </c>
      <c r="AE2" s="118" t="s">
        <v>175</v>
      </c>
      <c r="AF2" s="118" t="s">
        <v>1248</v>
      </c>
      <c r="AG2" s="118" t="s">
        <v>1245</v>
      </c>
      <c r="AH2" s="118" t="s">
        <v>1249</v>
      </c>
      <c r="AI2" s="118" t="s">
        <v>1246</v>
      </c>
      <c r="AJ2" s="118" t="s">
        <v>1247</v>
      </c>
      <c r="AK2" s="118" t="s">
        <v>1250</v>
      </c>
      <c r="AL2" s="118" t="s">
        <v>1251</v>
      </c>
      <c r="AM2" s="118" t="s">
        <v>1252</v>
      </c>
      <c r="AN2" s="118" t="s">
        <v>1244</v>
      </c>
      <c r="AO2" s="444" t="s">
        <v>1710</v>
      </c>
      <c r="AP2" s="451" t="s">
        <v>1711</v>
      </c>
      <c r="AQ2" s="451" t="s">
        <v>1712</v>
      </c>
      <c r="AR2" s="451" t="s">
        <v>1713</v>
      </c>
      <c r="AS2" s="451" t="s">
        <v>1714</v>
      </c>
      <c r="AT2" s="451" t="s">
        <v>1715</v>
      </c>
      <c r="AU2" s="451" t="s">
        <v>1716</v>
      </c>
      <c r="AV2" s="451" t="s">
        <v>1717</v>
      </c>
      <c r="AW2" s="451" t="s">
        <v>1718</v>
      </c>
      <c r="AX2" s="451" t="s">
        <v>1719</v>
      </c>
      <c r="AY2" s="451" t="s">
        <v>1720</v>
      </c>
      <c r="AZ2" s="451" t="s">
        <v>1721</v>
      </c>
      <c r="BA2" s="451" t="s">
        <v>1722</v>
      </c>
      <c r="BB2" s="451" t="s">
        <v>1723</v>
      </c>
      <c r="BC2" s="451" t="s">
        <v>1724</v>
      </c>
      <c r="BD2" s="451" t="s">
        <v>1725</v>
      </c>
      <c r="BE2" s="451" t="s">
        <v>1726</v>
      </c>
      <c r="BF2" s="451" t="s">
        <v>1727</v>
      </c>
      <c r="BG2" s="451" t="s">
        <v>1728</v>
      </c>
      <c r="BH2" s="451" t="s">
        <v>1729</v>
      </c>
      <c r="BI2" s="451" t="s">
        <v>1730</v>
      </c>
      <c r="BJ2" s="451" t="s">
        <v>1731</v>
      </c>
      <c r="BK2" s="451" t="s">
        <v>1732</v>
      </c>
      <c r="BL2" s="451" t="s">
        <v>1932</v>
      </c>
      <c r="BM2" s="451" t="s">
        <v>1980</v>
      </c>
      <c r="BN2" s="451" t="s">
        <v>1981</v>
      </c>
    </row>
    <row r="3" spans="1:95">
      <c r="A3" s="117">
        <v>2</v>
      </c>
      <c r="B3" s="117"/>
      <c r="C3" s="117"/>
      <c r="D3" s="381"/>
      <c r="E3" s="120" t="str">
        <f t="shared" ref="E3:E100" si="0">G3</f>
        <v>1385/05/06</v>
      </c>
      <c r="F3" s="121" t="s">
        <v>9</v>
      </c>
      <c r="G3" s="122" t="s">
        <v>176</v>
      </c>
      <c r="H3" s="122" t="s">
        <v>177</v>
      </c>
      <c r="I3" s="122" t="s">
        <v>178</v>
      </c>
      <c r="J3" s="122" t="s">
        <v>179</v>
      </c>
      <c r="K3" s="122" t="s">
        <v>180</v>
      </c>
      <c r="L3" s="122" t="s">
        <v>180</v>
      </c>
      <c r="M3" s="122" t="s">
        <v>180</v>
      </c>
      <c r="N3" s="122" t="s">
        <v>181</v>
      </c>
      <c r="O3" s="122" t="s">
        <v>182</v>
      </c>
      <c r="P3" s="122" t="s">
        <v>183</v>
      </c>
      <c r="Q3" s="122" t="s">
        <v>184</v>
      </c>
      <c r="R3" s="122" t="s">
        <v>183</v>
      </c>
      <c r="S3" s="122"/>
      <c r="T3" s="122" t="s">
        <v>185</v>
      </c>
      <c r="U3" s="122" t="s">
        <v>186</v>
      </c>
      <c r="V3" s="122" t="s">
        <v>187</v>
      </c>
      <c r="W3" s="122"/>
      <c r="X3" s="122" t="s">
        <v>188</v>
      </c>
      <c r="Y3" s="122"/>
      <c r="Z3" s="122" t="s">
        <v>189</v>
      </c>
      <c r="AA3" s="122" t="s">
        <v>190</v>
      </c>
      <c r="AB3" s="122" t="s">
        <v>191</v>
      </c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445"/>
    </row>
    <row r="4" spans="1:95">
      <c r="A4" s="117">
        <v>3</v>
      </c>
      <c r="B4" s="117"/>
      <c r="C4" s="117"/>
      <c r="D4" s="381"/>
      <c r="E4" s="117">
        <f t="shared" si="0"/>
        <v>0</v>
      </c>
      <c r="F4" s="118" t="s">
        <v>192</v>
      </c>
      <c r="G4" s="118"/>
      <c r="H4" s="118"/>
      <c r="I4" s="118"/>
      <c r="J4" s="118"/>
      <c r="K4" s="118"/>
      <c r="L4" s="118"/>
      <c r="M4" s="118"/>
      <c r="N4" s="118" t="s">
        <v>193</v>
      </c>
      <c r="O4" s="118" t="s">
        <v>194</v>
      </c>
      <c r="P4" s="118" t="s">
        <v>193</v>
      </c>
      <c r="Q4" s="118" t="s">
        <v>193</v>
      </c>
      <c r="R4" s="118"/>
      <c r="S4" s="118"/>
      <c r="T4" s="118" t="s">
        <v>195</v>
      </c>
      <c r="U4" s="118" t="s">
        <v>193</v>
      </c>
      <c r="V4" s="118" t="s">
        <v>193</v>
      </c>
      <c r="W4" s="118"/>
      <c r="X4" s="118" t="s">
        <v>193</v>
      </c>
      <c r="Y4" s="118"/>
      <c r="Z4" s="118" t="s">
        <v>196</v>
      </c>
      <c r="AA4" s="118" t="s">
        <v>197</v>
      </c>
      <c r="AB4" s="118" t="s">
        <v>193</v>
      </c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444"/>
    </row>
    <row r="5" spans="1:95">
      <c r="A5" s="117">
        <v>4</v>
      </c>
      <c r="B5" s="117"/>
      <c r="C5" s="117"/>
      <c r="D5" s="381"/>
      <c r="E5" s="117">
        <f t="shared" si="0"/>
        <v>0</v>
      </c>
      <c r="F5" s="118" t="s">
        <v>12</v>
      </c>
      <c r="G5" s="118"/>
      <c r="H5" s="118"/>
      <c r="I5" s="118"/>
      <c r="J5" s="118"/>
      <c r="K5" s="118"/>
      <c r="L5" s="118"/>
      <c r="M5" s="118"/>
      <c r="N5" s="118" t="s">
        <v>193</v>
      </c>
      <c r="O5" s="118"/>
      <c r="P5" s="118" t="s">
        <v>193</v>
      </c>
      <c r="Q5" s="118" t="s">
        <v>193</v>
      </c>
      <c r="R5" s="118"/>
      <c r="S5" s="118"/>
      <c r="T5" s="118" t="s">
        <v>195</v>
      </c>
      <c r="U5" s="118" t="s">
        <v>193</v>
      </c>
      <c r="V5" s="118" t="s">
        <v>193</v>
      </c>
      <c r="W5" s="118"/>
      <c r="X5" s="118" t="s">
        <v>193</v>
      </c>
      <c r="Y5" s="118"/>
      <c r="Z5" s="118" t="s">
        <v>196</v>
      </c>
      <c r="AA5" s="118" t="s">
        <v>197</v>
      </c>
      <c r="AB5" s="118" t="s">
        <v>193</v>
      </c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444"/>
    </row>
    <row r="6" spans="1:95">
      <c r="A6" s="117">
        <v>5</v>
      </c>
      <c r="B6" s="117"/>
      <c r="C6" s="117"/>
      <c r="D6" s="381"/>
      <c r="E6" s="117" t="str">
        <f t="shared" si="0"/>
        <v>عبدالحکیم</v>
      </c>
      <c r="F6" s="118" t="s">
        <v>198</v>
      </c>
      <c r="G6" s="118" t="s">
        <v>199</v>
      </c>
      <c r="H6" s="118" t="s">
        <v>200</v>
      </c>
      <c r="I6" s="118" t="s">
        <v>201</v>
      </c>
      <c r="J6" s="118" t="s">
        <v>202</v>
      </c>
      <c r="K6" s="118" t="s">
        <v>203</v>
      </c>
      <c r="L6" s="118" t="s">
        <v>203</v>
      </c>
      <c r="M6" s="118" t="s">
        <v>203</v>
      </c>
      <c r="N6" s="118" t="s">
        <v>204</v>
      </c>
      <c r="O6" s="118" t="s">
        <v>205</v>
      </c>
      <c r="P6" s="118" t="s">
        <v>206</v>
      </c>
      <c r="Q6" s="118" t="s">
        <v>202</v>
      </c>
      <c r="R6" s="118"/>
      <c r="S6" s="118"/>
      <c r="T6" s="118" t="s">
        <v>207</v>
      </c>
      <c r="U6" s="118" t="s">
        <v>208</v>
      </c>
      <c r="V6" s="118" t="s">
        <v>209</v>
      </c>
      <c r="W6" s="118"/>
      <c r="X6" s="118" t="s">
        <v>210</v>
      </c>
      <c r="Y6" s="118"/>
      <c r="Z6" s="118" t="s">
        <v>211</v>
      </c>
      <c r="AA6" s="118" t="s">
        <v>212</v>
      </c>
      <c r="AB6" s="118" t="s">
        <v>212</v>
      </c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444"/>
    </row>
    <row r="7" spans="1:95">
      <c r="A7" s="117">
        <v>6</v>
      </c>
      <c r="B7" s="117"/>
      <c r="C7" s="117"/>
      <c r="D7" s="381"/>
      <c r="E7" s="117">
        <f t="shared" si="0"/>
        <v>0</v>
      </c>
      <c r="F7" s="118" t="s">
        <v>213</v>
      </c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 t="s">
        <v>214</v>
      </c>
      <c r="U7" s="118" t="s">
        <v>215</v>
      </c>
      <c r="V7" s="118" t="s">
        <v>216</v>
      </c>
      <c r="W7" s="118" t="s">
        <v>217</v>
      </c>
      <c r="X7" s="118" t="s">
        <v>218</v>
      </c>
      <c r="Y7" s="118"/>
      <c r="Z7" s="118" t="s">
        <v>218</v>
      </c>
      <c r="AA7" s="118" t="s">
        <v>219</v>
      </c>
      <c r="AB7" s="118" t="s">
        <v>219</v>
      </c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444"/>
    </row>
    <row r="8" spans="1:95">
      <c r="A8" s="117">
        <v>7</v>
      </c>
      <c r="B8" s="117"/>
      <c r="C8" s="117"/>
      <c r="D8" s="381"/>
      <c r="E8" s="117" t="str">
        <f t="shared" si="0"/>
        <v>دختر</v>
      </c>
      <c r="F8" s="118" t="s">
        <v>220</v>
      </c>
      <c r="G8" s="118" t="s">
        <v>10</v>
      </c>
      <c r="H8" s="118" t="s">
        <v>10</v>
      </c>
      <c r="I8" s="118" t="s">
        <v>10</v>
      </c>
      <c r="J8" s="118" t="s">
        <v>10</v>
      </c>
      <c r="K8" s="118" t="s">
        <v>10</v>
      </c>
      <c r="L8" s="118" t="s">
        <v>10</v>
      </c>
      <c r="M8" s="118" t="s">
        <v>10</v>
      </c>
      <c r="N8" s="118" t="s">
        <v>10</v>
      </c>
      <c r="O8" s="118" t="s">
        <v>10</v>
      </c>
      <c r="P8" s="118" t="s">
        <v>10</v>
      </c>
      <c r="Q8" s="118" t="s">
        <v>10</v>
      </c>
      <c r="R8" s="118" t="s">
        <v>10</v>
      </c>
      <c r="S8" s="118" t="s">
        <v>10</v>
      </c>
      <c r="T8" s="118" t="s">
        <v>10</v>
      </c>
      <c r="U8" s="118" t="s">
        <v>10</v>
      </c>
      <c r="V8" s="118" t="s">
        <v>10</v>
      </c>
      <c r="W8" s="118" t="s">
        <v>10</v>
      </c>
      <c r="X8" s="118" t="s">
        <v>10</v>
      </c>
      <c r="Y8" s="118" t="s">
        <v>10</v>
      </c>
      <c r="Z8" s="118" t="s">
        <v>10</v>
      </c>
      <c r="AA8" s="118" t="s">
        <v>10</v>
      </c>
      <c r="AB8" s="118" t="s">
        <v>10</v>
      </c>
      <c r="AC8" s="118" t="s">
        <v>221</v>
      </c>
      <c r="AD8" s="118" t="s">
        <v>221</v>
      </c>
      <c r="AE8" s="118" t="s">
        <v>10</v>
      </c>
      <c r="AF8" s="118" t="s">
        <v>10</v>
      </c>
      <c r="AG8" s="118" t="s">
        <v>10</v>
      </c>
      <c r="AH8" s="118" t="s">
        <v>10</v>
      </c>
      <c r="AI8" s="118" t="s">
        <v>10</v>
      </c>
      <c r="AJ8" s="118" t="s">
        <v>10</v>
      </c>
      <c r="AK8" s="118" t="s">
        <v>10</v>
      </c>
      <c r="AL8" s="118" t="s">
        <v>10</v>
      </c>
      <c r="AM8" s="118" t="s">
        <v>10</v>
      </c>
      <c r="AN8" s="118" t="s">
        <v>10</v>
      </c>
      <c r="AO8" s="444" t="s">
        <v>10</v>
      </c>
      <c r="AP8" s="444" t="s">
        <v>10</v>
      </c>
      <c r="AQ8" s="444" t="s">
        <v>10</v>
      </c>
      <c r="AR8" s="444" t="s">
        <v>10</v>
      </c>
      <c r="AS8" s="444" t="s">
        <v>10</v>
      </c>
      <c r="AT8" s="444" t="s">
        <v>10</v>
      </c>
      <c r="AU8" s="444" t="s">
        <v>10</v>
      </c>
      <c r="AV8" s="444" t="s">
        <v>10</v>
      </c>
      <c r="AW8" s="444" t="s">
        <v>10</v>
      </c>
      <c r="AX8" s="444" t="s">
        <v>10</v>
      </c>
      <c r="AY8" s="451" t="s">
        <v>221</v>
      </c>
      <c r="AZ8" s="451" t="s">
        <v>221</v>
      </c>
      <c r="BA8" s="451" t="s">
        <v>221</v>
      </c>
      <c r="BB8" s="451" t="s">
        <v>221</v>
      </c>
      <c r="BC8" s="451" t="s">
        <v>221</v>
      </c>
      <c r="BD8" s="451" t="s">
        <v>221</v>
      </c>
      <c r="BE8" s="451" t="s">
        <v>221</v>
      </c>
      <c r="BF8" s="451" t="s">
        <v>221</v>
      </c>
      <c r="BG8" s="451" t="s">
        <v>221</v>
      </c>
      <c r="BH8" s="451" t="s">
        <v>10</v>
      </c>
      <c r="BI8" s="451" t="s">
        <v>10</v>
      </c>
      <c r="BJ8" s="451" t="s">
        <v>10</v>
      </c>
      <c r="BK8" s="451" t="s">
        <v>10</v>
      </c>
    </row>
    <row r="9" spans="1:95">
      <c r="A9" s="117">
        <v>8</v>
      </c>
      <c r="B9" s="117"/>
      <c r="C9" s="117"/>
      <c r="D9" s="381"/>
      <c r="E9" s="117">
        <f t="shared" si="0"/>
        <v>0</v>
      </c>
      <c r="F9" s="118" t="s">
        <v>222</v>
      </c>
      <c r="G9" s="118"/>
      <c r="H9" s="118">
        <v>928744272</v>
      </c>
      <c r="I9" s="118">
        <v>928539733</v>
      </c>
      <c r="J9" s="118">
        <v>928779262</v>
      </c>
      <c r="K9" s="118"/>
      <c r="L9" s="118"/>
      <c r="M9" s="118"/>
      <c r="N9" s="118">
        <v>928280098</v>
      </c>
      <c r="O9" s="118">
        <v>91020180399</v>
      </c>
      <c r="P9" s="118" t="s">
        <v>223</v>
      </c>
      <c r="Q9" s="118" t="s">
        <v>224</v>
      </c>
      <c r="R9" s="118"/>
      <c r="S9" s="118"/>
      <c r="T9" s="118" t="s">
        <v>225</v>
      </c>
      <c r="U9" s="118" t="s">
        <v>226</v>
      </c>
      <c r="V9" s="118" t="s">
        <v>227</v>
      </c>
      <c r="W9" s="118" t="s">
        <v>228</v>
      </c>
      <c r="X9" s="118" t="s">
        <v>229</v>
      </c>
      <c r="Y9" s="118" t="s">
        <v>230</v>
      </c>
      <c r="Z9" s="118" t="s">
        <v>231</v>
      </c>
      <c r="AA9" s="118">
        <v>6500294351</v>
      </c>
      <c r="AB9" s="118" t="s">
        <v>232</v>
      </c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444"/>
    </row>
    <row r="10" spans="1:95">
      <c r="A10" s="117">
        <v>9</v>
      </c>
      <c r="B10" s="117"/>
      <c r="C10" s="117"/>
      <c r="D10" s="381"/>
      <c r="E10" s="117" t="str">
        <f t="shared" si="0"/>
        <v>مدرسه حضرت خدیجه</v>
      </c>
      <c r="F10" s="118" t="s">
        <v>233</v>
      </c>
      <c r="G10" s="118" t="s">
        <v>234</v>
      </c>
      <c r="H10" s="118" t="s">
        <v>234</v>
      </c>
      <c r="I10" s="118" t="s">
        <v>234</v>
      </c>
      <c r="J10" s="118" t="s">
        <v>234</v>
      </c>
      <c r="K10" s="118" t="s">
        <v>234</v>
      </c>
      <c r="L10" s="118" t="s">
        <v>234</v>
      </c>
      <c r="M10" s="118" t="s">
        <v>234</v>
      </c>
      <c r="N10" s="118" t="s">
        <v>235</v>
      </c>
      <c r="O10" s="118" t="s">
        <v>234</v>
      </c>
      <c r="P10" s="118" t="s">
        <v>234</v>
      </c>
      <c r="Q10" s="118" t="s">
        <v>234</v>
      </c>
      <c r="R10" s="118" t="s">
        <v>235</v>
      </c>
      <c r="S10" s="118" t="s">
        <v>236</v>
      </c>
      <c r="T10" s="118" t="s">
        <v>237</v>
      </c>
      <c r="U10" s="118" t="s">
        <v>238</v>
      </c>
      <c r="V10" s="118" t="s">
        <v>238</v>
      </c>
      <c r="W10" s="118" t="s">
        <v>238</v>
      </c>
      <c r="X10" s="118" t="s">
        <v>238</v>
      </c>
      <c r="Y10" s="118" t="s">
        <v>239</v>
      </c>
      <c r="Z10" s="118" t="s">
        <v>238</v>
      </c>
      <c r="AA10" s="118" t="s">
        <v>240</v>
      </c>
      <c r="AB10" s="118" t="s">
        <v>240</v>
      </c>
      <c r="AC10" s="118" t="s">
        <v>240</v>
      </c>
      <c r="AD10" s="118" t="s">
        <v>240</v>
      </c>
      <c r="AE10" s="118" t="s">
        <v>241</v>
      </c>
      <c r="AF10" s="118" t="s">
        <v>263</v>
      </c>
      <c r="AG10" s="118" t="s">
        <v>264</v>
      </c>
      <c r="AH10" s="118"/>
      <c r="AI10" s="118" t="s">
        <v>264</v>
      </c>
      <c r="AJ10" s="118"/>
      <c r="AK10" s="118"/>
      <c r="AL10" s="118"/>
      <c r="AM10" s="118"/>
      <c r="AN10" s="118"/>
      <c r="AO10" s="444"/>
    </row>
    <row r="11" spans="1:95">
      <c r="A11" s="117">
        <v>10</v>
      </c>
      <c r="B11" s="117"/>
      <c r="C11" s="117"/>
      <c r="D11" s="381"/>
      <c r="E11" s="117">
        <f t="shared" si="0"/>
        <v>0</v>
      </c>
      <c r="F11" s="118" t="s">
        <v>242</v>
      </c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444"/>
    </row>
    <row r="12" spans="1:95">
      <c r="A12" s="117">
        <v>11</v>
      </c>
      <c r="B12" s="117"/>
      <c r="C12" s="117"/>
      <c r="D12" s="381"/>
      <c r="E12" s="117" t="str">
        <f t="shared" si="0"/>
        <v>رسالت 136- خیابان امام خمینی- امام خمینی 2 پلاک 36</v>
      </c>
      <c r="F12" s="118" t="s">
        <v>243</v>
      </c>
      <c r="G12" s="123" t="s">
        <v>244</v>
      </c>
      <c r="H12" s="123" t="s">
        <v>245</v>
      </c>
      <c r="I12" s="123" t="s">
        <v>246</v>
      </c>
      <c r="J12" s="123" t="s">
        <v>247</v>
      </c>
      <c r="K12" s="123" t="s">
        <v>248</v>
      </c>
      <c r="L12" s="123" t="s">
        <v>248</v>
      </c>
      <c r="M12" s="123" t="s">
        <v>248</v>
      </c>
      <c r="N12" s="123" t="s">
        <v>249</v>
      </c>
      <c r="O12" s="123" t="s">
        <v>250</v>
      </c>
      <c r="P12" s="123" t="s">
        <v>251</v>
      </c>
      <c r="Q12" s="123" t="s">
        <v>252</v>
      </c>
      <c r="R12" s="123" t="s">
        <v>253</v>
      </c>
      <c r="S12" s="123"/>
      <c r="T12" s="123" t="s">
        <v>254</v>
      </c>
      <c r="U12" s="123" t="s">
        <v>255</v>
      </c>
      <c r="V12" s="123" t="s">
        <v>256</v>
      </c>
      <c r="W12" s="123" t="s">
        <v>257</v>
      </c>
      <c r="X12" s="123" t="s">
        <v>258</v>
      </c>
      <c r="Y12" s="123"/>
      <c r="Z12" s="123" t="s">
        <v>259</v>
      </c>
      <c r="AA12" s="123" t="s">
        <v>260</v>
      </c>
      <c r="AB12" s="123" t="s">
        <v>260</v>
      </c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446"/>
    </row>
    <row r="13" spans="1:95">
      <c r="A13" s="117">
        <v>12</v>
      </c>
      <c r="B13" s="117"/>
      <c r="C13" s="117"/>
      <c r="D13" s="381"/>
      <c r="E13" s="117">
        <f t="shared" si="0"/>
        <v>0</v>
      </c>
      <c r="F13" s="118" t="s">
        <v>261</v>
      </c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444"/>
    </row>
    <row r="14" spans="1:95">
      <c r="A14" s="117">
        <v>13</v>
      </c>
      <c r="B14" s="117"/>
      <c r="C14" s="117"/>
      <c r="D14" s="381"/>
      <c r="E14" s="117" t="str">
        <f t="shared" si="0"/>
        <v>خانم توکلی</v>
      </c>
      <c r="F14" s="118" t="s">
        <v>262</v>
      </c>
      <c r="G14" s="118" t="s">
        <v>263</v>
      </c>
      <c r="H14" s="118" t="s">
        <v>263</v>
      </c>
      <c r="I14" s="118" t="s">
        <v>263</v>
      </c>
      <c r="J14" s="118" t="s">
        <v>263</v>
      </c>
      <c r="K14" s="118" t="s">
        <v>263</v>
      </c>
      <c r="L14" s="118" t="s">
        <v>263</v>
      </c>
      <c r="M14" s="118" t="s">
        <v>263</v>
      </c>
      <c r="N14" s="118" t="s">
        <v>264</v>
      </c>
      <c r="O14" s="118" t="s">
        <v>263</v>
      </c>
      <c r="P14" s="118" t="s">
        <v>263</v>
      </c>
      <c r="Q14" s="118" t="s">
        <v>263</v>
      </c>
      <c r="R14" s="118" t="s">
        <v>263</v>
      </c>
      <c r="S14" s="118" t="s">
        <v>265</v>
      </c>
      <c r="T14" s="118" t="s">
        <v>237</v>
      </c>
      <c r="U14" s="118" t="s">
        <v>265</v>
      </c>
      <c r="V14" s="118" t="s">
        <v>265</v>
      </c>
      <c r="W14" s="118" t="s">
        <v>265</v>
      </c>
      <c r="X14" s="118" t="s">
        <v>265</v>
      </c>
      <c r="Y14" s="118"/>
      <c r="Z14" s="118" t="s">
        <v>265</v>
      </c>
      <c r="AA14" s="118" t="s">
        <v>240</v>
      </c>
      <c r="AB14" s="118" t="s">
        <v>240</v>
      </c>
      <c r="AC14" s="118" t="s">
        <v>240</v>
      </c>
      <c r="AD14" s="118" t="s">
        <v>240</v>
      </c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444"/>
    </row>
    <row r="15" spans="1:95">
      <c r="A15" s="117">
        <v>14</v>
      </c>
      <c r="B15" s="117"/>
      <c r="C15" s="117"/>
      <c r="D15" s="381"/>
      <c r="E15" s="117">
        <f t="shared" si="0"/>
        <v>0</v>
      </c>
      <c r="F15" s="118" t="s">
        <v>26</v>
      </c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444"/>
    </row>
    <row r="16" spans="1:95">
      <c r="A16" s="117">
        <v>15</v>
      </c>
      <c r="B16" s="117"/>
      <c r="C16" s="117"/>
      <c r="D16" s="381"/>
      <c r="E16" s="117">
        <f t="shared" si="0"/>
        <v>9381233298</v>
      </c>
      <c r="F16" s="118" t="s">
        <v>24</v>
      </c>
      <c r="G16" s="118">
        <v>9381233298</v>
      </c>
      <c r="H16" s="118">
        <v>9392569929</v>
      </c>
      <c r="I16" s="118">
        <v>9373250328</v>
      </c>
      <c r="J16" s="118" t="s">
        <v>266</v>
      </c>
      <c r="K16" s="118" t="s">
        <v>267</v>
      </c>
      <c r="L16" s="118" t="s">
        <v>267</v>
      </c>
      <c r="M16" s="118" t="s">
        <v>267</v>
      </c>
      <c r="N16" s="118">
        <v>9900785044</v>
      </c>
      <c r="O16" s="118" t="s">
        <v>268</v>
      </c>
      <c r="P16" s="118" t="s">
        <v>269</v>
      </c>
      <c r="Q16" s="118" t="s">
        <v>270</v>
      </c>
      <c r="R16" s="118" t="s">
        <v>271</v>
      </c>
      <c r="S16" s="118" t="s">
        <v>272</v>
      </c>
      <c r="T16" s="118" t="s">
        <v>273</v>
      </c>
      <c r="U16" s="118" t="s">
        <v>274</v>
      </c>
      <c r="V16" s="118" t="s">
        <v>275</v>
      </c>
      <c r="W16" s="118" t="s">
        <v>276</v>
      </c>
      <c r="X16" s="118" t="s">
        <v>277</v>
      </c>
      <c r="Y16" s="118">
        <v>9156194069</v>
      </c>
      <c r="Z16" s="118" t="s">
        <v>278</v>
      </c>
      <c r="AA16" s="118" t="s">
        <v>279</v>
      </c>
      <c r="AB16" s="118" t="s">
        <v>279</v>
      </c>
      <c r="AC16" s="118" t="s">
        <v>280</v>
      </c>
      <c r="AD16" s="118" t="s">
        <v>280</v>
      </c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444"/>
    </row>
    <row r="17" spans="1:41">
      <c r="A17" s="117">
        <v>16</v>
      </c>
      <c r="B17" s="117"/>
      <c r="C17" s="117"/>
      <c r="D17" s="381"/>
      <c r="E17" s="117" t="str">
        <f t="shared" si="0"/>
        <v>دبیرستان سال یازدهم</v>
      </c>
      <c r="F17" s="118" t="s">
        <v>281</v>
      </c>
      <c r="G17" s="118" t="s">
        <v>282</v>
      </c>
      <c r="H17" s="118" t="s">
        <v>283</v>
      </c>
      <c r="I17" s="118" t="s">
        <v>283</v>
      </c>
      <c r="J17" s="118" t="s">
        <v>283</v>
      </c>
      <c r="K17" s="118" t="s">
        <v>283</v>
      </c>
      <c r="L17" s="118" t="s">
        <v>283</v>
      </c>
      <c r="M17" s="118" t="s">
        <v>283</v>
      </c>
      <c r="N17" s="118" t="s">
        <v>284</v>
      </c>
      <c r="O17" s="118" t="s">
        <v>284</v>
      </c>
      <c r="P17" s="118" t="s">
        <v>284</v>
      </c>
      <c r="Q17" s="118" t="s">
        <v>283</v>
      </c>
      <c r="R17" s="118" t="s">
        <v>283</v>
      </c>
      <c r="S17" s="118" t="s">
        <v>284</v>
      </c>
      <c r="T17" s="118" t="s">
        <v>282</v>
      </c>
      <c r="U17" s="118" t="s">
        <v>283</v>
      </c>
      <c r="V17" s="118" t="s">
        <v>282</v>
      </c>
      <c r="W17" s="118" t="s">
        <v>283</v>
      </c>
      <c r="X17" s="118" t="s">
        <v>283</v>
      </c>
      <c r="Y17" s="118" t="s">
        <v>284</v>
      </c>
      <c r="Z17" s="124" t="s">
        <v>283</v>
      </c>
      <c r="AA17" s="124" t="s">
        <v>285</v>
      </c>
      <c r="AB17" s="124" t="s">
        <v>286</v>
      </c>
      <c r="AC17" s="124" t="s">
        <v>286</v>
      </c>
      <c r="AD17" s="124" t="s">
        <v>287</v>
      </c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447"/>
    </row>
    <row r="18" spans="1:41" ht="15" customHeight="1">
      <c r="A18" s="117">
        <v>17</v>
      </c>
      <c r="B18" s="117"/>
      <c r="C18" s="117"/>
      <c r="D18" s="381"/>
      <c r="E18" s="117" t="str">
        <f t="shared" si="0"/>
        <v>ریاضی</v>
      </c>
      <c r="F18" s="118" t="s">
        <v>81</v>
      </c>
      <c r="G18" s="118" t="s">
        <v>288</v>
      </c>
      <c r="H18" s="118" t="s">
        <v>289</v>
      </c>
      <c r="I18" s="118" t="s">
        <v>288</v>
      </c>
      <c r="J18" s="118" t="s">
        <v>290</v>
      </c>
      <c r="K18" s="118" t="s">
        <v>290</v>
      </c>
      <c r="L18" s="118" t="s">
        <v>288</v>
      </c>
      <c r="M18" s="118" t="s">
        <v>289</v>
      </c>
      <c r="N18" s="118" t="s">
        <v>290</v>
      </c>
      <c r="O18" s="118" t="s">
        <v>290</v>
      </c>
      <c r="P18" s="118" t="s">
        <v>288</v>
      </c>
      <c r="Q18" s="118" t="s">
        <v>290</v>
      </c>
      <c r="R18" s="118" t="s">
        <v>289</v>
      </c>
      <c r="S18" s="118" t="s">
        <v>290</v>
      </c>
      <c r="T18" s="118" t="s">
        <v>290</v>
      </c>
      <c r="U18" s="118" t="s">
        <v>290</v>
      </c>
      <c r="V18" s="118" t="s">
        <v>290</v>
      </c>
      <c r="W18" s="118" t="s">
        <v>289</v>
      </c>
      <c r="X18" s="118" t="s">
        <v>290</v>
      </c>
      <c r="Y18" s="118" t="s">
        <v>288</v>
      </c>
      <c r="Z18" s="118" t="s">
        <v>290</v>
      </c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444"/>
    </row>
    <row r="19" spans="1:41" ht="15" customHeight="1">
      <c r="A19" s="117">
        <v>18</v>
      </c>
      <c r="B19" s="117"/>
      <c r="C19" s="117"/>
      <c r="D19" s="381"/>
      <c r="E19" s="117" t="str">
        <f t="shared" si="0"/>
        <v>18/22</v>
      </c>
      <c r="F19" s="118" t="s">
        <v>291</v>
      </c>
      <c r="G19" s="118" t="s">
        <v>292</v>
      </c>
      <c r="H19" s="118" t="s">
        <v>293</v>
      </c>
      <c r="I19" s="118" t="s">
        <v>294</v>
      </c>
      <c r="J19" s="118" t="s">
        <v>295</v>
      </c>
      <c r="K19" s="118" t="s">
        <v>296</v>
      </c>
      <c r="L19" s="118" t="s">
        <v>297</v>
      </c>
      <c r="M19" s="118" t="s">
        <v>298</v>
      </c>
      <c r="N19" s="118" t="s">
        <v>299</v>
      </c>
      <c r="O19" s="118" t="s">
        <v>300</v>
      </c>
      <c r="P19" s="118" t="s">
        <v>301</v>
      </c>
      <c r="Q19" s="118" t="s">
        <v>302</v>
      </c>
      <c r="R19" s="118"/>
      <c r="S19" s="118"/>
      <c r="T19" s="118" t="s">
        <v>303</v>
      </c>
      <c r="U19" s="118" t="s">
        <v>304</v>
      </c>
      <c r="V19" s="118">
        <v>17</v>
      </c>
      <c r="W19" s="118" t="s">
        <v>305</v>
      </c>
      <c r="X19" s="118" t="s">
        <v>302</v>
      </c>
      <c r="Y19" s="118"/>
      <c r="Z19" s="118" t="s">
        <v>306</v>
      </c>
      <c r="AA19" s="118"/>
      <c r="AB19" s="118" t="s">
        <v>307</v>
      </c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444"/>
    </row>
    <row r="20" spans="1:41" ht="15" customHeight="1">
      <c r="A20" s="117">
        <v>19</v>
      </c>
      <c r="B20" s="117"/>
      <c r="C20" s="117"/>
      <c r="D20" s="381"/>
      <c r="E20" s="117" t="str">
        <f t="shared" si="0"/>
        <v>مدرسه حضرت خدیجه- ناحیه تباتکان</v>
      </c>
      <c r="F20" s="118" t="s">
        <v>308</v>
      </c>
      <c r="G20" s="118" t="s">
        <v>309</v>
      </c>
      <c r="H20" s="118" t="s">
        <v>309</v>
      </c>
      <c r="I20" s="118" t="s">
        <v>309</v>
      </c>
      <c r="J20" s="118" t="s">
        <v>309</v>
      </c>
      <c r="K20" s="118" t="s">
        <v>309</v>
      </c>
      <c r="L20" s="118" t="s">
        <v>235</v>
      </c>
      <c r="M20" s="118" t="s">
        <v>309</v>
      </c>
      <c r="N20" s="118" t="s">
        <v>235</v>
      </c>
      <c r="O20" s="118" t="s">
        <v>309</v>
      </c>
      <c r="P20" s="118" t="s">
        <v>309</v>
      </c>
      <c r="Q20" s="118" t="s">
        <v>309</v>
      </c>
      <c r="R20" s="118" t="s">
        <v>235</v>
      </c>
      <c r="S20" s="118"/>
      <c r="T20" s="118" t="s">
        <v>310</v>
      </c>
      <c r="U20" s="118" t="s">
        <v>311</v>
      </c>
      <c r="V20" s="118" t="s">
        <v>311</v>
      </c>
      <c r="W20" s="118" t="s">
        <v>311</v>
      </c>
      <c r="X20" s="118" t="s">
        <v>311</v>
      </c>
      <c r="Y20" s="118" t="s">
        <v>239</v>
      </c>
      <c r="Z20" s="118" t="s">
        <v>311</v>
      </c>
      <c r="AA20" s="118" t="s">
        <v>312</v>
      </c>
      <c r="AB20" s="118" t="s">
        <v>312</v>
      </c>
      <c r="AC20" s="118" t="s">
        <v>313</v>
      </c>
      <c r="AD20" s="118" t="s">
        <v>313</v>
      </c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444"/>
    </row>
    <row r="21" spans="1:41" ht="15" customHeight="1">
      <c r="A21" s="117">
        <v>20</v>
      </c>
      <c r="B21" s="117"/>
      <c r="C21" s="117"/>
      <c r="D21" s="381"/>
      <c r="E21" s="117">
        <f t="shared" si="0"/>
        <v>9155008954</v>
      </c>
      <c r="F21" s="118" t="s">
        <v>314</v>
      </c>
      <c r="G21" s="118">
        <v>9155008954</v>
      </c>
      <c r="H21" s="118">
        <v>9155008954</v>
      </c>
      <c r="I21" s="118">
        <v>9155008954</v>
      </c>
      <c r="J21" s="118">
        <v>9155008954</v>
      </c>
      <c r="K21" s="118">
        <v>9155008954</v>
      </c>
      <c r="L21" s="118">
        <v>5136655064</v>
      </c>
      <c r="M21" s="118">
        <v>9155008954</v>
      </c>
      <c r="N21" s="118">
        <v>5136655064</v>
      </c>
      <c r="O21" s="118">
        <v>9155008954</v>
      </c>
      <c r="P21" s="118">
        <v>9155008954</v>
      </c>
      <c r="Q21" s="118">
        <v>9155008954</v>
      </c>
      <c r="R21" s="118">
        <v>5136655064</v>
      </c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444"/>
    </row>
    <row r="22" spans="1:41" ht="15" customHeight="1">
      <c r="A22" s="117">
        <v>21</v>
      </c>
      <c r="B22" s="117"/>
      <c r="C22" s="117"/>
      <c r="D22" s="381"/>
      <c r="E22" s="117" t="str">
        <f t="shared" si="0"/>
        <v>زبان انگلیسی و کره ای</v>
      </c>
      <c r="F22" s="118" t="s">
        <v>98</v>
      </c>
      <c r="G22" s="118" t="s">
        <v>315</v>
      </c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444"/>
    </row>
    <row r="23" spans="1:41" ht="15" customHeight="1">
      <c r="A23" s="117">
        <v>22</v>
      </c>
      <c r="B23" s="117"/>
      <c r="C23" s="117"/>
      <c r="D23" s="381"/>
      <c r="E23" s="117" t="str">
        <f t="shared" si="0"/>
        <v>کارآفرینی</v>
      </c>
      <c r="F23" s="118" t="s">
        <v>107</v>
      </c>
      <c r="G23" s="118" t="s">
        <v>316</v>
      </c>
      <c r="H23" s="118" t="s">
        <v>317</v>
      </c>
      <c r="I23" s="118" t="s">
        <v>318</v>
      </c>
      <c r="J23" s="118" t="s">
        <v>319</v>
      </c>
      <c r="K23" s="118" t="s">
        <v>319</v>
      </c>
      <c r="L23" s="118" t="s">
        <v>320</v>
      </c>
      <c r="M23" s="118" t="s">
        <v>321</v>
      </c>
      <c r="N23" s="118" t="s">
        <v>319</v>
      </c>
      <c r="O23" s="118" t="s">
        <v>319</v>
      </c>
      <c r="P23" s="118" t="s">
        <v>322</v>
      </c>
      <c r="Q23" s="118" t="s">
        <v>322</v>
      </c>
      <c r="R23" s="118" t="s">
        <v>317</v>
      </c>
      <c r="S23" s="118" t="s">
        <v>323</v>
      </c>
      <c r="T23" s="118" t="s">
        <v>323</v>
      </c>
      <c r="U23" s="118" t="s">
        <v>323</v>
      </c>
      <c r="V23" s="118" t="s">
        <v>324</v>
      </c>
      <c r="W23" s="118" t="s">
        <v>324</v>
      </c>
      <c r="X23" s="118" t="s">
        <v>325</v>
      </c>
      <c r="Y23" s="118" t="s">
        <v>326</v>
      </c>
      <c r="Z23" s="118" t="s">
        <v>325</v>
      </c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444"/>
    </row>
    <row r="24" spans="1:41" ht="15" customHeight="1">
      <c r="A24" s="117">
        <v>23</v>
      </c>
      <c r="B24" s="117"/>
      <c r="C24" s="117"/>
      <c r="D24" s="381"/>
      <c r="E24" s="120" t="str">
        <f t="shared" si="0"/>
        <v>1401/06/15</v>
      </c>
      <c r="F24" s="121" t="s">
        <v>2</v>
      </c>
      <c r="G24" s="122" t="s">
        <v>327</v>
      </c>
      <c r="H24" s="122" t="s">
        <v>327</v>
      </c>
      <c r="I24" s="122" t="s">
        <v>327</v>
      </c>
      <c r="J24" s="122" t="s">
        <v>327</v>
      </c>
      <c r="K24" s="122" t="s">
        <v>327</v>
      </c>
      <c r="L24" s="122" t="s">
        <v>327</v>
      </c>
      <c r="M24" s="122" t="s">
        <v>327</v>
      </c>
      <c r="N24" s="122" t="s">
        <v>327</v>
      </c>
      <c r="O24" s="122" t="s">
        <v>327</v>
      </c>
      <c r="P24" s="122" t="s">
        <v>327</v>
      </c>
      <c r="Q24" s="122" t="s">
        <v>327</v>
      </c>
      <c r="R24" s="122" t="s">
        <v>327</v>
      </c>
      <c r="S24" s="122" t="s">
        <v>327</v>
      </c>
      <c r="T24" s="122" t="s">
        <v>327</v>
      </c>
      <c r="U24" s="122" t="s">
        <v>327</v>
      </c>
      <c r="V24" s="122" t="s">
        <v>327</v>
      </c>
      <c r="W24" s="122" t="s">
        <v>327</v>
      </c>
      <c r="X24" s="122" t="s">
        <v>327</v>
      </c>
      <c r="Y24" s="122"/>
      <c r="Z24" s="122" t="s">
        <v>327</v>
      </c>
      <c r="AA24" s="122" t="s">
        <v>327</v>
      </c>
      <c r="AB24" s="122" t="s">
        <v>327</v>
      </c>
      <c r="AC24" s="122" t="s">
        <v>327</v>
      </c>
      <c r="AD24" s="122" t="s">
        <v>327</v>
      </c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445"/>
    </row>
    <row r="25" spans="1:41" ht="15" customHeight="1">
      <c r="A25" s="117">
        <v>24</v>
      </c>
      <c r="B25" s="117"/>
      <c r="C25" s="117"/>
      <c r="D25" s="381"/>
      <c r="E25" s="117" t="str">
        <f t="shared" si="0"/>
        <v>افسردگی و ناامیدی شدید</v>
      </c>
      <c r="F25" s="118" t="s">
        <v>32</v>
      </c>
      <c r="G25" s="118" t="s">
        <v>328</v>
      </c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444"/>
    </row>
    <row r="26" spans="1:41" ht="15" customHeight="1">
      <c r="A26" s="117">
        <v>25</v>
      </c>
      <c r="B26" s="117"/>
      <c r="C26" s="117"/>
      <c r="D26" s="381"/>
      <c r="E26" s="117" t="str">
        <f t="shared" si="0"/>
        <v>ندارد</v>
      </c>
      <c r="F26" s="118" t="s">
        <v>329</v>
      </c>
      <c r="G26" s="118" t="s">
        <v>330</v>
      </c>
      <c r="H26" s="118" t="s">
        <v>330</v>
      </c>
      <c r="I26" s="118" t="s">
        <v>330</v>
      </c>
      <c r="J26" s="118" t="s">
        <v>330</v>
      </c>
      <c r="K26" s="118" t="s">
        <v>330</v>
      </c>
      <c r="L26" s="118" t="s">
        <v>330</v>
      </c>
      <c r="M26" s="118" t="s">
        <v>330</v>
      </c>
      <c r="N26" s="118" t="s">
        <v>330</v>
      </c>
      <c r="O26" s="118" t="s">
        <v>330</v>
      </c>
      <c r="P26" s="118" t="s">
        <v>330</v>
      </c>
      <c r="Q26" s="118" t="s">
        <v>330</v>
      </c>
      <c r="R26" s="118" t="s">
        <v>330</v>
      </c>
      <c r="S26" s="118" t="s">
        <v>330</v>
      </c>
      <c r="T26" s="118" t="s">
        <v>330</v>
      </c>
      <c r="U26" s="118" t="s">
        <v>330</v>
      </c>
      <c r="V26" s="118" t="s">
        <v>331</v>
      </c>
      <c r="W26" s="118" t="s">
        <v>330</v>
      </c>
      <c r="X26" s="118" t="s">
        <v>330</v>
      </c>
      <c r="Y26" s="118" t="s">
        <v>330</v>
      </c>
      <c r="Z26" s="118" t="s">
        <v>330</v>
      </c>
      <c r="AA26" s="118" t="s">
        <v>330</v>
      </c>
      <c r="AB26" s="118" t="s">
        <v>330</v>
      </c>
      <c r="AC26" s="118" t="s">
        <v>330</v>
      </c>
      <c r="AD26" s="118" t="s">
        <v>330</v>
      </c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444"/>
    </row>
    <row r="27" spans="1:41" ht="15" customHeight="1">
      <c r="A27" s="117">
        <v>26</v>
      </c>
      <c r="B27" s="117"/>
      <c r="C27" s="117"/>
      <c r="D27" s="381"/>
      <c r="E27" s="117">
        <f t="shared" si="0"/>
        <v>0</v>
      </c>
      <c r="F27" s="118" t="s">
        <v>34</v>
      </c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 t="s">
        <v>332</v>
      </c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444"/>
    </row>
    <row r="28" spans="1:41" ht="15" customHeight="1">
      <c r="A28" s="117">
        <v>27</v>
      </c>
      <c r="B28" s="117"/>
      <c r="C28" s="117"/>
      <c r="D28" s="381"/>
      <c r="E28" s="117">
        <f t="shared" si="0"/>
        <v>0</v>
      </c>
      <c r="F28" s="118" t="s">
        <v>333</v>
      </c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444"/>
    </row>
    <row r="29" spans="1:41" ht="15" customHeight="1">
      <c r="A29" s="117">
        <v>28</v>
      </c>
      <c r="B29" s="117"/>
      <c r="C29" s="117"/>
      <c r="D29" s="381"/>
      <c r="E29" s="117" t="str">
        <f t="shared" si="0"/>
        <v>ندارد</v>
      </c>
      <c r="F29" s="125" t="s">
        <v>334</v>
      </c>
      <c r="G29" s="118" t="s">
        <v>330</v>
      </c>
      <c r="H29" s="118" t="s">
        <v>330</v>
      </c>
      <c r="I29" s="118" t="s">
        <v>335</v>
      </c>
      <c r="J29" s="118"/>
      <c r="K29" s="118"/>
      <c r="L29" s="118"/>
      <c r="M29" s="118"/>
      <c r="N29" s="118"/>
      <c r="O29" s="118"/>
      <c r="P29" s="118" t="s">
        <v>336</v>
      </c>
      <c r="Q29" s="118"/>
      <c r="R29" s="118" t="s">
        <v>337</v>
      </c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444"/>
    </row>
    <row r="30" spans="1:41" ht="15" customHeight="1">
      <c r="A30" s="117">
        <v>29</v>
      </c>
      <c r="B30" s="117"/>
      <c r="C30" s="117"/>
      <c r="D30" s="381"/>
      <c r="E30" s="117" t="str">
        <f t="shared" si="0"/>
        <v>نداد</v>
      </c>
      <c r="F30" s="118" t="s">
        <v>338</v>
      </c>
      <c r="G30" s="118" t="s">
        <v>339</v>
      </c>
      <c r="H30" s="118" t="s">
        <v>339</v>
      </c>
      <c r="I30" s="118" t="s">
        <v>330</v>
      </c>
      <c r="J30" s="118" t="s">
        <v>330</v>
      </c>
      <c r="K30" s="118" t="s">
        <v>330</v>
      </c>
      <c r="L30" s="118" t="s">
        <v>330</v>
      </c>
      <c r="M30" s="118" t="s">
        <v>330</v>
      </c>
      <c r="N30" s="118" t="s">
        <v>330</v>
      </c>
      <c r="O30" s="118" t="s">
        <v>330</v>
      </c>
      <c r="P30" s="118" t="s">
        <v>330</v>
      </c>
      <c r="Q30" s="118" t="s">
        <v>330</v>
      </c>
      <c r="R30" s="118" t="s">
        <v>330</v>
      </c>
      <c r="S30" s="118" t="s">
        <v>330</v>
      </c>
      <c r="T30" s="118" t="s">
        <v>330</v>
      </c>
      <c r="U30" s="118" t="s">
        <v>330</v>
      </c>
      <c r="V30" s="118" t="s">
        <v>330</v>
      </c>
      <c r="W30" s="118" t="s">
        <v>330</v>
      </c>
      <c r="X30" s="118" t="s">
        <v>330</v>
      </c>
      <c r="Y30" s="118" t="s">
        <v>330</v>
      </c>
      <c r="Z30" s="118" t="s">
        <v>330</v>
      </c>
      <c r="AA30" s="118" t="s">
        <v>330</v>
      </c>
      <c r="AB30" s="118" t="s">
        <v>330</v>
      </c>
      <c r="AC30" s="118" t="s">
        <v>330</v>
      </c>
      <c r="AD30" s="118" t="s">
        <v>330</v>
      </c>
      <c r="AE30" s="118" t="s">
        <v>330</v>
      </c>
      <c r="AF30" s="118" t="s">
        <v>330</v>
      </c>
      <c r="AG30" s="118" t="s">
        <v>330</v>
      </c>
      <c r="AH30" s="118" t="s">
        <v>330</v>
      </c>
      <c r="AI30" s="118" t="s">
        <v>330</v>
      </c>
      <c r="AJ30" s="118" t="s">
        <v>330</v>
      </c>
      <c r="AK30" s="118" t="s">
        <v>330</v>
      </c>
      <c r="AL30" s="118" t="s">
        <v>330</v>
      </c>
      <c r="AM30" s="118" t="s">
        <v>330</v>
      </c>
      <c r="AN30" s="118" t="s">
        <v>330</v>
      </c>
      <c r="AO30" s="444" t="s">
        <v>330</v>
      </c>
    </row>
    <row r="31" spans="1:41" ht="15" customHeight="1">
      <c r="A31" s="117">
        <v>30</v>
      </c>
      <c r="B31" s="117"/>
      <c r="C31" s="117"/>
      <c r="D31" s="381"/>
      <c r="E31" s="117" t="str">
        <f t="shared" si="0"/>
        <v>‍‍</v>
      </c>
      <c r="F31" s="117"/>
      <c r="G31" s="117" t="s">
        <v>340</v>
      </c>
      <c r="H31" s="117" t="s">
        <v>340</v>
      </c>
      <c r="I31" s="117" t="s">
        <v>340</v>
      </c>
      <c r="J31" s="117" t="s">
        <v>340</v>
      </c>
      <c r="K31" s="117" t="s">
        <v>340</v>
      </c>
      <c r="L31" s="117" t="s">
        <v>340</v>
      </c>
      <c r="M31" s="117" t="s">
        <v>340</v>
      </c>
      <c r="N31" s="117" t="s">
        <v>340</v>
      </c>
      <c r="O31" s="117" t="s">
        <v>340</v>
      </c>
      <c r="P31" s="117" t="s">
        <v>340</v>
      </c>
      <c r="Q31" s="117" t="s">
        <v>340</v>
      </c>
      <c r="R31" s="117" t="s">
        <v>340</v>
      </c>
      <c r="S31" s="117" t="s">
        <v>340</v>
      </c>
      <c r="T31" s="117" t="s">
        <v>340</v>
      </c>
      <c r="U31" s="117" t="s">
        <v>340</v>
      </c>
      <c r="V31" s="117" t="s">
        <v>340</v>
      </c>
      <c r="W31" s="117" t="s">
        <v>340</v>
      </c>
      <c r="X31" s="117" t="s">
        <v>340</v>
      </c>
      <c r="Y31" s="117" t="s">
        <v>340</v>
      </c>
      <c r="Z31" s="117" t="s">
        <v>340</v>
      </c>
      <c r="AA31" s="117" t="s">
        <v>340</v>
      </c>
      <c r="AB31" s="117" t="s">
        <v>340</v>
      </c>
      <c r="AC31" s="117" t="s">
        <v>340</v>
      </c>
      <c r="AD31" s="117" t="s">
        <v>340</v>
      </c>
      <c r="AE31" s="117" t="s">
        <v>340</v>
      </c>
      <c r="AF31" s="117" t="s">
        <v>340</v>
      </c>
      <c r="AG31" s="117" t="s">
        <v>340</v>
      </c>
      <c r="AH31" s="117" t="s">
        <v>340</v>
      </c>
      <c r="AI31" s="117" t="s">
        <v>340</v>
      </c>
      <c r="AJ31" s="117" t="s">
        <v>340</v>
      </c>
      <c r="AK31" s="117" t="s">
        <v>340</v>
      </c>
      <c r="AL31" s="117" t="s">
        <v>340</v>
      </c>
      <c r="AM31" s="117" t="s">
        <v>340</v>
      </c>
      <c r="AN31" s="117" t="s">
        <v>340</v>
      </c>
      <c r="AO31" s="448" t="s">
        <v>340</v>
      </c>
    </row>
    <row r="32" spans="1:41" ht="15" customHeight="1">
      <c r="A32" s="117">
        <v>31</v>
      </c>
      <c r="B32" s="117"/>
      <c r="C32" s="117"/>
      <c r="D32" s="381"/>
      <c r="E32" s="117">
        <f t="shared" si="0"/>
        <v>0</v>
      </c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448"/>
    </row>
    <row r="33" spans="1:41" ht="15" customHeight="1">
      <c r="A33" s="117">
        <v>32</v>
      </c>
      <c r="B33" s="117"/>
      <c r="C33" s="117"/>
      <c r="D33" s="381"/>
      <c r="E33" s="117">
        <f t="shared" si="0"/>
        <v>0</v>
      </c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448"/>
    </row>
    <row r="34" spans="1:41" ht="15" customHeight="1">
      <c r="A34" s="117">
        <v>33</v>
      </c>
      <c r="B34" s="117"/>
      <c r="C34" s="117"/>
      <c r="D34" s="381"/>
      <c r="E34" s="117">
        <f t="shared" si="0"/>
        <v>0</v>
      </c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448"/>
    </row>
    <row r="35" spans="1:41" ht="15" customHeight="1">
      <c r="A35" s="117">
        <v>34</v>
      </c>
      <c r="B35" s="117"/>
      <c r="C35" s="117"/>
      <c r="D35" s="381"/>
      <c r="E35" s="117">
        <f t="shared" si="0"/>
        <v>0</v>
      </c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448"/>
    </row>
    <row r="36" spans="1:41" ht="15" customHeight="1">
      <c r="A36" s="117">
        <v>35</v>
      </c>
      <c r="B36" s="117"/>
      <c r="C36" s="117"/>
      <c r="D36" s="381"/>
      <c r="E36" s="117">
        <f t="shared" si="0"/>
        <v>0</v>
      </c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448"/>
    </row>
    <row r="37" spans="1:41" ht="15" customHeight="1">
      <c r="A37" s="117">
        <v>36</v>
      </c>
      <c r="B37" s="117"/>
      <c r="C37" s="117"/>
      <c r="D37" s="381"/>
      <c r="E37" s="117">
        <f t="shared" si="0"/>
        <v>0</v>
      </c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448"/>
    </row>
    <row r="38" spans="1:41" ht="15" customHeight="1">
      <c r="A38" s="117">
        <v>37</v>
      </c>
      <c r="B38" s="117"/>
      <c r="C38" s="117"/>
      <c r="D38" s="381"/>
      <c r="E38" s="117">
        <f t="shared" si="0"/>
        <v>0</v>
      </c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448"/>
    </row>
    <row r="39" spans="1:41" ht="15" customHeight="1">
      <c r="A39" s="117">
        <v>38</v>
      </c>
      <c r="B39" s="117"/>
      <c r="C39" s="117"/>
      <c r="D39" s="381"/>
      <c r="E39" s="117">
        <f t="shared" si="0"/>
        <v>0</v>
      </c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448"/>
    </row>
    <row r="40" spans="1:41" ht="15" customHeight="1">
      <c r="A40" s="117">
        <v>39</v>
      </c>
      <c r="B40" s="117"/>
      <c r="C40" s="117"/>
      <c r="D40" s="381"/>
      <c r="E40" s="117">
        <f t="shared" si="0"/>
        <v>0</v>
      </c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448"/>
    </row>
    <row r="41" spans="1:41" ht="15" customHeight="1">
      <c r="A41" s="117">
        <v>40</v>
      </c>
      <c r="B41" s="117"/>
      <c r="C41" s="117"/>
      <c r="D41" s="381"/>
      <c r="E41" s="117">
        <f t="shared" si="0"/>
        <v>0</v>
      </c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448"/>
    </row>
    <row r="42" spans="1:41" ht="15" customHeight="1">
      <c r="A42" s="117">
        <v>41</v>
      </c>
      <c r="B42" s="117"/>
      <c r="C42" s="117"/>
      <c r="D42" s="381"/>
      <c r="E42" s="117">
        <f t="shared" si="0"/>
        <v>0</v>
      </c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448"/>
    </row>
    <row r="43" spans="1:41" ht="15" customHeight="1">
      <c r="A43" s="117">
        <v>42</v>
      </c>
      <c r="B43" s="117"/>
      <c r="C43" s="117"/>
      <c r="D43" s="381"/>
      <c r="E43" s="117">
        <f t="shared" si="0"/>
        <v>0</v>
      </c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448"/>
    </row>
    <row r="44" spans="1:41" ht="15" customHeight="1">
      <c r="A44" s="117">
        <v>43</v>
      </c>
      <c r="B44" s="117"/>
      <c r="C44" s="117"/>
      <c r="D44" s="381"/>
      <c r="E44" s="117">
        <f t="shared" si="0"/>
        <v>0</v>
      </c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448"/>
    </row>
    <row r="45" spans="1:41" ht="15" customHeight="1">
      <c r="A45" s="117">
        <v>44</v>
      </c>
      <c r="B45" s="117"/>
      <c r="C45" s="117"/>
      <c r="D45" s="381"/>
      <c r="E45" s="117">
        <f t="shared" si="0"/>
        <v>0</v>
      </c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448"/>
    </row>
    <row r="46" spans="1:41" ht="15" customHeight="1">
      <c r="A46" s="117">
        <v>45</v>
      </c>
      <c r="B46" s="117"/>
      <c r="C46" s="117"/>
      <c r="D46" s="381"/>
      <c r="E46" s="117">
        <f t="shared" si="0"/>
        <v>0</v>
      </c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448"/>
    </row>
    <row r="47" spans="1:41" ht="15" customHeight="1">
      <c r="A47" s="117">
        <v>46</v>
      </c>
      <c r="B47" s="117"/>
      <c r="C47" s="117"/>
      <c r="D47" s="381"/>
      <c r="E47" s="117">
        <f t="shared" si="0"/>
        <v>0</v>
      </c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448"/>
    </row>
    <row r="48" spans="1:41" ht="15" customHeight="1">
      <c r="A48" s="117">
        <v>47</v>
      </c>
      <c r="B48" s="117"/>
      <c r="C48" s="117"/>
      <c r="D48" s="381"/>
      <c r="E48" s="117">
        <f t="shared" si="0"/>
        <v>0</v>
      </c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448"/>
    </row>
    <row r="49" spans="1:41" ht="15" customHeight="1">
      <c r="A49" s="117">
        <v>48</v>
      </c>
      <c r="B49" s="117"/>
      <c r="C49" s="117"/>
      <c r="D49" s="381"/>
      <c r="E49" s="117">
        <f t="shared" si="0"/>
        <v>0</v>
      </c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448"/>
    </row>
    <row r="50" spans="1:41" ht="15" customHeight="1">
      <c r="A50" s="117">
        <v>49</v>
      </c>
      <c r="B50" s="117"/>
      <c r="C50" s="117"/>
      <c r="D50" s="381"/>
      <c r="E50" s="117">
        <f t="shared" si="0"/>
        <v>0</v>
      </c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448"/>
    </row>
    <row r="51" spans="1:41" ht="15" customHeight="1">
      <c r="A51" s="117">
        <v>50</v>
      </c>
      <c r="B51" s="117"/>
      <c r="C51" s="117"/>
      <c r="D51" s="381"/>
      <c r="E51" s="117">
        <f t="shared" si="0"/>
        <v>0</v>
      </c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448"/>
    </row>
    <row r="52" spans="1:41" ht="15" customHeight="1">
      <c r="A52" s="117">
        <v>51</v>
      </c>
      <c r="B52" s="117"/>
      <c r="C52" s="117"/>
      <c r="D52" s="381"/>
      <c r="E52" s="117">
        <f t="shared" si="0"/>
        <v>0</v>
      </c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448"/>
    </row>
    <row r="53" spans="1:41" ht="15" customHeight="1">
      <c r="A53" s="117">
        <v>52</v>
      </c>
      <c r="B53" s="117"/>
      <c r="C53" s="117"/>
      <c r="D53" s="381"/>
      <c r="E53" s="117">
        <f t="shared" si="0"/>
        <v>0</v>
      </c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448"/>
    </row>
    <row r="54" spans="1:41" ht="15" customHeight="1">
      <c r="A54" s="117">
        <v>53</v>
      </c>
      <c r="B54" s="117"/>
      <c r="C54" s="117"/>
      <c r="D54" s="381"/>
      <c r="E54" s="117">
        <f t="shared" si="0"/>
        <v>0</v>
      </c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448"/>
    </row>
    <row r="55" spans="1:41" ht="15" customHeight="1">
      <c r="A55" s="117">
        <v>54</v>
      </c>
      <c r="B55" s="117"/>
      <c r="C55" s="117"/>
      <c r="D55" s="381"/>
      <c r="E55" s="117">
        <f t="shared" si="0"/>
        <v>0</v>
      </c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448"/>
    </row>
    <row r="56" spans="1:41" ht="15" customHeight="1">
      <c r="A56" s="117">
        <v>55</v>
      </c>
      <c r="B56" s="117"/>
      <c r="C56" s="117"/>
      <c r="D56" s="381"/>
      <c r="E56" s="117">
        <f t="shared" si="0"/>
        <v>0</v>
      </c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448"/>
    </row>
    <row r="57" spans="1:41" ht="15" customHeight="1">
      <c r="A57" s="117">
        <v>56</v>
      </c>
      <c r="B57" s="117"/>
      <c r="C57" s="117"/>
      <c r="D57" s="381"/>
      <c r="E57" s="117">
        <f t="shared" si="0"/>
        <v>0</v>
      </c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448"/>
    </row>
    <row r="58" spans="1:41" ht="15" customHeight="1">
      <c r="A58" s="117">
        <v>57</v>
      </c>
      <c r="B58" s="117"/>
      <c r="C58" s="117"/>
      <c r="D58" s="381"/>
      <c r="E58" s="117">
        <f t="shared" si="0"/>
        <v>0</v>
      </c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448"/>
    </row>
    <row r="59" spans="1:41" ht="15" customHeight="1">
      <c r="A59" s="117">
        <v>58</v>
      </c>
      <c r="B59" s="117"/>
      <c r="C59" s="117"/>
      <c r="D59" s="381"/>
      <c r="E59" s="117">
        <f t="shared" si="0"/>
        <v>0</v>
      </c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448"/>
    </row>
    <row r="60" spans="1:41" ht="15" customHeight="1">
      <c r="A60" s="117">
        <v>59</v>
      </c>
      <c r="B60" s="117"/>
      <c r="C60" s="117"/>
      <c r="D60" s="381"/>
      <c r="E60" s="117">
        <f t="shared" si="0"/>
        <v>0</v>
      </c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448"/>
    </row>
    <row r="61" spans="1:41" ht="15" customHeight="1">
      <c r="A61" s="117">
        <v>60</v>
      </c>
      <c r="B61" s="117"/>
      <c r="C61" s="117"/>
      <c r="D61" s="381"/>
      <c r="E61" s="117">
        <f t="shared" si="0"/>
        <v>0</v>
      </c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448"/>
    </row>
    <row r="62" spans="1:41" ht="15" customHeight="1">
      <c r="A62" s="117">
        <v>61</v>
      </c>
      <c r="B62" s="117"/>
      <c r="C62" s="117"/>
      <c r="D62" s="381"/>
      <c r="E62" s="117">
        <f t="shared" si="0"/>
        <v>0</v>
      </c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448"/>
    </row>
    <row r="63" spans="1:41" ht="15" customHeight="1">
      <c r="A63" s="117">
        <v>62</v>
      </c>
      <c r="B63" s="117"/>
      <c r="C63" s="117"/>
      <c r="D63" s="381"/>
      <c r="E63" s="117">
        <f t="shared" si="0"/>
        <v>0</v>
      </c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448"/>
    </row>
    <row r="64" spans="1:41" ht="15" customHeight="1">
      <c r="A64" s="117">
        <v>63</v>
      </c>
      <c r="B64" s="117"/>
      <c r="C64" s="117"/>
      <c r="D64" s="381"/>
      <c r="E64" s="117">
        <f t="shared" si="0"/>
        <v>0</v>
      </c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448"/>
    </row>
    <row r="65" spans="1:41" ht="15" customHeight="1">
      <c r="A65" s="117">
        <v>64</v>
      </c>
      <c r="B65" s="117"/>
      <c r="C65" s="117"/>
      <c r="D65" s="381"/>
      <c r="E65" s="117">
        <f t="shared" si="0"/>
        <v>0</v>
      </c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448"/>
    </row>
    <row r="66" spans="1:41" ht="15" customHeight="1">
      <c r="A66" s="117">
        <v>65</v>
      </c>
      <c r="B66" s="117"/>
      <c r="C66" s="117"/>
      <c r="D66" s="381"/>
      <c r="E66" s="117">
        <f t="shared" si="0"/>
        <v>0</v>
      </c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448"/>
    </row>
    <row r="67" spans="1:41" ht="15" customHeight="1">
      <c r="A67" s="117">
        <v>66</v>
      </c>
      <c r="B67" s="117"/>
      <c r="C67" s="117"/>
      <c r="D67" s="381"/>
      <c r="E67" s="117">
        <f t="shared" si="0"/>
        <v>0</v>
      </c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448"/>
    </row>
    <row r="68" spans="1:41" ht="15" customHeight="1">
      <c r="A68" s="117">
        <v>67</v>
      </c>
      <c r="B68" s="117"/>
      <c r="C68" s="117"/>
      <c r="D68" s="381"/>
      <c r="E68" s="117">
        <f t="shared" si="0"/>
        <v>0</v>
      </c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448"/>
    </row>
    <row r="69" spans="1:41" ht="15" customHeight="1">
      <c r="A69" s="117">
        <v>68</v>
      </c>
      <c r="B69" s="117"/>
      <c r="C69" s="117"/>
      <c r="D69" s="381"/>
      <c r="E69" s="117">
        <f t="shared" si="0"/>
        <v>0</v>
      </c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448"/>
    </row>
    <row r="70" spans="1:41" ht="15" customHeight="1">
      <c r="A70" s="117">
        <v>69</v>
      </c>
      <c r="B70" s="117"/>
      <c r="C70" s="117"/>
      <c r="D70" s="381"/>
      <c r="E70" s="117">
        <f t="shared" si="0"/>
        <v>0</v>
      </c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448"/>
    </row>
    <row r="71" spans="1:41" ht="15" customHeight="1">
      <c r="A71" s="117">
        <v>70</v>
      </c>
      <c r="B71" s="117"/>
      <c r="C71" s="117"/>
      <c r="D71" s="381"/>
      <c r="E71" s="117">
        <f t="shared" si="0"/>
        <v>0</v>
      </c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448"/>
    </row>
    <row r="72" spans="1:41" ht="15" customHeight="1">
      <c r="A72" s="117">
        <v>71</v>
      </c>
      <c r="B72" s="117"/>
      <c r="C72" s="117"/>
      <c r="D72" s="381"/>
      <c r="E72" s="117">
        <f t="shared" si="0"/>
        <v>0</v>
      </c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448"/>
    </row>
    <row r="73" spans="1:41" ht="15" customHeight="1">
      <c r="A73" s="117">
        <v>72</v>
      </c>
      <c r="B73" s="117"/>
      <c r="C73" s="117"/>
      <c r="D73" s="381"/>
      <c r="E73" s="117">
        <f t="shared" si="0"/>
        <v>0</v>
      </c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448"/>
    </row>
    <row r="74" spans="1:41" ht="15" customHeight="1">
      <c r="A74" s="117">
        <v>73</v>
      </c>
      <c r="B74" s="117"/>
      <c r="C74" s="117"/>
      <c r="D74" s="381"/>
      <c r="E74" s="117">
        <f t="shared" si="0"/>
        <v>0</v>
      </c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448"/>
    </row>
    <row r="75" spans="1:41" ht="15" customHeight="1">
      <c r="A75" s="117">
        <v>74</v>
      </c>
      <c r="B75" s="117"/>
      <c r="C75" s="117"/>
      <c r="D75" s="381"/>
      <c r="E75" s="117">
        <f t="shared" si="0"/>
        <v>0</v>
      </c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448"/>
    </row>
    <row r="76" spans="1:41" ht="15" customHeight="1">
      <c r="A76" s="117">
        <v>75</v>
      </c>
      <c r="B76" s="117"/>
      <c r="C76" s="117"/>
      <c r="D76" s="381"/>
      <c r="E76" s="117">
        <f t="shared" si="0"/>
        <v>0</v>
      </c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  <c r="AO76" s="448"/>
    </row>
    <row r="77" spans="1:41" ht="15" customHeight="1">
      <c r="A77" s="117">
        <v>76</v>
      </c>
      <c r="B77" s="117"/>
      <c r="C77" s="117"/>
      <c r="D77" s="381"/>
      <c r="E77" s="117">
        <f t="shared" si="0"/>
        <v>0</v>
      </c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448"/>
    </row>
    <row r="78" spans="1:41" ht="15" customHeight="1">
      <c r="A78" s="117">
        <v>77</v>
      </c>
      <c r="B78" s="117"/>
      <c r="C78" s="117"/>
      <c r="D78" s="381"/>
      <c r="E78" s="117">
        <f t="shared" si="0"/>
        <v>0</v>
      </c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448"/>
    </row>
    <row r="79" spans="1:41" ht="15" customHeight="1">
      <c r="A79" s="117">
        <v>78</v>
      </c>
      <c r="B79" s="117"/>
      <c r="C79" s="117"/>
      <c r="D79" s="381"/>
      <c r="E79" s="117">
        <f t="shared" si="0"/>
        <v>0</v>
      </c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448"/>
    </row>
    <row r="80" spans="1:41" ht="15" customHeight="1">
      <c r="A80" s="117">
        <v>79</v>
      </c>
      <c r="B80" s="117"/>
      <c r="C80" s="117"/>
      <c r="D80" s="381"/>
      <c r="E80" s="117">
        <f t="shared" si="0"/>
        <v>0</v>
      </c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  <c r="AO80" s="448"/>
    </row>
    <row r="81" spans="1:41" ht="15" customHeight="1">
      <c r="A81" s="117">
        <v>80</v>
      </c>
      <c r="B81" s="117"/>
      <c r="C81" s="117"/>
      <c r="D81" s="381"/>
      <c r="E81" s="117">
        <f t="shared" si="0"/>
        <v>0</v>
      </c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448"/>
    </row>
    <row r="82" spans="1:41" ht="15" customHeight="1">
      <c r="A82" s="117">
        <v>81</v>
      </c>
      <c r="B82" s="117"/>
      <c r="C82" s="117"/>
      <c r="D82" s="381"/>
      <c r="E82" s="117">
        <f t="shared" si="0"/>
        <v>0</v>
      </c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448"/>
    </row>
    <row r="83" spans="1:41" ht="15" customHeight="1">
      <c r="A83" s="117">
        <v>82</v>
      </c>
      <c r="B83" s="117"/>
      <c r="C83" s="117"/>
      <c r="D83" s="381"/>
      <c r="E83" s="117">
        <f t="shared" si="0"/>
        <v>0</v>
      </c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  <c r="AM83" s="117"/>
      <c r="AN83" s="117"/>
      <c r="AO83" s="448"/>
    </row>
    <row r="84" spans="1:41" ht="15" customHeight="1">
      <c r="A84" s="117">
        <v>83</v>
      </c>
      <c r="B84" s="117"/>
      <c r="C84" s="117"/>
      <c r="D84" s="381"/>
      <c r="E84" s="117">
        <f t="shared" si="0"/>
        <v>0</v>
      </c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448"/>
    </row>
    <row r="85" spans="1:41" ht="15" customHeight="1">
      <c r="A85" s="117">
        <v>84</v>
      </c>
      <c r="B85" s="117"/>
      <c r="C85" s="117"/>
      <c r="D85" s="381"/>
      <c r="E85" s="117">
        <f t="shared" si="0"/>
        <v>0</v>
      </c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448"/>
    </row>
    <row r="86" spans="1:41" ht="15" customHeight="1">
      <c r="A86" s="117">
        <v>85</v>
      </c>
      <c r="B86" s="117"/>
      <c r="C86" s="117"/>
      <c r="D86" s="381"/>
      <c r="E86" s="117">
        <f t="shared" si="0"/>
        <v>0</v>
      </c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448"/>
    </row>
    <row r="87" spans="1:41" ht="15" customHeight="1">
      <c r="A87" s="117">
        <v>86</v>
      </c>
      <c r="B87" s="117"/>
      <c r="C87" s="117"/>
      <c r="D87" s="381"/>
      <c r="E87" s="117">
        <f t="shared" si="0"/>
        <v>0</v>
      </c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448"/>
    </row>
    <row r="88" spans="1:41" ht="15" customHeight="1">
      <c r="A88" s="117">
        <v>87</v>
      </c>
      <c r="B88" s="117"/>
      <c r="C88" s="117"/>
      <c r="D88" s="381"/>
      <c r="E88" s="117">
        <f t="shared" si="0"/>
        <v>0</v>
      </c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448"/>
    </row>
    <row r="89" spans="1:41" ht="15" customHeight="1">
      <c r="A89" s="117">
        <v>88</v>
      </c>
      <c r="B89" s="117"/>
      <c r="C89" s="117"/>
      <c r="D89" s="381"/>
      <c r="E89" s="117">
        <f t="shared" si="0"/>
        <v>0</v>
      </c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448"/>
    </row>
    <row r="90" spans="1:41" ht="15" customHeight="1">
      <c r="A90" s="117">
        <v>89</v>
      </c>
      <c r="B90" s="117"/>
      <c r="C90" s="117"/>
      <c r="D90" s="381"/>
      <c r="E90" s="117">
        <f t="shared" si="0"/>
        <v>0</v>
      </c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448"/>
    </row>
    <row r="91" spans="1:41" ht="15" customHeight="1">
      <c r="A91" s="117">
        <v>90</v>
      </c>
      <c r="B91" s="117"/>
      <c r="C91" s="117"/>
      <c r="D91" s="381"/>
      <c r="E91" s="117">
        <f t="shared" si="0"/>
        <v>0</v>
      </c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448"/>
    </row>
    <row r="92" spans="1:41" ht="15" customHeight="1">
      <c r="A92" s="117">
        <v>91</v>
      </c>
      <c r="B92" s="117"/>
      <c r="C92" s="117"/>
      <c r="D92" s="381"/>
      <c r="E92" s="117">
        <f t="shared" si="0"/>
        <v>0</v>
      </c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448"/>
    </row>
    <row r="93" spans="1:41" ht="15" customHeight="1">
      <c r="A93" s="117">
        <v>92</v>
      </c>
      <c r="B93" s="117"/>
      <c r="C93" s="117"/>
      <c r="D93" s="381"/>
      <c r="E93" s="117">
        <f t="shared" si="0"/>
        <v>0</v>
      </c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448"/>
    </row>
    <row r="94" spans="1:41" ht="15" customHeight="1">
      <c r="A94" s="117">
        <v>93</v>
      </c>
      <c r="B94" s="117"/>
      <c r="C94" s="117"/>
      <c r="D94" s="381"/>
      <c r="E94" s="117">
        <f t="shared" si="0"/>
        <v>0</v>
      </c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448"/>
    </row>
    <row r="95" spans="1:41" ht="15" customHeight="1">
      <c r="A95" s="117">
        <v>94</v>
      </c>
      <c r="B95" s="117"/>
      <c r="C95" s="117"/>
      <c r="D95" s="381"/>
      <c r="E95" s="117">
        <f t="shared" si="0"/>
        <v>0</v>
      </c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448"/>
    </row>
    <row r="96" spans="1:41" ht="15" customHeight="1">
      <c r="A96" s="117">
        <v>95</v>
      </c>
      <c r="B96" s="117"/>
      <c r="C96" s="117"/>
      <c r="D96" s="381"/>
      <c r="E96" s="117">
        <f t="shared" si="0"/>
        <v>0</v>
      </c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448"/>
    </row>
    <row r="97" spans="1:41" ht="15" customHeight="1">
      <c r="A97" s="117">
        <v>96</v>
      </c>
      <c r="B97" s="117"/>
      <c r="C97" s="117"/>
      <c r="D97" s="381"/>
      <c r="E97" s="117">
        <f t="shared" si="0"/>
        <v>0</v>
      </c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448"/>
    </row>
    <row r="98" spans="1:41" ht="15" customHeight="1">
      <c r="A98" s="117">
        <v>97</v>
      </c>
      <c r="B98" s="117"/>
      <c r="C98" s="117"/>
      <c r="D98" s="381"/>
      <c r="E98" s="117">
        <f t="shared" si="0"/>
        <v>0</v>
      </c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448"/>
    </row>
    <row r="99" spans="1:41" ht="15" customHeight="1">
      <c r="A99" s="117">
        <v>98</v>
      </c>
      <c r="B99" s="117"/>
      <c r="C99" s="117"/>
      <c r="D99" s="381"/>
      <c r="E99" s="117">
        <f t="shared" si="0"/>
        <v>0</v>
      </c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448"/>
    </row>
    <row r="100" spans="1:41" ht="15" customHeight="1">
      <c r="A100" s="117">
        <v>99</v>
      </c>
      <c r="B100" s="117"/>
      <c r="C100" s="117"/>
      <c r="D100" s="381"/>
      <c r="E100" s="117">
        <f t="shared" si="0"/>
        <v>0</v>
      </c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448"/>
    </row>
    <row r="101" spans="1:41" ht="15.75" customHeight="1">
      <c r="A101" s="117"/>
      <c r="B101" s="117"/>
      <c r="C101" s="117"/>
      <c r="D101" s="381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  <c r="AO101" s="448"/>
    </row>
    <row r="102" spans="1:41" ht="15.75" customHeight="1">
      <c r="A102" s="117"/>
      <c r="B102" s="117"/>
      <c r="C102" s="117"/>
      <c r="D102" s="381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448"/>
    </row>
    <row r="103" spans="1:41" ht="15.75" customHeight="1">
      <c r="A103" s="117"/>
      <c r="B103" s="117"/>
      <c r="C103" s="117"/>
      <c r="D103" s="381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448"/>
    </row>
    <row r="104" spans="1:41" ht="15.75" customHeight="1">
      <c r="A104" s="117"/>
      <c r="B104" s="117"/>
      <c r="C104" s="117"/>
      <c r="D104" s="381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117"/>
      <c r="AN104" s="117"/>
      <c r="AO104" s="448"/>
    </row>
    <row r="105" spans="1:41" ht="15.75" customHeight="1">
      <c r="A105" s="117"/>
      <c r="B105" s="117"/>
      <c r="C105" s="117"/>
      <c r="D105" s="381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  <c r="AO105" s="448"/>
    </row>
    <row r="106" spans="1:41" ht="15.75" customHeight="1">
      <c r="A106" s="117"/>
      <c r="B106" s="117"/>
      <c r="C106" s="117"/>
      <c r="D106" s="381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7"/>
      <c r="AN106" s="117"/>
      <c r="AO106" s="448"/>
    </row>
    <row r="107" spans="1:41" ht="15.75" customHeight="1">
      <c r="A107" s="117"/>
      <c r="B107" s="117"/>
      <c r="C107" s="117"/>
      <c r="D107" s="381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7"/>
      <c r="AN107" s="117"/>
      <c r="AO107" s="448"/>
    </row>
    <row r="108" spans="1:41" ht="15.75" customHeight="1">
      <c r="A108" s="117"/>
      <c r="B108" s="117"/>
      <c r="C108" s="117"/>
      <c r="D108" s="381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117"/>
      <c r="AN108" s="117"/>
      <c r="AO108" s="448"/>
    </row>
    <row r="109" spans="1:41" ht="15.75" customHeight="1">
      <c r="A109" s="117"/>
      <c r="B109" s="117"/>
      <c r="C109" s="117"/>
      <c r="D109" s="381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448"/>
    </row>
    <row r="110" spans="1:41" ht="15.75" customHeight="1">
      <c r="A110" s="117"/>
      <c r="B110" s="117"/>
      <c r="C110" s="117"/>
      <c r="D110" s="381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117"/>
      <c r="AN110" s="117"/>
      <c r="AO110" s="448"/>
    </row>
    <row r="111" spans="1:41" ht="15.75" customHeight="1">
      <c r="A111" s="117"/>
      <c r="B111" s="117"/>
      <c r="C111" s="117"/>
      <c r="D111" s="381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448"/>
    </row>
    <row r="112" spans="1:41" ht="15.75" customHeight="1">
      <c r="A112" s="117"/>
      <c r="B112" s="117"/>
      <c r="C112" s="117"/>
      <c r="D112" s="381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448"/>
    </row>
    <row r="113" spans="1:41" ht="15.75" customHeight="1">
      <c r="A113" s="117"/>
      <c r="B113" s="117"/>
      <c r="C113" s="117"/>
      <c r="D113" s="381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448"/>
    </row>
    <row r="114" spans="1:41" ht="15.75" customHeight="1">
      <c r="A114" s="117"/>
      <c r="B114" s="117"/>
      <c r="C114" s="117"/>
      <c r="D114" s="381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448"/>
    </row>
    <row r="115" spans="1:41" ht="15.75" customHeight="1">
      <c r="A115" s="117"/>
      <c r="B115" s="117"/>
      <c r="C115" s="117"/>
      <c r="D115" s="381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448"/>
    </row>
    <row r="116" spans="1:41" ht="15.75" customHeight="1">
      <c r="A116" s="117"/>
      <c r="B116" s="117"/>
      <c r="C116" s="117"/>
      <c r="D116" s="381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117"/>
      <c r="AN116" s="117"/>
      <c r="AO116" s="448"/>
    </row>
    <row r="117" spans="1:41" ht="15.75" customHeight="1">
      <c r="A117" s="117"/>
      <c r="B117" s="117"/>
      <c r="C117" s="117"/>
      <c r="D117" s="381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448"/>
    </row>
    <row r="118" spans="1:41" ht="15.75" customHeight="1">
      <c r="A118" s="117"/>
      <c r="B118" s="117"/>
      <c r="C118" s="117"/>
      <c r="D118" s="381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117"/>
      <c r="AM118" s="117"/>
      <c r="AN118" s="117"/>
      <c r="AO118" s="448"/>
    </row>
    <row r="119" spans="1:41" ht="15.75" customHeight="1">
      <c r="A119" s="117"/>
      <c r="B119" s="117"/>
      <c r="C119" s="117"/>
      <c r="D119" s="381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448"/>
    </row>
    <row r="120" spans="1:41" ht="15.75" customHeight="1">
      <c r="A120" s="117"/>
      <c r="B120" s="117"/>
      <c r="C120" s="117"/>
      <c r="D120" s="381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448"/>
    </row>
    <row r="121" spans="1:41" ht="15.75" customHeight="1">
      <c r="A121" s="117"/>
      <c r="B121" s="117"/>
      <c r="C121" s="117"/>
      <c r="D121" s="381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448"/>
    </row>
    <row r="122" spans="1:41" ht="15.75" customHeight="1">
      <c r="A122" s="117"/>
      <c r="B122" s="117"/>
      <c r="C122" s="117"/>
      <c r="D122" s="381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17"/>
      <c r="AO122" s="448"/>
    </row>
    <row r="123" spans="1:41" ht="15.75" customHeight="1">
      <c r="A123" s="117"/>
      <c r="B123" s="117"/>
      <c r="C123" s="117"/>
      <c r="D123" s="381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  <c r="AO123" s="448"/>
    </row>
    <row r="124" spans="1:41" ht="15.75" customHeight="1">
      <c r="A124" s="117"/>
      <c r="B124" s="117"/>
      <c r="C124" s="117"/>
      <c r="D124" s="381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448"/>
    </row>
    <row r="125" spans="1:41" ht="15.75" customHeight="1">
      <c r="A125" s="117"/>
      <c r="B125" s="117"/>
      <c r="C125" s="117"/>
      <c r="D125" s="381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17"/>
      <c r="AO125" s="448"/>
    </row>
    <row r="126" spans="1:41" ht="15.75" customHeight="1">
      <c r="A126" s="117"/>
      <c r="B126" s="117"/>
      <c r="C126" s="117"/>
      <c r="D126" s="381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17"/>
      <c r="AO126" s="448"/>
    </row>
    <row r="127" spans="1:41" ht="15.75" customHeight="1">
      <c r="A127" s="117"/>
      <c r="B127" s="117"/>
      <c r="C127" s="117"/>
      <c r="D127" s="381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17"/>
      <c r="AO127" s="448"/>
    </row>
    <row r="128" spans="1:41" ht="15.75" customHeight="1">
      <c r="A128" s="117"/>
      <c r="B128" s="117"/>
      <c r="C128" s="117"/>
      <c r="D128" s="381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17"/>
      <c r="AO128" s="448"/>
    </row>
    <row r="129" spans="1:41" ht="15.75" customHeight="1">
      <c r="A129" s="117"/>
      <c r="B129" s="117"/>
      <c r="C129" s="117"/>
      <c r="D129" s="381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7"/>
      <c r="AM129" s="117"/>
      <c r="AN129" s="117"/>
      <c r="AO129" s="448"/>
    </row>
    <row r="130" spans="1:41" ht="15.75" customHeight="1">
      <c r="A130" s="117"/>
      <c r="B130" s="117"/>
      <c r="C130" s="117"/>
      <c r="D130" s="381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17"/>
      <c r="AO130" s="448"/>
    </row>
    <row r="131" spans="1:41" ht="15.75" customHeight="1">
      <c r="A131" s="117"/>
      <c r="B131" s="117"/>
      <c r="C131" s="117"/>
      <c r="D131" s="381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7"/>
      <c r="AM131" s="117"/>
      <c r="AN131" s="117"/>
      <c r="AO131" s="448"/>
    </row>
    <row r="132" spans="1:41" ht="15.75" customHeight="1">
      <c r="A132" s="117"/>
      <c r="B132" s="117"/>
      <c r="C132" s="117"/>
      <c r="D132" s="381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17"/>
      <c r="AO132" s="448"/>
    </row>
    <row r="133" spans="1:41" ht="15.75" customHeight="1">
      <c r="A133" s="117"/>
      <c r="B133" s="117"/>
      <c r="C133" s="117"/>
      <c r="D133" s="381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448"/>
    </row>
    <row r="134" spans="1:41" ht="15.75" customHeight="1">
      <c r="A134" s="117"/>
      <c r="B134" s="117"/>
      <c r="C134" s="117"/>
      <c r="D134" s="381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17"/>
      <c r="AO134" s="448"/>
    </row>
    <row r="135" spans="1:41" ht="15.75" customHeight="1">
      <c r="A135" s="117"/>
      <c r="B135" s="117"/>
      <c r="C135" s="117"/>
      <c r="D135" s="381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17"/>
      <c r="AO135" s="448"/>
    </row>
    <row r="136" spans="1:41" ht="15.75" customHeight="1">
      <c r="A136" s="117"/>
      <c r="B136" s="117"/>
      <c r="C136" s="117"/>
      <c r="D136" s="381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17"/>
      <c r="AO136" s="448"/>
    </row>
    <row r="137" spans="1:41" ht="15.75" customHeight="1">
      <c r="A137" s="117"/>
      <c r="B137" s="117"/>
      <c r="C137" s="117"/>
      <c r="D137" s="381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448"/>
    </row>
    <row r="138" spans="1:41" ht="15.75" customHeight="1">
      <c r="A138" s="117"/>
      <c r="B138" s="117"/>
      <c r="C138" s="117"/>
      <c r="D138" s="381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17"/>
      <c r="AO138" s="448"/>
    </row>
    <row r="139" spans="1:41" ht="15.75" customHeight="1">
      <c r="A139" s="117"/>
      <c r="B139" s="117"/>
      <c r="C139" s="117"/>
      <c r="D139" s="381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17"/>
      <c r="AO139" s="448"/>
    </row>
    <row r="140" spans="1:41" ht="15.75" customHeight="1">
      <c r="A140" s="117"/>
      <c r="B140" s="117"/>
      <c r="C140" s="117"/>
      <c r="D140" s="381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17"/>
      <c r="AO140" s="448"/>
    </row>
    <row r="141" spans="1:41" ht="15.75" customHeight="1">
      <c r="A141" s="117"/>
      <c r="B141" s="117"/>
      <c r="C141" s="117"/>
      <c r="D141" s="381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448"/>
    </row>
    <row r="142" spans="1:41" ht="15.75" customHeight="1">
      <c r="A142" s="117"/>
      <c r="B142" s="117"/>
      <c r="C142" s="117"/>
      <c r="D142" s="381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17"/>
      <c r="AO142" s="448"/>
    </row>
    <row r="143" spans="1:41" ht="15.75" customHeight="1">
      <c r="A143" s="117"/>
      <c r="B143" s="117"/>
      <c r="C143" s="117"/>
      <c r="D143" s="381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17"/>
      <c r="AO143" s="448"/>
    </row>
    <row r="144" spans="1:41" ht="15.75" customHeight="1">
      <c r="A144" s="117"/>
      <c r="B144" s="117"/>
      <c r="C144" s="117"/>
      <c r="D144" s="381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  <c r="AO144" s="448"/>
    </row>
    <row r="145" spans="1:41" ht="15.75" customHeight="1">
      <c r="A145" s="117"/>
      <c r="B145" s="117"/>
      <c r="C145" s="117"/>
      <c r="D145" s="381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448"/>
    </row>
    <row r="146" spans="1:41" ht="15.75" customHeight="1">
      <c r="A146" s="117"/>
      <c r="B146" s="117"/>
      <c r="C146" s="117"/>
      <c r="D146" s="381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17"/>
      <c r="AO146" s="448"/>
    </row>
    <row r="147" spans="1:41" ht="15.75" customHeight="1">
      <c r="A147" s="117"/>
      <c r="B147" s="117"/>
      <c r="C147" s="117"/>
      <c r="D147" s="381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17"/>
      <c r="AO147" s="448"/>
    </row>
    <row r="148" spans="1:41" ht="15.75" customHeight="1">
      <c r="A148" s="117"/>
      <c r="B148" s="117"/>
      <c r="C148" s="117"/>
      <c r="D148" s="381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448"/>
    </row>
    <row r="149" spans="1:41" ht="15.75" customHeight="1">
      <c r="A149" s="117"/>
      <c r="B149" s="117"/>
      <c r="C149" s="117"/>
      <c r="D149" s="381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17"/>
      <c r="AO149" s="448"/>
    </row>
    <row r="150" spans="1:41" ht="15.75" customHeight="1">
      <c r="A150" s="117"/>
      <c r="B150" s="117"/>
      <c r="C150" s="117"/>
      <c r="D150" s="381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17"/>
      <c r="AO150" s="448"/>
    </row>
    <row r="151" spans="1:41" ht="15.75" customHeight="1">
      <c r="A151" s="117"/>
      <c r="B151" s="117"/>
      <c r="C151" s="117"/>
      <c r="D151" s="381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17"/>
      <c r="AO151" s="448"/>
    </row>
    <row r="152" spans="1:41" ht="15.75" customHeight="1">
      <c r="A152" s="117"/>
      <c r="B152" s="117"/>
      <c r="C152" s="117"/>
      <c r="D152" s="381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17"/>
      <c r="AO152" s="448"/>
    </row>
    <row r="153" spans="1:41" ht="15.75" customHeight="1">
      <c r="A153" s="117"/>
      <c r="B153" s="117"/>
      <c r="C153" s="117"/>
      <c r="D153" s="381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448"/>
    </row>
    <row r="154" spans="1:41" ht="15.75" customHeight="1">
      <c r="A154" s="117"/>
      <c r="B154" s="117"/>
      <c r="C154" s="117"/>
      <c r="D154" s="381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17"/>
      <c r="AO154" s="448"/>
    </row>
    <row r="155" spans="1:41" ht="15.75" customHeight="1">
      <c r="A155" s="117"/>
      <c r="B155" s="117"/>
      <c r="C155" s="117"/>
      <c r="D155" s="381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17"/>
      <c r="AO155" s="448"/>
    </row>
    <row r="156" spans="1:41" ht="15.75" customHeight="1">
      <c r="A156" s="117"/>
      <c r="B156" s="117"/>
      <c r="C156" s="117"/>
      <c r="D156" s="381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17"/>
      <c r="AO156" s="448"/>
    </row>
    <row r="157" spans="1:41" ht="15.75" customHeight="1">
      <c r="A157" s="117"/>
      <c r="B157" s="117"/>
      <c r="C157" s="117"/>
      <c r="D157" s="381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17"/>
      <c r="AO157" s="448"/>
    </row>
    <row r="158" spans="1:41" ht="15.75" customHeight="1">
      <c r="A158" s="117"/>
      <c r="B158" s="117"/>
      <c r="C158" s="117"/>
      <c r="D158" s="381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  <c r="AO158" s="448"/>
    </row>
    <row r="159" spans="1:41" ht="15.75" customHeight="1">
      <c r="A159" s="117"/>
      <c r="B159" s="117"/>
      <c r="C159" s="117"/>
      <c r="D159" s="381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17"/>
      <c r="AO159" s="448"/>
    </row>
    <row r="160" spans="1:41" ht="15.75" customHeight="1">
      <c r="A160" s="117"/>
      <c r="B160" s="117"/>
      <c r="C160" s="117"/>
      <c r="D160" s="381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/>
      <c r="AK160" s="117"/>
      <c r="AL160" s="117"/>
      <c r="AM160" s="117"/>
      <c r="AN160" s="117"/>
      <c r="AO160" s="448"/>
    </row>
    <row r="161" spans="1:41" ht="15.75" customHeight="1">
      <c r="A161" s="117"/>
      <c r="B161" s="117"/>
      <c r="C161" s="117"/>
      <c r="D161" s="381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7"/>
      <c r="AL161" s="117"/>
      <c r="AM161" s="117"/>
      <c r="AN161" s="117"/>
      <c r="AO161" s="448"/>
    </row>
    <row r="162" spans="1:41" ht="15.75" customHeight="1">
      <c r="A162" s="117"/>
      <c r="B162" s="117"/>
      <c r="C162" s="117"/>
      <c r="D162" s="381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7"/>
      <c r="AM162" s="117"/>
      <c r="AN162" s="117"/>
      <c r="AO162" s="448"/>
    </row>
    <row r="163" spans="1:41" ht="15.75" customHeight="1">
      <c r="A163" s="117"/>
      <c r="B163" s="117"/>
      <c r="C163" s="117"/>
      <c r="D163" s="381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  <c r="AO163" s="448"/>
    </row>
    <row r="164" spans="1:41" ht="15.75" customHeight="1">
      <c r="A164" s="117"/>
      <c r="B164" s="117"/>
      <c r="C164" s="117"/>
      <c r="D164" s="381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7"/>
      <c r="AM164" s="117"/>
      <c r="AN164" s="117"/>
      <c r="AO164" s="448"/>
    </row>
    <row r="165" spans="1:41" ht="15.75" customHeight="1">
      <c r="A165" s="117"/>
      <c r="B165" s="117"/>
      <c r="C165" s="117"/>
      <c r="D165" s="381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7"/>
      <c r="AM165" s="117"/>
      <c r="AN165" s="117"/>
      <c r="AO165" s="448"/>
    </row>
    <row r="166" spans="1:41" ht="15.75" customHeight="1">
      <c r="A166" s="117"/>
      <c r="B166" s="117"/>
      <c r="C166" s="117"/>
      <c r="D166" s="381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  <c r="AJ166" s="117"/>
      <c r="AK166" s="117"/>
      <c r="AL166" s="117"/>
      <c r="AM166" s="117"/>
      <c r="AN166" s="117"/>
      <c r="AO166" s="448"/>
    </row>
    <row r="167" spans="1:41" ht="15.75" customHeight="1">
      <c r="A167" s="117"/>
      <c r="B167" s="117"/>
      <c r="C167" s="117"/>
      <c r="D167" s="381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  <c r="AM167" s="117"/>
      <c r="AN167" s="117"/>
      <c r="AO167" s="448"/>
    </row>
    <row r="168" spans="1:41" ht="15.75" customHeight="1">
      <c r="A168" s="117"/>
      <c r="B168" s="117"/>
      <c r="C168" s="117"/>
      <c r="D168" s="381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  <c r="AM168" s="117"/>
      <c r="AN168" s="117"/>
      <c r="AO168" s="448"/>
    </row>
    <row r="169" spans="1:41" ht="15.75" customHeight="1">
      <c r="A169" s="117"/>
      <c r="B169" s="117"/>
      <c r="C169" s="117"/>
      <c r="D169" s="381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  <c r="AM169" s="117"/>
      <c r="AN169" s="117"/>
      <c r="AO169" s="448"/>
    </row>
    <row r="170" spans="1:41" ht="15.75" customHeight="1">
      <c r="A170" s="117"/>
      <c r="B170" s="117"/>
      <c r="C170" s="117"/>
      <c r="D170" s="381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  <c r="AM170" s="117"/>
      <c r="AN170" s="117"/>
      <c r="AO170" s="448"/>
    </row>
    <row r="171" spans="1:41" ht="15.75" customHeight="1">
      <c r="A171" s="117"/>
      <c r="B171" s="117"/>
      <c r="C171" s="117"/>
      <c r="D171" s="381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7"/>
      <c r="AM171" s="117"/>
      <c r="AN171" s="117"/>
      <c r="AO171" s="448"/>
    </row>
    <row r="172" spans="1:41" ht="15.75" customHeight="1">
      <c r="A172" s="117"/>
      <c r="B172" s="117"/>
      <c r="C172" s="117"/>
      <c r="D172" s="381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7"/>
      <c r="AM172" s="117"/>
      <c r="AN172" s="117"/>
      <c r="AO172" s="448"/>
    </row>
    <row r="173" spans="1:41" ht="15.75" customHeight="1">
      <c r="A173" s="117"/>
      <c r="B173" s="117"/>
      <c r="C173" s="117"/>
      <c r="D173" s="381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7"/>
      <c r="AM173" s="117"/>
      <c r="AN173" s="117"/>
      <c r="AO173" s="448"/>
    </row>
    <row r="174" spans="1:41" ht="15.75" customHeight="1">
      <c r="A174" s="117"/>
      <c r="B174" s="117"/>
      <c r="C174" s="117"/>
      <c r="D174" s="381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7"/>
      <c r="AM174" s="117"/>
      <c r="AN174" s="117"/>
      <c r="AO174" s="448"/>
    </row>
    <row r="175" spans="1:41" ht="15.75" customHeight="1">
      <c r="A175" s="117"/>
      <c r="B175" s="117"/>
      <c r="C175" s="117"/>
      <c r="D175" s="381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7"/>
      <c r="AL175" s="117"/>
      <c r="AM175" s="117"/>
      <c r="AN175" s="117"/>
      <c r="AO175" s="448"/>
    </row>
    <row r="176" spans="1:41" ht="15.75" customHeight="1">
      <c r="A176" s="117"/>
      <c r="B176" s="117"/>
      <c r="C176" s="117"/>
      <c r="D176" s="381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7"/>
      <c r="AM176" s="117"/>
      <c r="AN176" s="117"/>
      <c r="AO176" s="448"/>
    </row>
    <row r="177" spans="1:41" ht="15.75" customHeight="1">
      <c r="A177" s="117"/>
      <c r="B177" s="117"/>
      <c r="C177" s="117"/>
      <c r="D177" s="381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7"/>
      <c r="AL177" s="117"/>
      <c r="AM177" s="117"/>
      <c r="AN177" s="117"/>
      <c r="AO177" s="448"/>
    </row>
    <row r="178" spans="1:41" ht="15.75" customHeight="1">
      <c r="A178" s="117"/>
      <c r="B178" s="117"/>
      <c r="C178" s="117"/>
      <c r="D178" s="381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7"/>
      <c r="AK178" s="117"/>
      <c r="AL178" s="117"/>
      <c r="AM178" s="117"/>
      <c r="AN178" s="117"/>
      <c r="AO178" s="448"/>
    </row>
    <row r="179" spans="1:41" ht="15.75" customHeight="1">
      <c r="A179" s="117"/>
      <c r="B179" s="117"/>
      <c r="C179" s="117"/>
      <c r="D179" s="381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7"/>
      <c r="AM179" s="117"/>
      <c r="AN179" s="117"/>
      <c r="AO179" s="448"/>
    </row>
    <row r="180" spans="1:41" ht="15.75" customHeight="1">
      <c r="A180" s="117"/>
      <c r="B180" s="117"/>
      <c r="C180" s="117"/>
      <c r="D180" s="381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7"/>
      <c r="AM180" s="117"/>
      <c r="AN180" s="117"/>
      <c r="AO180" s="448"/>
    </row>
    <row r="181" spans="1:41" ht="15.75" customHeight="1">
      <c r="A181" s="117"/>
      <c r="B181" s="117"/>
      <c r="C181" s="117"/>
      <c r="D181" s="381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  <c r="AM181" s="117"/>
      <c r="AN181" s="117"/>
      <c r="AO181" s="448"/>
    </row>
    <row r="182" spans="1:41" ht="15.75" customHeight="1">
      <c r="A182" s="117"/>
      <c r="B182" s="117"/>
      <c r="C182" s="117"/>
      <c r="D182" s="381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  <c r="AM182" s="117"/>
      <c r="AN182" s="117"/>
      <c r="AO182" s="448"/>
    </row>
    <row r="183" spans="1:41" ht="15.75" customHeight="1">
      <c r="A183" s="117"/>
      <c r="B183" s="117"/>
      <c r="C183" s="117"/>
      <c r="D183" s="381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7"/>
      <c r="AO183" s="448"/>
    </row>
    <row r="184" spans="1:41" ht="15.75" customHeight="1">
      <c r="A184" s="117"/>
      <c r="B184" s="117"/>
      <c r="C184" s="117"/>
      <c r="D184" s="381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7"/>
      <c r="AL184" s="117"/>
      <c r="AM184" s="117"/>
      <c r="AN184" s="117"/>
      <c r="AO184" s="448"/>
    </row>
    <row r="185" spans="1:41" ht="15.75" customHeight="1">
      <c r="A185" s="117"/>
      <c r="B185" s="117"/>
      <c r="C185" s="117"/>
      <c r="D185" s="381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7"/>
      <c r="AL185" s="117"/>
      <c r="AM185" s="117"/>
      <c r="AN185" s="117"/>
      <c r="AO185" s="448"/>
    </row>
    <row r="186" spans="1:41" ht="15.75" customHeight="1">
      <c r="A186" s="117"/>
      <c r="B186" s="117"/>
      <c r="C186" s="117"/>
      <c r="D186" s="381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7"/>
      <c r="AM186" s="117"/>
      <c r="AN186" s="117"/>
      <c r="AO186" s="448"/>
    </row>
    <row r="187" spans="1:41" ht="15.75" customHeight="1">
      <c r="A187" s="117"/>
      <c r="B187" s="117"/>
      <c r="C187" s="117"/>
      <c r="D187" s="381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  <c r="AO187" s="448"/>
    </row>
    <row r="188" spans="1:41" ht="15.75" customHeight="1">
      <c r="A188" s="117"/>
      <c r="B188" s="117"/>
      <c r="C188" s="117"/>
      <c r="D188" s="381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  <c r="AM188" s="117"/>
      <c r="AN188" s="117"/>
      <c r="AO188" s="448"/>
    </row>
    <row r="189" spans="1:41" ht="15.75" customHeight="1">
      <c r="A189" s="117"/>
      <c r="B189" s="117"/>
      <c r="C189" s="117"/>
      <c r="D189" s="381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7"/>
      <c r="AM189" s="117"/>
      <c r="AN189" s="117"/>
      <c r="AO189" s="448"/>
    </row>
    <row r="190" spans="1:41" ht="15.75" customHeight="1">
      <c r="A190" s="117"/>
      <c r="B190" s="117"/>
      <c r="C190" s="117"/>
      <c r="D190" s="381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448"/>
    </row>
    <row r="191" spans="1:41" ht="15.75" customHeight="1">
      <c r="A191" s="117"/>
      <c r="B191" s="117"/>
      <c r="C191" s="117"/>
      <c r="D191" s="381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  <c r="AO191" s="448"/>
    </row>
    <row r="192" spans="1:41" ht="15.75" customHeight="1">
      <c r="A192" s="117"/>
      <c r="B192" s="117"/>
      <c r="C192" s="117"/>
      <c r="D192" s="381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7"/>
      <c r="AM192" s="117"/>
      <c r="AN192" s="117"/>
      <c r="AO192" s="448"/>
    </row>
    <row r="193" spans="1:41" ht="15.75" customHeight="1">
      <c r="A193" s="117"/>
      <c r="B193" s="117"/>
      <c r="C193" s="117"/>
      <c r="D193" s="381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  <c r="AM193" s="117"/>
      <c r="AN193" s="117"/>
      <c r="AO193" s="448"/>
    </row>
    <row r="194" spans="1:41" ht="15.75" customHeight="1">
      <c r="A194" s="117"/>
      <c r="B194" s="117"/>
      <c r="C194" s="117"/>
      <c r="D194" s="381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  <c r="AM194" s="117"/>
      <c r="AN194" s="117"/>
      <c r="AO194" s="448"/>
    </row>
    <row r="195" spans="1:41" ht="15.75" customHeight="1">
      <c r="A195" s="117"/>
      <c r="B195" s="117"/>
      <c r="C195" s="117"/>
      <c r="D195" s="381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7"/>
      <c r="AM195" s="117"/>
      <c r="AN195" s="117"/>
      <c r="AO195" s="448"/>
    </row>
    <row r="196" spans="1:41" ht="15.75" customHeight="1">
      <c r="A196" s="117"/>
      <c r="B196" s="117"/>
      <c r="C196" s="117"/>
      <c r="D196" s="381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  <c r="AM196" s="117"/>
      <c r="AN196" s="117"/>
      <c r="AO196" s="448"/>
    </row>
    <row r="197" spans="1:41" ht="15.75" customHeight="1">
      <c r="A197" s="117"/>
      <c r="B197" s="117"/>
      <c r="C197" s="117"/>
      <c r="D197" s="381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  <c r="AJ197" s="117"/>
      <c r="AK197" s="117"/>
      <c r="AL197" s="117"/>
      <c r="AM197" s="117"/>
      <c r="AN197" s="117"/>
      <c r="AO197" s="448"/>
    </row>
    <row r="198" spans="1:41" ht="15.75" customHeight="1">
      <c r="A198" s="117"/>
      <c r="B198" s="117"/>
      <c r="C198" s="117"/>
      <c r="D198" s="381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448"/>
    </row>
    <row r="199" spans="1:41" ht="15.75" customHeight="1">
      <c r="A199" s="117"/>
      <c r="B199" s="117"/>
      <c r="C199" s="117"/>
      <c r="D199" s="381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448"/>
    </row>
    <row r="200" spans="1:41" ht="15.75" customHeight="1">
      <c r="A200" s="117"/>
      <c r="B200" s="117"/>
      <c r="C200" s="117"/>
      <c r="D200" s="381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448"/>
    </row>
    <row r="201" spans="1:41" ht="15.75" customHeight="1">
      <c r="A201" s="117"/>
      <c r="B201" s="117"/>
      <c r="C201" s="117"/>
      <c r="D201" s="381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448"/>
    </row>
    <row r="202" spans="1:41" ht="15.75" customHeight="1">
      <c r="A202" s="117"/>
      <c r="B202" s="117"/>
      <c r="C202" s="117"/>
      <c r="D202" s="381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448"/>
    </row>
    <row r="203" spans="1:41" ht="15.75" customHeight="1">
      <c r="A203" s="117"/>
      <c r="B203" s="117"/>
      <c r="C203" s="117"/>
      <c r="D203" s="381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448"/>
    </row>
    <row r="204" spans="1:41" ht="15.75" customHeight="1">
      <c r="A204" s="117"/>
      <c r="B204" s="117"/>
      <c r="C204" s="117"/>
      <c r="D204" s="381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448"/>
    </row>
    <row r="205" spans="1:41" ht="15.75" customHeight="1">
      <c r="A205" s="117"/>
      <c r="B205" s="117"/>
      <c r="C205" s="117"/>
      <c r="D205" s="381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448"/>
    </row>
    <row r="206" spans="1:41" ht="15.75" customHeight="1">
      <c r="A206" s="117"/>
      <c r="B206" s="117"/>
      <c r="C206" s="117"/>
      <c r="D206" s="381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7"/>
      <c r="AM206" s="117"/>
      <c r="AN206" s="117"/>
      <c r="AO206" s="448"/>
    </row>
    <row r="207" spans="1:41" ht="15.75" customHeight="1">
      <c r="A207" s="117"/>
      <c r="B207" s="117"/>
      <c r="C207" s="117"/>
      <c r="D207" s="381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  <c r="AJ207" s="117"/>
      <c r="AK207" s="117"/>
      <c r="AL207" s="117"/>
      <c r="AM207" s="117"/>
      <c r="AN207" s="117"/>
      <c r="AO207" s="448"/>
    </row>
    <row r="208" spans="1:41" ht="15.75" customHeight="1">
      <c r="A208" s="117"/>
      <c r="B208" s="117"/>
      <c r="C208" s="117"/>
      <c r="D208" s="381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  <c r="AI208" s="117"/>
      <c r="AJ208" s="117"/>
      <c r="AK208" s="117"/>
      <c r="AL208" s="117"/>
      <c r="AM208" s="117"/>
      <c r="AN208" s="117"/>
      <c r="AO208" s="448"/>
    </row>
    <row r="209" spans="1:41" ht="15.75" customHeight="1">
      <c r="A209" s="117"/>
      <c r="B209" s="117"/>
      <c r="C209" s="117"/>
      <c r="D209" s="381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  <c r="AJ209" s="117"/>
      <c r="AK209" s="117"/>
      <c r="AL209" s="117"/>
      <c r="AM209" s="117"/>
      <c r="AN209" s="117"/>
      <c r="AO209" s="448"/>
    </row>
    <row r="210" spans="1:41" ht="15.75" customHeight="1">
      <c r="A210" s="117"/>
      <c r="B210" s="117"/>
      <c r="C210" s="117"/>
      <c r="D210" s="381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  <c r="AJ210" s="117"/>
      <c r="AK210" s="117"/>
      <c r="AL210" s="117"/>
      <c r="AM210" s="117"/>
      <c r="AN210" s="117"/>
      <c r="AO210" s="448"/>
    </row>
    <row r="211" spans="1:41" ht="15.75" customHeight="1">
      <c r="A211" s="117"/>
      <c r="B211" s="117"/>
      <c r="C211" s="117"/>
      <c r="D211" s="381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  <c r="AI211" s="117"/>
      <c r="AJ211" s="117"/>
      <c r="AK211" s="117"/>
      <c r="AL211" s="117"/>
      <c r="AM211" s="117"/>
      <c r="AN211" s="117"/>
      <c r="AO211" s="448"/>
    </row>
    <row r="212" spans="1:41" ht="15.75" customHeight="1">
      <c r="A212" s="117"/>
      <c r="B212" s="117"/>
      <c r="C212" s="117"/>
      <c r="D212" s="381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448"/>
    </row>
    <row r="213" spans="1:41" ht="15.75" customHeight="1">
      <c r="A213" s="117"/>
      <c r="B213" s="117"/>
      <c r="C213" s="117"/>
      <c r="D213" s="381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7"/>
      <c r="AM213" s="117"/>
      <c r="AN213" s="117"/>
      <c r="AO213" s="448"/>
    </row>
    <row r="214" spans="1:41" ht="15.75" customHeight="1">
      <c r="A214" s="117"/>
      <c r="B214" s="117"/>
      <c r="C214" s="117"/>
      <c r="D214" s="381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7"/>
      <c r="AM214" s="117"/>
      <c r="AN214" s="117"/>
      <c r="AO214" s="448"/>
    </row>
    <row r="215" spans="1:41" ht="15.75" customHeight="1">
      <c r="A215" s="117"/>
      <c r="B215" s="117"/>
      <c r="C215" s="117"/>
      <c r="D215" s="381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448"/>
    </row>
    <row r="216" spans="1:41" ht="15.75" customHeight="1">
      <c r="A216" s="117"/>
      <c r="B216" s="117"/>
      <c r="C216" s="117"/>
      <c r="D216" s="381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  <c r="AM216" s="117"/>
      <c r="AN216" s="117"/>
      <c r="AO216" s="448"/>
    </row>
    <row r="217" spans="1:41" ht="15.75" customHeight="1">
      <c r="A217" s="117"/>
      <c r="B217" s="117"/>
      <c r="C217" s="117"/>
      <c r="D217" s="381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  <c r="AM217" s="117"/>
      <c r="AN217" s="117"/>
      <c r="AO217" s="448"/>
    </row>
    <row r="218" spans="1:41" ht="15.75" customHeight="1">
      <c r="A218" s="117"/>
      <c r="B218" s="117"/>
      <c r="C218" s="117"/>
      <c r="D218" s="381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7"/>
      <c r="AM218" s="117"/>
      <c r="AN218" s="117"/>
      <c r="AO218" s="448"/>
    </row>
    <row r="219" spans="1:41" ht="15.75" customHeight="1">
      <c r="A219" s="117"/>
      <c r="B219" s="117"/>
      <c r="C219" s="117"/>
      <c r="D219" s="381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7"/>
      <c r="AL219" s="117"/>
      <c r="AM219" s="117"/>
      <c r="AN219" s="117"/>
      <c r="AO219" s="448"/>
    </row>
    <row r="220" spans="1:41" ht="15.75" customHeight="1">
      <c r="A220" s="117"/>
      <c r="B220" s="117"/>
      <c r="C220" s="117"/>
      <c r="D220" s="381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  <c r="AI220" s="117"/>
      <c r="AJ220" s="117"/>
      <c r="AK220" s="117"/>
      <c r="AL220" s="117"/>
      <c r="AM220" s="117"/>
      <c r="AN220" s="117"/>
      <c r="AO220" s="448"/>
    </row>
    <row r="221" spans="1:41" ht="15.75" customHeight="1">
      <c r="A221" s="117"/>
      <c r="B221" s="117"/>
      <c r="C221" s="117"/>
      <c r="D221" s="381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  <c r="AL221" s="117"/>
      <c r="AM221" s="117"/>
      <c r="AN221" s="117"/>
      <c r="AO221" s="448"/>
    </row>
    <row r="222" spans="1:41" ht="15.75" customHeight="1">
      <c r="A222" s="117"/>
      <c r="B222" s="117"/>
      <c r="C222" s="117"/>
      <c r="D222" s="381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7"/>
      <c r="AL222" s="117"/>
      <c r="AM222" s="117"/>
      <c r="AN222" s="117"/>
      <c r="AO222" s="448"/>
    </row>
    <row r="223" spans="1:41" ht="15.75" customHeight="1">
      <c r="A223" s="117"/>
      <c r="B223" s="117"/>
      <c r="C223" s="117"/>
      <c r="D223" s="381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  <c r="AI223" s="117"/>
      <c r="AJ223" s="117"/>
      <c r="AK223" s="117"/>
      <c r="AL223" s="117"/>
      <c r="AM223" s="117"/>
      <c r="AN223" s="117"/>
      <c r="AO223" s="448"/>
    </row>
    <row r="224" spans="1:41" ht="15.75" customHeight="1">
      <c r="A224" s="117"/>
      <c r="B224" s="117"/>
      <c r="C224" s="117"/>
      <c r="D224" s="381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  <c r="AJ224" s="117"/>
      <c r="AK224" s="117"/>
      <c r="AL224" s="117"/>
      <c r="AM224" s="117"/>
      <c r="AN224" s="117"/>
      <c r="AO224" s="448"/>
    </row>
    <row r="225" spans="1:41" ht="15.75" customHeight="1">
      <c r="A225" s="117"/>
      <c r="B225" s="117"/>
      <c r="C225" s="117"/>
      <c r="D225" s="381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  <c r="AJ225" s="117"/>
      <c r="AK225" s="117"/>
      <c r="AL225" s="117"/>
      <c r="AM225" s="117"/>
      <c r="AN225" s="117"/>
      <c r="AO225" s="448"/>
    </row>
    <row r="226" spans="1:41" ht="15.75" customHeight="1">
      <c r="A226" s="117"/>
      <c r="B226" s="117"/>
      <c r="C226" s="117"/>
      <c r="D226" s="381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  <c r="AI226" s="117"/>
      <c r="AJ226" s="117"/>
      <c r="AK226" s="117"/>
      <c r="AL226" s="117"/>
      <c r="AM226" s="117"/>
      <c r="AN226" s="117"/>
      <c r="AO226" s="448"/>
    </row>
    <row r="227" spans="1:41" ht="15.75" customHeight="1">
      <c r="A227" s="117"/>
      <c r="B227" s="117"/>
      <c r="C227" s="117"/>
      <c r="D227" s="381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7"/>
      <c r="AH227" s="117"/>
      <c r="AI227" s="117"/>
      <c r="AJ227" s="117"/>
      <c r="AK227" s="117"/>
      <c r="AL227" s="117"/>
      <c r="AM227" s="117"/>
      <c r="AN227" s="117"/>
      <c r="AO227" s="448"/>
    </row>
    <row r="228" spans="1:41" ht="15.75" customHeight="1">
      <c r="A228" s="117"/>
      <c r="B228" s="117"/>
      <c r="C228" s="117"/>
      <c r="D228" s="381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7"/>
      <c r="AL228" s="117"/>
      <c r="AM228" s="117"/>
      <c r="AN228" s="117"/>
      <c r="AO228" s="448"/>
    </row>
    <row r="229" spans="1:41" ht="15.75" customHeight="1">
      <c r="A229" s="117"/>
      <c r="B229" s="117"/>
      <c r="C229" s="117"/>
      <c r="D229" s="381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  <c r="AL229" s="117"/>
      <c r="AM229" s="117"/>
      <c r="AN229" s="117"/>
      <c r="AO229" s="448"/>
    </row>
    <row r="230" spans="1:41" ht="15.75" customHeight="1">
      <c r="A230" s="117"/>
      <c r="B230" s="117"/>
      <c r="C230" s="117"/>
      <c r="D230" s="381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7"/>
      <c r="AL230" s="117"/>
      <c r="AM230" s="117"/>
      <c r="AN230" s="117"/>
      <c r="AO230" s="448"/>
    </row>
    <row r="231" spans="1:41" ht="15.75" customHeight="1">
      <c r="A231" s="117"/>
      <c r="B231" s="117"/>
      <c r="C231" s="117"/>
      <c r="D231" s="381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  <c r="AL231" s="117"/>
      <c r="AM231" s="117"/>
      <c r="AN231" s="117"/>
      <c r="AO231" s="448"/>
    </row>
    <row r="232" spans="1:41" ht="15.75" customHeight="1">
      <c r="A232" s="117"/>
      <c r="B232" s="117"/>
      <c r="C232" s="117"/>
      <c r="D232" s="381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  <c r="AL232" s="117"/>
      <c r="AM232" s="117"/>
      <c r="AN232" s="117"/>
      <c r="AO232" s="448"/>
    </row>
    <row r="233" spans="1:41" ht="15.75" customHeight="1">
      <c r="A233" s="117"/>
      <c r="B233" s="117"/>
      <c r="C233" s="117"/>
      <c r="D233" s="381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7"/>
      <c r="AL233" s="117"/>
      <c r="AM233" s="117"/>
      <c r="AN233" s="117"/>
      <c r="AO233" s="448"/>
    </row>
    <row r="234" spans="1:41" ht="15.75" customHeight="1">
      <c r="A234" s="117"/>
      <c r="B234" s="117"/>
      <c r="C234" s="117"/>
      <c r="D234" s="381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7"/>
      <c r="AL234" s="117"/>
      <c r="AM234" s="117"/>
      <c r="AN234" s="117"/>
      <c r="AO234" s="448"/>
    </row>
    <row r="235" spans="1:41" ht="15.75" customHeight="1">
      <c r="A235" s="117"/>
      <c r="B235" s="117"/>
      <c r="C235" s="117"/>
      <c r="D235" s="381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7"/>
      <c r="AL235" s="117"/>
      <c r="AM235" s="117"/>
      <c r="AN235" s="117"/>
      <c r="AO235" s="448"/>
    </row>
    <row r="236" spans="1:41" ht="15.75" customHeight="1">
      <c r="A236" s="117"/>
      <c r="B236" s="117"/>
      <c r="C236" s="117"/>
      <c r="D236" s="381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  <c r="AI236" s="117"/>
      <c r="AJ236" s="117"/>
      <c r="AK236" s="117"/>
      <c r="AL236" s="117"/>
      <c r="AM236" s="117"/>
      <c r="AN236" s="117"/>
      <c r="AO236" s="448"/>
    </row>
    <row r="237" spans="1:41" ht="15.75" customHeight="1">
      <c r="A237" s="117"/>
      <c r="B237" s="117"/>
      <c r="C237" s="117"/>
      <c r="D237" s="381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K237" s="117"/>
      <c r="AL237" s="117"/>
      <c r="AM237" s="117"/>
      <c r="AN237" s="117"/>
      <c r="AO237" s="448"/>
    </row>
    <row r="238" spans="1:41" ht="15.75" customHeight="1">
      <c r="A238" s="117"/>
      <c r="B238" s="117"/>
      <c r="C238" s="117"/>
      <c r="D238" s="381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  <c r="AI238" s="117"/>
      <c r="AJ238" s="117"/>
      <c r="AK238" s="117"/>
      <c r="AL238" s="117"/>
      <c r="AM238" s="117"/>
      <c r="AN238" s="117"/>
      <c r="AO238" s="448"/>
    </row>
    <row r="239" spans="1:41" ht="15.75" customHeight="1">
      <c r="A239" s="117"/>
      <c r="B239" s="117"/>
      <c r="C239" s="117"/>
      <c r="D239" s="381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7"/>
      <c r="AL239" s="117"/>
      <c r="AM239" s="117"/>
      <c r="AN239" s="117"/>
      <c r="AO239" s="448"/>
    </row>
    <row r="240" spans="1:41" ht="15.75" customHeight="1">
      <c r="A240" s="117"/>
      <c r="B240" s="117"/>
      <c r="C240" s="117"/>
      <c r="D240" s="381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  <c r="AL240" s="117"/>
      <c r="AM240" s="117"/>
      <c r="AN240" s="117"/>
      <c r="AO240" s="448"/>
    </row>
    <row r="241" spans="1:41" ht="15.75" customHeight="1">
      <c r="A241" s="117"/>
      <c r="B241" s="117"/>
      <c r="C241" s="117"/>
      <c r="D241" s="381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7"/>
      <c r="AM241" s="117"/>
      <c r="AN241" s="117"/>
      <c r="AO241" s="448"/>
    </row>
    <row r="242" spans="1:41" ht="15.75" customHeight="1">
      <c r="A242" s="117"/>
      <c r="B242" s="117"/>
      <c r="C242" s="117"/>
      <c r="D242" s="381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7"/>
      <c r="AL242" s="117"/>
      <c r="AM242" s="117"/>
      <c r="AN242" s="117"/>
      <c r="AO242" s="448"/>
    </row>
    <row r="243" spans="1:41" ht="15.75" customHeight="1">
      <c r="A243" s="117"/>
      <c r="B243" s="117"/>
      <c r="C243" s="117"/>
      <c r="D243" s="381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7"/>
      <c r="AL243" s="117"/>
      <c r="AM243" s="117"/>
      <c r="AN243" s="117"/>
      <c r="AO243" s="448"/>
    </row>
    <row r="244" spans="1:41" ht="15.75" customHeight="1">
      <c r="A244" s="117"/>
      <c r="B244" s="117"/>
      <c r="C244" s="117"/>
      <c r="D244" s="381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  <c r="AI244" s="117"/>
      <c r="AJ244" s="117"/>
      <c r="AK244" s="117"/>
      <c r="AL244" s="117"/>
      <c r="AM244" s="117"/>
      <c r="AN244" s="117"/>
      <c r="AO244" s="448"/>
    </row>
    <row r="245" spans="1:41" ht="15.75" customHeight="1">
      <c r="A245" s="117"/>
      <c r="B245" s="117"/>
      <c r="C245" s="117"/>
      <c r="D245" s="381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  <c r="AI245" s="117"/>
      <c r="AJ245" s="117"/>
      <c r="AK245" s="117"/>
      <c r="AL245" s="117"/>
      <c r="AM245" s="117"/>
      <c r="AN245" s="117"/>
      <c r="AO245" s="448"/>
    </row>
    <row r="246" spans="1:41" ht="15.75" customHeight="1">
      <c r="A246" s="117"/>
      <c r="B246" s="117"/>
      <c r="C246" s="117"/>
      <c r="D246" s="381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  <c r="AL246" s="117"/>
      <c r="AM246" s="117"/>
      <c r="AN246" s="117"/>
      <c r="AO246" s="448"/>
    </row>
    <row r="247" spans="1:41" ht="15.75" customHeight="1">
      <c r="A247" s="117"/>
      <c r="B247" s="117"/>
      <c r="C247" s="117"/>
      <c r="D247" s="381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  <c r="AI247" s="117"/>
      <c r="AJ247" s="117"/>
      <c r="AK247" s="117"/>
      <c r="AL247" s="117"/>
      <c r="AM247" s="117"/>
      <c r="AN247" s="117"/>
      <c r="AO247" s="448"/>
    </row>
    <row r="248" spans="1:41" ht="15.75" customHeight="1">
      <c r="A248" s="117"/>
      <c r="B248" s="117"/>
      <c r="C248" s="117"/>
      <c r="D248" s="381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7"/>
      <c r="AL248" s="117"/>
      <c r="AM248" s="117"/>
      <c r="AN248" s="117"/>
      <c r="AO248" s="448"/>
    </row>
    <row r="249" spans="1:41" ht="15.75" customHeight="1">
      <c r="A249" s="117"/>
      <c r="B249" s="117"/>
      <c r="C249" s="117"/>
      <c r="D249" s="381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  <c r="AI249" s="117"/>
      <c r="AJ249" s="117"/>
      <c r="AK249" s="117"/>
      <c r="AL249" s="117"/>
      <c r="AM249" s="117"/>
      <c r="AN249" s="117"/>
      <c r="AO249" s="448"/>
    </row>
    <row r="250" spans="1:41" ht="15.75" customHeight="1">
      <c r="A250" s="117"/>
      <c r="B250" s="117"/>
      <c r="C250" s="117"/>
      <c r="D250" s="381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  <c r="AI250" s="117"/>
      <c r="AJ250" s="117"/>
      <c r="AK250" s="117"/>
      <c r="AL250" s="117"/>
      <c r="AM250" s="117"/>
      <c r="AN250" s="117"/>
      <c r="AO250" s="448"/>
    </row>
    <row r="251" spans="1:41" ht="15.75" customHeight="1">
      <c r="A251" s="117"/>
      <c r="B251" s="117"/>
      <c r="C251" s="117"/>
      <c r="D251" s="381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7"/>
      <c r="AL251" s="117"/>
      <c r="AM251" s="117"/>
      <c r="AN251" s="117"/>
      <c r="AO251" s="448"/>
    </row>
    <row r="252" spans="1:41" ht="15.75" customHeight="1">
      <c r="A252" s="117"/>
      <c r="B252" s="117"/>
      <c r="C252" s="117"/>
      <c r="D252" s="381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117"/>
      <c r="AJ252" s="117"/>
      <c r="AK252" s="117"/>
      <c r="AL252" s="117"/>
      <c r="AM252" s="117"/>
      <c r="AN252" s="117"/>
      <c r="AO252" s="448"/>
    </row>
    <row r="253" spans="1:41" ht="15.75" customHeight="1">
      <c r="A253" s="117"/>
      <c r="B253" s="117"/>
      <c r="C253" s="117"/>
      <c r="D253" s="381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7"/>
      <c r="AL253" s="117"/>
      <c r="AM253" s="117"/>
      <c r="AN253" s="117"/>
      <c r="AO253" s="448"/>
    </row>
    <row r="254" spans="1:41" ht="15.75" customHeight="1">
      <c r="A254" s="117"/>
      <c r="B254" s="117"/>
      <c r="C254" s="117"/>
      <c r="D254" s="381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117"/>
      <c r="AJ254" s="117"/>
      <c r="AK254" s="117"/>
      <c r="AL254" s="117"/>
      <c r="AM254" s="117"/>
      <c r="AN254" s="117"/>
      <c r="AO254" s="448"/>
    </row>
    <row r="255" spans="1:41" ht="15.75" customHeight="1">
      <c r="A255" s="117"/>
      <c r="B255" s="117"/>
      <c r="C255" s="117"/>
      <c r="D255" s="381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7"/>
      <c r="AL255" s="117"/>
      <c r="AM255" s="117"/>
      <c r="AN255" s="117"/>
      <c r="AO255" s="448"/>
    </row>
    <row r="256" spans="1:41" ht="15.75" customHeight="1">
      <c r="A256" s="117"/>
      <c r="B256" s="117"/>
      <c r="C256" s="117"/>
      <c r="D256" s="381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  <c r="AK256" s="117"/>
      <c r="AL256" s="117"/>
      <c r="AM256" s="117"/>
      <c r="AN256" s="117"/>
      <c r="AO256" s="448"/>
    </row>
    <row r="257" spans="1:41" ht="15.75" customHeight="1">
      <c r="A257" s="117"/>
      <c r="B257" s="117"/>
      <c r="C257" s="117"/>
      <c r="D257" s="381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  <c r="AL257" s="117"/>
      <c r="AM257" s="117"/>
      <c r="AN257" s="117"/>
      <c r="AO257" s="448"/>
    </row>
    <row r="258" spans="1:41" ht="15.75" customHeight="1">
      <c r="A258" s="117"/>
      <c r="B258" s="117"/>
      <c r="C258" s="117"/>
      <c r="D258" s="381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7"/>
      <c r="AL258" s="117"/>
      <c r="AM258" s="117"/>
      <c r="AN258" s="117"/>
      <c r="AO258" s="448"/>
    </row>
    <row r="259" spans="1:41" ht="15.75" customHeight="1">
      <c r="A259" s="117"/>
      <c r="B259" s="117"/>
      <c r="C259" s="117"/>
      <c r="D259" s="381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7"/>
      <c r="AL259" s="117"/>
      <c r="AM259" s="117"/>
      <c r="AN259" s="117"/>
      <c r="AO259" s="448"/>
    </row>
    <row r="260" spans="1:41" ht="15.75" customHeight="1">
      <c r="A260" s="117"/>
      <c r="B260" s="117"/>
      <c r="C260" s="117"/>
      <c r="D260" s="381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  <c r="AI260" s="117"/>
      <c r="AJ260" s="117"/>
      <c r="AK260" s="117"/>
      <c r="AL260" s="117"/>
      <c r="AM260" s="117"/>
      <c r="AN260" s="117"/>
      <c r="AO260" s="448"/>
    </row>
    <row r="261" spans="1:41" ht="15.75" customHeight="1">
      <c r="A261" s="117"/>
      <c r="B261" s="117"/>
      <c r="C261" s="117"/>
      <c r="D261" s="381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  <c r="AI261" s="117"/>
      <c r="AJ261" s="117"/>
      <c r="AK261" s="117"/>
      <c r="AL261" s="117"/>
      <c r="AM261" s="117"/>
      <c r="AN261" s="117"/>
      <c r="AO261" s="448"/>
    </row>
    <row r="262" spans="1:41" ht="15.75" customHeight="1">
      <c r="A262" s="117"/>
      <c r="B262" s="117"/>
      <c r="C262" s="117"/>
      <c r="D262" s="381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  <c r="AI262" s="117"/>
      <c r="AJ262" s="117"/>
      <c r="AK262" s="117"/>
      <c r="AL262" s="117"/>
      <c r="AM262" s="117"/>
      <c r="AN262" s="117"/>
      <c r="AO262" s="448"/>
    </row>
    <row r="263" spans="1:41" ht="15.75" customHeight="1">
      <c r="A263" s="117"/>
      <c r="B263" s="117"/>
      <c r="C263" s="117"/>
      <c r="D263" s="381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  <c r="AI263" s="117"/>
      <c r="AJ263" s="117"/>
      <c r="AK263" s="117"/>
      <c r="AL263" s="117"/>
      <c r="AM263" s="117"/>
      <c r="AN263" s="117"/>
      <c r="AO263" s="448"/>
    </row>
    <row r="264" spans="1:41" ht="15.75" customHeight="1">
      <c r="A264" s="117"/>
      <c r="B264" s="117"/>
      <c r="C264" s="117"/>
      <c r="D264" s="381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7"/>
      <c r="AL264" s="117"/>
      <c r="AM264" s="117"/>
      <c r="AN264" s="117"/>
      <c r="AO264" s="448"/>
    </row>
    <row r="265" spans="1:41" ht="15.75" customHeight="1">
      <c r="A265" s="117"/>
      <c r="B265" s="117"/>
      <c r="C265" s="117"/>
      <c r="D265" s="381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7"/>
      <c r="AL265" s="117"/>
      <c r="AM265" s="117"/>
      <c r="AN265" s="117"/>
      <c r="AO265" s="448"/>
    </row>
    <row r="266" spans="1:41" ht="15.75" customHeight="1">
      <c r="A266" s="117"/>
      <c r="B266" s="117"/>
      <c r="C266" s="117"/>
      <c r="D266" s="381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7"/>
      <c r="AL266" s="117"/>
      <c r="AM266" s="117"/>
      <c r="AN266" s="117"/>
      <c r="AO266" s="448"/>
    </row>
    <row r="267" spans="1:41" ht="15.75" customHeight="1">
      <c r="A267" s="117"/>
      <c r="B267" s="117"/>
      <c r="C267" s="117"/>
      <c r="D267" s="381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7"/>
      <c r="AL267" s="117"/>
      <c r="AM267" s="117"/>
      <c r="AN267" s="117"/>
      <c r="AO267" s="448"/>
    </row>
    <row r="268" spans="1:41" ht="15.75" customHeight="1">
      <c r="A268" s="117"/>
      <c r="B268" s="117"/>
      <c r="C268" s="117"/>
      <c r="D268" s="381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117"/>
      <c r="AJ268" s="117"/>
      <c r="AK268" s="117"/>
      <c r="AL268" s="117"/>
      <c r="AM268" s="117"/>
      <c r="AN268" s="117"/>
      <c r="AO268" s="448"/>
    </row>
    <row r="269" spans="1:41" ht="15.75" customHeight="1">
      <c r="A269" s="117"/>
      <c r="B269" s="117"/>
      <c r="C269" s="117"/>
      <c r="D269" s="381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  <c r="AI269" s="117"/>
      <c r="AJ269" s="117"/>
      <c r="AK269" s="117"/>
      <c r="AL269" s="117"/>
      <c r="AM269" s="117"/>
      <c r="AN269" s="117"/>
      <c r="AO269" s="448"/>
    </row>
    <row r="270" spans="1:41" ht="15.75" customHeight="1">
      <c r="A270" s="117"/>
      <c r="B270" s="117"/>
      <c r="C270" s="117"/>
      <c r="D270" s="381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117"/>
      <c r="AJ270" s="117"/>
      <c r="AK270" s="117"/>
      <c r="AL270" s="117"/>
      <c r="AM270" s="117"/>
      <c r="AN270" s="117"/>
      <c r="AO270" s="448"/>
    </row>
    <row r="271" spans="1:41" ht="15.75" customHeight="1">
      <c r="A271" s="117"/>
      <c r="B271" s="117"/>
      <c r="C271" s="117"/>
      <c r="D271" s="381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  <c r="AI271" s="117"/>
      <c r="AJ271" s="117"/>
      <c r="AK271" s="117"/>
      <c r="AL271" s="117"/>
      <c r="AM271" s="117"/>
      <c r="AN271" s="117"/>
      <c r="AO271" s="448"/>
    </row>
    <row r="272" spans="1:41" ht="15.75" customHeight="1">
      <c r="A272" s="117"/>
      <c r="B272" s="117"/>
      <c r="C272" s="117"/>
      <c r="D272" s="381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  <c r="AI272" s="117"/>
      <c r="AJ272" s="117"/>
      <c r="AK272" s="117"/>
      <c r="AL272" s="117"/>
      <c r="AM272" s="117"/>
      <c r="AN272" s="117"/>
      <c r="AO272" s="448"/>
    </row>
    <row r="273" spans="1:41" ht="15.75" customHeight="1">
      <c r="A273" s="117"/>
      <c r="B273" s="117"/>
      <c r="C273" s="117"/>
      <c r="D273" s="381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  <c r="AI273" s="117"/>
      <c r="AJ273" s="117"/>
      <c r="AK273" s="117"/>
      <c r="AL273" s="117"/>
      <c r="AM273" s="117"/>
      <c r="AN273" s="117"/>
      <c r="AO273" s="448"/>
    </row>
    <row r="274" spans="1:41" ht="15.75" customHeight="1">
      <c r="A274" s="117"/>
      <c r="B274" s="117"/>
      <c r="C274" s="117"/>
      <c r="D274" s="381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7"/>
      <c r="AL274" s="117"/>
      <c r="AM274" s="117"/>
      <c r="AN274" s="117"/>
      <c r="AO274" s="448"/>
    </row>
    <row r="275" spans="1:41" ht="15.75" customHeight="1">
      <c r="A275" s="117"/>
      <c r="B275" s="117"/>
      <c r="C275" s="117"/>
      <c r="D275" s="381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7"/>
      <c r="AL275" s="117"/>
      <c r="AM275" s="117"/>
      <c r="AN275" s="117"/>
      <c r="AO275" s="448"/>
    </row>
    <row r="276" spans="1:41" ht="15.75" customHeight="1">
      <c r="A276" s="117"/>
      <c r="B276" s="117"/>
      <c r="C276" s="117"/>
      <c r="D276" s="381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  <c r="AM276" s="117"/>
      <c r="AN276" s="117"/>
      <c r="AO276" s="448"/>
    </row>
    <row r="277" spans="1:41" ht="15.75" customHeight="1">
      <c r="A277" s="117"/>
      <c r="B277" s="117"/>
      <c r="C277" s="117"/>
      <c r="D277" s="381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7"/>
      <c r="AL277" s="117"/>
      <c r="AM277" s="117"/>
      <c r="AN277" s="117"/>
      <c r="AO277" s="448"/>
    </row>
    <row r="278" spans="1:41" ht="15.75" customHeight="1">
      <c r="A278" s="117"/>
      <c r="B278" s="117"/>
      <c r="C278" s="117"/>
      <c r="D278" s="381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7"/>
      <c r="AL278" s="117"/>
      <c r="AM278" s="117"/>
      <c r="AN278" s="117"/>
      <c r="AO278" s="448"/>
    </row>
    <row r="279" spans="1:41" ht="15.75" customHeight="1">
      <c r="A279" s="117"/>
      <c r="B279" s="117"/>
      <c r="C279" s="117"/>
      <c r="D279" s="381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7"/>
      <c r="AL279" s="117"/>
      <c r="AM279" s="117"/>
      <c r="AN279" s="117"/>
      <c r="AO279" s="448"/>
    </row>
    <row r="280" spans="1:41" ht="15.75" customHeight="1">
      <c r="A280" s="117"/>
      <c r="B280" s="117"/>
      <c r="C280" s="117"/>
      <c r="D280" s="381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  <c r="AI280" s="117"/>
      <c r="AJ280" s="117"/>
      <c r="AK280" s="117"/>
      <c r="AL280" s="117"/>
      <c r="AM280" s="117"/>
      <c r="AN280" s="117"/>
      <c r="AO280" s="448"/>
    </row>
    <row r="281" spans="1:41" ht="15.75" customHeight="1">
      <c r="A281" s="117"/>
      <c r="B281" s="117"/>
      <c r="C281" s="117"/>
      <c r="D281" s="381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  <c r="AI281" s="117"/>
      <c r="AJ281" s="117"/>
      <c r="AK281" s="117"/>
      <c r="AL281" s="117"/>
      <c r="AM281" s="117"/>
      <c r="AN281" s="117"/>
      <c r="AO281" s="448"/>
    </row>
    <row r="282" spans="1:41" ht="15.75" customHeight="1">
      <c r="A282" s="117"/>
      <c r="B282" s="117"/>
      <c r="C282" s="117"/>
      <c r="D282" s="381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7"/>
      <c r="AL282" s="117"/>
      <c r="AM282" s="117"/>
      <c r="AN282" s="117"/>
      <c r="AO282" s="448"/>
    </row>
    <row r="283" spans="1:41" ht="15.75" customHeight="1">
      <c r="A283" s="117"/>
      <c r="B283" s="117"/>
      <c r="C283" s="117"/>
      <c r="D283" s="381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  <c r="AI283" s="117"/>
      <c r="AJ283" s="117"/>
      <c r="AK283" s="117"/>
      <c r="AL283" s="117"/>
      <c r="AM283" s="117"/>
      <c r="AN283" s="117"/>
      <c r="AO283" s="448"/>
    </row>
    <row r="284" spans="1:41" ht="15.75" customHeight="1">
      <c r="A284" s="117"/>
      <c r="B284" s="117"/>
      <c r="C284" s="117"/>
      <c r="D284" s="381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  <c r="AL284" s="117"/>
      <c r="AM284" s="117"/>
      <c r="AN284" s="117"/>
      <c r="AO284" s="448"/>
    </row>
    <row r="285" spans="1:41" ht="15.75" customHeight="1">
      <c r="A285" s="117"/>
      <c r="B285" s="117"/>
      <c r="C285" s="117"/>
      <c r="D285" s="381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7"/>
      <c r="AL285" s="117"/>
      <c r="AM285" s="117"/>
      <c r="AN285" s="117"/>
      <c r="AO285" s="448"/>
    </row>
    <row r="286" spans="1:41" ht="15.75" customHeight="1">
      <c r="A286" s="117"/>
      <c r="B286" s="117"/>
      <c r="C286" s="117"/>
      <c r="D286" s="381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7"/>
      <c r="AL286" s="117"/>
      <c r="AM286" s="117"/>
      <c r="AN286" s="117"/>
      <c r="AO286" s="448"/>
    </row>
    <row r="287" spans="1:41" ht="15.75" customHeight="1">
      <c r="A287" s="117"/>
      <c r="B287" s="117"/>
      <c r="C287" s="117"/>
      <c r="D287" s="381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7"/>
      <c r="AL287" s="117"/>
      <c r="AM287" s="117"/>
      <c r="AN287" s="117"/>
      <c r="AO287" s="448"/>
    </row>
    <row r="288" spans="1:41" ht="15.75" customHeight="1">
      <c r="A288" s="117"/>
      <c r="B288" s="117"/>
      <c r="C288" s="117"/>
      <c r="D288" s="381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7"/>
      <c r="AL288" s="117"/>
      <c r="AM288" s="117"/>
      <c r="AN288" s="117"/>
      <c r="AO288" s="448"/>
    </row>
    <row r="289" spans="1:41" ht="15.75" customHeight="1">
      <c r="A289" s="117"/>
      <c r="B289" s="117"/>
      <c r="C289" s="117"/>
      <c r="D289" s="381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7"/>
      <c r="AL289" s="117"/>
      <c r="AM289" s="117"/>
      <c r="AN289" s="117"/>
      <c r="AO289" s="448"/>
    </row>
    <row r="290" spans="1:41" ht="15.75" customHeight="1">
      <c r="A290" s="117"/>
      <c r="B290" s="117"/>
      <c r="C290" s="117"/>
      <c r="D290" s="381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  <c r="AI290" s="117"/>
      <c r="AJ290" s="117"/>
      <c r="AK290" s="117"/>
      <c r="AL290" s="117"/>
      <c r="AM290" s="117"/>
      <c r="AN290" s="117"/>
      <c r="AO290" s="448"/>
    </row>
    <row r="291" spans="1:41" ht="15.75" customHeight="1">
      <c r="A291" s="117"/>
      <c r="B291" s="117"/>
      <c r="C291" s="117"/>
      <c r="D291" s="381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  <c r="AO291" s="448"/>
    </row>
    <row r="292" spans="1:41" ht="15.75" customHeight="1">
      <c r="A292" s="117"/>
      <c r="B292" s="117"/>
      <c r="C292" s="117"/>
      <c r="D292" s="381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  <c r="AI292" s="117"/>
      <c r="AJ292" s="117"/>
      <c r="AK292" s="117"/>
      <c r="AL292" s="117"/>
      <c r="AM292" s="117"/>
      <c r="AN292" s="117"/>
      <c r="AO292" s="448"/>
    </row>
    <row r="293" spans="1:41" ht="15.75" customHeight="1">
      <c r="A293" s="117"/>
      <c r="B293" s="117"/>
      <c r="C293" s="117"/>
      <c r="D293" s="381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7"/>
      <c r="AL293" s="117"/>
      <c r="AM293" s="117"/>
      <c r="AN293" s="117"/>
      <c r="AO293" s="448"/>
    </row>
    <row r="294" spans="1:41" ht="15.75" customHeight="1">
      <c r="A294" s="117"/>
      <c r="B294" s="117"/>
      <c r="C294" s="117"/>
      <c r="D294" s="381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7"/>
      <c r="AL294" s="117"/>
      <c r="AM294" s="117"/>
      <c r="AN294" s="117"/>
      <c r="AO294" s="448"/>
    </row>
    <row r="295" spans="1:41" ht="15.75" customHeight="1">
      <c r="A295" s="117"/>
      <c r="B295" s="117"/>
      <c r="C295" s="117"/>
      <c r="D295" s="381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  <c r="AI295" s="117"/>
      <c r="AJ295" s="117"/>
      <c r="AK295" s="117"/>
      <c r="AL295" s="117"/>
      <c r="AM295" s="117"/>
      <c r="AN295" s="117"/>
      <c r="AO295" s="448"/>
    </row>
    <row r="296" spans="1:41" ht="15.75" customHeight="1">
      <c r="A296" s="117"/>
      <c r="B296" s="117"/>
      <c r="C296" s="117"/>
      <c r="D296" s="381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7"/>
      <c r="AL296" s="117"/>
      <c r="AM296" s="117"/>
      <c r="AN296" s="117"/>
      <c r="AO296" s="448"/>
    </row>
    <row r="297" spans="1:41" ht="15.75" customHeight="1">
      <c r="A297" s="117"/>
      <c r="B297" s="117"/>
      <c r="C297" s="117"/>
      <c r="D297" s="381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7"/>
      <c r="AL297" s="117"/>
      <c r="AM297" s="117"/>
      <c r="AN297" s="117"/>
      <c r="AO297" s="448"/>
    </row>
    <row r="298" spans="1:41" ht="15.75" customHeight="1">
      <c r="A298" s="117"/>
      <c r="B298" s="117"/>
      <c r="C298" s="117"/>
      <c r="D298" s="381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  <c r="AI298" s="117"/>
      <c r="AJ298" s="117"/>
      <c r="AK298" s="117"/>
      <c r="AL298" s="117"/>
      <c r="AM298" s="117"/>
      <c r="AN298" s="117"/>
      <c r="AO298" s="448"/>
    </row>
    <row r="299" spans="1:41" ht="15.75" customHeight="1">
      <c r="A299" s="117"/>
      <c r="B299" s="117"/>
      <c r="C299" s="117"/>
      <c r="D299" s="381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7"/>
      <c r="AL299" s="117"/>
      <c r="AM299" s="117"/>
      <c r="AN299" s="117"/>
      <c r="AO299" s="448"/>
    </row>
    <row r="300" spans="1:41" ht="15.75" customHeight="1">
      <c r="A300" s="117"/>
      <c r="B300" s="117"/>
      <c r="C300" s="117"/>
      <c r="D300" s="381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7"/>
      <c r="AL300" s="117"/>
      <c r="AM300" s="117"/>
      <c r="AN300" s="117"/>
      <c r="AO300" s="448"/>
    </row>
    <row r="301" spans="1:41" ht="15.75" customHeight="1"/>
    <row r="302" spans="1:41" ht="15.75" customHeight="1"/>
    <row r="303" spans="1:41" ht="15.75" customHeight="1"/>
    <row r="304" spans="1:41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W2006"/>
  <sheetViews>
    <sheetView rightToLeft="1" zoomScale="80" zoomScaleNormal="80" workbookViewId="0">
      <pane ySplit="1" topLeftCell="A2" activePane="bottomLeft" state="frozen"/>
      <selection activeCell="B1" sqref="B1"/>
      <selection pane="bottomLeft" activeCell="G1434" sqref="G1434"/>
    </sheetView>
  </sheetViews>
  <sheetFormatPr baseColWidth="10" defaultColWidth="14.5" defaultRowHeight="15" customHeight="1"/>
  <cols>
    <col min="1" max="1" width="8.6640625" style="305" customWidth="1"/>
    <col min="2" max="2" width="7.5" style="310" customWidth="1"/>
    <col min="3" max="4" width="12.83203125" style="257" hidden="1" customWidth="1"/>
    <col min="5" max="5" width="10.5" style="315" customWidth="1"/>
    <col min="6" max="6" width="30.1640625" style="257" customWidth="1"/>
    <col min="7" max="7" width="82" style="313" customWidth="1"/>
    <col min="8" max="8" width="13.33203125" style="310" customWidth="1"/>
    <col min="9" max="9" width="12.6640625" style="315" customWidth="1"/>
    <col min="10" max="10" width="23.33203125" style="329" customWidth="1"/>
    <col min="11" max="11" width="24.33203125" style="315" customWidth="1"/>
    <col min="12" max="12" width="8.6640625" style="257" customWidth="1"/>
    <col min="13" max="13" width="17.33203125" style="257" customWidth="1"/>
    <col min="14" max="21" width="8.6640625" style="257" customWidth="1"/>
    <col min="22" max="16384" width="14.5" style="257"/>
  </cols>
  <sheetData>
    <row r="1" spans="1:19" s="292" customFormat="1" ht="18" thickTop="1">
      <c r="A1" s="339" t="s">
        <v>458</v>
      </c>
      <c r="B1" s="340" t="s">
        <v>341</v>
      </c>
      <c r="C1" s="341" t="s">
        <v>342</v>
      </c>
      <c r="D1" s="341" t="s">
        <v>343</v>
      </c>
      <c r="E1" s="342" t="s">
        <v>344</v>
      </c>
      <c r="F1" s="460" t="s">
        <v>345</v>
      </c>
      <c r="G1" s="343" t="s">
        <v>346</v>
      </c>
      <c r="H1" s="342" t="s">
        <v>347</v>
      </c>
      <c r="I1" s="342" t="s">
        <v>348</v>
      </c>
      <c r="J1" s="461" t="s">
        <v>349</v>
      </c>
      <c r="K1" s="336" t="s">
        <v>940</v>
      </c>
    </row>
    <row r="2" spans="1:19" s="292" customFormat="1" ht="16">
      <c r="A2" s="291" t="s">
        <v>458</v>
      </c>
      <c r="B2" s="293">
        <v>1</v>
      </c>
      <c r="C2" s="294"/>
      <c r="D2" s="294"/>
      <c r="E2" s="319"/>
      <c r="F2" s="295" t="str">
        <f t="shared" ref="F2:F13" si="0">IF(E2="","",HLOOKUP(E2,eeee,2,0))</f>
        <v/>
      </c>
      <c r="G2" s="296"/>
      <c r="H2" s="316" t="s">
        <v>1161</v>
      </c>
      <c r="I2" s="297"/>
      <c r="J2" s="344">
        <v>-60000000</v>
      </c>
      <c r="K2" s="337"/>
    </row>
    <row r="3" spans="1:19" ht="16">
      <c r="A3" s="291" t="s">
        <v>458</v>
      </c>
      <c r="B3" s="293">
        <v>2</v>
      </c>
      <c r="C3" s="298"/>
      <c r="D3" s="298"/>
      <c r="E3" s="300"/>
      <c r="F3" s="295" t="str">
        <f t="shared" si="0"/>
        <v/>
      </c>
      <c r="G3" s="299"/>
      <c r="H3" s="316" t="s">
        <v>1161</v>
      </c>
      <c r="I3" s="300"/>
      <c r="J3" s="345">
        <v>79520000</v>
      </c>
      <c r="K3" s="338"/>
      <c r="S3" s="301"/>
    </row>
    <row r="4" spans="1:19" ht="16">
      <c r="A4" s="291" t="s">
        <v>458</v>
      </c>
      <c r="B4" s="293">
        <v>3</v>
      </c>
      <c r="C4" s="298"/>
      <c r="D4" s="298"/>
      <c r="E4" s="300"/>
      <c r="F4" s="295" t="str">
        <f t="shared" si="0"/>
        <v/>
      </c>
      <c r="G4" s="299"/>
      <c r="H4" s="316" t="s">
        <v>466</v>
      </c>
      <c r="I4" s="300"/>
      <c r="J4" s="345">
        <v>1360000</v>
      </c>
      <c r="K4" s="338"/>
    </row>
    <row r="5" spans="1:19" ht="16">
      <c r="A5" s="291" t="s">
        <v>458</v>
      </c>
      <c r="B5" s="293">
        <v>4</v>
      </c>
      <c r="C5" s="298"/>
      <c r="D5" s="298"/>
      <c r="E5" s="300"/>
      <c r="F5" s="295" t="str">
        <f t="shared" si="0"/>
        <v/>
      </c>
      <c r="G5" s="299"/>
      <c r="H5" s="316" t="s">
        <v>466</v>
      </c>
      <c r="I5" s="300"/>
      <c r="J5" s="345">
        <v>360000</v>
      </c>
      <c r="K5" s="338"/>
    </row>
    <row r="6" spans="1:19" ht="16">
      <c r="A6" s="291" t="s">
        <v>458</v>
      </c>
      <c r="B6" s="293">
        <v>5</v>
      </c>
      <c r="C6" s="298"/>
      <c r="D6" s="298"/>
      <c r="E6" s="300"/>
      <c r="F6" s="295" t="str">
        <f t="shared" si="0"/>
        <v/>
      </c>
      <c r="G6" s="299"/>
      <c r="H6" s="316" t="s">
        <v>466</v>
      </c>
      <c r="I6" s="300"/>
      <c r="J6" s="345">
        <v>1600000</v>
      </c>
      <c r="K6" s="338"/>
    </row>
    <row r="7" spans="1:19" ht="16">
      <c r="A7" s="291" t="s">
        <v>458</v>
      </c>
      <c r="B7" s="293">
        <v>6</v>
      </c>
      <c r="C7" s="298"/>
      <c r="D7" s="298"/>
      <c r="E7" s="300"/>
      <c r="F7" s="295" t="str">
        <f t="shared" si="0"/>
        <v/>
      </c>
      <c r="G7" s="299"/>
      <c r="H7" s="316" t="s">
        <v>466</v>
      </c>
      <c r="I7" s="300"/>
      <c r="J7" s="345">
        <v>5500000</v>
      </c>
      <c r="K7" s="338"/>
    </row>
    <row r="8" spans="1:19" ht="16">
      <c r="A8" s="291" t="s">
        <v>458</v>
      </c>
      <c r="B8" s="293">
        <v>7</v>
      </c>
      <c r="C8" s="298"/>
      <c r="D8" s="298"/>
      <c r="E8" s="300"/>
      <c r="F8" s="295" t="str">
        <f t="shared" si="0"/>
        <v/>
      </c>
      <c r="G8" s="299"/>
      <c r="H8" s="316" t="s">
        <v>466</v>
      </c>
      <c r="I8" s="300"/>
      <c r="J8" s="345">
        <v>2025620</v>
      </c>
      <c r="K8" s="338"/>
    </row>
    <row r="9" spans="1:19" ht="16">
      <c r="A9" s="291" t="s">
        <v>458</v>
      </c>
      <c r="B9" s="293">
        <v>8</v>
      </c>
      <c r="C9" s="298"/>
      <c r="D9" s="298"/>
      <c r="E9" s="300"/>
      <c r="F9" s="295" t="str">
        <f t="shared" si="0"/>
        <v/>
      </c>
      <c r="G9" s="299"/>
      <c r="H9" s="316" t="s">
        <v>473</v>
      </c>
      <c r="I9" s="300"/>
      <c r="J9" s="345">
        <v>2000000</v>
      </c>
      <c r="K9" s="338"/>
    </row>
    <row r="10" spans="1:19" ht="16">
      <c r="A10" s="291" t="s">
        <v>458</v>
      </c>
      <c r="B10" s="293">
        <v>9</v>
      </c>
      <c r="C10" s="298"/>
      <c r="D10" s="298"/>
      <c r="E10" s="300"/>
      <c r="F10" s="295" t="str">
        <f t="shared" si="0"/>
        <v/>
      </c>
      <c r="G10" s="299"/>
      <c r="H10" s="316" t="s">
        <v>473</v>
      </c>
      <c r="I10" s="300"/>
      <c r="J10" s="345">
        <v>2900000</v>
      </c>
      <c r="K10" s="338"/>
    </row>
    <row r="11" spans="1:19" ht="16">
      <c r="A11" s="291" t="s">
        <v>458</v>
      </c>
      <c r="B11" s="293">
        <v>10</v>
      </c>
      <c r="C11" s="298"/>
      <c r="D11" s="298"/>
      <c r="E11" s="300"/>
      <c r="F11" s="295" t="str">
        <f t="shared" si="0"/>
        <v/>
      </c>
      <c r="G11" s="299"/>
      <c r="H11" s="316" t="s">
        <v>473</v>
      </c>
      <c r="I11" s="300"/>
      <c r="J11" s="345">
        <v>2300000</v>
      </c>
      <c r="K11" s="338"/>
    </row>
    <row r="12" spans="1:19" ht="16">
      <c r="A12" s="291" t="s">
        <v>458</v>
      </c>
      <c r="B12" s="293">
        <v>11</v>
      </c>
      <c r="C12" s="298"/>
      <c r="D12" s="298"/>
      <c r="E12" s="300"/>
      <c r="F12" s="295" t="str">
        <f t="shared" si="0"/>
        <v/>
      </c>
      <c r="G12" s="299" t="s">
        <v>1162</v>
      </c>
      <c r="H12" s="316" t="s">
        <v>350</v>
      </c>
      <c r="I12" s="300"/>
      <c r="J12" s="345">
        <v>1200</v>
      </c>
      <c r="K12" s="338"/>
    </row>
    <row r="13" spans="1:19" ht="16">
      <c r="A13" s="291" t="s">
        <v>458</v>
      </c>
      <c r="B13" s="293">
        <v>13</v>
      </c>
      <c r="C13" s="298"/>
      <c r="D13" s="298"/>
      <c r="E13" s="300"/>
      <c r="F13" s="295" t="str">
        <f t="shared" si="0"/>
        <v/>
      </c>
      <c r="G13" s="299"/>
      <c r="H13" s="316" t="s">
        <v>350</v>
      </c>
      <c r="I13" s="300"/>
      <c r="J13" s="345">
        <v>-37024214</v>
      </c>
      <c r="K13" s="338"/>
    </row>
    <row r="14" spans="1:19" ht="16">
      <c r="A14" s="291"/>
      <c r="B14" s="293"/>
      <c r="C14" s="298"/>
      <c r="D14" s="298"/>
      <c r="E14" s="300"/>
      <c r="F14" s="295"/>
      <c r="G14" s="299"/>
      <c r="H14" s="316"/>
      <c r="I14" s="300"/>
      <c r="J14" s="345">
        <f>SUM(J2:J13)</f>
        <v>542606</v>
      </c>
      <c r="K14" s="338"/>
    </row>
    <row r="15" spans="1:19" ht="16">
      <c r="A15" s="321"/>
      <c r="B15" s="322"/>
      <c r="C15" s="323"/>
      <c r="D15" s="323"/>
      <c r="E15" s="324"/>
      <c r="F15" s="325"/>
      <c r="G15" s="326"/>
      <c r="H15" s="327"/>
      <c r="I15" s="324"/>
      <c r="J15" s="346"/>
      <c r="K15" s="338"/>
    </row>
    <row r="16" spans="1:19" ht="16">
      <c r="A16" s="291" t="s">
        <v>458</v>
      </c>
      <c r="B16" s="293">
        <v>14</v>
      </c>
      <c r="C16" s="298"/>
      <c r="D16" s="298"/>
      <c r="E16" s="300">
        <v>23</v>
      </c>
      <c r="F16" s="295" t="str">
        <f t="shared" ref="F16:F79" si="1">IF(E16="","",HLOOKUP(E16,eeee,2,0))</f>
        <v>محمدرضا سروری</v>
      </c>
      <c r="G16" s="299" t="s">
        <v>1163</v>
      </c>
      <c r="H16" s="316" t="s">
        <v>350</v>
      </c>
      <c r="I16" s="300"/>
      <c r="J16" s="345">
        <v>3370000</v>
      </c>
      <c r="K16" s="338"/>
    </row>
    <row r="17" spans="1:11" ht="16">
      <c r="A17" s="291" t="s">
        <v>458</v>
      </c>
      <c r="B17" s="293">
        <v>15</v>
      </c>
      <c r="C17" s="298"/>
      <c r="D17" s="298"/>
      <c r="E17" s="300">
        <v>24</v>
      </c>
      <c r="F17" s="295" t="str">
        <f t="shared" si="1"/>
        <v>کمیل سروری</v>
      </c>
      <c r="G17" s="299" t="s">
        <v>1164</v>
      </c>
      <c r="H17" s="316" t="s">
        <v>350</v>
      </c>
      <c r="I17" s="300"/>
      <c r="J17" s="345">
        <v>104000</v>
      </c>
      <c r="K17" s="338"/>
    </row>
    <row r="18" spans="1:11" ht="16">
      <c r="A18" s="291" t="s">
        <v>458</v>
      </c>
      <c r="B18" s="293">
        <v>16</v>
      </c>
      <c r="C18" s="298"/>
      <c r="D18" s="298"/>
      <c r="E18" s="302" t="s">
        <v>146</v>
      </c>
      <c r="F18" s="295" t="str">
        <f t="shared" si="1"/>
        <v>هزینه کلی به مددجویان</v>
      </c>
      <c r="G18" s="299" t="s">
        <v>429</v>
      </c>
      <c r="H18" s="316" t="s">
        <v>351</v>
      </c>
      <c r="I18" s="300"/>
      <c r="J18" s="345">
        <v>14500</v>
      </c>
      <c r="K18" s="338"/>
    </row>
    <row r="19" spans="1:11" ht="16">
      <c r="A19" s="291" t="s">
        <v>458</v>
      </c>
      <c r="B19" s="293">
        <v>17</v>
      </c>
      <c r="C19" s="298"/>
      <c r="D19" s="298"/>
      <c r="E19" s="302" t="s">
        <v>145</v>
      </c>
      <c r="F19" s="295" t="str">
        <f t="shared" si="1"/>
        <v>هزینه کلی موسسه</v>
      </c>
      <c r="G19" s="299" t="s">
        <v>1165</v>
      </c>
      <c r="H19" s="316" t="s">
        <v>353</v>
      </c>
      <c r="I19" s="300"/>
      <c r="J19" s="345">
        <v>10000</v>
      </c>
      <c r="K19" s="338"/>
    </row>
    <row r="20" spans="1:11" ht="16">
      <c r="A20" s="291" t="s">
        <v>458</v>
      </c>
      <c r="B20" s="293">
        <v>18</v>
      </c>
      <c r="C20" s="298"/>
      <c r="D20" s="298"/>
      <c r="E20" s="302" t="s">
        <v>145</v>
      </c>
      <c r="F20" s="295" t="str">
        <f t="shared" si="1"/>
        <v>هزینه کلی موسسه</v>
      </c>
      <c r="G20" s="299" t="s">
        <v>1165</v>
      </c>
      <c r="H20" s="316" t="s">
        <v>353</v>
      </c>
      <c r="I20" s="300"/>
      <c r="J20" s="345">
        <v>8000</v>
      </c>
      <c r="K20" s="338"/>
    </row>
    <row r="21" spans="1:11" ht="16">
      <c r="A21" s="291" t="s">
        <v>458</v>
      </c>
      <c r="B21" s="293">
        <v>19</v>
      </c>
      <c r="C21" s="298"/>
      <c r="D21" s="298"/>
      <c r="E21" s="302" t="s">
        <v>145</v>
      </c>
      <c r="F21" s="295" t="str">
        <f t="shared" si="1"/>
        <v>هزینه کلی موسسه</v>
      </c>
      <c r="G21" s="299" t="s">
        <v>1165</v>
      </c>
      <c r="H21" s="316" t="s">
        <v>353</v>
      </c>
      <c r="I21" s="300"/>
      <c r="J21" s="345">
        <v>18000</v>
      </c>
      <c r="K21" s="338"/>
    </row>
    <row r="22" spans="1:11" ht="16">
      <c r="A22" s="291" t="s">
        <v>458</v>
      </c>
      <c r="B22" s="293">
        <v>20</v>
      </c>
      <c r="C22" s="298"/>
      <c r="D22" s="298"/>
      <c r="E22" s="320">
        <v>23</v>
      </c>
      <c r="F22" s="295" t="str">
        <f t="shared" si="1"/>
        <v>محمدرضا سروری</v>
      </c>
      <c r="G22" s="295" t="s">
        <v>352</v>
      </c>
      <c r="H22" s="317" t="s">
        <v>353</v>
      </c>
      <c r="I22" s="295"/>
      <c r="J22" s="347">
        <v>3003000</v>
      </c>
      <c r="K22" s="338"/>
    </row>
    <row r="23" spans="1:11" ht="16">
      <c r="A23" s="291" t="s">
        <v>458</v>
      </c>
      <c r="B23" s="293">
        <v>21</v>
      </c>
      <c r="C23" s="303" t="str">
        <f>MID('ریزهزینه کرد مددجوها'!$H23,6,2)</f>
        <v>04</v>
      </c>
      <c r="D23" s="303" t="str">
        <f>MID('ریزهزینه کرد مددجوها'!$H23,1,4)</f>
        <v>1401</v>
      </c>
      <c r="E23" s="320">
        <v>24</v>
      </c>
      <c r="F23" s="295" t="str">
        <f t="shared" si="1"/>
        <v>کمیل سروری</v>
      </c>
      <c r="G23" s="295" t="s">
        <v>352</v>
      </c>
      <c r="H23" s="317" t="s">
        <v>353</v>
      </c>
      <c r="I23" s="295"/>
      <c r="J23" s="347">
        <v>3003000</v>
      </c>
      <c r="K23" s="338"/>
    </row>
    <row r="24" spans="1:11" ht="16">
      <c r="A24" s="291" t="s">
        <v>458</v>
      </c>
      <c r="B24" s="293">
        <v>22</v>
      </c>
      <c r="C24" s="303" t="str">
        <f>MID('ریزهزینه کرد مددجوها'!$H24,6,2)</f>
        <v>04</v>
      </c>
      <c r="D24" s="303" t="str">
        <f>MID('ریزهزینه کرد مددجوها'!$H24,1,4)</f>
        <v>1401</v>
      </c>
      <c r="E24" s="320">
        <v>21</v>
      </c>
      <c r="F24" s="295" t="str">
        <f t="shared" si="1"/>
        <v>ملبکا نماز</v>
      </c>
      <c r="G24" s="295" t="s">
        <v>354</v>
      </c>
      <c r="H24" s="317" t="s">
        <v>353</v>
      </c>
      <c r="I24" s="295"/>
      <c r="J24" s="347">
        <v>2960000</v>
      </c>
      <c r="K24" s="338"/>
    </row>
    <row r="25" spans="1:11" ht="16">
      <c r="A25" s="291" t="s">
        <v>458</v>
      </c>
      <c r="B25" s="293">
        <v>23</v>
      </c>
      <c r="C25" s="303" t="str">
        <f>MID('ریزهزینه کرد مددجوها'!$H25,6,2)</f>
        <v>04</v>
      </c>
      <c r="D25" s="303" t="str">
        <f>MID('ریزهزینه کرد مددجوها'!$H25,1,4)</f>
        <v>1401</v>
      </c>
      <c r="E25" s="320">
        <v>21</v>
      </c>
      <c r="F25" s="295" t="str">
        <f t="shared" si="1"/>
        <v>ملبکا نماز</v>
      </c>
      <c r="G25" s="295" t="s">
        <v>355</v>
      </c>
      <c r="H25" s="317" t="s">
        <v>353</v>
      </c>
      <c r="I25" s="295"/>
      <c r="J25" s="347">
        <v>3706000</v>
      </c>
      <c r="K25" s="338"/>
    </row>
    <row r="26" spans="1:11" ht="16">
      <c r="A26" s="291" t="s">
        <v>458</v>
      </c>
      <c r="B26" s="293">
        <v>24</v>
      </c>
      <c r="C26" s="303" t="str">
        <f>MID('ریزهزینه کرد مددجوها'!$H26,6,2)</f>
        <v>04</v>
      </c>
      <c r="D26" s="303" t="str">
        <f>MID('ریزهزینه کرد مددجوها'!$H26,1,4)</f>
        <v>1401</v>
      </c>
      <c r="E26" s="320" t="s">
        <v>145</v>
      </c>
      <c r="F26" s="295" t="str">
        <f t="shared" si="1"/>
        <v>هزینه کلی موسسه</v>
      </c>
      <c r="G26" s="295" t="s">
        <v>356</v>
      </c>
      <c r="H26" s="317" t="s">
        <v>357</v>
      </c>
      <c r="I26" s="295"/>
      <c r="J26" s="347">
        <v>200000</v>
      </c>
      <c r="K26" s="338"/>
    </row>
    <row r="27" spans="1:11" ht="16">
      <c r="A27" s="291" t="s">
        <v>458</v>
      </c>
      <c r="B27" s="293">
        <v>25</v>
      </c>
      <c r="C27" s="303"/>
      <c r="D27" s="303"/>
      <c r="E27" s="320" t="s">
        <v>146</v>
      </c>
      <c r="F27" s="295" t="str">
        <f t="shared" si="1"/>
        <v>هزینه کلی به مددجویان</v>
      </c>
      <c r="G27" s="295" t="s">
        <v>358</v>
      </c>
      <c r="H27" s="317" t="s">
        <v>359</v>
      </c>
      <c r="I27" s="295"/>
      <c r="J27" s="347">
        <v>3420000</v>
      </c>
      <c r="K27" s="338"/>
    </row>
    <row r="28" spans="1:11" ht="16">
      <c r="A28" s="291" t="s">
        <v>458</v>
      </c>
      <c r="B28" s="293">
        <v>26</v>
      </c>
      <c r="C28" s="303"/>
      <c r="D28" s="303"/>
      <c r="E28" s="320">
        <v>20</v>
      </c>
      <c r="F28" s="295" t="str">
        <f t="shared" si="1"/>
        <v>پری زارع</v>
      </c>
      <c r="G28" s="295" t="s">
        <v>360</v>
      </c>
      <c r="H28" s="317" t="s">
        <v>361</v>
      </c>
      <c r="I28" s="295"/>
      <c r="J28" s="347">
        <v>16508400</v>
      </c>
      <c r="K28" s="338"/>
    </row>
    <row r="29" spans="1:11" ht="16">
      <c r="A29" s="291" t="s">
        <v>458</v>
      </c>
      <c r="B29" s="293">
        <v>27</v>
      </c>
      <c r="C29" s="303" t="str">
        <f>MID('ریزهزینه کرد مددجوها'!$H29,6,2)</f>
        <v>05</v>
      </c>
      <c r="D29" s="303" t="str">
        <f>MID('ریزهزینه کرد مددجوها'!$H29,1,4)</f>
        <v>1401</v>
      </c>
      <c r="E29" s="320">
        <v>20</v>
      </c>
      <c r="F29" s="295" t="str">
        <f t="shared" si="1"/>
        <v>پری زارع</v>
      </c>
      <c r="G29" s="295" t="s">
        <v>362</v>
      </c>
      <c r="H29" s="317" t="s">
        <v>361</v>
      </c>
      <c r="I29" s="295"/>
      <c r="J29" s="347">
        <v>250000</v>
      </c>
      <c r="K29" s="338"/>
    </row>
    <row r="30" spans="1:11" ht="16">
      <c r="A30" s="291" t="s">
        <v>458</v>
      </c>
      <c r="B30" s="293">
        <v>28</v>
      </c>
      <c r="C30" s="303" t="str">
        <f>MID('ریزهزینه کرد مددجوها'!$H30,6,2)</f>
        <v>05</v>
      </c>
      <c r="D30" s="303" t="str">
        <f>MID('ریزهزینه کرد مددجوها'!$H30,1,4)</f>
        <v>1401</v>
      </c>
      <c r="E30" s="320">
        <v>20</v>
      </c>
      <c r="F30" s="295" t="str">
        <f t="shared" si="1"/>
        <v>پری زارع</v>
      </c>
      <c r="G30" s="295" t="s">
        <v>363</v>
      </c>
      <c r="H30" s="317" t="s">
        <v>361</v>
      </c>
      <c r="I30" s="295"/>
      <c r="J30" s="347">
        <v>4080000</v>
      </c>
      <c r="K30" s="338"/>
    </row>
    <row r="31" spans="1:11" ht="15.75" customHeight="1">
      <c r="A31" s="291" t="s">
        <v>458</v>
      </c>
      <c r="B31" s="293">
        <v>29</v>
      </c>
      <c r="C31" s="303" t="str">
        <f>MID('ریزهزینه کرد مددجوها'!$H31,6,2)</f>
        <v>05</v>
      </c>
      <c r="D31" s="303" t="str">
        <f>MID('ریزهزینه کرد مددجوها'!$H31,1,4)</f>
        <v>1401</v>
      </c>
      <c r="E31" s="320" t="s">
        <v>146</v>
      </c>
      <c r="F31" s="295" t="str">
        <f t="shared" si="1"/>
        <v>هزینه کلی به مددجویان</v>
      </c>
      <c r="G31" s="295" t="s">
        <v>358</v>
      </c>
      <c r="H31" s="317" t="s">
        <v>361</v>
      </c>
      <c r="I31" s="295"/>
      <c r="J31" s="347">
        <v>2252500</v>
      </c>
      <c r="K31" s="338"/>
    </row>
    <row r="32" spans="1:11" ht="15" customHeight="1">
      <c r="A32" s="291" t="s">
        <v>458</v>
      </c>
      <c r="B32" s="293">
        <v>30</v>
      </c>
      <c r="E32" s="320" t="s">
        <v>145</v>
      </c>
      <c r="F32" s="295" t="str">
        <f t="shared" si="1"/>
        <v>هزینه کلی موسسه</v>
      </c>
      <c r="G32" s="295" t="s">
        <v>364</v>
      </c>
      <c r="H32" s="317" t="s">
        <v>365</v>
      </c>
      <c r="I32" s="295"/>
      <c r="J32" s="347">
        <v>10006000</v>
      </c>
    </row>
    <row r="33" spans="1:11" ht="15.75" customHeight="1">
      <c r="A33" s="291" t="s">
        <v>458</v>
      </c>
      <c r="B33" s="293">
        <v>31</v>
      </c>
      <c r="C33" s="303"/>
      <c r="D33" s="303"/>
      <c r="E33" s="320" t="s">
        <v>145</v>
      </c>
      <c r="F33" s="295" t="str">
        <f t="shared" si="1"/>
        <v>هزینه کلی موسسه</v>
      </c>
      <c r="G33" s="295" t="s">
        <v>366</v>
      </c>
      <c r="H33" s="317" t="s">
        <v>367</v>
      </c>
      <c r="I33" s="295"/>
      <c r="J33" s="347">
        <v>10006000</v>
      </c>
      <c r="K33" s="338"/>
    </row>
    <row r="34" spans="1:11" ht="15.75" customHeight="1">
      <c r="A34" s="291" t="s">
        <v>458</v>
      </c>
      <c r="B34" s="293">
        <v>32</v>
      </c>
      <c r="C34" s="303" t="str">
        <f>MID('ریزهزینه کرد مددجوها'!$H34,6,2)</f>
        <v>06</v>
      </c>
      <c r="D34" s="303" t="str">
        <f>MID('ریزهزینه کرد مددجوها'!$H34,1,4)</f>
        <v>1401</v>
      </c>
      <c r="E34" s="320" t="s">
        <v>145</v>
      </c>
      <c r="F34" s="295" t="str">
        <f t="shared" si="1"/>
        <v>هزینه کلی موسسه</v>
      </c>
      <c r="G34" s="295" t="s">
        <v>368</v>
      </c>
      <c r="H34" s="317" t="s">
        <v>327</v>
      </c>
      <c r="I34" s="295"/>
      <c r="J34" s="347">
        <v>24000</v>
      </c>
      <c r="K34" s="338"/>
    </row>
    <row r="35" spans="1:11" ht="15.75" customHeight="1">
      <c r="A35" s="291" t="s">
        <v>458</v>
      </c>
      <c r="B35" s="293">
        <v>33</v>
      </c>
      <c r="C35" s="303"/>
      <c r="D35" s="303"/>
      <c r="E35" s="320">
        <v>6</v>
      </c>
      <c r="F35" s="295" t="str">
        <f t="shared" si="1"/>
        <v>راضیه رضاپور</v>
      </c>
      <c r="G35" s="295" t="s">
        <v>369</v>
      </c>
      <c r="H35" s="317" t="s">
        <v>370</v>
      </c>
      <c r="I35" s="295"/>
      <c r="J35" s="347">
        <v>25010800</v>
      </c>
      <c r="K35" s="338"/>
    </row>
    <row r="36" spans="1:11" ht="15.75" customHeight="1">
      <c r="A36" s="291" t="s">
        <v>458</v>
      </c>
      <c r="B36" s="293">
        <v>34</v>
      </c>
      <c r="C36" s="303"/>
      <c r="D36" s="303"/>
      <c r="E36" s="320">
        <v>6</v>
      </c>
      <c r="F36" s="295" t="str">
        <f t="shared" si="1"/>
        <v>راضیه رضاپور</v>
      </c>
      <c r="G36" s="295" t="s">
        <v>352</v>
      </c>
      <c r="H36" s="317" t="s">
        <v>370</v>
      </c>
      <c r="I36" s="295"/>
      <c r="J36" s="347">
        <v>4256000</v>
      </c>
      <c r="K36" s="338"/>
    </row>
    <row r="37" spans="1:11" ht="15.75" customHeight="1">
      <c r="A37" s="291" t="s">
        <v>458</v>
      </c>
      <c r="B37" s="293">
        <v>35</v>
      </c>
      <c r="C37" s="303"/>
      <c r="D37" s="303"/>
      <c r="E37" s="320" t="s">
        <v>146</v>
      </c>
      <c r="F37" s="295" t="str">
        <f t="shared" si="1"/>
        <v>هزینه کلی به مددجویان</v>
      </c>
      <c r="G37" s="295" t="s">
        <v>371</v>
      </c>
      <c r="H37" s="317" t="s">
        <v>372</v>
      </c>
      <c r="I37" s="295"/>
      <c r="J37" s="347">
        <v>20400000</v>
      </c>
      <c r="K37" s="338"/>
    </row>
    <row r="38" spans="1:11" ht="15.75" customHeight="1">
      <c r="A38" s="291" t="s">
        <v>458</v>
      </c>
      <c r="B38" s="293">
        <v>36</v>
      </c>
      <c r="C38" s="303"/>
      <c r="D38" s="303"/>
      <c r="E38" s="320" t="s">
        <v>145</v>
      </c>
      <c r="F38" s="295" t="str">
        <f t="shared" si="1"/>
        <v>هزینه کلی موسسه</v>
      </c>
      <c r="G38" s="295" t="s">
        <v>373</v>
      </c>
      <c r="H38" s="317" t="s">
        <v>374</v>
      </c>
      <c r="I38" s="295"/>
      <c r="J38" s="347">
        <v>4000000</v>
      </c>
      <c r="K38" s="338"/>
    </row>
    <row r="39" spans="1:11" ht="15.75" customHeight="1">
      <c r="A39" s="291" t="s">
        <v>458</v>
      </c>
      <c r="B39" s="293">
        <v>37</v>
      </c>
      <c r="C39" s="303" t="str">
        <f>MID('ریزهزینه کرد مددجوها'!$H39,6,2)</f>
        <v>06</v>
      </c>
      <c r="D39" s="303" t="str">
        <f>MID('ریزهزینه کرد مددجوها'!$H39,1,4)</f>
        <v>1401</v>
      </c>
      <c r="E39" s="320" t="s">
        <v>145</v>
      </c>
      <c r="F39" s="295" t="str">
        <f t="shared" si="1"/>
        <v>هزینه کلی موسسه</v>
      </c>
      <c r="G39" s="295" t="s">
        <v>375</v>
      </c>
      <c r="H39" s="317" t="s">
        <v>327</v>
      </c>
      <c r="I39" s="295"/>
      <c r="J39" s="347">
        <v>7006000</v>
      </c>
      <c r="K39" s="338"/>
    </row>
    <row r="40" spans="1:11" ht="15.75" customHeight="1">
      <c r="A40" s="291" t="s">
        <v>458</v>
      </c>
      <c r="B40" s="293">
        <v>38</v>
      </c>
      <c r="C40" s="303"/>
      <c r="D40" s="303"/>
      <c r="E40" s="320" t="s">
        <v>145</v>
      </c>
      <c r="F40" s="295" t="str">
        <f t="shared" si="1"/>
        <v>هزینه کلی موسسه</v>
      </c>
      <c r="G40" s="295" t="s">
        <v>376</v>
      </c>
      <c r="H40" s="317" t="s">
        <v>372</v>
      </c>
      <c r="I40" s="295"/>
      <c r="J40" s="347">
        <v>15577400</v>
      </c>
      <c r="K40" s="338"/>
    </row>
    <row r="41" spans="1:11" ht="15.75" customHeight="1">
      <c r="A41" s="291" t="s">
        <v>458</v>
      </c>
      <c r="B41" s="293">
        <v>39</v>
      </c>
      <c r="C41" s="303" t="str">
        <f>MID('ریزهزینه کرد مددجوها'!$H41,6,2)</f>
        <v>06</v>
      </c>
      <c r="D41" s="303" t="str">
        <f>MID('ریزهزینه کرد مددجوها'!$H41,1,4)</f>
        <v>1401</v>
      </c>
      <c r="E41" s="320" t="s">
        <v>146</v>
      </c>
      <c r="F41" s="295" t="str">
        <f t="shared" si="1"/>
        <v>هزینه کلی به مددجویان</v>
      </c>
      <c r="G41" s="295" t="s">
        <v>377</v>
      </c>
      <c r="H41" s="317" t="s">
        <v>372</v>
      </c>
      <c r="I41" s="295"/>
      <c r="J41" s="347">
        <v>44023100</v>
      </c>
      <c r="K41" s="338"/>
    </row>
    <row r="42" spans="1:11" ht="15.75" customHeight="1">
      <c r="A42" s="291" t="s">
        <v>458</v>
      </c>
      <c r="B42" s="293">
        <v>40</v>
      </c>
      <c r="C42" s="303" t="str">
        <f>MID('ریزهزینه کرد مددجوها'!$H42,6,2)</f>
        <v>06</v>
      </c>
      <c r="D42" s="303" t="str">
        <f>MID('ریزهزینه کرد مددجوها'!$H42,1,4)</f>
        <v>1401</v>
      </c>
      <c r="E42" s="320" t="s">
        <v>146</v>
      </c>
      <c r="F42" s="295" t="str">
        <f t="shared" si="1"/>
        <v>هزینه کلی به مددجویان</v>
      </c>
      <c r="G42" s="295" t="s">
        <v>378</v>
      </c>
      <c r="H42" s="317" t="s">
        <v>372</v>
      </c>
      <c r="I42" s="295"/>
      <c r="J42" s="347">
        <v>39013200</v>
      </c>
      <c r="K42" s="338"/>
    </row>
    <row r="43" spans="1:11" ht="15.75" customHeight="1">
      <c r="A43" s="291" t="s">
        <v>458</v>
      </c>
      <c r="B43" s="293">
        <v>41</v>
      </c>
      <c r="C43" s="303" t="str">
        <f>MID('ریزهزینه کرد مددجوها'!$H43,6,2)</f>
        <v>06</v>
      </c>
      <c r="D43" s="303" t="str">
        <f>MID('ریزهزینه کرد مددجوها'!$H43,1,4)</f>
        <v>1401</v>
      </c>
      <c r="E43" s="320" t="s">
        <v>146</v>
      </c>
      <c r="F43" s="295" t="str">
        <f t="shared" si="1"/>
        <v>هزینه کلی به مددجویان</v>
      </c>
      <c r="G43" s="295" t="s">
        <v>371</v>
      </c>
      <c r="H43" s="317" t="s">
        <v>372</v>
      </c>
      <c r="I43" s="295"/>
      <c r="J43" s="347">
        <v>13000000</v>
      </c>
      <c r="K43" s="338"/>
    </row>
    <row r="44" spans="1:11" ht="15.75" customHeight="1">
      <c r="A44" s="291" t="s">
        <v>458</v>
      </c>
      <c r="B44" s="293">
        <v>42</v>
      </c>
      <c r="C44" s="303" t="str">
        <f>MID('ریزهزینه کرد مددجوها'!$H44,6,2)</f>
        <v>06</v>
      </c>
      <c r="D44" s="303" t="str">
        <f>MID('ریزهزینه کرد مددجوها'!$H44,1,4)</f>
        <v>1401</v>
      </c>
      <c r="E44" s="320" t="s">
        <v>145</v>
      </c>
      <c r="F44" s="295" t="str">
        <f t="shared" si="1"/>
        <v>هزینه کلی موسسه</v>
      </c>
      <c r="G44" s="295" t="s">
        <v>379</v>
      </c>
      <c r="H44" s="317" t="s">
        <v>380</v>
      </c>
      <c r="I44" s="295"/>
      <c r="J44" s="347">
        <v>1006000</v>
      </c>
      <c r="K44" s="338"/>
    </row>
    <row r="45" spans="1:11" ht="15.75" customHeight="1">
      <c r="A45" s="291" t="s">
        <v>458</v>
      </c>
      <c r="B45" s="293">
        <v>43</v>
      </c>
      <c r="C45" s="303" t="str">
        <f>MID('ریزهزینه کرد مددجوها'!$H45,6,2)</f>
        <v>06</v>
      </c>
      <c r="D45" s="303" t="str">
        <f>MID('ریزهزینه کرد مددجوها'!$H45,1,4)</f>
        <v>1401</v>
      </c>
      <c r="E45" s="320">
        <v>14</v>
      </c>
      <c r="F45" s="295" t="str">
        <f t="shared" si="1"/>
        <v>زهرا تاتاری</v>
      </c>
      <c r="G45" s="295" t="s">
        <v>381</v>
      </c>
      <c r="H45" s="317" t="s">
        <v>382</v>
      </c>
      <c r="I45" s="295"/>
      <c r="J45" s="347">
        <v>2180000</v>
      </c>
      <c r="K45" s="338"/>
    </row>
    <row r="46" spans="1:11" ht="15.75" customHeight="1">
      <c r="A46" s="291" t="s">
        <v>458</v>
      </c>
      <c r="B46" s="293">
        <v>44</v>
      </c>
      <c r="C46" s="303" t="str">
        <f>MID('ریزهزینه کرد مددجوها'!$H46,6,2)</f>
        <v>06</v>
      </c>
      <c r="D46" s="303" t="str">
        <f>MID('ریزهزینه کرد مددجوها'!$H46,1,4)</f>
        <v>1401</v>
      </c>
      <c r="E46" s="320" t="s">
        <v>145</v>
      </c>
      <c r="F46" s="295" t="str">
        <f t="shared" si="1"/>
        <v>هزینه کلی موسسه</v>
      </c>
      <c r="G46" s="295" t="s">
        <v>383</v>
      </c>
      <c r="H46" s="317" t="s">
        <v>380</v>
      </c>
      <c r="I46" s="295"/>
      <c r="J46" s="347">
        <v>4306000</v>
      </c>
      <c r="K46" s="338"/>
    </row>
    <row r="47" spans="1:11" ht="15.75" customHeight="1">
      <c r="A47" s="291" t="s">
        <v>458</v>
      </c>
      <c r="B47" s="293">
        <v>45</v>
      </c>
      <c r="C47" s="303" t="str">
        <f>MID('ریزهزینه کرد مددجوها'!$H47,6,2)</f>
        <v>06</v>
      </c>
      <c r="D47" s="303" t="str">
        <f>MID('ریزهزینه کرد مددجوها'!$H47,1,4)</f>
        <v>1401</v>
      </c>
      <c r="E47" s="320" t="s">
        <v>146</v>
      </c>
      <c r="F47" s="295" t="str">
        <f t="shared" si="1"/>
        <v>هزینه کلی به مددجویان</v>
      </c>
      <c r="G47" s="295" t="s">
        <v>377</v>
      </c>
      <c r="H47" s="317" t="s">
        <v>384</v>
      </c>
      <c r="I47" s="295"/>
      <c r="J47" s="347">
        <v>2050000</v>
      </c>
      <c r="K47" s="338"/>
    </row>
    <row r="48" spans="1:11" ht="15.75" customHeight="1">
      <c r="A48" s="291" t="s">
        <v>458</v>
      </c>
      <c r="B48" s="293">
        <v>46</v>
      </c>
      <c r="C48" s="303" t="str">
        <f>MID('ریزهزینه کرد مددجوها'!$H48,6,2)</f>
        <v>06</v>
      </c>
      <c r="D48" s="303" t="str">
        <f>MID('ریزهزینه کرد مددجوها'!$H48,1,4)</f>
        <v>1401</v>
      </c>
      <c r="E48" s="320" t="s">
        <v>146</v>
      </c>
      <c r="F48" s="295" t="str">
        <f t="shared" si="1"/>
        <v>هزینه کلی به مددجویان</v>
      </c>
      <c r="G48" s="295" t="s">
        <v>378</v>
      </c>
      <c r="H48" s="317" t="s">
        <v>384</v>
      </c>
      <c r="I48" s="295"/>
      <c r="J48" s="347">
        <v>4600000</v>
      </c>
      <c r="K48" s="338"/>
    </row>
    <row r="49" spans="1:11" ht="15.75" customHeight="1">
      <c r="A49" s="291" t="s">
        <v>458</v>
      </c>
      <c r="B49" s="293">
        <v>47</v>
      </c>
      <c r="C49" s="303" t="str">
        <f>MID('ریزهزینه کرد مددجوها'!$H49,6,2)</f>
        <v>06</v>
      </c>
      <c r="D49" s="303" t="str">
        <f>MID('ریزهزینه کرد مددجوها'!$H49,1,4)</f>
        <v>1401</v>
      </c>
      <c r="E49" s="302" t="s">
        <v>146</v>
      </c>
      <c r="F49" s="295" t="str">
        <f t="shared" si="1"/>
        <v>هزینه کلی به مددجویان</v>
      </c>
      <c r="G49" s="304" t="s">
        <v>381</v>
      </c>
      <c r="H49" s="316" t="s">
        <v>384</v>
      </c>
      <c r="I49" s="302"/>
      <c r="J49" s="348">
        <v>48000000</v>
      </c>
      <c r="K49" s="338"/>
    </row>
    <row r="50" spans="1:11" ht="15.75" customHeight="1">
      <c r="A50" s="291" t="s">
        <v>458</v>
      </c>
      <c r="B50" s="293">
        <v>48</v>
      </c>
      <c r="C50" s="303" t="str">
        <f>MID('ریزهزینه کرد مددجوها'!$H50,6,2)</f>
        <v>06</v>
      </c>
      <c r="D50" s="303" t="str">
        <f>MID('ریزهزینه کرد مددجوها'!$H50,1,4)</f>
        <v>1401</v>
      </c>
      <c r="E50" s="302" t="s">
        <v>146</v>
      </c>
      <c r="F50" s="295" t="str">
        <f t="shared" si="1"/>
        <v>هزینه کلی به مددجویان</v>
      </c>
      <c r="G50" s="304" t="s">
        <v>385</v>
      </c>
      <c r="H50" s="316" t="s">
        <v>384</v>
      </c>
      <c r="I50" s="302"/>
      <c r="J50" s="348">
        <v>180000</v>
      </c>
      <c r="K50" s="338"/>
    </row>
    <row r="51" spans="1:11" ht="15.75" customHeight="1">
      <c r="A51" s="291" t="s">
        <v>458</v>
      </c>
      <c r="B51" s="293">
        <v>49</v>
      </c>
      <c r="C51" s="303" t="str">
        <f>MID('ریزهزینه کرد مددجوها'!$H51,6,2)</f>
        <v>06</v>
      </c>
      <c r="D51" s="303" t="str">
        <f>MID('ریزهزینه کرد مددجوها'!$H51,1,4)</f>
        <v>1401</v>
      </c>
      <c r="E51" s="302">
        <v>10</v>
      </c>
      <c r="F51" s="295" t="str">
        <f t="shared" si="1"/>
        <v>مریم رحمانی</v>
      </c>
      <c r="G51" s="304" t="s">
        <v>386</v>
      </c>
      <c r="H51" s="293" t="s">
        <v>387</v>
      </c>
      <c r="I51" s="302"/>
      <c r="J51" s="348">
        <v>2550000</v>
      </c>
      <c r="K51" s="338"/>
    </row>
    <row r="52" spans="1:11" ht="15.75" customHeight="1">
      <c r="A52" s="291" t="s">
        <v>458</v>
      </c>
      <c r="B52" s="293">
        <v>50</v>
      </c>
      <c r="C52" s="303" t="str">
        <f>MID('ریزهزینه کرد مددجوها'!$H52,6,2)</f>
        <v>07</v>
      </c>
      <c r="D52" s="303" t="str">
        <f>MID('ریزهزینه کرد مددجوها'!$H52,1,4)</f>
        <v>1401</v>
      </c>
      <c r="E52" s="302" t="s">
        <v>145</v>
      </c>
      <c r="F52" s="295" t="str">
        <f t="shared" si="1"/>
        <v>هزینه کلی موسسه</v>
      </c>
      <c r="G52" s="304" t="s">
        <v>356</v>
      </c>
      <c r="H52" s="316" t="s">
        <v>388</v>
      </c>
      <c r="I52" s="302"/>
      <c r="J52" s="348">
        <v>200000</v>
      </c>
      <c r="K52" s="338"/>
    </row>
    <row r="53" spans="1:11" ht="15.75" customHeight="1">
      <c r="A53" s="291" t="s">
        <v>458</v>
      </c>
      <c r="B53" s="293">
        <v>51</v>
      </c>
      <c r="C53" s="303" t="str">
        <f>MID('ریزهزینه کرد مددجوها'!$H53,6,2)</f>
        <v>07</v>
      </c>
      <c r="D53" s="303" t="str">
        <f>MID('ریزهزینه کرد مددجوها'!$H53,1,4)</f>
        <v>1401</v>
      </c>
      <c r="E53" s="302">
        <v>12</v>
      </c>
      <c r="F53" s="462" t="str">
        <f t="shared" si="1"/>
        <v>الهام صمدی</v>
      </c>
      <c r="G53" s="304" t="s">
        <v>389</v>
      </c>
      <c r="H53" s="463" t="s">
        <v>390</v>
      </c>
      <c r="I53" s="302"/>
      <c r="J53" s="464">
        <v>2072000</v>
      </c>
      <c r="K53" s="338"/>
    </row>
    <row r="54" spans="1:11" ht="15.75" customHeight="1">
      <c r="A54" s="291" t="s">
        <v>458</v>
      </c>
      <c r="B54" s="293">
        <v>52</v>
      </c>
      <c r="C54" s="303" t="str">
        <f>MID('ریزهزینه کرد مددجوها'!$H54,6,2)</f>
        <v>07</v>
      </c>
      <c r="D54" s="303" t="str">
        <f>MID('ریزهزینه کرد مددجوها'!$H54,1,4)</f>
        <v>1401</v>
      </c>
      <c r="E54" s="302">
        <v>12</v>
      </c>
      <c r="F54" s="462" t="str">
        <f t="shared" si="1"/>
        <v>الهام صمدی</v>
      </c>
      <c r="G54" s="304" t="s">
        <v>391</v>
      </c>
      <c r="H54" s="463" t="s">
        <v>390</v>
      </c>
      <c r="I54" s="302"/>
      <c r="J54" s="464">
        <v>7850000</v>
      </c>
      <c r="K54" s="338"/>
    </row>
    <row r="55" spans="1:11" ht="15.75" customHeight="1">
      <c r="A55" s="291" t="s">
        <v>458</v>
      </c>
      <c r="B55" s="293">
        <v>53</v>
      </c>
      <c r="C55" s="303" t="str">
        <f>MID('ریزهزینه کرد مددجوها'!$H55,6,2)</f>
        <v>07</v>
      </c>
      <c r="D55" s="303" t="str">
        <f>MID('ریزهزینه کرد مددجوها'!$H55,1,4)</f>
        <v>1401</v>
      </c>
      <c r="E55" s="302">
        <v>12</v>
      </c>
      <c r="F55" s="462" t="str">
        <f t="shared" si="1"/>
        <v>الهام صمدی</v>
      </c>
      <c r="G55" s="304" t="s">
        <v>392</v>
      </c>
      <c r="H55" s="463" t="s">
        <v>390</v>
      </c>
      <c r="I55" s="302"/>
      <c r="J55" s="464">
        <v>257000</v>
      </c>
      <c r="K55" s="338"/>
    </row>
    <row r="56" spans="1:11" ht="15.75" customHeight="1">
      <c r="A56" s="291" t="s">
        <v>458</v>
      </c>
      <c r="B56" s="293">
        <v>54</v>
      </c>
      <c r="C56" s="303" t="str">
        <f>MID('ریزهزینه کرد مددجوها'!$H56,6,2)</f>
        <v>07</v>
      </c>
      <c r="D56" s="303" t="str">
        <f>MID('ریزهزینه کرد مددجوها'!$H56,1,4)</f>
        <v>1401</v>
      </c>
      <c r="E56" s="302" t="s">
        <v>146</v>
      </c>
      <c r="F56" s="295" t="str">
        <f t="shared" si="1"/>
        <v>هزینه کلی به مددجویان</v>
      </c>
      <c r="G56" s="304" t="s">
        <v>393</v>
      </c>
      <c r="H56" s="316" t="s">
        <v>394</v>
      </c>
      <c r="I56" s="302"/>
      <c r="J56" s="348">
        <v>1706000</v>
      </c>
      <c r="K56" s="338"/>
    </row>
    <row r="57" spans="1:11" ht="15.75" customHeight="1">
      <c r="A57" s="291" t="s">
        <v>458</v>
      </c>
      <c r="B57" s="293">
        <v>55</v>
      </c>
      <c r="C57" s="303" t="str">
        <f>MID('ریزهزینه کرد مددجوها'!$H57,6,2)</f>
        <v>07</v>
      </c>
      <c r="D57" s="303" t="str">
        <f>MID('ریزهزینه کرد مددجوها'!$H57,1,4)</f>
        <v>1401</v>
      </c>
      <c r="E57" s="302">
        <v>9</v>
      </c>
      <c r="F57" s="295" t="str">
        <f t="shared" si="1"/>
        <v>فاطمه موسوی</v>
      </c>
      <c r="G57" s="304" t="s">
        <v>352</v>
      </c>
      <c r="H57" s="316" t="s">
        <v>394</v>
      </c>
      <c r="I57" s="302"/>
      <c r="J57" s="348">
        <v>4706000</v>
      </c>
      <c r="K57" s="338"/>
    </row>
    <row r="58" spans="1:11" ht="15.75" customHeight="1">
      <c r="A58" s="291" t="s">
        <v>458</v>
      </c>
      <c r="B58" s="293">
        <v>56</v>
      </c>
      <c r="C58" s="303" t="str">
        <f>MID('ریزهزینه کرد مددجوها'!$H58,6,2)</f>
        <v>07</v>
      </c>
      <c r="D58" s="303" t="str">
        <f>MID('ریزهزینه کرد مددجوها'!$H58,1,4)</f>
        <v>1401</v>
      </c>
      <c r="E58" s="302" t="s">
        <v>146</v>
      </c>
      <c r="F58" s="295" t="str">
        <f t="shared" si="1"/>
        <v>هزینه کلی به مددجویان</v>
      </c>
      <c r="G58" s="304" t="s">
        <v>395</v>
      </c>
      <c r="H58" s="316" t="s">
        <v>394</v>
      </c>
      <c r="I58" s="302"/>
      <c r="J58" s="348">
        <v>2000000</v>
      </c>
      <c r="K58" s="338"/>
    </row>
    <row r="59" spans="1:11" ht="15.75" customHeight="1">
      <c r="A59" s="291" t="s">
        <v>458</v>
      </c>
      <c r="B59" s="293">
        <v>57</v>
      </c>
      <c r="C59" s="303" t="str">
        <f>MID('ریزهزینه کرد مددجوها'!$H59,6,2)</f>
        <v>07</v>
      </c>
      <c r="D59" s="303" t="str">
        <f>MID('ریزهزینه کرد مددجوها'!$H59,1,4)</f>
        <v>1401</v>
      </c>
      <c r="E59" s="302">
        <v>8</v>
      </c>
      <c r="F59" s="295" t="str">
        <f t="shared" si="1"/>
        <v>پریسا اعتمادمنش</v>
      </c>
      <c r="G59" s="304" t="s">
        <v>396</v>
      </c>
      <c r="H59" s="316" t="s">
        <v>397</v>
      </c>
      <c r="I59" s="302"/>
      <c r="J59" s="348">
        <v>89000000</v>
      </c>
      <c r="K59" s="338"/>
    </row>
    <row r="60" spans="1:11" ht="15.75" customHeight="1">
      <c r="A60" s="291" t="s">
        <v>458</v>
      </c>
      <c r="B60" s="293">
        <v>58</v>
      </c>
      <c r="C60" s="303" t="str">
        <f>MID('ریزهزینه کرد مددجوها'!$H60,6,2)</f>
        <v>07</v>
      </c>
      <c r="D60" s="303" t="str">
        <f>MID('ریزهزینه کرد مددجوها'!$H60,1,4)</f>
        <v>1401</v>
      </c>
      <c r="E60" s="302">
        <v>8</v>
      </c>
      <c r="F60" s="295" t="str">
        <f t="shared" si="1"/>
        <v>پریسا اعتمادمنش</v>
      </c>
      <c r="G60" s="304" t="s">
        <v>398</v>
      </c>
      <c r="H60" s="316" t="s">
        <v>397</v>
      </c>
      <c r="I60" s="302"/>
      <c r="J60" s="348">
        <v>11008400</v>
      </c>
      <c r="K60" s="338"/>
    </row>
    <row r="61" spans="1:11" ht="15.75" customHeight="1">
      <c r="A61" s="291" t="s">
        <v>458</v>
      </c>
      <c r="B61" s="293">
        <v>59</v>
      </c>
      <c r="C61" s="303" t="str">
        <f>MID('ریزهزینه کرد مددجوها'!$H61,6,2)</f>
        <v>07</v>
      </c>
      <c r="D61" s="303" t="str">
        <f>MID('ریزهزینه کرد مددجوها'!$H61,1,4)</f>
        <v>1401</v>
      </c>
      <c r="E61" s="302">
        <v>12</v>
      </c>
      <c r="F61" s="462" t="str">
        <f t="shared" si="1"/>
        <v>الهام صمدی</v>
      </c>
      <c r="G61" s="304" t="s">
        <v>399</v>
      </c>
      <c r="H61" s="463" t="s">
        <v>397</v>
      </c>
      <c r="I61" s="302"/>
      <c r="J61" s="464">
        <v>1016000</v>
      </c>
      <c r="K61" s="338"/>
    </row>
    <row r="62" spans="1:11" ht="18" customHeight="1">
      <c r="A62" s="291" t="s">
        <v>458</v>
      </c>
      <c r="B62" s="293">
        <v>60</v>
      </c>
      <c r="C62" s="303"/>
      <c r="D62" s="303"/>
      <c r="E62" s="302" t="s">
        <v>146</v>
      </c>
      <c r="F62" s="295" t="str">
        <f t="shared" si="1"/>
        <v>هزینه کلی به مددجویان</v>
      </c>
      <c r="G62" s="304" t="s">
        <v>400</v>
      </c>
      <c r="H62" s="316" t="s">
        <v>397</v>
      </c>
      <c r="I62" s="302"/>
      <c r="J62" s="348">
        <v>2006000</v>
      </c>
      <c r="K62" s="338"/>
    </row>
    <row r="63" spans="1:11" ht="18" customHeight="1">
      <c r="A63" s="291" t="s">
        <v>458</v>
      </c>
      <c r="B63" s="293">
        <v>61</v>
      </c>
      <c r="C63" s="303"/>
      <c r="D63" s="303"/>
      <c r="E63" s="302" t="s">
        <v>146</v>
      </c>
      <c r="F63" s="295" t="str">
        <f t="shared" si="1"/>
        <v>هزینه کلی به مددجویان</v>
      </c>
      <c r="G63" s="304" t="s">
        <v>401</v>
      </c>
      <c r="H63" s="316" t="s">
        <v>402</v>
      </c>
      <c r="I63" s="302"/>
      <c r="J63" s="348">
        <v>24195000</v>
      </c>
      <c r="K63" s="338"/>
    </row>
    <row r="64" spans="1:11" ht="18" customHeight="1">
      <c r="A64" s="291" t="s">
        <v>458</v>
      </c>
      <c r="B64" s="293">
        <v>62</v>
      </c>
      <c r="C64" s="303"/>
      <c r="D64" s="303"/>
      <c r="E64" s="302" t="s">
        <v>146</v>
      </c>
      <c r="F64" s="295" t="str">
        <f t="shared" si="1"/>
        <v>هزینه کلی به مددجویان</v>
      </c>
      <c r="G64" s="304" t="s">
        <v>403</v>
      </c>
      <c r="H64" s="316" t="s">
        <v>402</v>
      </c>
      <c r="I64" s="302"/>
      <c r="J64" s="348">
        <v>-2700000</v>
      </c>
      <c r="K64" s="338"/>
    </row>
    <row r="65" spans="1:11" ht="18" customHeight="1">
      <c r="A65" s="291" t="s">
        <v>458</v>
      </c>
      <c r="B65" s="293">
        <v>63</v>
      </c>
      <c r="C65" s="303"/>
      <c r="D65" s="303"/>
      <c r="E65" s="302">
        <v>17</v>
      </c>
      <c r="F65" s="295" t="str">
        <f t="shared" si="1"/>
        <v>کوثر فارقی</v>
      </c>
      <c r="G65" s="304" t="s">
        <v>404</v>
      </c>
      <c r="H65" s="316" t="s">
        <v>405</v>
      </c>
      <c r="I65" s="302"/>
      <c r="J65" s="348">
        <v>2168000</v>
      </c>
      <c r="K65" s="338"/>
    </row>
    <row r="66" spans="1:11" ht="18" customHeight="1">
      <c r="A66" s="291" t="s">
        <v>458</v>
      </c>
      <c r="B66" s="293">
        <v>64</v>
      </c>
      <c r="C66" s="303"/>
      <c r="D66" s="303"/>
      <c r="E66" s="302" t="s">
        <v>146</v>
      </c>
      <c r="F66" s="295" t="str">
        <f t="shared" si="1"/>
        <v>هزینه کلی به مددجویان</v>
      </c>
      <c r="G66" s="304" t="s">
        <v>406</v>
      </c>
      <c r="H66" s="316" t="s">
        <v>402</v>
      </c>
      <c r="I66" s="302"/>
      <c r="J66" s="348">
        <v>532000</v>
      </c>
      <c r="K66" s="338"/>
    </row>
    <row r="67" spans="1:11" ht="18" customHeight="1">
      <c r="A67" s="291" t="s">
        <v>458</v>
      </c>
      <c r="B67" s="293">
        <v>65</v>
      </c>
      <c r="C67" s="303"/>
      <c r="D67" s="303"/>
      <c r="E67" s="302">
        <v>12</v>
      </c>
      <c r="F67" s="462" t="str">
        <f t="shared" si="1"/>
        <v>الهام صمدی</v>
      </c>
      <c r="G67" s="304" t="s">
        <v>407</v>
      </c>
      <c r="H67" s="463" t="s">
        <v>408</v>
      </c>
      <c r="I67" s="302"/>
      <c r="J67" s="464">
        <v>4106000</v>
      </c>
      <c r="K67" s="338"/>
    </row>
    <row r="68" spans="1:11" ht="18" customHeight="1">
      <c r="A68" s="291" t="s">
        <v>458</v>
      </c>
      <c r="B68" s="293">
        <v>66</v>
      </c>
      <c r="C68" s="303"/>
      <c r="D68" s="303"/>
      <c r="E68" s="302">
        <v>17</v>
      </c>
      <c r="F68" s="295" t="str">
        <f t="shared" si="1"/>
        <v>کوثر فارقی</v>
      </c>
      <c r="G68" s="304" t="s">
        <v>409</v>
      </c>
      <c r="H68" s="316" t="s">
        <v>410</v>
      </c>
      <c r="I68" s="302"/>
      <c r="J68" s="348">
        <v>1506000</v>
      </c>
      <c r="K68" s="338"/>
    </row>
    <row r="69" spans="1:11" ht="18" customHeight="1">
      <c r="A69" s="291" t="s">
        <v>458</v>
      </c>
      <c r="B69" s="293">
        <v>67</v>
      </c>
      <c r="C69" s="303"/>
      <c r="D69" s="303"/>
      <c r="E69" s="302" t="s">
        <v>146</v>
      </c>
      <c r="F69" s="295" t="str">
        <f t="shared" si="1"/>
        <v>هزینه کلی به مددجویان</v>
      </c>
      <c r="G69" s="304" t="s">
        <v>411</v>
      </c>
      <c r="H69" s="316" t="s">
        <v>412</v>
      </c>
      <c r="I69" s="302"/>
      <c r="J69" s="348">
        <v>5145000</v>
      </c>
      <c r="K69" s="338"/>
    </row>
    <row r="70" spans="1:11" ht="18" customHeight="1">
      <c r="A70" s="291" t="s">
        <v>458</v>
      </c>
      <c r="B70" s="293">
        <v>68</v>
      </c>
      <c r="C70" s="303"/>
      <c r="D70" s="303"/>
      <c r="E70" s="302">
        <v>13</v>
      </c>
      <c r="F70" s="295" t="str">
        <f t="shared" si="1"/>
        <v>کوثر مولایی</v>
      </c>
      <c r="G70" s="304" t="s">
        <v>413</v>
      </c>
      <c r="H70" s="316" t="s">
        <v>412</v>
      </c>
      <c r="I70" s="302"/>
      <c r="J70" s="348">
        <v>5437500</v>
      </c>
      <c r="K70" s="338"/>
    </row>
    <row r="71" spans="1:11" ht="18" customHeight="1">
      <c r="A71" s="291" t="s">
        <v>458</v>
      </c>
      <c r="B71" s="293">
        <v>69</v>
      </c>
      <c r="C71" s="303"/>
      <c r="D71" s="303"/>
      <c r="E71" s="302">
        <v>23</v>
      </c>
      <c r="F71" s="295" t="str">
        <f t="shared" si="1"/>
        <v>محمدرضا سروری</v>
      </c>
      <c r="G71" s="304" t="s">
        <v>413</v>
      </c>
      <c r="H71" s="316" t="s">
        <v>414</v>
      </c>
      <c r="I71" s="302"/>
      <c r="J71" s="348">
        <v>603000</v>
      </c>
      <c r="K71" s="338"/>
    </row>
    <row r="72" spans="1:11" ht="18" customHeight="1">
      <c r="A72" s="291" t="s">
        <v>458</v>
      </c>
      <c r="B72" s="293">
        <v>70</v>
      </c>
      <c r="C72" s="303"/>
      <c r="D72" s="303"/>
      <c r="E72" s="302">
        <v>24</v>
      </c>
      <c r="F72" s="295" t="str">
        <f t="shared" si="1"/>
        <v>کمیل سروری</v>
      </c>
      <c r="G72" s="304" t="s">
        <v>413</v>
      </c>
      <c r="H72" s="316" t="s">
        <v>414</v>
      </c>
      <c r="I72" s="302"/>
      <c r="J72" s="348">
        <v>603000</v>
      </c>
      <c r="K72" s="338"/>
    </row>
    <row r="73" spans="1:11" ht="18" customHeight="1">
      <c r="A73" s="291" t="s">
        <v>458</v>
      </c>
      <c r="B73" s="293">
        <v>71</v>
      </c>
      <c r="C73" s="303"/>
      <c r="D73" s="303"/>
      <c r="E73" s="302">
        <v>14</v>
      </c>
      <c r="F73" s="295" t="str">
        <f t="shared" si="1"/>
        <v>زهرا تاتاری</v>
      </c>
      <c r="G73" s="304" t="s">
        <v>413</v>
      </c>
      <c r="H73" s="316" t="s">
        <v>414</v>
      </c>
      <c r="I73" s="302"/>
      <c r="J73" s="348">
        <v>2250000</v>
      </c>
      <c r="K73" s="338"/>
    </row>
    <row r="74" spans="1:11" ht="18" customHeight="1">
      <c r="A74" s="291" t="s">
        <v>458</v>
      </c>
      <c r="B74" s="293">
        <v>72</v>
      </c>
      <c r="C74" s="303"/>
      <c r="D74" s="303"/>
      <c r="E74" s="302">
        <v>12</v>
      </c>
      <c r="F74" s="462" t="str">
        <f t="shared" si="1"/>
        <v>الهام صمدی</v>
      </c>
      <c r="G74" s="304" t="s">
        <v>413</v>
      </c>
      <c r="H74" s="463" t="s">
        <v>415</v>
      </c>
      <c r="I74" s="302"/>
      <c r="J74" s="464">
        <v>1086000</v>
      </c>
      <c r="K74" s="338"/>
    </row>
    <row r="75" spans="1:11" ht="18" customHeight="1">
      <c r="A75" s="291" t="s">
        <v>458</v>
      </c>
      <c r="B75" s="293">
        <v>73</v>
      </c>
      <c r="C75" s="303"/>
      <c r="D75" s="303"/>
      <c r="E75" s="302">
        <v>1</v>
      </c>
      <c r="F75" s="295" t="str">
        <f t="shared" si="1"/>
        <v>ریحانه نوری شفیق</v>
      </c>
      <c r="G75" s="304" t="s">
        <v>352</v>
      </c>
      <c r="H75" s="316" t="s">
        <v>416</v>
      </c>
      <c r="I75" s="302"/>
      <c r="J75" s="348">
        <v>4700000</v>
      </c>
      <c r="K75" s="338"/>
    </row>
    <row r="76" spans="1:11" ht="18" customHeight="1">
      <c r="A76" s="291" t="s">
        <v>458</v>
      </c>
      <c r="B76" s="293">
        <v>74</v>
      </c>
      <c r="C76" s="303"/>
      <c r="D76" s="303"/>
      <c r="E76" s="302">
        <v>3</v>
      </c>
      <c r="F76" s="295" t="str">
        <f t="shared" si="1"/>
        <v>زهرا قهستانی</v>
      </c>
      <c r="G76" s="304" t="s">
        <v>352</v>
      </c>
      <c r="H76" s="316" t="s">
        <v>416</v>
      </c>
      <c r="I76" s="302"/>
      <c r="J76" s="348">
        <v>4700000</v>
      </c>
      <c r="K76" s="338"/>
    </row>
    <row r="77" spans="1:11" ht="18" customHeight="1">
      <c r="A77" s="291" t="s">
        <v>458</v>
      </c>
      <c r="B77" s="293">
        <v>75</v>
      </c>
      <c r="C77" s="303"/>
      <c r="D77" s="303"/>
      <c r="E77" s="302">
        <v>5</v>
      </c>
      <c r="F77" s="295" t="str">
        <f t="shared" si="1"/>
        <v>رقیه رضاپور</v>
      </c>
      <c r="G77" s="304" t="s">
        <v>352</v>
      </c>
      <c r="H77" s="316" t="s">
        <v>416</v>
      </c>
      <c r="I77" s="302"/>
      <c r="J77" s="348">
        <v>4700000</v>
      </c>
      <c r="K77" s="338"/>
    </row>
    <row r="78" spans="1:11" ht="18" customHeight="1">
      <c r="A78" s="291" t="s">
        <v>458</v>
      </c>
      <c r="B78" s="293">
        <v>76</v>
      </c>
      <c r="C78" s="303"/>
      <c r="D78" s="303"/>
      <c r="E78" s="302">
        <v>10</v>
      </c>
      <c r="F78" s="295" t="str">
        <f t="shared" si="1"/>
        <v>مریم رحمانی</v>
      </c>
      <c r="G78" s="304" t="s">
        <v>352</v>
      </c>
      <c r="H78" s="316" t="s">
        <v>416</v>
      </c>
      <c r="I78" s="302"/>
      <c r="J78" s="348">
        <v>4700000</v>
      </c>
      <c r="K78" s="338"/>
    </row>
    <row r="79" spans="1:11" ht="18" customHeight="1">
      <c r="A79" s="291" t="s">
        <v>458</v>
      </c>
      <c r="B79" s="293">
        <v>77</v>
      </c>
      <c r="C79" s="303"/>
      <c r="D79" s="303"/>
      <c r="E79" s="302">
        <v>11</v>
      </c>
      <c r="F79" s="295" t="str">
        <f t="shared" si="1"/>
        <v>ناهید کمالی گروی</v>
      </c>
      <c r="G79" s="304" t="s">
        <v>352</v>
      </c>
      <c r="H79" s="316" t="s">
        <v>416</v>
      </c>
      <c r="I79" s="302"/>
      <c r="J79" s="348">
        <v>4700000</v>
      </c>
      <c r="K79" s="338"/>
    </row>
    <row r="80" spans="1:11" ht="18" customHeight="1">
      <c r="A80" s="291" t="s">
        <v>458</v>
      </c>
      <c r="B80" s="293">
        <v>78</v>
      </c>
      <c r="C80" s="303"/>
      <c r="D80" s="303"/>
      <c r="E80" s="302">
        <v>4</v>
      </c>
      <c r="F80" s="295" t="str">
        <f t="shared" ref="F80:F143" si="2">IF(E80="","",HLOOKUP(E80,eeee,2,0))</f>
        <v>مهلا قهستانی</v>
      </c>
      <c r="G80" s="304" t="s">
        <v>352</v>
      </c>
      <c r="H80" s="316" t="s">
        <v>416</v>
      </c>
      <c r="I80" s="302"/>
      <c r="J80" s="348">
        <v>4800000</v>
      </c>
      <c r="K80" s="338"/>
    </row>
    <row r="81" spans="1:11" ht="18" customHeight="1">
      <c r="A81" s="291" t="s">
        <v>458</v>
      </c>
      <c r="B81" s="293">
        <v>79</v>
      </c>
      <c r="C81" s="303"/>
      <c r="D81" s="303"/>
      <c r="E81" s="302">
        <v>7</v>
      </c>
      <c r="F81" s="295" t="str">
        <f t="shared" si="2"/>
        <v>ربابه رضاپور</v>
      </c>
      <c r="G81" s="304" t="s">
        <v>352</v>
      </c>
      <c r="H81" s="316" t="s">
        <v>416</v>
      </c>
      <c r="I81" s="302"/>
      <c r="J81" s="348">
        <v>4900000</v>
      </c>
      <c r="K81" s="338"/>
    </row>
    <row r="82" spans="1:11" ht="18" customHeight="1">
      <c r="A82" s="291" t="s">
        <v>458</v>
      </c>
      <c r="B82" s="293">
        <v>80</v>
      </c>
      <c r="C82" s="303"/>
      <c r="D82" s="303"/>
      <c r="E82" s="302" t="s">
        <v>146</v>
      </c>
      <c r="F82" s="295" t="str">
        <f t="shared" si="2"/>
        <v>هزینه کلی به مددجویان</v>
      </c>
      <c r="G82" s="304" t="s">
        <v>417</v>
      </c>
      <c r="H82" s="316" t="s">
        <v>416</v>
      </c>
      <c r="I82" s="302"/>
      <c r="J82" s="348">
        <v>13200</v>
      </c>
      <c r="K82" s="338"/>
    </row>
    <row r="83" spans="1:11" ht="18" customHeight="1">
      <c r="A83" s="291" t="s">
        <v>458</v>
      </c>
      <c r="B83" s="293">
        <v>81</v>
      </c>
      <c r="C83" s="303"/>
      <c r="D83" s="303"/>
      <c r="E83" s="302">
        <v>22</v>
      </c>
      <c r="F83" s="295" t="str">
        <f t="shared" si="2"/>
        <v>مهدبار نماز</v>
      </c>
      <c r="G83" s="304" t="s">
        <v>413</v>
      </c>
      <c r="H83" s="316" t="s">
        <v>418</v>
      </c>
      <c r="I83" s="302"/>
      <c r="J83" s="348">
        <v>706000</v>
      </c>
      <c r="K83" s="338"/>
    </row>
    <row r="84" spans="1:11" ht="18" customHeight="1">
      <c r="A84" s="291" t="s">
        <v>458</v>
      </c>
      <c r="B84" s="293">
        <v>82</v>
      </c>
      <c r="C84" s="303"/>
      <c r="D84" s="303"/>
      <c r="E84" s="302">
        <v>9</v>
      </c>
      <c r="F84" s="295" t="str">
        <f t="shared" si="2"/>
        <v>فاطمه موسوی</v>
      </c>
      <c r="G84" s="304" t="s">
        <v>413</v>
      </c>
      <c r="H84" s="316" t="s">
        <v>419</v>
      </c>
      <c r="I84" s="302"/>
      <c r="J84" s="348">
        <v>366000</v>
      </c>
      <c r="K84" s="338"/>
    </row>
    <row r="85" spans="1:11" ht="15.75" customHeight="1">
      <c r="A85" s="291" t="s">
        <v>458</v>
      </c>
      <c r="B85" s="293">
        <v>83</v>
      </c>
      <c r="C85" s="303"/>
      <c r="D85" s="303"/>
      <c r="E85" s="302">
        <v>6</v>
      </c>
      <c r="F85" s="295" t="str">
        <f t="shared" si="2"/>
        <v>راضیه رضاپور</v>
      </c>
      <c r="G85" s="304" t="s">
        <v>420</v>
      </c>
      <c r="H85" s="316" t="s">
        <v>421</v>
      </c>
      <c r="I85" s="302"/>
      <c r="J85" s="348">
        <v>806000</v>
      </c>
      <c r="K85" s="338"/>
    </row>
    <row r="86" spans="1:11" ht="15.75" customHeight="1">
      <c r="A86" s="291" t="s">
        <v>458</v>
      </c>
      <c r="B86" s="293">
        <v>84</v>
      </c>
      <c r="C86" s="303"/>
      <c r="D86" s="303"/>
      <c r="E86" s="302">
        <v>1</v>
      </c>
      <c r="F86" s="295" t="str">
        <f t="shared" si="2"/>
        <v>ریحانه نوری شفیق</v>
      </c>
      <c r="G86" s="304" t="s">
        <v>422</v>
      </c>
      <c r="H86" s="316" t="s">
        <v>423</v>
      </c>
      <c r="I86" s="302"/>
      <c r="J86" s="348">
        <v>2285000</v>
      </c>
      <c r="K86" s="338"/>
    </row>
    <row r="87" spans="1:11" ht="15.75" customHeight="1">
      <c r="A87" s="291" t="s">
        <v>458</v>
      </c>
      <c r="B87" s="293">
        <v>85</v>
      </c>
      <c r="C87" s="303"/>
      <c r="D87" s="303"/>
      <c r="E87" s="302">
        <v>1</v>
      </c>
      <c r="F87" s="295" t="str">
        <f t="shared" si="2"/>
        <v>ریحانه نوری شفیق</v>
      </c>
      <c r="G87" s="304" t="s">
        <v>424</v>
      </c>
      <c r="H87" s="316" t="s">
        <v>423</v>
      </c>
      <c r="I87" s="302"/>
      <c r="J87" s="348">
        <v>5000000</v>
      </c>
      <c r="K87" s="338"/>
    </row>
    <row r="88" spans="1:11" ht="15.75" customHeight="1">
      <c r="A88" s="291" t="s">
        <v>458</v>
      </c>
      <c r="B88" s="293">
        <v>86</v>
      </c>
      <c r="C88" s="303"/>
      <c r="D88" s="303"/>
      <c r="E88" s="302" t="s">
        <v>146</v>
      </c>
      <c r="F88" s="295" t="str">
        <f t="shared" si="2"/>
        <v>هزینه کلی به مددجویان</v>
      </c>
      <c r="G88" s="304" t="s">
        <v>411</v>
      </c>
      <c r="H88" s="316" t="s">
        <v>425</v>
      </c>
      <c r="I88" s="302"/>
      <c r="J88" s="348">
        <v>6006000</v>
      </c>
      <c r="K88" s="338"/>
    </row>
    <row r="89" spans="1:11" ht="15.75" customHeight="1">
      <c r="A89" s="291" t="s">
        <v>458</v>
      </c>
      <c r="B89" s="293">
        <v>87</v>
      </c>
      <c r="C89" s="303"/>
      <c r="D89" s="303"/>
      <c r="E89" s="302">
        <v>12</v>
      </c>
      <c r="F89" s="462" t="str">
        <f t="shared" si="2"/>
        <v>الهام صمدی</v>
      </c>
      <c r="G89" s="304" t="s">
        <v>413</v>
      </c>
      <c r="H89" s="463" t="s">
        <v>426</v>
      </c>
      <c r="I89" s="302"/>
      <c r="J89" s="464">
        <v>1106000</v>
      </c>
      <c r="K89" s="338"/>
    </row>
    <row r="90" spans="1:11" ht="15.75" customHeight="1">
      <c r="A90" s="291" t="s">
        <v>458</v>
      </c>
      <c r="B90" s="293">
        <v>88</v>
      </c>
      <c r="C90" s="303"/>
      <c r="D90" s="303"/>
      <c r="E90" s="302" t="s">
        <v>145</v>
      </c>
      <c r="F90" s="295" t="str">
        <f t="shared" si="2"/>
        <v>هزینه کلی موسسه</v>
      </c>
      <c r="G90" s="304" t="s">
        <v>427</v>
      </c>
      <c r="H90" s="316" t="s">
        <v>428</v>
      </c>
      <c r="I90" s="302"/>
      <c r="J90" s="348">
        <v>6012000</v>
      </c>
      <c r="K90" s="338"/>
    </row>
    <row r="91" spans="1:11" ht="15.75" customHeight="1">
      <c r="A91" s="291" t="s">
        <v>458</v>
      </c>
      <c r="B91" s="293">
        <v>89</v>
      </c>
      <c r="C91" s="303"/>
      <c r="D91" s="303"/>
      <c r="E91" s="302" t="s">
        <v>145</v>
      </c>
      <c r="F91" s="295" t="str">
        <f t="shared" si="2"/>
        <v>هزینه کلی موسسه</v>
      </c>
      <c r="G91" s="304" t="s">
        <v>429</v>
      </c>
      <c r="H91" s="316" t="s">
        <v>430</v>
      </c>
      <c r="I91" s="302"/>
      <c r="J91" s="348">
        <v>200000</v>
      </c>
      <c r="K91" s="338"/>
    </row>
    <row r="92" spans="1:11" ht="15.75" customHeight="1">
      <c r="A92" s="291" t="s">
        <v>458</v>
      </c>
      <c r="B92" s="293">
        <v>90</v>
      </c>
      <c r="C92" s="303"/>
      <c r="D92" s="303"/>
      <c r="E92" s="302" t="s">
        <v>145</v>
      </c>
      <c r="F92" s="295" t="str">
        <f t="shared" si="2"/>
        <v>هزینه کلی موسسه</v>
      </c>
      <c r="G92" s="304" t="s">
        <v>431</v>
      </c>
      <c r="H92" s="316" t="s">
        <v>430</v>
      </c>
      <c r="I92" s="302"/>
      <c r="J92" s="348">
        <v>4691600</v>
      </c>
      <c r="K92" s="338"/>
    </row>
    <row r="93" spans="1:11" ht="15.75" customHeight="1">
      <c r="A93" s="291" t="s">
        <v>458</v>
      </c>
      <c r="B93" s="293">
        <v>91</v>
      </c>
      <c r="C93" s="303"/>
      <c r="D93" s="303"/>
      <c r="E93" s="302" t="s">
        <v>145</v>
      </c>
      <c r="F93" s="295" t="str">
        <f t="shared" si="2"/>
        <v>هزینه کلی موسسه</v>
      </c>
      <c r="G93" s="304" t="s">
        <v>432</v>
      </c>
      <c r="H93" s="316" t="s">
        <v>430</v>
      </c>
      <c r="I93" s="302"/>
      <c r="J93" s="348">
        <v>4413600</v>
      </c>
      <c r="K93" s="338"/>
    </row>
    <row r="94" spans="1:11" ht="15.75" customHeight="1">
      <c r="A94" s="291" t="s">
        <v>458</v>
      </c>
      <c r="B94" s="293">
        <v>92</v>
      </c>
      <c r="C94" s="303"/>
      <c r="D94" s="303"/>
      <c r="E94" s="302" t="s">
        <v>145</v>
      </c>
      <c r="F94" s="295" t="str">
        <f t="shared" si="2"/>
        <v>هزینه کلی موسسه</v>
      </c>
      <c r="G94" s="304" t="s">
        <v>433</v>
      </c>
      <c r="H94" s="316" t="s">
        <v>430</v>
      </c>
      <c r="I94" s="302"/>
      <c r="J94" s="348">
        <v>157500</v>
      </c>
      <c r="K94" s="338"/>
    </row>
    <row r="95" spans="1:11" ht="15.75" customHeight="1">
      <c r="A95" s="291" t="s">
        <v>458</v>
      </c>
      <c r="B95" s="293">
        <v>93</v>
      </c>
      <c r="C95" s="303"/>
      <c r="D95" s="303"/>
      <c r="E95" s="302" t="s">
        <v>145</v>
      </c>
      <c r="F95" s="295" t="str">
        <f t="shared" si="2"/>
        <v>هزینه کلی موسسه</v>
      </c>
      <c r="G95" s="304" t="s">
        <v>434</v>
      </c>
      <c r="H95" s="316" t="s">
        <v>353</v>
      </c>
      <c r="I95" s="302"/>
      <c r="J95" s="348">
        <v>36000</v>
      </c>
      <c r="K95" s="338"/>
    </row>
    <row r="96" spans="1:11" ht="15.75" customHeight="1">
      <c r="A96" s="291" t="s">
        <v>458</v>
      </c>
      <c r="B96" s="293">
        <v>94</v>
      </c>
      <c r="C96" s="303"/>
      <c r="D96" s="303"/>
      <c r="E96" s="302" t="s">
        <v>145</v>
      </c>
      <c r="F96" s="295" t="str">
        <f t="shared" si="2"/>
        <v>هزینه کلی موسسه</v>
      </c>
      <c r="G96" s="304" t="s">
        <v>435</v>
      </c>
      <c r="H96" s="316" t="s">
        <v>436</v>
      </c>
      <c r="I96" s="302"/>
      <c r="J96" s="348">
        <v>1500000</v>
      </c>
      <c r="K96" s="338"/>
    </row>
    <row r="97" spans="1:11" ht="15.75" customHeight="1">
      <c r="A97" s="291" t="s">
        <v>458</v>
      </c>
      <c r="B97" s="293">
        <v>95</v>
      </c>
      <c r="C97" s="303"/>
      <c r="D97" s="303"/>
      <c r="E97" s="302" t="s">
        <v>146</v>
      </c>
      <c r="F97" s="295" t="str">
        <f t="shared" si="2"/>
        <v>هزینه کلی به مددجویان</v>
      </c>
      <c r="G97" s="304" t="s">
        <v>437</v>
      </c>
      <c r="H97" s="316" t="s">
        <v>438</v>
      </c>
      <c r="I97" s="302"/>
      <c r="J97" s="348">
        <v>50402500</v>
      </c>
      <c r="K97" s="338"/>
    </row>
    <row r="98" spans="1:11" ht="15.75" customHeight="1">
      <c r="A98" s="291" t="s">
        <v>458</v>
      </c>
      <c r="B98" s="293">
        <v>96</v>
      </c>
      <c r="C98" s="303"/>
      <c r="D98" s="303"/>
      <c r="E98" s="302">
        <v>25</v>
      </c>
      <c r="F98" s="295" t="str">
        <f t="shared" si="2"/>
        <v>مبینا عباسی</v>
      </c>
      <c r="G98" s="304" t="s">
        <v>439</v>
      </c>
      <c r="H98" s="316" t="s">
        <v>438</v>
      </c>
      <c r="I98" s="302"/>
      <c r="J98" s="348">
        <v>5070000</v>
      </c>
      <c r="K98" s="338"/>
    </row>
    <row r="99" spans="1:11" ht="15.75" customHeight="1">
      <c r="A99" s="291" t="s">
        <v>458</v>
      </c>
      <c r="B99" s="293">
        <v>97</v>
      </c>
      <c r="C99" s="303"/>
      <c r="D99" s="303"/>
      <c r="E99" s="302">
        <v>12</v>
      </c>
      <c r="F99" s="462" t="str">
        <f t="shared" si="2"/>
        <v>الهام صمدی</v>
      </c>
      <c r="G99" s="304" t="s">
        <v>440</v>
      </c>
      <c r="H99" s="463" t="s">
        <v>441</v>
      </c>
      <c r="I99" s="302"/>
      <c r="J99" s="464">
        <v>26500000</v>
      </c>
      <c r="K99" s="338"/>
    </row>
    <row r="100" spans="1:11" ht="15.75" customHeight="1">
      <c r="A100" s="291" t="s">
        <v>458</v>
      </c>
      <c r="B100" s="293">
        <v>98</v>
      </c>
      <c r="C100" s="303"/>
      <c r="D100" s="303"/>
      <c r="E100" s="302" t="s">
        <v>145</v>
      </c>
      <c r="F100" s="295" t="str">
        <f t="shared" si="2"/>
        <v>هزینه کلی موسسه</v>
      </c>
      <c r="G100" s="304" t="s">
        <v>442</v>
      </c>
      <c r="H100" s="316" t="s">
        <v>443</v>
      </c>
      <c r="I100" s="302"/>
      <c r="J100" s="348">
        <v>1426000</v>
      </c>
      <c r="K100" s="338"/>
    </row>
    <row r="101" spans="1:11" ht="15.75" customHeight="1">
      <c r="A101" s="291" t="s">
        <v>458</v>
      </c>
      <c r="B101" s="293">
        <v>99</v>
      </c>
      <c r="C101" s="303"/>
      <c r="D101" s="303"/>
      <c r="E101" s="302" t="s">
        <v>145</v>
      </c>
      <c r="F101" s="295" t="str">
        <f t="shared" si="2"/>
        <v>هزینه کلی موسسه</v>
      </c>
      <c r="G101" s="304" t="s">
        <v>444</v>
      </c>
      <c r="H101" s="316" t="s">
        <v>443</v>
      </c>
      <c r="I101" s="302"/>
      <c r="J101" s="348">
        <v>1000000</v>
      </c>
      <c r="K101" s="338"/>
    </row>
    <row r="102" spans="1:11" ht="15.75" customHeight="1">
      <c r="A102" s="291" t="s">
        <v>458</v>
      </c>
      <c r="B102" s="293">
        <v>100</v>
      </c>
      <c r="C102" s="303"/>
      <c r="D102" s="303"/>
      <c r="E102" s="302" t="s">
        <v>146</v>
      </c>
      <c r="F102" s="295" t="str">
        <f t="shared" si="2"/>
        <v>هزینه کلی به مددجویان</v>
      </c>
      <c r="G102" s="304" t="s">
        <v>822</v>
      </c>
      <c r="H102" s="316" t="s">
        <v>823</v>
      </c>
      <c r="I102" s="302"/>
      <c r="J102" s="348">
        <v>5006000</v>
      </c>
      <c r="K102" s="338"/>
    </row>
    <row r="103" spans="1:11" ht="15.75" customHeight="1">
      <c r="A103" s="291" t="s">
        <v>458</v>
      </c>
      <c r="B103" s="293">
        <v>101</v>
      </c>
      <c r="C103" s="303"/>
      <c r="D103" s="303"/>
      <c r="E103" s="302" t="s">
        <v>146</v>
      </c>
      <c r="F103" s="295" t="str">
        <f t="shared" si="2"/>
        <v>هزینه کلی به مددجویان</v>
      </c>
      <c r="G103" s="304" t="s">
        <v>824</v>
      </c>
      <c r="H103" s="316" t="s">
        <v>805</v>
      </c>
      <c r="I103" s="302"/>
      <c r="J103" s="348">
        <v>21270000</v>
      </c>
      <c r="K103" s="338"/>
    </row>
    <row r="104" spans="1:11" ht="15.75" customHeight="1">
      <c r="A104" s="291" t="s">
        <v>458</v>
      </c>
      <c r="B104" s="293">
        <v>102</v>
      </c>
      <c r="C104" s="303"/>
      <c r="D104" s="303"/>
      <c r="E104" s="302" t="s">
        <v>145</v>
      </c>
      <c r="F104" s="295" t="str">
        <f t="shared" si="2"/>
        <v>هزینه کلی موسسه</v>
      </c>
      <c r="G104" s="304" t="s">
        <v>825</v>
      </c>
      <c r="H104" s="316" t="s">
        <v>805</v>
      </c>
      <c r="I104" s="302"/>
      <c r="J104" s="348">
        <v>4206000</v>
      </c>
      <c r="K104" s="338"/>
    </row>
    <row r="105" spans="1:11" ht="15.75" customHeight="1">
      <c r="A105" s="291" t="s">
        <v>458</v>
      </c>
      <c r="B105" s="293">
        <v>103</v>
      </c>
      <c r="C105" s="303"/>
      <c r="D105" s="303"/>
      <c r="E105" s="302" t="s">
        <v>145</v>
      </c>
      <c r="F105" s="295" t="str">
        <f t="shared" si="2"/>
        <v>هزینه کلی موسسه</v>
      </c>
      <c r="G105" s="304" t="s">
        <v>826</v>
      </c>
      <c r="H105" s="316" t="s">
        <v>806</v>
      </c>
      <c r="I105" s="302"/>
      <c r="J105" s="348">
        <v>6006000</v>
      </c>
      <c r="K105" s="338"/>
    </row>
    <row r="106" spans="1:11" ht="15.75" customHeight="1">
      <c r="A106" s="291" t="s">
        <v>458</v>
      </c>
      <c r="B106" s="293">
        <v>104</v>
      </c>
      <c r="C106" s="303"/>
      <c r="D106" s="303"/>
      <c r="E106" s="302" t="s">
        <v>146</v>
      </c>
      <c r="F106" s="295" t="str">
        <f t="shared" si="2"/>
        <v>هزینه کلی به مددجویان</v>
      </c>
      <c r="G106" s="304" t="s">
        <v>828</v>
      </c>
      <c r="H106" s="316" t="s">
        <v>808</v>
      </c>
      <c r="I106" s="302"/>
      <c r="J106" s="348">
        <v>150000000</v>
      </c>
      <c r="K106" s="338"/>
    </row>
    <row r="107" spans="1:11" ht="15.75" customHeight="1">
      <c r="A107" s="291" t="s">
        <v>458</v>
      </c>
      <c r="B107" s="293">
        <v>105</v>
      </c>
      <c r="C107" s="303"/>
      <c r="D107" s="303"/>
      <c r="E107" s="302">
        <v>12</v>
      </c>
      <c r="F107" s="462" t="str">
        <f t="shared" si="2"/>
        <v>الهام صمدی</v>
      </c>
      <c r="G107" s="304" t="s">
        <v>413</v>
      </c>
      <c r="H107" s="463" t="s">
        <v>809</v>
      </c>
      <c r="I107" s="302"/>
      <c r="J107" s="464">
        <v>450000</v>
      </c>
      <c r="K107" s="338"/>
    </row>
    <row r="108" spans="1:11" ht="15.75" customHeight="1">
      <c r="A108" s="291" t="s">
        <v>458</v>
      </c>
      <c r="B108" s="293">
        <v>106</v>
      </c>
      <c r="C108" s="303"/>
      <c r="D108" s="303"/>
      <c r="E108" s="302" t="s">
        <v>145</v>
      </c>
      <c r="F108" s="295" t="str">
        <f t="shared" si="2"/>
        <v>هزینه کلی موسسه</v>
      </c>
      <c r="G108" s="304" t="s">
        <v>829</v>
      </c>
      <c r="H108" s="316" t="s">
        <v>809</v>
      </c>
      <c r="I108" s="302"/>
      <c r="J108" s="348">
        <v>4006000</v>
      </c>
      <c r="K108" s="338"/>
    </row>
    <row r="109" spans="1:11" ht="15.75" customHeight="1">
      <c r="A109" s="291" t="s">
        <v>458</v>
      </c>
      <c r="B109" s="293">
        <v>107</v>
      </c>
      <c r="C109" s="303"/>
      <c r="D109" s="303"/>
      <c r="E109" s="302" t="s">
        <v>145</v>
      </c>
      <c r="F109" s="295" t="str">
        <f t="shared" si="2"/>
        <v>هزینه کلی موسسه</v>
      </c>
      <c r="G109" s="304" t="s">
        <v>827</v>
      </c>
      <c r="H109" s="316" t="s">
        <v>809</v>
      </c>
      <c r="I109" s="302"/>
      <c r="J109" s="348">
        <v>1326000</v>
      </c>
      <c r="K109" s="338"/>
    </row>
    <row r="110" spans="1:11" ht="15.75" customHeight="1">
      <c r="A110" s="291" t="s">
        <v>458</v>
      </c>
      <c r="B110" s="293">
        <v>108</v>
      </c>
      <c r="C110" s="303"/>
      <c r="D110" s="303"/>
      <c r="E110" s="302" t="s">
        <v>145</v>
      </c>
      <c r="F110" s="295" t="str">
        <f t="shared" si="2"/>
        <v>هزینه کلی موسسه</v>
      </c>
      <c r="G110" s="304" t="s">
        <v>830</v>
      </c>
      <c r="H110" s="316" t="s">
        <v>785</v>
      </c>
      <c r="I110" s="302"/>
      <c r="J110" s="348">
        <v>2846000</v>
      </c>
      <c r="K110" s="338"/>
    </row>
    <row r="111" spans="1:11" ht="15.75" customHeight="1">
      <c r="A111" s="291" t="s">
        <v>458</v>
      </c>
      <c r="B111" s="293">
        <v>109</v>
      </c>
      <c r="C111" s="303"/>
      <c r="D111" s="303"/>
      <c r="E111" s="302" t="s">
        <v>145</v>
      </c>
      <c r="F111" s="295" t="str">
        <f t="shared" si="2"/>
        <v>هزینه کلی موسسه</v>
      </c>
      <c r="G111" s="304" t="s">
        <v>831</v>
      </c>
      <c r="H111" s="316" t="s">
        <v>785</v>
      </c>
      <c r="I111" s="302"/>
      <c r="J111" s="348">
        <v>6006000</v>
      </c>
      <c r="K111" s="338"/>
    </row>
    <row r="112" spans="1:11" ht="15.75" customHeight="1">
      <c r="A112" s="291" t="s">
        <v>458</v>
      </c>
      <c r="B112" s="293">
        <v>110</v>
      </c>
      <c r="C112" s="303"/>
      <c r="D112" s="303"/>
      <c r="E112" s="302" t="s">
        <v>145</v>
      </c>
      <c r="F112" s="295" t="str">
        <f t="shared" si="2"/>
        <v>هزینه کلی موسسه</v>
      </c>
      <c r="G112" s="304" t="s">
        <v>832</v>
      </c>
      <c r="H112" s="316" t="s">
        <v>785</v>
      </c>
      <c r="I112" s="302"/>
      <c r="J112" s="348">
        <v>596000</v>
      </c>
      <c r="K112" s="338"/>
    </row>
    <row r="113" spans="1:11" ht="15.75" customHeight="1">
      <c r="A113" s="291" t="s">
        <v>458</v>
      </c>
      <c r="B113" s="293">
        <v>111</v>
      </c>
      <c r="C113" s="303"/>
      <c r="D113" s="303"/>
      <c r="E113" s="302" t="s">
        <v>145</v>
      </c>
      <c r="F113" s="295" t="str">
        <f t="shared" si="2"/>
        <v>هزینه کلی موسسه</v>
      </c>
      <c r="G113" s="304" t="s">
        <v>827</v>
      </c>
      <c r="H113" s="316" t="s">
        <v>785</v>
      </c>
      <c r="I113" s="302"/>
      <c r="J113" s="348">
        <v>626000</v>
      </c>
      <c r="K113" s="338"/>
    </row>
    <row r="114" spans="1:11" ht="16">
      <c r="A114" s="291" t="s">
        <v>458</v>
      </c>
      <c r="B114" s="293">
        <v>112</v>
      </c>
      <c r="C114" s="303" t="str">
        <f>MID('ریزهزینه کرد مددجوها'!$H114,6,2)</f>
        <v>09</v>
      </c>
      <c r="D114" s="303" t="str">
        <f>MID('ریزهزینه کرد مددجوها'!$H114,1,4)</f>
        <v>1401</v>
      </c>
      <c r="E114" s="302">
        <v>6</v>
      </c>
      <c r="F114" s="295" t="str">
        <f t="shared" si="2"/>
        <v>راضیه رضاپور</v>
      </c>
      <c r="G114" s="304" t="s">
        <v>833</v>
      </c>
      <c r="H114" s="316" t="s">
        <v>820</v>
      </c>
      <c r="I114" s="302"/>
      <c r="J114" s="348">
        <v>1606000</v>
      </c>
      <c r="K114" s="338"/>
    </row>
    <row r="115" spans="1:11" ht="15.75" customHeight="1">
      <c r="A115" s="291" t="s">
        <v>458</v>
      </c>
      <c r="B115" s="293">
        <v>113</v>
      </c>
      <c r="C115" s="303"/>
      <c r="D115" s="303"/>
      <c r="E115" s="302" t="s">
        <v>146</v>
      </c>
      <c r="F115" s="295" t="str">
        <f t="shared" si="2"/>
        <v>هزینه کلی به مددجویان</v>
      </c>
      <c r="G115" s="304" t="s">
        <v>1166</v>
      </c>
      <c r="H115" s="316" t="s">
        <v>1167</v>
      </c>
      <c r="I115" s="302"/>
      <c r="J115" s="348">
        <v>600000</v>
      </c>
      <c r="K115" s="338"/>
    </row>
    <row r="116" spans="1:11" ht="15.75" customHeight="1">
      <c r="A116" s="291" t="s">
        <v>458</v>
      </c>
      <c r="B116" s="293">
        <v>114</v>
      </c>
      <c r="C116" s="303"/>
      <c r="D116" s="303"/>
      <c r="E116" s="302">
        <v>30</v>
      </c>
      <c r="F116" s="295" t="str">
        <f t="shared" si="2"/>
        <v>مبینا علیزاده</v>
      </c>
      <c r="G116" s="304" t="s">
        <v>1168</v>
      </c>
      <c r="H116" s="316" t="s">
        <v>1167</v>
      </c>
      <c r="I116" s="302"/>
      <c r="J116" s="348">
        <v>2006000</v>
      </c>
      <c r="K116" s="338"/>
    </row>
    <row r="117" spans="1:11" ht="15.75" customHeight="1">
      <c r="A117" s="291" t="s">
        <v>458</v>
      </c>
      <c r="B117" s="293">
        <v>115</v>
      </c>
      <c r="C117" s="303"/>
      <c r="D117" s="303"/>
      <c r="E117" s="302" t="s">
        <v>145</v>
      </c>
      <c r="F117" s="295" t="str">
        <f t="shared" si="2"/>
        <v>هزینه کلی موسسه</v>
      </c>
      <c r="G117" s="304" t="s">
        <v>1169</v>
      </c>
      <c r="H117" s="316" t="s">
        <v>836</v>
      </c>
      <c r="I117" s="302"/>
      <c r="J117" s="348">
        <v>2006000</v>
      </c>
      <c r="K117" s="338"/>
    </row>
    <row r="118" spans="1:11" ht="15.75" customHeight="1">
      <c r="A118" s="291" t="s">
        <v>458</v>
      </c>
      <c r="B118" s="293">
        <v>116</v>
      </c>
      <c r="C118" s="303"/>
      <c r="D118" s="303"/>
      <c r="E118" s="302" t="s">
        <v>146</v>
      </c>
      <c r="F118" s="295" t="str">
        <f t="shared" si="2"/>
        <v>هزینه کلی به مددجویان</v>
      </c>
      <c r="G118" s="304" t="s">
        <v>1170</v>
      </c>
      <c r="H118" s="316" t="s">
        <v>847</v>
      </c>
      <c r="I118" s="302"/>
      <c r="J118" s="348">
        <v>37253200</v>
      </c>
      <c r="K118" s="338"/>
    </row>
    <row r="119" spans="1:11" ht="15.75" customHeight="1">
      <c r="A119" s="291" t="s">
        <v>458</v>
      </c>
      <c r="B119" s="293">
        <v>117</v>
      </c>
      <c r="C119" s="303"/>
      <c r="D119" s="303"/>
      <c r="E119" s="302" t="s">
        <v>146</v>
      </c>
      <c r="F119" s="295" t="str">
        <f t="shared" si="2"/>
        <v>هزینه کلی به مددجویان</v>
      </c>
      <c r="G119" s="304" t="s">
        <v>1171</v>
      </c>
      <c r="H119" s="316" t="s">
        <v>847</v>
      </c>
      <c r="I119" s="302"/>
      <c r="J119" s="348">
        <v>6506000</v>
      </c>
      <c r="K119" s="338"/>
    </row>
    <row r="120" spans="1:11" ht="15.75" customHeight="1">
      <c r="A120" s="291" t="s">
        <v>458</v>
      </c>
      <c r="B120" s="293">
        <v>118</v>
      </c>
      <c r="C120" s="303"/>
      <c r="D120" s="303"/>
      <c r="E120" s="302" t="s">
        <v>146</v>
      </c>
      <c r="F120" s="295" t="str">
        <f t="shared" si="2"/>
        <v>هزینه کلی به مددجویان</v>
      </c>
      <c r="G120" s="304" t="s">
        <v>1172</v>
      </c>
      <c r="H120" s="316" t="s">
        <v>852</v>
      </c>
      <c r="I120" s="302"/>
      <c r="J120" s="348">
        <v>2280000</v>
      </c>
      <c r="K120" s="338"/>
    </row>
    <row r="121" spans="1:11" ht="15.75" customHeight="1">
      <c r="A121" s="291" t="s">
        <v>458</v>
      </c>
      <c r="B121" s="293">
        <v>119</v>
      </c>
      <c r="C121" s="303"/>
      <c r="D121" s="303"/>
      <c r="E121" s="302" t="s">
        <v>146</v>
      </c>
      <c r="F121" s="295" t="str">
        <f t="shared" si="2"/>
        <v>هزینه کلی به مددجویان</v>
      </c>
      <c r="G121" s="304" t="s">
        <v>1172</v>
      </c>
      <c r="H121" s="316" t="s">
        <v>852</v>
      </c>
      <c r="I121" s="302"/>
      <c r="J121" s="348">
        <v>330000</v>
      </c>
      <c r="K121" s="338"/>
    </row>
    <row r="122" spans="1:11" ht="15.75" customHeight="1">
      <c r="A122" s="291" t="s">
        <v>458</v>
      </c>
      <c r="B122" s="293">
        <v>120</v>
      </c>
      <c r="C122" s="303"/>
      <c r="D122" s="303"/>
      <c r="E122" s="302" t="s">
        <v>146</v>
      </c>
      <c r="F122" s="295" t="str">
        <f t="shared" si="2"/>
        <v>هزینه کلی به مددجویان</v>
      </c>
      <c r="G122" s="304" t="s">
        <v>1172</v>
      </c>
      <c r="H122" s="316" t="s">
        <v>852</v>
      </c>
      <c r="I122" s="302"/>
      <c r="J122" s="348">
        <v>2210000</v>
      </c>
      <c r="K122" s="338"/>
    </row>
    <row r="123" spans="1:11" ht="15.75" customHeight="1">
      <c r="A123" s="291" t="s">
        <v>458</v>
      </c>
      <c r="B123" s="293">
        <v>121</v>
      </c>
      <c r="C123" s="303"/>
      <c r="D123" s="303"/>
      <c r="E123" s="302" t="s">
        <v>146</v>
      </c>
      <c r="F123" s="295" t="str">
        <f t="shared" si="2"/>
        <v>هزینه کلی به مددجویان</v>
      </c>
      <c r="G123" s="304" t="s">
        <v>1172</v>
      </c>
      <c r="H123" s="316" t="s">
        <v>852</v>
      </c>
      <c r="I123" s="302"/>
      <c r="J123" s="348">
        <v>1280000</v>
      </c>
      <c r="K123" s="338"/>
    </row>
    <row r="124" spans="1:11" ht="15.75" customHeight="1">
      <c r="A124" s="291" t="s">
        <v>458</v>
      </c>
      <c r="B124" s="293">
        <v>122</v>
      </c>
      <c r="C124" s="303"/>
      <c r="D124" s="303"/>
      <c r="E124" s="302" t="s">
        <v>146</v>
      </c>
      <c r="F124" s="295" t="str">
        <f t="shared" si="2"/>
        <v>هزینه کلی به مددجویان</v>
      </c>
      <c r="G124" s="304" t="s">
        <v>1173</v>
      </c>
      <c r="H124" s="316" t="s">
        <v>1174</v>
      </c>
      <c r="I124" s="302"/>
      <c r="J124" s="348">
        <v>5881000</v>
      </c>
      <c r="K124" s="338"/>
    </row>
    <row r="125" spans="1:11" ht="15.75" customHeight="1">
      <c r="A125" s="291" t="s">
        <v>458</v>
      </c>
      <c r="B125" s="293">
        <v>123</v>
      </c>
      <c r="C125" s="303"/>
      <c r="D125" s="303"/>
      <c r="E125" s="302" t="s">
        <v>146</v>
      </c>
      <c r="F125" s="295" t="str">
        <f t="shared" si="2"/>
        <v>هزینه کلی به مددجویان</v>
      </c>
      <c r="G125" s="304" t="s">
        <v>1175</v>
      </c>
      <c r="H125" s="316" t="s">
        <v>857</v>
      </c>
      <c r="I125" s="302"/>
      <c r="J125" s="348">
        <v>43515600</v>
      </c>
      <c r="K125" s="338"/>
    </row>
    <row r="126" spans="1:11" ht="15.75" customHeight="1">
      <c r="A126" s="291" t="s">
        <v>458</v>
      </c>
      <c r="B126" s="293">
        <v>124</v>
      </c>
      <c r="C126" s="303"/>
      <c r="D126" s="303"/>
      <c r="E126" s="302" t="s">
        <v>146</v>
      </c>
      <c r="F126" s="295" t="str">
        <f t="shared" si="2"/>
        <v>هزینه کلی به مددجویان</v>
      </c>
      <c r="G126" s="304" t="s">
        <v>1176</v>
      </c>
      <c r="H126" s="316" t="s">
        <v>857</v>
      </c>
      <c r="I126" s="302"/>
      <c r="J126" s="348">
        <v>506000</v>
      </c>
      <c r="K126" s="338"/>
    </row>
    <row r="127" spans="1:11" ht="15.75" customHeight="1">
      <c r="A127" s="291" t="s">
        <v>458</v>
      </c>
      <c r="B127" s="293">
        <v>125</v>
      </c>
      <c r="C127" s="303"/>
      <c r="D127" s="303"/>
      <c r="E127" s="302" t="s">
        <v>145</v>
      </c>
      <c r="F127" s="295" t="str">
        <f t="shared" si="2"/>
        <v>هزینه کلی موسسه</v>
      </c>
      <c r="G127" s="304" t="s">
        <v>1177</v>
      </c>
      <c r="H127" s="316" t="s">
        <v>1178</v>
      </c>
      <c r="I127" s="302"/>
      <c r="J127" s="348">
        <v>80000</v>
      </c>
      <c r="K127" s="338"/>
    </row>
    <row r="128" spans="1:11" ht="15.75" customHeight="1">
      <c r="A128" s="291" t="s">
        <v>458</v>
      </c>
      <c r="B128" s="293">
        <v>126</v>
      </c>
      <c r="C128" s="303"/>
      <c r="D128" s="303"/>
      <c r="E128" s="302" t="s">
        <v>145</v>
      </c>
      <c r="F128" s="295" t="str">
        <f t="shared" si="2"/>
        <v>هزینه کلی موسسه</v>
      </c>
      <c r="G128" s="304" t="s">
        <v>1179</v>
      </c>
      <c r="H128" s="316" t="s">
        <v>859</v>
      </c>
      <c r="I128" s="302"/>
      <c r="J128" s="348">
        <v>366000</v>
      </c>
      <c r="K128" s="338"/>
    </row>
    <row r="129" spans="1:11" ht="15.75" customHeight="1">
      <c r="A129" s="291" t="s">
        <v>458</v>
      </c>
      <c r="B129" s="293">
        <v>127</v>
      </c>
      <c r="C129" s="303"/>
      <c r="D129" s="303"/>
      <c r="E129" s="302">
        <v>22</v>
      </c>
      <c r="F129" s="295" t="str">
        <f t="shared" si="2"/>
        <v>مهدبار نماز</v>
      </c>
      <c r="G129" s="304" t="s">
        <v>1180</v>
      </c>
      <c r="H129" s="316" t="s">
        <v>859</v>
      </c>
      <c r="I129" s="302"/>
      <c r="J129" s="348">
        <v>506000</v>
      </c>
      <c r="K129" s="338"/>
    </row>
    <row r="130" spans="1:11" ht="15.75" customHeight="1">
      <c r="A130" s="291" t="s">
        <v>458</v>
      </c>
      <c r="B130" s="293">
        <v>128</v>
      </c>
      <c r="C130" s="303"/>
      <c r="D130" s="303"/>
      <c r="E130" s="302">
        <v>10</v>
      </c>
      <c r="F130" s="295" t="str">
        <f t="shared" si="2"/>
        <v>مریم رحمانی</v>
      </c>
      <c r="G130" s="304" t="s">
        <v>1181</v>
      </c>
      <c r="H130" s="316" t="s">
        <v>859</v>
      </c>
      <c r="I130" s="302"/>
      <c r="J130" s="348">
        <v>3006000</v>
      </c>
      <c r="K130" s="338"/>
    </row>
    <row r="131" spans="1:11" ht="15.75" customHeight="1">
      <c r="A131" s="291" t="s">
        <v>458</v>
      </c>
      <c r="B131" s="293">
        <v>129</v>
      </c>
      <c r="C131" s="303"/>
      <c r="D131" s="303"/>
      <c r="E131" s="302">
        <v>30</v>
      </c>
      <c r="F131" s="295" t="str">
        <f t="shared" si="2"/>
        <v>مبینا علیزاده</v>
      </c>
      <c r="G131" s="304" t="s">
        <v>1182</v>
      </c>
      <c r="H131" s="316" t="s">
        <v>859</v>
      </c>
      <c r="I131" s="302"/>
      <c r="J131" s="348">
        <v>3150000</v>
      </c>
      <c r="K131" s="338"/>
    </row>
    <row r="132" spans="1:11" ht="15.75" customHeight="1">
      <c r="A132" s="291" t="s">
        <v>458</v>
      </c>
      <c r="B132" s="293">
        <v>130</v>
      </c>
      <c r="C132" s="303"/>
      <c r="D132" s="303"/>
      <c r="E132" s="302" t="s">
        <v>145</v>
      </c>
      <c r="F132" s="295" t="str">
        <f t="shared" si="2"/>
        <v>هزینه کلی موسسه</v>
      </c>
      <c r="G132" s="304" t="s">
        <v>1183</v>
      </c>
      <c r="H132" s="316" t="s">
        <v>1184</v>
      </c>
      <c r="I132" s="302"/>
      <c r="J132" s="348">
        <v>3506000</v>
      </c>
      <c r="K132" s="338"/>
    </row>
    <row r="133" spans="1:11" ht="15.75" customHeight="1">
      <c r="A133" s="291" t="s">
        <v>458</v>
      </c>
      <c r="B133" s="293">
        <v>131</v>
      </c>
      <c r="C133" s="303"/>
      <c r="D133" s="303"/>
      <c r="E133" s="302" t="s">
        <v>145</v>
      </c>
      <c r="F133" s="295" t="str">
        <f t="shared" si="2"/>
        <v>هزینه کلی موسسه</v>
      </c>
      <c r="G133" s="304" t="s">
        <v>1185</v>
      </c>
      <c r="H133" s="316" t="s">
        <v>1184</v>
      </c>
      <c r="I133" s="302"/>
      <c r="J133" s="348">
        <v>1050000</v>
      </c>
      <c r="K133" s="338"/>
    </row>
    <row r="134" spans="1:11" ht="15.75" customHeight="1">
      <c r="A134" s="291" t="s">
        <v>458</v>
      </c>
      <c r="B134" s="293">
        <v>132</v>
      </c>
      <c r="C134" s="303"/>
      <c r="D134" s="303"/>
      <c r="E134" s="302">
        <v>11</v>
      </c>
      <c r="F134" s="295" t="str">
        <f t="shared" si="2"/>
        <v>ناهید کمالی گروی</v>
      </c>
      <c r="G134" s="304" t="s">
        <v>1186</v>
      </c>
      <c r="H134" s="316" t="s">
        <v>1187</v>
      </c>
      <c r="I134" s="302"/>
      <c r="J134" s="348">
        <v>456000</v>
      </c>
      <c r="K134" s="338"/>
    </row>
    <row r="135" spans="1:11" ht="15.75" customHeight="1">
      <c r="A135" s="291" t="s">
        <v>458</v>
      </c>
      <c r="B135" s="293">
        <v>133</v>
      </c>
      <c r="C135" s="303"/>
      <c r="D135" s="303"/>
      <c r="E135" s="302" t="s">
        <v>146</v>
      </c>
      <c r="F135" s="295" t="str">
        <f t="shared" si="2"/>
        <v>هزینه کلی به مددجویان</v>
      </c>
      <c r="G135" s="304" t="s">
        <v>1188</v>
      </c>
      <c r="H135" s="316" t="s">
        <v>863</v>
      </c>
      <c r="I135" s="302"/>
      <c r="J135" s="348">
        <v>5286000</v>
      </c>
      <c r="K135" s="338"/>
    </row>
    <row r="136" spans="1:11" ht="15.75" customHeight="1">
      <c r="A136" s="291" t="s">
        <v>458</v>
      </c>
      <c r="B136" s="293">
        <v>134</v>
      </c>
      <c r="C136" s="303"/>
      <c r="D136" s="303"/>
      <c r="E136" s="302" t="s">
        <v>146</v>
      </c>
      <c r="F136" s="295" t="str">
        <f t="shared" si="2"/>
        <v>هزینه کلی به مددجویان</v>
      </c>
      <c r="G136" s="304" t="s">
        <v>1189</v>
      </c>
      <c r="H136" s="316" t="s">
        <v>863</v>
      </c>
      <c r="I136" s="302"/>
      <c r="J136" s="348">
        <v>5406000</v>
      </c>
      <c r="K136" s="338"/>
    </row>
    <row r="137" spans="1:11" ht="15.75" customHeight="1">
      <c r="A137" s="291" t="s">
        <v>458</v>
      </c>
      <c r="B137" s="293">
        <v>135</v>
      </c>
      <c r="C137" s="303"/>
      <c r="D137" s="303"/>
      <c r="E137" s="302" t="s">
        <v>145</v>
      </c>
      <c r="F137" s="295" t="str">
        <f t="shared" si="2"/>
        <v>هزینه کلی موسسه</v>
      </c>
      <c r="G137" s="304" t="s">
        <v>1190</v>
      </c>
      <c r="H137" s="316" t="s">
        <v>874</v>
      </c>
      <c r="I137" s="302"/>
      <c r="J137" s="348">
        <v>7580000</v>
      </c>
      <c r="K137" s="338"/>
    </row>
    <row r="138" spans="1:11" ht="15.75" customHeight="1">
      <c r="A138" s="291" t="s">
        <v>458</v>
      </c>
      <c r="B138" s="293">
        <v>136</v>
      </c>
      <c r="C138" s="303"/>
      <c r="D138" s="303"/>
      <c r="E138" s="302" t="s">
        <v>145</v>
      </c>
      <c r="F138" s="295" t="str">
        <f t="shared" si="2"/>
        <v>هزینه کلی موسسه</v>
      </c>
      <c r="G138" s="304" t="s">
        <v>1191</v>
      </c>
      <c r="H138" s="316" t="s">
        <v>1192</v>
      </c>
      <c r="I138" s="302"/>
      <c r="J138" s="348">
        <v>8000000</v>
      </c>
      <c r="K138" s="338"/>
    </row>
    <row r="139" spans="1:11" ht="15.75" customHeight="1">
      <c r="A139" s="291" t="s">
        <v>458</v>
      </c>
      <c r="B139" s="293">
        <v>137</v>
      </c>
      <c r="C139" s="303"/>
      <c r="D139" s="303"/>
      <c r="E139" s="302" t="s">
        <v>145</v>
      </c>
      <c r="F139" s="295" t="str">
        <f t="shared" si="2"/>
        <v>هزینه کلی موسسه</v>
      </c>
      <c r="G139" s="304" t="s">
        <v>1193</v>
      </c>
      <c r="H139" s="316" t="s">
        <v>879</v>
      </c>
      <c r="I139" s="302"/>
      <c r="J139" s="348">
        <v>466000</v>
      </c>
      <c r="K139" s="338"/>
    </row>
    <row r="140" spans="1:11" ht="15.75" customHeight="1">
      <c r="A140" s="291" t="s">
        <v>458</v>
      </c>
      <c r="B140" s="293">
        <v>138</v>
      </c>
      <c r="C140" s="303"/>
      <c r="D140" s="303"/>
      <c r="E140" s="302">
        <v>16</v>
      </c>
      <c r="F140" s="295" t="str">
        <f t="shared" si="2"/>
        <v>یگانه خرمند سنجدبوری</v>
      </c>
      <c r="G140" s="304" t="s">
        <v>1194</v>
      </c>
      <c r="H140" s="316" t="s">
        <v>879</v>
      </c>
      <c r="I140" s="302"/>
      <c r="J140" s="348">
        <v>4371000</v>
      </c>
      <c r="K140" s="338"/>
    </row>
    <row r="141" spans="1:11" ht="15.75" customHeight="1">
      <c r="A141" s="291" t="s">
        <v>458</v>
      </c>
      <c r="B141" s="293">
        <v>139</v>
      </c>
      <c r="C141" s="303"/>
      <c r="D141" s="303"/>
      <c r="E141" s="302" t="s">
        <v>145</v>
      </c>
      <c r="F141" s="295" t="str">
        <f t="shared" si="2"/>
        <v>هزینه کلی موسسه</v>
      </c>
      <c r="G141" s="304" t="s">
        <v>1195</v>
      </c>
      <c r="H141" s="316" t="s">
        <v>882</v>
      </c>
      <c r="I141" s="302"/>
      <c r="J141" s="348">
        <v>1000000</v>
      </c>
      <c r="K141" s="338"/>
    </row>
    <row r="142" spans="1:11" ht="15.75" customHeight="1">
      <c r="A142" s="291" t="s">
        <v>458</v>
      </c>
      <c r="B142" s="293">
        <v>140</v>
      </c>
      <c r="C142" s="303"/>
      <c r="D142" s="303"/>
      <c r="E142" s="306"/>
      <c r="F142" s="295" t="str">
        <f t="shared" si="2"/>
        <v/>
      </c>
      <c r="G142" s="307"/>
      <c r="H142" s="318" t="s">
        <v>886</v>
      </c>
      <c r="I142" s="306"/>
      <c r="J142" s="349">
        <v>10477500</v>
      </c>
      <c r="K142" s="338"/>
    </row>
    <row r="143" spans="1:11" ht="15.75" customHeight="1">
      <c r="A143" s="291" t="s">
        <v>458</v>
      </c>
      <c r="B143" s="293">
        <v>141</v>
      </c>
      <c r="C143" s="303"/>
      <c r="D143" s="303"/>
      <c r="E143" s="302" t="s">
        <v>145</v>
      </c>
      <c r="F143" s="295" t="str">
        <f t="shared" si="2"/>
        <v>هزینه کلی موسسه</v>
      </c>
      <c r="G143" s="304" t="s">
        <v>1196</v>
      </c>
      <c r="H143" s="316" t="s">
        <v>886</v>
      </c>
      <c r="I143" s="302"/>
      <c r="J143" s="348">
        <v>2000000</v>
      </c>
      <c r="K143" s="338"/>
    </row>
    <row r="144" spans="1:11" ht="15.75" customHeight="1">
      <c r="A144" s="291" t="s">
        <v>458</v>
      </c>
      <c r="B144" s="293">
        <v>142</v>
      </c>
      <c r="C144" s="303"/>
      <c r="D144" s="303"/>
      <c r="E144" s="302" t="s">
        <v>145</v>
      </c>
      <c r="F144" s="295" t="str">
        <f t="shared" ref="F144:F207" si="3">IF(E144="","",HLOOKUP(E144,eeee,2,0))</f>
        <v>هزینه کلی موسسه</v>
      </c>
      <c r="G144" s="304" t="s">
        <v>1197</v>
      </c>
      <c r="H144" s="316" t="s">
        <v>896</v>
      </c>
      <c r="I144" s="302"/>
      <c r="J144" s="348">
        <v>460000</v>
      </c>
      <c r="K144" s="338"/>
    </row>
    <row r="145" spans="1:11" ht="15.75" customHeight="1">
      <c r="A145" s="291" t="s">
        <v>458</v>
      </c>
      <c r="B145" s="293">
        <v>143</v>
      </c>
      <c r="C145" s="303"/>
      <c r="D145" s="303"/>
      <c r="E145" s="302" t="s">
        <v>145</v>
      </c>
      <c r="F145" s="295" t="str">
        <f t="shared" si="3"/>
        <v>هزینه کلی موسسه</v>
      </c>
      <c r="G145" s="304" t="s">
        <v>1198</v>
      </c>
      <c r="H145" s="316" t="s">
        <v>896</v>
      </c>
      <c r="I145" s="302"/>
      <c r="J145" s="348">
        <v>1546000</v>
      </c>
      <c r="K145" s="338"/>
    </row>
    <row r="146" spans="1:11" ht="15.75" customHeight="1">
      <c r="A146" s="291" t="s">
        <v>458</v>
      </c>
      <c r="B146" s="293">
        <v>144</v>
      </c>
      <c r="C146" s="303"/>
      <c r="D146" s="303"/>
      <c r="E146" s="302" t="s">
        <v>145</v>
      </c>
      <c r="F146" s="295" t="str">
        <f t="shared" si="3"/>
        <v>هزینه کلی موسسه</v>
      </c>
      <c r="G146" s="304" t="s">
        <v>1199</v>
      </c>
      <c r="H146" s="316" t="s">
        <v>896</v>
      </c>
      <c r="I146" s="302"/>
      <c r="J146" s="348">
        <v>1496000</v>
      </c>
      <c r="K146" s="338"/>
    </row>
    <row r="147" spans="1:11" ht="15.75" customHeight="1">
      <c r="A147" s="291" t="s">
        <v>458</v>
      </c>
      <c r="B147" s="293">
        <v>145</v>
      </c>
      <c r="C147" s="303"/>
      <c r="D147" s="303"/>
      <c r="E147" s="302" t="s">
        <v>145</v>
      </c>
      <c r="F147" s="295" t="str">
        <f t="shared" si="3"/>
        <v>هزینه کلی موسسه</v>
      </c>
      <c r="G147" s="304" t="s">
        <v>1200</v>
      </c>
      <c r="H147" s="316" t="s">
        <v>896</v>
      </c>
      <c r="I147" s="302"/>
      <c r="J147" s="348">
        <v>577600</v>
      </c>
      <c r="K147" s="338"/>
    </row>
    <row r="148" spans="1:11" ht="15.75" customHeight="1">
      <c r="A148" s="291" t="s">
        <v>458</v>
      </c>
      <c r="B148" s="293">
        <v>146</v>
      </c>
      <c r="C148" s="303"/>
      <c r="D148" s="303"/>
      <c r="E148" s="302" t="s">
        <v>145</v>
      </c>
      <c r="F148" s="295" t="str">
        <f t="shared" si="3"/>
        <v>هزینه کلی موسسه</v>
      </c>
      <c r="G148" s="304" t="s">
        <v>1201</v>
      </c>
      <c r="H148" s="316" t="s">
        <v>896</v>
      </c>
      <c r="I148" s="302"/>
      <c r="J148" s="348">
        <v>2506000</v>
      </c>
      <c r="K148" s="338"/>
    </row>
    <row r="149" spans="1:11" ht="15.75" customHeight="1">
      <c r="A149" s="291" t="s">
        <v>458</v>
      </c>
      <c r="B149" s="293">
        <v>147</v>
      </c>
      <c r="C149" s="303"/>
      <c r="D149" s="303"/>
      <c r="E149" s="302" t="s">
        <v>145</v>
      </c>
      <c r="F149" s="295" t="str">
        <f t="shared" si="3"/>
        <v>هزینه کلی موسسه</v>
      </c>
      <c r="G149" s="304" t="s">
        <v>1202</v>
      </c>
      <c r="H149" s="316" t="s">
        <v>896</v>
      </c>
      <c r="I149" s="302"/>
      <c r="J149" s="348">
        <v>3506000</v>
      </c>
      <c r="K149" s="338"/>
    </row>
    <row r="150" spans="1:11" ht="15.75" customHeight="1">
      <c r="A150" s="291" t="s">
        <v>458</v>
      </c>
      <c r="B150" s="293">
        <v>148</v>
      </c>
      <c r="C150" s="303"/>
      <c r="D150" s="303"/>
      <c r="E150" s="302" t="s">
        <v>145</v>
      </c>
      <c r="F150" s="295" t="str">
        <f t="shared" si="3"/>
        <v>هزینه کلی موسسه</v>
      </c>
      <c r="G150" s="304" t="s">
        <v>1203</v>
      </c>
      <c r="H150" s="316" t="s">
        <v>896</v>
      </c>
      <c r="I150" s="302"/>
      <c r="J150" s="348">
        <v>6506000</v>
      </c>
      <c r="K150" s="338"/>
    </row>
    <row r="151" spans="1:11" ht="24" customHeight="1">
      <c r="A151" s="291" t="s">
        <v>458</v>
      </c>
      <c r="B151" s="293">
        <v>149</v>
      </c>
      <c r="C151" s="303"/>
      <c r="D151" s="303"/>
      <c r="E151" s="302" t="s">
        <v>145</v>
      </c>
      <c r="F151" s="295" t="str">
        <f t="shared" si="3"/>
        <v>هزینه کلی موسسه</v>
      </c>
      <c r="G151" s="304" t="s">
        <v>1204</v>
      </c>
      <c r="H151" s="316" t="s">
        <v>896</v>
      </c>
      <c r="I151" s="302"/>
      <c r="J151" s="348">
        <v>3006000</v>
      </c>
      <c r="K151" s="338"/>
    </row>
    <row r="152" spans="1:11" ht="30" customHeight="1">
      <c r="A152" s="291" t="s">
        <v>458</v>
      </c>
      <c r="B152" s="293">
        <v>150</v>
      </c>
      <c r="C152" s="303"/>
      <c r="D152" s="303"/>
      <c r="E152" s="302" t="s">
        <v>146</v>
      </c>
      <c r="F152" s="295" t="str">
        <f t="shared" si="3"/>
        <v>هزینه کلی به مددجویان</v>
      </c>
      <c r="G152" s="304" t="s">
        <v>1205</v>
      </c>
      <c r="H152" s="316" t="s">
        <v>896</v>
      </c>
      <c r="I152" s="302"/>
      <c r="J152" s="348">
        <v>9302000</v>
      </c>
      <c r="K152" s="338"/>
    </row>
    <row r="153" spans="1:11" ht="15.75" customHeight="1">
      <c r="A153" s="291" t="s">
        <v>458</v>
      </c>
      <c r="B153" s="293">
        <v>151</v>
      </c>
      <c r="C153" s="303"/>
      <c r="D153" s="303"/>
      <c r="E153" s="302">
        <v>24</v>
      </c>
      <c r="F153" s="295" t="str">
        <f t="shared" si="3"/>
        <v>کمیل سروری</v>
      </c>
      <c r="G153" s="304" t="s">
        <v>1206</v>
      </c>
      <c r="H153" s="316" t="s">
        <v>900</v>
      </c>
      <c r="I153" s="302"/>
      <c r="J153" s="348">
        <v>30010800</v>
      </c>
      <c r="K153" s="338"/>
    </row>
    <row r="154" spans="1:11" ht="15.75" customHeight="1">
      <c r="A154" s="291" t="s">
        <v>458</v>
      </c>
      <c r="B154" s="293">
        <v>152</v>
      </c>
      <c r="C154" s="303"/>
      <c r="D154" s="303"/>
      <c r="E154" s="302" t="s">
        <v>146</v>
      </c>
      <c r="F154" s="295" t="str">
        <f t="shared" si="3"/>
        <v>هزینه کلی به مددجویان</v>
      </c>
      <c r="G154" s="304" t="s">
        <v>1207</v>
      </c>
      <c r="H154" s="316" t="s">
        <v>902</v>
      </c>
      <c r="I154" s="302"/>
      <c r="J154" s="348">
        <v>2900000</v>
      </c>
      <c r="K154" s="338"/>
    </row>
    <row r="155" spans="1:11" ht="15.75" customHeight="1">
      <c r="A155" s="291" t="s">
        <v>458</v>
      </c>
      <c r="B155" s="293">
        <v>153</v>
      </c>
      <c r="C155" s="303"/>
      <c r="D155" s="303"/>
      <c r="E155" s="302">
        <v>27</v>
      </c>
      <c r="F155" s="295" t="str">
        <f t="shared" si="3"/>
        <v>نرگس علینژاد</v>
      </c>
      <c r="G155" s="304" t="s">
        <v>1208</v>
      </c>
      <c r="H155" s="316" t="s">
        <v>1209</v>
      </c>
      <c r="I155" s="302"/>
      <c r="J155" s="348">
        <v>653000</v>
      </c>
      <c r="K155" s="338"/>
    </row>
    <row r="156" spans="1:11" ht="15.75" customHeight="1">
      <c r="A156" s="291" t="s">
        <v>458</v>
      </c>
      <c r="B156" s="293">
        <v>154</v>
      </c>
      <c r="C156" s="303"/>
      <c r="D156" s="303"/>
      <c r="E156" s="302">
        <v>12</v>
      </c>
      <c r="F156" s="462" t="str">
        <f t="shared" si="3"/>
        <v>الهام صمدی</v>
      </c>
      <c r="G156" s="304" t="s">
        <v>1210</v>
      </c>
      <c r="H156" s="463" t="s">
        <v>1209</v>
      </c>
      <c r="I156" s="302"/>
      <c r="J156" s="464">
        <v>653000</v>
      </c>
      <c r="K156" s="338"/>
    </row>
    <row r="157" spans="1:11" ht="15.75" customHeight="1">
      <c r="A157" s="291" t="s">
        <v>458</v>
      </c>
      <c r="B157" s="293">
        <v>155</v>
      </c>
      <c r="C157" s="303"/>
      <c r="D157" s="303"/>
      <c r="E157" s="302" t="s">
        <v>146</v>
      </c>
      <c r="F157" s="295" t="str">
        <f t="shared" si="3"/>
        <v>هزینه کلی به مددجویان</v>
      </c>
      <c r="G157" s="304" t="s">
        <v>1211</v>
      </c>
      <c r="H157" s="316" t="s">
        <v>1209</v>
      </c>
      <c r="I157" s="302"/>
      <c r="J157" s="348">
        <v>696000</v>
      </c>
      <c r="K157" s="338"/>
    </row>
    <row r="158" spans="1:11" ht="15.75" customHeight="1">
      <c r="A158" s="291" t="s">
        <v>458</v>
      </c>
      <c r="B158" s="293">
        <v>156</v>
      </c>
      <c r="C158" s="303"/>
      <c r="D158" s="303"/>
      <c r="E158" s="302" t="s">
        <v>146</v>
      </c>
      <c r="F158" s="295" t="str">
        <f t="shared" si="3"/>
        <v>هزینه کلی به مددجویان</v>
      </c>
      <c r="G158" s="304" t="s">
        <v>1212</v>
      </c>
      <c r="H158" s="316" t="s">
        <v>1209</v>
      </c>
      <c r="I158" s="302"/>
      <c r="J158" s="348">
        <v>10808400</v>
      </c>
      <c r="K158" s="338"/>
    </row>
    <row r="159" spans="1:11" ht="15.75" customHeight="1">
      <c r="A159" s="291" t="s">
        <v>458</v>
      </c>
      <c r="B159" s="293">
        <v>157</v>
      </c>
      <c r="C159" s="303"/>
      <c r="D159" s="303"/>
      <c r="E159" s="302" t="s">
        <v>146</v>
      </c>
      <c r="F159" s="295" t="str">
        <f t="shared" si="3"/>
        <v>هزینه کلی به مددجویان</v>
      </c>
      <c r="G159" s="304" t="s">
        <v>1213</v>
      </c>
      <c r="H159" s="316" t="s">
        <v>1214</v>
      </c>
      <c r="I159" s="302"/>
      <c r="J159" s="348">
        <v>1506000</v>
      </c>
      <c r="K159" s="338"/>
    </row>
    <row r="160" spans="1:11" ht="15.75" customHeight="1">
      <c r="A160" s="291" t="s">
        <v>458</v>
      </c>
      <c r="B160" s="293">
        <v>158</v>
      </c>
      <c r="C160" s="303"/>
      <c r="D160" s="303"/>
      <c r="E160" s="302">
        <v>15</v>
      </c>
      <c r="F160" s="295" t="str">
        <f t="shared" si="3"/>
        <v>یگانه رجایی سمرا</v>
      </c>
      <c r="G160" s="304" t="s">
        <v>1215</v>
      </c>
      <c r="H160" s="316" t="s">
        <v>1214</v>
      </c>
      <c r="I160" s="302"/>
      <c r="J160" s="348">
        <v>1206000</v>
      </c>
      <c r="K160" s="338"/>
    </row>
    <row r="161" spans="1:11" ht="15.75" customHeight="1">
      <c r="A161" s="291" t="s">
        <v>458</v>
      </c>
      <c r="B161" s="293">
        <v>159</v>
      </c>
      <c r="C161" s="303"/>
      <c r="D161" s="303"/>
      <c r="E161" s="302" t="s">
        <v>145</v>
      </c>
      <c r="F161" s="295" t="str">
        <f t="shared" si="3"/>
        <v>هزینه کلی موسسه</v>
      </c>
      <c r="G161" s="304" t="s">
        <v>1216</v>
      </c>
      <c r="H161" s="316" t="s">
        <v>1217</v>
      </c>
      <c r="I161" s="302"/>
      <c r="J161" s="348">
        <v>5006000</v>
      </c>
      <c r="K161" s="338"/>
    </row>
    <row r="162" spans="1:11" ht="15.75" customHeight="1">
      <c r="A162" s="291" t="s">
        <v>458</v>
      </c>
      <c r="B162" s="293">
        <v>160</v>
      </c>
      <c r="C162" s="303"/>
      <c r="D162" s="303"/>
      <c r="E162" s="302">
        <v>19</v>
      </c>
      <c r="F162" s="295" t="str">
        <f t="shared" si="3"/>
        <v>نادیا احمدی</v>
      </c>
      <c r="G162" s="304" t="s">
        <v>1218</v>
      </c>
      <c r="H162" s="316" t="s">
        <v>1217</v>
      </c>
      <c r="I162" s="302"/>
      <c r="J162" s="348">
        <v>2506000</v>
      </c>
      <c r="K162" s="338"/>
    </row>
    <row r="163" spans="1:11" ht="15.75" customHeight="1">
      <c r="A163" s="291" t="s">
        <v>458</v>
      </c>
      <c r="B163" s="293">
        <v>161</v>
      </c>
      <c r="C163" s="303"/>
      <c r="D163" s="303"/>
      <c r="E163" s="302" t="s">
        <v>146</v>
      </c>
      <c r="F163" s="295" t="str">
        <f t="shared" si="3"/>
        <v>هزینه کلی به مددجویان</v>
      </c>
      <c r="G163" s="304" t="s">
        <v>1219</v>
      </c>
      <c r="H163" s="316" t="s">
        <v>1220</v>
      </c>
      <c r="I163" s="302"/>
      <c r="J163" s="348">
        <v>43375600</v>
      </c>
      <c r="K163" s="338"/>
    </row>
    <row r="164" spans="1:11" ht="15.75" customHeight="1">
      <c r="A164" s="291" t="s">
        <v>458</v>
      </c>
      <c r="B164" s="293">
        <v>162</v>
      </c>
      <c r="C164" s="303"/>
      <c r="D164" s="303"/>
      <c r="E164" s="302">
        <v>24</v>
      </c>
      <c r="F164" s="295" t="str">
        <f t="shared" si="3"/>
        <v>کمیل سروری</v>
      </c>
      <c r="G164" s="304" t="s">
        <v>1221</v>
      </c>
      <c r="H164" s="316" t="s">
        <v>1222</v>
      </c>
      <c r="I164" s="302"/>
      <c r="J164" s="348">
        <v>30010800</v>
      </c>
      <c r="K164" s="338"/>
    </row>
    <row r="165" spans="1:11" ht="15.75" customHeight="1">
      <c r="A165" s="291" t="s">
        <v>458</v>
      </c>
      <c r="B165" s="293">
        <v>163</v>
      </c>
      <c r="C165" s="303"/>
      <c r="D165" s="303"/>
      <c r="E165" s="302" t="s">
        <v>146</v>
      </c>
      <c r="F165" s="295" t="str">
        <f t="shared" si="3"/>
        <v>هزینه کلی به مددجویان</v>
      </c>
      <c r="G165" s="304" t="s">
        <v>1223</v>
      </c>
      <c r="H165" s="316" t="s">
        <v>910</v>
      </c>
      <c r="I165" s="302"/>
      <c r="J165" s="348">
        <v>960000</v>
      </c>
      <c r="K165" s="338"/>
    </row>
    <row r="166" spans="1:11" ht="15.75" customHeight="1">
      <c r="A166" s="291" t="s">
        <v>458</v>
      </c>
      <c r="B166" s="293">
        <v>164</v>
      </c>
      <c r="C166" s="303"/>
      <c r="D166" s="303"/>
      <c r="E166" s="302">
        <v>16</v>
      </c>
      <c r="F166" s="295" t="str">
        <f t="shared" si="3"/>
        <v>یگانه خرمند سنجدبوری</v>
      </c>
      <c r="G166" s="304" t="s">
        <v>1224</v>
      </c>
      <c r="H166" s="316" t="s">
        <v>910</v>
      </c>
      <c r="I166" s="302"/>
      <c r="J166" s="348">
        <v>436000</v>
      </c>
      <c r="K166" s="338"/>
    </row>
    <row r="167" spans="1:11" ht="15.75" customHeight="1">
      <c r="A167" s="291" t="s">
        <v>458</v>
      </c>
      <c r="B167" s="293">
        <v>165</v>
      </c>
      <c r="C167" s="303"/>
      <c r="D167" s="303"/>
      <c r="E167" s="302">
        <v>16</v>
      </c>
      <c r="F167" s="295" t="str">
        <f t="shared" si="3"/>
        <v>یگانه خرمند سنجدبوری</v>
      </c>
      <c r="G167" s="304" t="s">
        <v>1224</v>
      </c>
      <c r="H167" s="316" t="s">
        <v>910</v>
      </c>
      <c r="I167" s="302"/>
      <c r="J167" s="348">
        <v>376000</v>
      </c>
      <c r="K167" s="338"/>
    </row>
    <row r="168" spans="1:11" ht="15.75" customHeight="1">
      <c r="A168" s="291" t="s">
        <v>458</v>
      </c>
      <c r="B168" s="293">
        <v>166</v>
      </c>
      <c r="C168" s="303"/>
      <c r="D168" s="303"/>
      <c r="E168" s="302">
        <v>28</v>
      </c>
      <c r="F168" s="295" t="str">
        <f t="shared" si="3"/>
        <v>زینب ادبی یکه باغی</v>
      </c>
      <c r="G168" s="304" t="s">
        <v>1225</v>
      </c>
      <c r="H168" s="316" t="s">
        <v>910</v>
      </c>
      <c r="I168" s="302"/>
      <c r="J168" s="348">
        <v>260000</v>
      </c>
      <c r="K168" s="338"/>
    </row>
    <row r="169" spans="1:11" ht="15.75" customHeight="1">
      <c r="A169" s="291" t="s">
        <v>458</v>
      </c>
      <c r="B169" s="293">
        <v>167</v>
      </c>
      <c r="C169" s="303"/>
      <c r="D169" s="303"/>
      <c r="E169" s="302">
        <v>29</v>
      </c>
      <c r="F169" s="295" t="str">
        <f t="shared" si="3"/>
        <v>آتنا جر</v>
      </c>
      <c r="G169" s="304" t="s">
        <v>1225</v>
      </c>
      <c r="H169" s="316" t="s">
        <v>910</v>
      </c>
      <c r="I169" s="302"/>
      <c r="J169" s="348">
        <v>260000</v>
      </c>
      <c r="K169" s="338"/>
    </row>
    <row r="170" spans="1:11" ht="15.75" customHeight="1">
      <c r="A170" s="291" t="s">
        <v>458</v>
      </c>
      <c r="B170" s="293">
        <v>168</v>
      </c>
      <c r="C170" s="303"/>
      <c r="D170" s="303"/>
      <c r="E170" s="302" t="s">
        <v>145</v>
      </c>
      <c r="F170" s="295" t="str">
        <f t="shared" si="3"/>
        <v>هزینه کلی موسسه</v>
      </c>
      <c r="G170" s="304" t="s">
        <v>1226</v>
      </c>
      <c r="H170" s="316" t="s">
        <v>1227</v>
      </c>
      <c r="I170" s="302"/>
      <c r="J170" s="348">
        <v>43015600</v>
      </c>
      <c r="K170" s="338"/>
    </row>
    <row r="171" spans="1:11" ht="15.75" customHeight="1">
      <c r="A171" s="291" t="s">
        <v>458</v>
      </c>
      <c r="B171" s="293">
        <v>169</v>
      </c>
      <c r="C171" s="303"/>
      <c r="D171" s="303"/>
      <c r="E171" s="302" t="s">
        <v>146</v>
      </c>
      <c r="F171" s="295" t="str">
        <f t="shared" si="3"/>
        <v>هزینه کلی به مددجویان</v>
      </c>
      <c r="G171" s="304" t="s">
        <v>1211</v>
      </c>
      <c r="H171" s="316" t="s">
        <v>1227</v>
      </c>
      <c r="I171" s="302"/>
      <c r="J171" s="348">
        <v>736000</v>
      </c>
      <c r="K171" s="338"/>
    </row>
    <row r="172" spans="1:11" ht="15.75" customHeight="1">
      <c r="A172" s="291" t="s">
        <v>458</v>
      </c>
      <c r="B172" s="293">
        <v>170</v>
      </c>
      <c r="C172" s="303"/>
      <c r="D172" s="303"/>
      <c r="E172" s="302">
        <v>30</v>
      </c>
      <c r="F172" s="295" t="str">
        <f t="shared" si="3"/>
        <v>مبینا علیزاده</v>
      </c>
      <c r="G172" s="304" t="s">
        <v>1228</v>
      </c>
      <c r="H172" s="316" t="s">
        <v>1227</v>
      </c>
      <c r="I172" s="302"/>
      <c r="J172" s="348">
        <v>1206000</v>
      </c>
      <c r="K172" s="338"/>
    </row>
    <row r="173" spans="1:11" ht="15.75" customHeight="1">
      <c r="A173" s="291" t="s">
        <v>458</v>
      </c>
      <c r="B173" s="293">
        <v>171</v>
      </c>
      <c r="C173" s="303"/>
      <c r="D173" s="303"/>
      <c r="E173" s="302" t="s">
        <v>145</v>
      </c>
      <c r="F173" s="295" t="str">
        <f t="shared" si="3"/>
        <v>هزینه کلی موسسه</v>
      </c>
      <c r="G173" s="304" t="s">
        <v>1229</v>
      </c>
      <c r="H173" s="316" t="s">
        <v>1227</v>
      </c>
      <c r="I173" s="302"/>
      <c r="J173" s="348">
        <v>16438400</v>
      </c>
      <c r="K173" s="338"/>
    </row>
    <row r="174" spans="1:11" ht="15.75" customHeight="1">
      <c r="A174" s="291" t="s">
        <v>458</v>
      </c>
      <c r="B174" s="293">
        <v>172</v>
      </c>
      <c r="C174" s="303"/>
      <c r="D174" s="303"/>
      <c r="E174" s="302" t="s">
        <v>145</v>
      </c>
      <c r="F174" s="295" t="str">
        <f t="shared" si="3"/>
        <v>هزینه کلی موسسه</v>
      </c>
      <c r="G174" s="304" t="s">
        <v>1230</v>
      </c>
      <c r="H174" s="316" t="s">
        <v>1227</v>
      </c>
      <c r="I174" s="302"/>
      <c r="J174" s="348">
        <v>306000</v>
      </c>
      <c r="K174" s="338"/>
    </row>
    <row r="175" spans="1:11" ht="15.75" customHeight="1">
      <c r="A175" s="291" t="s">
        <v>458</v>
      </c>
      <c r="B175" s="293">
        <v>173</v>
      </c>
      <c r="C175" s="303"/>
      <c r="D175" s="303"/>
      <c r="E175" s="302" t="s">
        <v>145</v>
      </c>
      <c r="F175" s="295" t="str">
        <f t="shared" si="3"/>
        <v>هزینه کلی موسسه</v>
      </c>
      <c r="G175" s="304" t="s">
        <v>1231</v>
      </c>
      <c r="H175" s="316" t="s">
        <v>1227</v>
      </c>
      <c r="I175" s="302"/>
      <c r="J175" s="348">
        <v>746000</v>
      </c>
      <c r="K175" s="338"/>
    </row>
    <row r="176" spans="1:11" ht="15.75" customHeight="1">
      <c r="A176" s="291" t="s">
        <v>458</v>
      </c>
      <c r="B176" s="293">
        <v>174</v>
      </c>
      <c r="C176" s="303"/>
      <c r="D176" s="303"/>
      <c r="E176" s="302" t="s">
        <v>145</v>
      </c>
      <c r="F176" s="295" t="str">
        <f t="shared" si="3"/>
        <v>هزینه کلی موسسه</v>
      </c>
      <c r="G176" s="304" t="s">
        <v>1232</v>
      </c>
      <c r="H176" s="316" t="s">
        <v>1227</v>
      </c>
      <c r="I176" s="302"/>
      <c r="J176" s="348">
        <v>356000</v>
      </c>
      <c r="K176" s="338"/>
    </row>
    <row r="177" spans="1:11" ht="15.75" customHeight="1">
      <c r="A177" s="291" t="s">
        <v>458</v>
      </c>
      <c r="B177" s="293">
        <v>175</v>
      </c>
      <c r="C177" s="303"/>
      <c r="D177" s="303"/>
      <c r="E177" s="302" t="s">
        <v>146</v>
      </c>
      <c r="F177" s="295" t="str">
        <f t="shared" si="3"/>
        <v>هزینه کلی به مددجویان</v>
      </c>
      <c r="G177" s="304" t="s">
        <v>1233</v>
      </c>
      <c r="H177" s="316" t="s">
        <v>911</v>
      </c>
      <c r="I177" s="302"/>
      <c r="J177" s="348">
        <v>60018000</v>
      </c>
      <c r="K177" s="338"/>
    </row>
    <row r="178" spans="1:11" ht="15.75" customHeight="1">
      <c r="A178" s="291" t="s">
        <v>458</v>
      </c>
      <c r="B178" s="293">
        <v>176</v>
      </c>
      <c r="C178" s="303"/>
      <c r="D178" s="303"/>
      <c r="E178" s="302">
        <v>27</v>
      </c>
      <c r="F178" s="295" t="str">
        <f t="shared" si="3"/>
        <v>نرگس علینژاد</v>
      </c>
      <c r="G178" s="304" t="s">
        <v>1234</v>
      </c>
      <c r="H178" s="316" t="s">
        <v>1235</v>
      </c>
      <c r="I178" s="302"/>
      <c r="J178" s="348">
        <v>14000000</v>
      </c>
      <c r="K178" s="338"/>
    </row>
    <row r="179" spans="1:11" ht="15.75" customHeight="1">
      <c r="A179" s="291" t="s">
        <v>458</v>
      </c>
      <c r="B179" s="293">
        <v>177</v>
      </c>
      <c r="C179" s="303"/>
      <c r="D179" s="303"/>
      <c r="E179" s="302" t="s">
        <v>146</v>
      </c>
      <c r="F179" s="295" t="str">
        <f t="shared" si="3"/>
        <v>هزینه کلی به مددجویان</v>
      </c>
      <c r="G179" s="304" t="s">
        <v>1236</v>
      </c>
      <c r="H179" s="316" t="s">
        <v>1237</v>
      </c>
      <c r="I179" s="302"/>
      <c r="J179" s="348">
        <v>1140000</v>
      </c>
      <c r="K179" s="338"/>
    </row>
    <row r="180" spans="1:11" ht="15.75" customHeight="1">
      <c r="A180" s="291" t="s">
        <v>458</v>
      </c>
      <c r="B180" s="293">
        <v>178</v>
      </c>
      <c r="C180" s="303"/>
      <c r="D180" s="303"/>
      <c r="E180" s="302">
        <v>27</v>
      </c>
      <c r="F180" s="295" t="str">
        <f t="shared" si="3"/>
        <v>نرگس علینژاد</v>
      </c>
      <c r="G180" s="304" t="s">
        <v>1238</v>
      </c>
      <c r="H180" s="316" t="s">
        <v>1239</v>
      </c>
      <c r="I180" s="302"/>
      <c r="J180" s="348">
        <v>3503000</v>
      </c>
      <c r="K180" s="338"/>
    </row>
    <row r="181" spans="1:11" ht="15.75" customHeight="1">
      <c r="A181" s="291" t="s">
        <v>458</v>
      </c>
      <c r="B181" s="293">
        <v>179</v>
      </c>
      <c r="C181" s="303"/>
      <c r="D181" s="303"/>
      <c r="E181" s="302">
        <v>29</v>
      </c>
      <c r="F181" s="295" t="str">
        <f t="shared" si="3"/>
        <v>آتنا جر</v>
      </c>
      <c r="G181" s="304" t="s">
        <v>1238</v>
      </c>
      <c r="H181" s="316" t="s">
        <v>1239</v>
      </c>
      <c r="I181" s="302"/>
      <c r="J181" s="348">
        <v>3503000</v>
      </c>
      <c r="K181" s="338"/>
    </row>
    <row r="182" spans="1:11" ht="15.75" customHeight="1">
      <c r="A182" s="291" t="s">
        <v>458</v>
      </c>
      <c r="B182" s="293">
        <v>180</v>
      </c>
      <c r="C182" s="303"/>
      <c r="D182" s="303"/>
      <c r="E182" s="302" t="s">
        <v>145</v>
      </c>
      <c r="F182" s="295" t="str">
        <f t="shared" si="3"/>
        <v>هزینه کلی موسسه</v>
      </c>
      <c r="G182" s="304" t="s">
        <v>1240</v>
      </c>
      <c r="H182" s="316" t="s">
        <v>925</v>
      </c>
      <c r="I182" s="302"/>
      <c r="J182" s="348">
        <v>5006000</v>
      </c>
      <c r="K182" s="338"/>
    </row>
    <row r="183" spans="1:11" ht="15.75" customHeight="1">
      <c r="A183" s="291" t="s">
        <v>458</v>
      </c>
      <c r="B183" s="293">
        <v>181</v>
      </c>
      <c r="C183" s="303"/>
      <c r="D183" s="303"/>
      <c r="E183" s="302" t="s">
        <v>145</v>
      </c>
      <c r="F183" s="295" t="str">
        <f t="shared" si="3"/>
        <v>هزینه کلی موسسه</v>
      </c>
      <c r="G183" s="304" t="s">
        <v>1241</v>
      </c>
      <c r="H183" s="316" t="s">
        <v>1242</v>
      </c>
      <c r="I183" s="302"/>
      <c r="J183" s="348">
        <v>900000</v>
      </c>
      <c r="K183" s="338"/>
    </row>
    <row r="184" spans="1:11" ht="15.75" customHeight="1">
      <c r="A184" s="291" t="s">
        <v>458</v>
      </c>
      <c r="B184" s="293">
        <v>182</v>
      </c>
      <c r="C184" s="303"/>
      <c r="D184" s="303"/>
      <c r="E184" s="302" t="s">
        <v>145</v>
      </c>
      <c r="F184" s="295" t="str">
        <f t="shared" si="3"/>
        <v>هزینه کلی موسسه</v>
      </c>
      <c r="G184" s="304" t="s">
        <v>1271</v>
      </c>
      <c r="H184" s="316" t="s">
        <v>1272</v>
      </c>
      <c r="I184" s="302"/>
      <c r="J184" s="348">
        <v>200000</v>
      </c>
      <c r="K184" s="338"/>
    </row>
    <row r="185" spans="1:11" ht="15.75" customHeight="1">
      <c r="A185" s="291" t="s">
        <v>458</v>
      </c>
      <c r="B185" s="293">
        <v>183</v>
      </c>
      <c r="C185" s="303"/>
      <c r="D185" s="303"/>
      <c r="E185" s="302" t="s">
        <v>145</v>
      </c>
      <c r="F185" s="295" t="str">
        <f t="shared" si="3"/>
        <v>هزینه کلی موسسه</v>
      </c>
      <c r="G185" s="304" t="s">
        <v>1273</v>
      </c>
      <c r="H185" s="316" t="s">
        <v>1261</v>
      </c>
      <c r="I185" s="302"/>
      <c r="J185" s="348">
        <v>337900</v>
      </c>
      <c r="K185" s="338"/>
    </row>
    <row r="186" spans="1:11" ht="15.75" customHeight="1">
      <c r="A186" s="291" t="s">
        <v>458</v>
      </c>
      <c r="B186" s="293">
        <v>184</v>
      </c>
      <c r="C186" s="303"/>
      <c r="D186" s="303"/>
      <c r="E186" s="302" t="s">
        <v>145</v>
      </c>
      <c r="F186" s="295" t="str">
        <f t="shared" si="3"/>
        <v>هزینه کلی موسسه</v>
      </c>
      <c r="G186" s="304" t="s">
        <v>1274</v>
      </c>
      <c r="H186" s="316" t="s">
        <v>1261</v>
      </c>
      <c r="I186" s="302"/>
      <c r="J186" s="348">
        <v>850000</v>
      </c>
      <c r="K186" s="338"/>
    </row>
    <row r="187" spans="1:11" ht="15.75" customHeight="1">
      <c r="A187" s="291" t="s">
        <v>458</v>
      </c>
      <c r="B187" s="293">
        <v>185</v>
      </c>
      <c r="C187" s="303"/>
      <c r="D187" s="303"/>
      <c r="E187" s="302" t="s">
        <v>146</v>
      </c>
      <c r="F187" s="295" t="str">
        <f t="shared" si="3"/>
        <v>هزینه کلی به مددجویان</v>
      </c>
      <c r="G187" s="304" t="s">
        <v>1243</v>
      </c>
      <c r="H187" s="316" t="s">
        <v>1262</v>
      </c>
      <c r="I187" s="302"/>
      <c r="J187" s="348">
        <v>2000000</v>
      </c>
      <c r="K187" s="338"/>
    </row>
    <row r="188" spans="1:11" ht="15.75" customHeight="1">
      <c r="A188" s="291" t="s">
        <v>458</v>
      </c>
      <c r="B188" s="293">
        <v>186</v>
      </c>
      <c r="C188" s="303"/>
      <c r="D188" s="303"/>
      <c r="E188" s="302" t="s">
        <v>146</v>
      </c>
      <c r="F188" s="295" t="str">
        <f t="shared" si="3"/>
        <v>هزینه کلی به مددجویان</v>
      </c>
      <c r="G188" s="304" t="s">
        <v>1275</v>
      </c>
      <c r="H188" s="316" t="s">
        <v>1262</v>
      </c>
      <c r="I188" s="302"/>
      <c r="J188" s="348">
        <v>3200000</v>
      </c>
      <c r="K188" s="338"/>
    </row>
    <row r="189" spans="1:11" ht="15.75" customHeight="1">
      <c r="A189" s="291" t="s">
        <v>458</v>
      </c>
      <c r="B189" s="293">
        <v>187</v>
      </c>
      <c r="C189" s="303"/>
      <c r="D189" s="303"/>
      <c r="E189" s="302" t="s">
        <v>146</v>
      </c>
      <c r="F189" s="295" t="str">
        <f t="shared" si="3"/>
        <v>هزینه کلی به مددجویان</v>
      </c>
      <c r="G189" s="304" t="s">
        <v>1275</v>
      </c>
      <c r="H189" s="316" t="s">
        <v>1262</v>
      </c>
      <c r="I189" s="302"/>
      <c r="J189" s="348">
        <v>400000</v>
      </c>
      <c r="K189" s="338"/>
    </row>
    <row r="190" spans="1:11" ht="15.75" customHeight="1">
      <c r="A190" s="291" t="s">
        <v>458</v>
      </c>
      <c r="B190" s="293">
        <v>188</v>
      </c>
      <c r="C190" s="303"/>
      <c r="D190" s="303"/>
      <c r="E190" s="302" t="s">
        <v>145</v>
      </c>
      <c r="F190" s="295" t="str">
        <f t="shared" si="3"/>
        <v>هزینه کلی موسسه</v>
      </c>
      <c r="G190" s="304" t="s">
        <v>1276</v>
      </c>
      <c r="H190" s="316" t="s">
        <v>1277</v>
      </c>
      <c r="I190" s="302"/>
      <c r="J190" s="348">
        <v>54500</v>
      </c>
      <c r="K190" s="338"/>
    </row>
    <row r="191" spans="1:11" ht="15.75" customHeight="1">
      <c r="A191" s="291" t="s">
        <v>458</v>
      </c>
      <c r="B191" s="293">
        <v>189</v>
      </c>
      <c r="C191" s="303"/>
      <c r="D191" s="303"/>
      <c r="E191" s="302" t="s">
        <v>145</v>
      </c>
      <c r="F191" s="295" t="str">
        <f t="shared" si="3"/>
        <v>هزینه کلی موسسه</v>
      </c>
      <c r="G191" s="304" t="s">
        <v>1276</v>
      </c>
      <c r="H191" s="316" t="s">
        <v>1277</v>
      </c>
      <c r="I191" s="302"/>
      <c r="J191" s="348">
        <v>1000000</v>
      </c>
      <c r="K191" s="338"/>
    </row>
    <row r="192" spans="1:11" ht="15.75" customHeight="1">
      <c r="A192" s="291" t="s">
        <v>458</v>
      </c>
      <c r="B192" s="293">
        <v>190</v>
      </c>
      <c r="C192" s="303"/>
      <c r="D192" s="303"/>
      <c r="E192" s="302">
        <v>33</v>
      </c>
      <c r="F192" s="295" t="str">
        <f t="shared" si="3"/>
        <v>عارفه آذرنگ</v>
      </c>
      <c r="G192" s="304" t="s">
        <v>1278</v>
      </c>
      <c r="H192" s="316" t="s">
        <v>1277</v>
      </c>
      <c r="I192" s="302"/>
      <c r="J192" s="348">
        <v>16550900</v>
      </c>
      <c r="K192" s="338"/>
    </row>
    <row r="193" spans="1:11" ht="15.75" customHeight="1">
      <c r="A193" s="291" t="s">
        <v>458</v>
      </c>
      <c r="B193" s="293">
        <v>191</v>
      </c>
      <c r="C193" s="303"/>
      <c r="D193" s="303"/>
      <c r="E193" s="302" t="s">
        <v>146</v>
      </c>
      <c r="F193" s="295" t="str">
        <f t="shared" si="3"/>
        <v>هزینه کلی به مددجویان</v>
      </c>
      <c r="G193" s="304" t="s">
        <v>1279</v>
      </c>
      <c r="H193" s="316" t="s">
        <v>1263</v>
      </c>
      <c r="I193" s="302"/>
      <c r="J193" s="348">
        <v>15608400</v>
      </c>
      <c r="K193" s="338"/>
    </row>
    <row r="194" spans="1:11" ht="15.75" customHeight="1">
      <c r="A194" s="291" t="s">
        <v>458</v>
      </c>
      <c r="B194" s="293">
        <v>192</v>
      </c>
      <c r="C194" s="303"/>
      <c r="D194" s="303"/>
      <c r="E194" s="302" t="s">
        <v>146</v>
      </c>
      <c r="F194" s="295" t="str">
        <f t="shared" si="3"/>
        <v>هزینه کلی به مددجویان</v>
      </c>
      <c r="G194" s="304" t="s">
        <v>1280</v>
      </c>
      <c r="H194" s="316" t="s">
        <v>1263</v>
      </c>
      <c r="I194" s="302"/>
      <c r="J194" s="348">
        <v>4006000</v>
      </c>
      <c r="K194" s="338"/>
    </row>
    <row r="195" spans="1:11" ht="15.75" customHeight="1">
      <c r="A195" s="291" t="s">
        <v>458</v>
      </c>
      <c r="B195" s="293">
        <v>193</v>
      </c>
      <c r="C195" s="303"/>
      <c r="D195" s="303"/>
      <c r="E195" s="302" t="s">
        <v>146</v>
      </c>
      <c r="F195" s="295" t="str">
        <f t="shared" si="3"/>
        <v>هزینه کلی به مددجویان</v>
      </c>
      <c r="G195" s="304" t="s">
        <v>1243</v>
      </c>
      <c r="H195" s="316" t="s">
        <v>1263</v>
      </c>
      <c r="I195" s="302"/>
      <c r="J195" s="348">
        <v>2000000</v>
      </c>
      <c r="K195" s="338"/>
    </row>
    <row r="196" spans="1:11" ht="15.75" customHeight="1">
      <c r="A196" s="291" t="s">
        <v>458</v>
      </c>
      <c r="B196" s="293">
        <v>194</v>
      </c>
      <c r="C196" s="303"/>
      <c r="D196" s="303"/>
      <c r="E196" s="302">
        <v>32</v>
      </c>
      <c r="F196" s="295" t="str">
        <f t="shared" si="3"/>
        <v>رقیه الزوینی</v>
      </c>
      <c r="G196" s="304" t="s">
        <v>1278</v>
      </c>
      <c r="H196" s="316" t="s">
        <v>1263</v>
      </c>
      <c r="I196" s="302"/>
      <c r="J196" s="348">
        <v>9648500</v>
      </c>
      <c r="K196" s="338"/>
    </row>
    <row r="197" spans="1:11" ht="15.75" customHeight="1">
      <c r="A197" s="291" t="s">
        <v>458</v>
      </c>
      <c r="B197" s="293">
        <v>195</v>
      </c>
      <c r="C197" s="303"/>
      <c r="D197" s="303"/>
      <c r="E197" s="302" t="s">
        <v>146</v>
      </c>
      <c r="F197" s="295" t="str">
        <f t="shared" si="3"/>
        <v>هزینه کلی به مددجویان</v>
      </c>
      <c r="G197" s="304" t="s">
        <v>1281</v>
      </c>
      <c r="H197" s="316" t="s">
        <v>1263</v>
      </c>
      <c r="I197" s="302"/>
      <c r="J197" s="348">
        <v>200000</v>
      </c>
      <c r="K197" s="338"/>
    </row>
    <row r="198" spans="1:11" ht="15.75" customHeight="1">
      <c r="B198" s="293">
        <v>196</v>
      </c>
      <c r="C198" s="303"/>
      <c r="D198" s="303"/>
      <c r="E198" s="302" t="s">
        <v>146</v>
      </c>
      <c r="F198" s="295" t="str">
        <f t="shared" si="3"/>
        <v>هزینه کلی به مددجویان</v>
      </c>
      <c r="G198" s="304" t="s">
        <v>1346</v>
      </c>
      <c r="H198" s="316" t="s">
        <v>1268</v>
      </c>
      <c r="I198" s="302"/>
      <c r="J198" s="348">
        <v>9883000</v>
      </c>
      <c r="K198" s="338"/>
    </row>
    <row r="199" spans="1:11" ht="15.75" customHeight="1">
      <c r="B199" s="293">
        <v>197</v>
      </c>
      <c r="C199" s="303"/>
      <c r="D199" s="303"/>
      <c r="E199" s="302">
        <v>29</v>
      </c>
      <c r="F199" s="295" t="str">
        <f t="shared" si="3"/>
        <v>آتنا جر</v>
      </c>
      <c r="G199" s="304" t="s">
        <v>1347</v>
      </c>
      <c r="H199" s="316" t="s">
        <v>1288</v>
      </c>
      <c r="I199" s="302"/>
      <c r="J199" s="348">
        <v>430000</v>
      </c>
      <c r="K199" s="338"/>
    </row>
    <row r="200" spans="1:11" ht="15.75" customHeight="1">
      <c r="B200" s="293">
        <v>198</v>
      </c>
      <c r="C200" s="303"/>
      <c r="D200" s="303"/>
      <c r="E200" s="302" t="s">
        <v>146</v>
      </c>
      <c r="F200" s="295" t="str">
        <f t="shared" si="3"/>
        <v>هزینه کلی به مددجویان</v>
      </c>
      <c r="G200" s="304" t="s">
        <v>1348</v>
      </c>
      <c r="H200" s="316" t="s">
        <v>1288</v>
      </c>
      <c r="I200" s="302"/>
      <c r="J200" s="348">
        <v>2000000</v>
      </c>
      <c r="K200" s="338"/>
    </row>
    <row r="201" spans="1:11" ht="15.75" customHeight="1">
      <c r="B201" s="293">
        <v>199</v>
      </c>
      <c r="C201" s="303"/>
      <c r="D201" s="303"/>
      <c r="E201" s="302" t="s">
        <v>146</v>
      </c>
      <c r="F201" s="295" t="str">
        <f t="shared" si="3"/>
        <v>هزینه کلی به مددجویان</v>
      </c>
      <c r="G201" s="304" t="s">
        <v>1349</v>
      </c>
      <c r="H201" s="316" t="s">
        <v>1288</v>
      </c>
      <c r="I201" s="302"/>
      <c r="J201" s="348">
        <v>5690000</v>
      </c>
      <c r="K201" s="338"/>
    </row>
    <row r="202" spans="1:11" ht="15.75" customHeight="1">
      <c r="B202" s="293">
        <v>200</v>
      </c>
      <c r="C202" s="303"/>
      <c r="D202" s="303"/>
      <c r="E202" s="302" t="s">
        <v>146</v>
      </c>
      <c r="F202" s="295" t="str">
        <f t="shared" si="3"/>
        <v>هزینه کلی به مددجویان</v>
      </c>
      <c r="G202" s="304" t="s">
        <v>1350</v>
      </c>
      <c r="H202" s="316" t="s">
        <v>1295</v>
      </c>
      <c r="I202" s="302"/>
      <c r="J202" s="348">
        <v>2000000</v>
      </c>
      <c r="K202" s="338"/>
    </row>
    <row r="203" spans="1:11" ht="15.75" customHeight="1">
      <c r="B203" s="293">
        <v>201</v>
      </c>
      <c r="C203" s="303"/>
      <c r="D203" s="303"/>
      <c r="E203" s="302" t="s">
        <v>146</v>
      </c>
      <c r="F203" s="295" t="str">
        <f t="shared" si="3"/>
        <v>هزینه کلی به مددجویان</v>
      </c>
      <c r="G203" s="304" t="s">
        <v>1350</v>
      </c>
      <c r="H203" s="316" t="s">
        <v>1295</v>
      </c>
      <c r="I203" s="302"/>
      <c r="J203" s="348">
        <v>1900000</v>
      </c>
      <c r="K203" s="338"/>
    </row>
    <row r="204" spans="1:11" ht="15.75" customHeight="1">
      <c r="B204" s="293">
        <v>202</v>
      </c>
      <c r="C204" s="303"/>
      <c r="D204" s="303"/>
      <c r="E204" s="302" t="s">
        <v>146</v>
      </c>
      <c r="F204" s="295" t="str">
        <f t="shared" si="3"/>
        <v>هزینه کلی به مددجویان</v>
      </c>
      <c r="G204" s="304" t="s">
        <v>1354</v>
      </c>
      <c r="H204" s="316" t="s">
        <v>1295</v>
      </c>
      <c r="I204" s="302"/>
      <c r="J204" s="348">
        <v>200000</v>
      </c>
      <c r="K204" s="338"/>
    </row>
    <row r="205" spans="1:11" ht="15.75" customHeight="1">
      <c r="B205" s="293">
        <v>203</v>
      </c>
      <c r="C205" s="303"/>
      <c r="D205" s="303"/>
      <c r="E205" s="302" t="s">
        <v>146</v>
      </c>
      <c r="F205" s="295" t="str">
        <f t="shared" si="3"/>
        <v>هزینه کلی به مددجویان</v>
      </c>
      <c r="G205" s="304" t="s">
        <v>1353</v>
      </c>
      <c r="H205" s="316" t="s">
        <v>1295</v>
      </c>
      <c r="I205" s="302"/>
      <c r="J205" s="348">
        <v>520000</v>
      </c>
      <c r="K205" s="338" t="s">
        <v>1355</v>
      </c>
    </row>
    <row r="206" spans="1:11" ht="15.75" customHeight="1">
      <c r="B206" s="293">
        <v>204</v>
      </c>
      <c r="C206" s="303"/>
      <c r="D206" s="303"/>
      <c r="E206" s="302" t="s">
        <v>146</v>
      </c>
      <c r="F206" s="295" t="str">
        <f t="shared" si="3"/>
        <v>هزینه کلی به مددجویان</v>
      </c>
      <c r="G206" s="304" t="s">
        <v>1353</v>
      </c>
      <c r="H206" s="316" t="s">
        <v>1295</v>
      </c>
      <c r="I206" s="302"/>
      <c r="J206" s="348">
        <v>520000</v>
      </c>
      <c r="K206" s="338" t="s">
        <v>1355</v>
      </c>
    </row>
    <row r="207" spans="1:11" ht="15.75" customHeight="1">
      <c r="B207" s="293">
        <v>205</v>
      </c>
      <c r="C207" s="303"/>
      <c r="D207" s="303"/>
      <c r="E207" s="302" t="s">
        <v>1351</v>
      </c>
      <c r="F207" s="295" t="str">
        <f t="shared" si="3"/>
        <v>هزینه مربوط به تعمیرات مدارس از واریزی خانم عین علی</v>
      </c>
      <c r="G207" s="304" t="s">
        <v>1339</v>
      </c>
      <c r="H207" s="316" t="s">
        <v>1300</v>
      </c>
      <c r="I207" s="302"/>
      <c r="J207" s="348">
        <v>45000000</v>
      </c>
      <c r="K207" s="338"/>
    </row>
    <row r="208" spans="1:11" ht="15.75" customHeight="1">
      <c r="B208" s="293">
        <v>206</v>
      </c>
      <c r="C208" s="303"/>
      <c r="D208" s="303"/>
      <c r="E208" s="302" t="s">
        <v>145</v>
      </c>
      <c r="F208" s="295" t="str">
        <f t="shared" ref="F208:F271" si="4">IF(E208="","",HLOOKUP(E208,eeee,2,0))</f>
        <v>هزینه کلی موسسه</v>
      </c>
      <c r="G208" s="304" t="s">
        <v>1356</v>
      </c>
      <c r="H208" s="316" t="s">
        <v>1300</v>
      </c>
      <c r="I208" s="302"/>
      <c r="J208" s="348">
        <v>626000</v>
      </c>
      <c r="K208" s="338" t="s">
        <v>1357</v>
      </c>
    </row>
    <row r="209" spans="2:11" ht="15.75" customHeight="1">
      <c r="B209" s="293">
        <v>207</v>
      </c>
      <c r="C209" s="303"/>
      <c r="D209" s="303"/>
      <c r="E209" s="302" t="s">
        <v>145</v>
      </c>
      <c r="F209" s="295" t="str">
        <f t="shared" si="4"/>
        <v>هزینه کلی موسسه</v>
      </c>
      <c r="G209" s="304" t="s">
        <v>1358</v>
      </c>
      <c r="H209" s="316" t="s">
        <v>1300</v>
      </c>
      <c r="I209" s="302"/>
      <c r="J209" s="348">
        <v>2506000</v>
      </c>
      <c r="K209" s="338"/>
    </row>
    <row r="210" spans="2:11" ht="15.75" customHeight="1">
      <c r="B210" s="293">
        <v>208</v>
      </c>
      <c r="C210" s="303"/>
      <c r="D210" s="303"/>
      <c r="E210" s="302" t="s">
        <v>145</v>
      </c>
      <c r="F210" s="295" t="str">
        <f t="shared" si="4"/>
        <v>هزینه کلی موسسه</v>
      </c>
      <c r="G210" s="304" t="s">
        <v>1359</v>
      </c>
      <c r="H210" s="316" t="s">
        <v>1300</v>
      </c>
      <c r="I210" s="302"/>
      <c r="J210" s="348">
        <v>570000</v>
      </c>
      <c r="K210" s="338"/>
    </row>
    <row r="211" spans="2:11" ht="15.75" customHeight="1">
      <c r="B211" s="293">
        <v>209</v>
      </c>
      <c r="C211" s="303"/>
      <c r="D211" s="303"/>
      <c r="E211" s="302" t="s">
        <v>145</v>
      </c>
      <c r="F211" s="295" t="str">
        <f t="shared" si="4"/>
        <v>هزینه کلی موسسه</v>
      </c>
      <c r="G211" s="304" t="s">
        <v>1359</v>
      </c>
      <c r="H211" s="316" t="s">
        <v>1302</v>
      </c>
      <c r="I211" s="302"/>
      <c r="J211" s="348">
        <v>117000</v>
      </c>
      <c r="K211" s="338"/>
    </row>
    <row r="212" spans="2:11" ht="15.75" customHeight="1">
      <c r="B212" s="293">
        <v>210</v>
      </c>
      <c r="C212" s="303"/>
      <c r="D212" s="303"/>
      <c r="E212" s="302" t="s">
        <v>145</v>
      </c>
      <c r="F212" s="295" t="str">
        <f t="shared" si="4"/>
        <v>هزینه کلی موسسه</v>
      </c>
      <c r="G212" s="304" t="s">
        <v>1360</v>
      </c>
      <c r="H212" s="316" t="s">
        <v>1302</v>
      </c>
      <c r="I212" s="302"/>
      <c r="J212" s="348">
        <v>73647000</v>
      </c>
      <c r="K212" s="338"/>
    </row>
    <row r="213" spans="2:11" ht="15.75" customHeight="1">
      <c r="B213" s="293">
        <v>211</v>
      </c>
      <c r="C213" s="303"/>
      <c r="D213" s="303"/>
      <c r="E213" s="302" t="s">
        <v>145</v>
      </c>
      <c r="F213" s="295" t="str">
        <f t="shared" si="4"/>
        <v>هزینه کلی موسسه</v>
      </c>
      <c r="G213" s="304" t="s">
        <v>1361</v>
      </c>
      <c r="H213" s="316" t="s">
        <v>1302</v>
      </c>
      <c r="I213" s="302"/>
      <c r="J213" s="348">
        <v>1000000</v>
      </c>
      <c r="K213" s="338"/>
    </row>
    <row r="214" spans="2:11" ht="15.75" customHeight="1">
      <c r="B214" s="293">
        <v>212</v>
      </c>
      <c r="C214" s="303"/>
      <c r="D214" s="303"/>
      <c r="E214" s="302" t="s">
        <v>145</v>
      </c>
      <c r="F214" s="295" t="str">
        <f t="shared" si="4"/>
        <v>هزینه کلی موسسه</v>
      </c>
      <c r="G214" s="304" t="s">
        <v>1362</v>
      </c>
      <c r="H214" s="316" t="s">
        <v>1302</v>
      </c>
      <c r="I214" s="302"/>
      <c r="J214" s="348">
        <v>1506000</v>
      </c>
      <c r="K214" s="338"/>
    </row>
    <row r="215" spans="2:11" ht="15.75" customHeight="1">
      <c r="B215" s="293">
        <v>213</v>
      </c>
      <c r="C215" s="303"/>
      <c r="D215" s="303"/>
      <c r="E215" s="302">
        <v>31</v>
      </c>
      <c r="F215" s="295" t="str">
        <f t="shared" si="4"/>
        <v>یگانه محمددوست</v>
      </c>
      <c r="G215" s="304" t="s">
        <v>1363</v>
      </c>
      <c r="H215" s="316" t="s">
        <v>1302</v>
      </c>
      <c r="I215" s="302"/>
      <c r="J215" s="348">
        <v>8723500</v>
      </c>
      <c r="K215" s="338"/>
    </row>
    <row r="216" spans="2:11" ht="15.75" customHeight="1">
      <c r="B216" s="293">
        <v>214</v>
      </c>
      <c r="C216" s="303"/>
      <c r="D216" s="303"/>
      <c r="E216" s="302" t="s">
        <v>146</v>
      </c>
      <c r="F216" s="295" t="str">
        <f t="shared" si="4"/>
        <v>هزینه کلی به مددجویان</v>
      </c>
      <c r="G216" s="304" t="s">
        <v>1364</v>
      </c>
      <c r="H216" s="316" t="s">
        <v>1302</v>
      </c>
      <c r="I216" s="302"/>
      <c r="J216" s="348">
        <v>1191000</v>
      </c>
      <c r="K216" s="338" t="s">
        <v>1365</v>
      </c>
    </row>
    <row r="217" spans="2:11" ht="15.75" customHeight="1">
      <c r="B217" s="293">
        <v>215</v>
      </c>
      <c r="C217" s="303"/>
      <c r="D217" s="303"/>
      <c r="E217" s="302" t="s">
        <v>145</v>
      </c>
      <c r="F217" s="295" t="str">
        <f t="shared" si="4"/>
        <v>هزینه کلی موسسه</v>
      </c>
      <c r="G217" s="304" t="s">
        <v>1340</v>
      </c>
      <c r="H217" s="316" t="s">
        <v>1306</v>
      </c>
      <c r="I217" s="302"/>
      <c r="J217" s="348">
        <v>60018000</v>
      </c>
      <c r="K217" s="338"/>
    </row>
    <row r="218" spans="2:11" ht="15.75" customHeight="1">
      <c r="B218" s="293">
        <v>216</v>
      </c>
      <c r="C218" s="303"/>
      <c r="D218" s="303"/>
      <c r="E218" s="302">
        <v>13</v>
      </c>
      <c r="F218" s="295" t="str">
        <f t="shared" si="4"/>
        <v>کوثر مولایی</v>
      </c>
      <c r="G218" s="304" t="s">
        <v>1341</v>
      </c>
      <c r="H218" s="316" t="s">
        <v>1306</v>
      </c>
      <c r="I218" s="302"/>
      <c r="J218" s="348">
        <v>10006000</v>
      </c>
      <c r="K218" s="338"/>
    </row>
    <row r="219" spans="2:11" ht="15.75" customHeight="1">
      <c r="B219" s="293">
        <v>217</v>
      </c>
      <c r="C219" s="303"/>
      <c r="D219" s="303"/>
      <c r="E219" s="302" t="s">
        <v>145</v>
      </c>
      <c r="F219" s="295" t="str">
        <f t="shared" si="4"/>
        <v>هزینه کلی موسسه</v>
      </c>
      <c r="G219" s="304" t="s">
        <v>1197</v>
      </c>
      <c r="H219" s="316" t="s">
        <v>1366</v>
      </c>
      <c r="I219" s="302"/>
      <c r="J219" s="348">
        <v>300000</v>
      </c>
      <c r="K219" s="338"/>
    </row>
    <row r="220" spans="2:11" ht="15.75" customHeight="1">
      <c r="B220" s="293">
        <v>218</v>
      </c>
      <c r="C220" s="303"/>
      <c r="D220" s="303"/>
      <c r="E220" s="302" t="s">
        <v>146</v>
      </c>
      <c r="F220" s="295" t="str">
        <f t="shared" si="4"/>
        <v>هزینه کلی به مددجویان</v>
      </c>
      <c r="G220" s="304" t="s">
        <v>1364</v>
      </c>
      <c r="H220" s="316" t="s">
        <v>1367</v>
      </c>
      <c r="I220" s="302"/>
      <c r="J220" s="348">
        <v>1226000</v>
      </c>
      <c r="K220" s="338" t="s">
        <v>1368</v>
      </c>
    </row>
    <row r="221" spans="2:11" ht="15.75" customHeight="1">
      <c r="B221" s="293">
        <v>219</v>
      </c>
      <c r="C221" s="303"/>
      <c r="D221" s="303"/>
      <c r="E221" s="302" t="s">
        <v>145</v>
      </c>
      <c r="F221" s="295" t="str">
        <f t="shared" si="4"/>
        <v>هزینه کلی موسسه</v>
      </c>
      <c r="G221" s="304" t="s">
        <v>1369</v>
      </c>
      <c r="H221" s="316" t="s">
        <v>1367</v>
      </c>
      <c r="I221" s="302"/>
      <c r="J221" s="348">
        <v>5006000</v>
      </c>
      <c r="K221" s="338"/>
    </row>
    <row r="222" spans="2:11" ht="15.75" customHeight="1">
      <c r="B222" s="293">
        <v>220</v>
      </c>
      <c r="C222" s="303"/>
      <c r="D222" s="303"/>
      <c r="E222" s="302" t="s">
        <v>145</v>
      </c>
      <c r="F222" s="295" t="str">
        <f t="shared" si="4"/>
        <v>هزینه کلی موسسه</v>
      </c>
      <c r="G222" s="304" t="s">
        <v>1370</v>
      </c>
      <c r="H222" s="316" t="s">
        <v>1367</v>
      </c>
      <c r="I222" s="302"/>
      <c r="J222" s="348">
        <v>40013200</v>
      </c>
      <c r="K222" s="338"/>
    </row>
    <row r="223" spans="2:11" ht="15.75" customHeight="1">
      <c r="B223" s="293">
        <v>221</v>
      </c>
      <c r="C223" s="303"/>
      <c r="D223" s="303"/>
      <c r="E223" s="302" t="s">
        <v>145</v>
      </c>
      <c r="F223" s="295" t="str">
        <f t="shared" si="4"/>
        <v>هزینه کلی موسسه</v>
      </c>
      <c r="G223" s="304" t="s">
        <v>1371</v>
      </c>
      <c r="H223" s="316" t="s">
        <v>1367</v>
      </c>
      <c r="I223" s="302"/>
      <c r="J223" s="348">
        <v>675800</v>
      </c>
      <c r="K223" s="338"/>
    </row>
    <row r="224" spans="2:11" ht="15.75" customHeight="1">
      <c r="B224" s="293">
        <v>222</v>
      </c>
      <c r="C224" s="303"/>
      <c r="D224" s="303"/>
      <c r="E224" s="302" t="s">
        <v>145</v>
      </c>
      <c r="F224" s="295" t="str">
        <f t="shared" si="4"/>
        <v>هزینه کلی موسسه</v>
      </c>
      <c r="G224" s="304" t="s">
        <v>1372</v>
      </c>
      <c r="H224" s="316" t="s">
        <v>1367</v>
      </c>
      <c r="I224" s="302"/>
      <c r="J224" s="348">
        <v>54500</v>
      </c>
      <c r="K224" s="338"/>
    </row>
    <row r="225" spans="2:11" ht="15.75" customHeight="1">
      <c r="B225" s="293">
        <v>223</v>
      </c>
      <c r="C225" s="303"/>
      <c r="D225" s="303"/>
      <c r="E225" s="302"/>
      <c r="F225" s="295" t="str">
        <f t="shared" si="4"/>
        <v/>
      </c>
      <c r="G225" s="304"/>
      <c r="H225" s="316" t="s">
        <v>1382</v>
      </c>
      <c r="I225" s="302"/>
      <c r="J225" s="348">
        <v>18008400</v>
      </c>
      <c r="K225" s="338"/>
    </row>
    <row r="226" spans="2:11" ht="15.75" customHeight="1">
      <c r="B226" s="293">
        <v>224</v>
      </c>
      <c r="C226" s="303"/>
      <c r="D226" s="303"/>
      <c r="E226" s="302"/>
      <c r="F226" s="295" t="str">
        <f t="shared" si="4"/>
        <v/>
      </c>
      <c r="G226" s="304"/>
      <c r="H226" s="316" t="s">
        <v>1382</v>
      </c>
      <c r="I226" s="302"/>
      <c r="J226" s="348">
        <v>6006000</v>
      </c>
      <c r="K226" s="338"/>
    </row>
    <row r="227" spans="2:11" ht="15.75" customHeight="1">
      <c r="B227" s="293">
        <v>225</v>
      </c>
      <c r="C227" s="303"/>
      <c r="D227" s="303"/>
      <c r="E227" s="302" t="s">
        <v>145</v>
      </c>
      <c r="F227" s="295" t="str">
        <f t="shared" si="4"/>
        <v>هزینه کلی موسسه</v>
      </c>
      <c r="G227" s="304" t="s">
        <v>1340</v>
      </c>
      <c r="H227" s="316" t="s">
        <v>1384</v>
      </c>
      <c r="I227" s="302"/>
      <c r="J227" s="348">
        <v>60018000</v>
      </c>
      <c r="K227" s="338"/>
    </row>
    <row r="228" spans="2:11" ht="15.75" customHeight="1">
      <c r="B228" s="293">
        <v>226</v>
      </c>
      <c r="C228" s="303"/>
      <c r="D228" s="303"/>
      <c r="E228" s="302" t="s">
        <v>145</v>
      </c>
      <c r="F228" s="295" t="str">
        <f t="shared" si="4"/>
        <v>هزینه کلی موسسه</v>
      </c>
      <c r="G228" s="304" t="s">
        <v>1362</v>
      </c>
      <c r="H228" s="316" t="s">
        <v>1384</v>
      </c>
      <c r="I228" s="302"/>
      <c r="J228" s="348">
        <v>2006000</v>
      </c>
      <c r="K228" s="338"/>
    </row>
    <row r="229" spans="2:11" ht="15.75" customHeight="1">
      <c r="B229" s="293">
        <v>227</v>
      </c>
      <c r="C229" s="303"/>
      <c r="D229" s="303"/>
      <c r="E229" s="302" t="s">
        <v>146</v>
      </c>
      <c r="F229" s="295" t="str">
        <f t="shared" si="4"/>
        <v>هزینه کلی به مددجویان</v>
      </c>
      <c r="G229" s="304" t="s">
        <v>1364</v>
      </c>
      <c r="H229" s="316" t="s">
        <v>1384</v>
      </c>
      <c r="I229" s="302"/>
      <c r="J229" s="348">
        <v>1686000</v>
      </c>
      <c r="K229" s="338"/>
    </row>
    <row r="230" spans="2:11" ht="15.75" customHeight="1">
      <c r="B230" s="293">
        <v>228</v>
      </c>
      <c r="C230" s="303"/>
      <c r="D230" s="303"/>
      <c r="E230" s="302" t="s">
        <v>146</v>
      </c>
      <c r="F230" s="295" t="str">
        <f t="shared" si="4"/>
        <v>هزینه کلی به مددجویان</v>
      </c>
      <c r="G230" s="304" t="s">
        <v>1387</v>
      </c>
      <c r="H230" s="316" t="s">
        <v>1386</v>
      </c>
      <c r="I230" s="302"/>
      <c r="J230" s="348">
        <v>10998400</v>
      </c>
      <c r="K230" s="338"/>
    </row>
    <row r="231" spans="2:11" ht="15.75" customHeight="1">
      <c r="B231" s="293">
        <v>229</v>
      </c>
      <c r="C231" s="303"/>
      <c r="D231" s="303"/>
      <c r="E231" s="302" t="s">
        <v>145</v>
      </c>
      <c r="F231" s="295" t="str">
        <f t="shared" si="4"/>
        <v>هزینه کلی موسسه</v>
      </c>
      <c r="G231" s="304" t="s">
        <v>1389</v>
      </c>
      <c r="H231" s="316" t="s">
        <v>1388</v>
      </c>
      <c r="I231" s="302"/>
      <c r="J231" s="348">
        <v>40013200</v>
      </c>
      <c r="K231" s="338"/>
    </row>
    <row r="232" spans="2:11" ht="15.75" customHeight="1">
      <c r="B232" s="293">
        <v>230</v>
      </c>
      <c r="C232" s="303"/>
      <c r="D232" s="303"/>
      <c r="E232" s="302" t="s">
        <v>145</v>
      </c>
      <c r="F232" s="295" t="str">
        <f t="shared" si="4"/>
        <v>هزینه کلی موسسه</v>
      </c>
      <c r="G232" s="304" t="s">
        <v>1340</v>
      </c>
      <c r="H232" s="316" t="s">
        <v>1391</v>
      </c>
      <c r="I232" s="302"/>
      <c r="J232" s="348">
        <v>60018000</v>
      </c>
      <c r="K232" s="338"/>
    </row>
    <row r="233" spans="2:11" ht="15.75" customHeight="1">
      <c r="B233" s="293">
        <v>231</v>
      </c>
      <c r="C233" s="303"/>
      <c r="D233" s="303"/>
      <c r="E233" s="302" t="s">
        <v>146</v>
      </c>
      <c r="F233" s="295" t="str">
        <f t="shared" si="4"/>
        <v>هزینه کلی به مددجویان</v>
      </c>
      <c r="G233" s="304" t="s">
        <v>1442</v>
      </c>
      <c r="H233" s="316" t="s">
        <v>1393</v>
      </c>
      <c r="I233" s="302"/>
      <c r="J233" s="348">
        <v>8140000</v>
      </c>
      <c r="K233" s="338"/>
    </row>
    <row r="234" spans="2:11" ht="15.75" customHeight="1">
      <c r="B234" s="293">
        <v>232</v>
      </c>
      <c r="C234" s="303"/>
      <c r="D234" s="303"/>
      <c r="E234" s="302" t="s">
        <v>145</v>
      </c>
      <c r="F234" s="295" t="str">
        <f t="shared" si="4"/>
        <v>هزینه کلی موسسه</v>
      </c>
      <c r="G234" s="304" t="s">
        <v>1443</v>
      </c>
      <c r="H234" s="316" t="s">
        <v>1408</v>
      </c>
      <c r="I234" s="302"/>
      <c r="J234" s="348">
        <v>360000</v>
      </c>
      <c r="K234" s="338"/>
    </row>
    <row r="235" spans="2:11" ht="15.75" customHeight="1">
      <c r="B235" s="293">
        <v>233</v>
      </c>
      <c r="C235" s="303"/>
      <c r="D235" s="303"/>
      <c r="E235" s="302" t="s">
        <v>145</v>
      </c>
      <c r="F235" s="295" t="str">
        <f t="shared" si="4"/>
        <v>هزینه کلی موسسه</v>
      </c>
      <c r="G235" s="304" t="s">
        <v>1444</v>
      </c>
      <c r="H235" s="316" t="s">
        <v>1409</v>
      </c>
      <c r="I235" s="302"/>
      <c r="J235" s="348">
        <v>370000</v>
      </c>
      <c r="K235" s="338"/>
    </row>
    <row r="236" spans="2:11" ht="15.75" customHeight="1">
      <c r="B236" s="293">
        <v>234</v>
      </c>
      <c r="C236" s="303"/>
      <c r="D236" s="303"/>
      <c r="E236" s="302" t="s">
        <v>145</v>
      </c>
      <c r="F236" s="295" t="str">
        <f t="shared" si="4"/>
        <v>هزینه کلی موسسه</v>
      </c>
      <c r="G236" s="304" t="s">
        <v>1445</v>
      </c>
      <c r="H236" s="316" t="s">
        <v>1419</v>
      </c>
      <c r="I236" s="302"/>
      <c r="J236" s="348">
        <v>5000000</v>
      </c>
      <c r="K236" s="338"/>
    </row>
    <row r="237" spans="2:11" ht="15.75" customHeight="1">
      <c r="B237" s="293">
        <v>235</v>
      </c>
      <c r="C237" s="303"/>
      <c r="D237" s="303"/>
      <c r="E237" s="302">
        <v>21</v>
      </c>
      <c r="F237" s="295" t="str">
        <f t="shared" si="4"/>
        <v>ملبکا نماز</v>
      </c>
      <c r="G237" s="304" t="s">
        <v>1446</v>
      </c>
      <c r="H237" s="316" t="s">
        <v>1419</v>
      </c>
      <c r="I237" s="302"/>
      <c r="J237" s="348">
        <v>650000</v>
      </c>
      <c r="K237" s="338"/>
    </row>
    <row r="238" spans="2:11" ht="30" customHeight="1">
      <c r="B238" s="293">
        <v>236</v>
      </c>
      <c r="C238" s="303"/>
      <c r="D238" s="303"/>
      <c r="E238" s="302" t="s">
        <v>146</v>
      </c>
      <c r="F238" s="295" t="str">
        <f t="shared" si="4"/>
        <v>هزینه کلی به مددجویان</v>
      </c>
      <c r="G238" s="304" t="s">
        <v>1448</v>
      </c>
      <c r="H238" s="316" t="s">
        <v>1419</v>
      </c>
      <c r="I238" s="302"/>
      <c r="J238" s="348">
        <v>1210000</v>
      </c>
      <c r="K238" s="338"/>
    </row>
    <row r="239" spans="2:11" ht="15.75" customHeight="1">
      <c r="B239" s="293">
        <v>237</v>
      </c>
      <c r="C239" s="303"/>
      <c r="D239" s="303"/>
      <c r="E239" s="302">
        <v>12</v>
      </c>
      <c r="F239" s="462" t="str">
        <f t="shared" si="4"/>
        <v>الهام صمدی</v>
      </c>
      <c r="G239" s="304" t="s">
        <v>1449</v>
      </c>
      <c r="H239" s="463" t="s">
        <v>1419</v>
      </c>
      <c r="I239" s="302"/>
      <c r="J239" s="464">
        <v>1220000</v>
      </c>
      <c r="K239" s="338"/>
    </row>
    <row r="240" spans="2:11" ht="15.75" customHeight="1">
      <c r="B240" s="293">
        <v>238</v>
      </c>
      <c r="C240" s="303"/>
      <c r="D240" s="303"/>
      <c r="E240" s="302">
        <v>22</v>
      </c>
      <c r="F240" s="295" t="str">
        <f t="shared" si="4"/>
        <v>مهدبار نماز</v>
      </c>
      <c r="G240" s="304" t="s">
        <v>1450</v>
      </c>
      <c r="H240" s="316" t="s">
        <v>1447</v>
      </c>
      <c r="I240" s="302"/>
      <c r="J240" s="348">
        <v>1500000</v>
      </c>
      <c r="K240" s="338"/>
    </row>
    <row r="241" spans="2:11" ht="30" customHeight="1">
      <c r="B241" s="293">
        <v>239</v>
      </c>
      <c r="C241" s="303"/>
      <c r="D241" s="303"/>
      <c r="E241" s="302" t="s">
        <v>146</v>
      </c>
      <c r="F241" s="295" t="str">
        <f t="shared" si="4"/>
        <v>هزینه کلی به مددجویان</v>
      </c>
      <c r="G241" s="304" t="s">
        <v>1451</v>
      </c>
      <c r="H241" s="316" t="s">
        <v>1391</v>
      </c>
      <c r="I241" s="302"/>
      <c r="J241" s="348">
        <v>855000</v>
      </c>
      <c r="K241" s="338"/>
    </row>
    <row r="242" spans="2:11" ht="15.75" customHeight="1">
      <c r="B242" s="293">
        <v>240</v>
      </c>
      <c r="C242" s="303"/>
      <c r="D242" s="303"/>
      <c r="E242" s="302" t="s">
        <v>145</v>
      </c>
      <c r="F242" s="295" t="str">
        <f t="shared" si="4"/>
        <v>هزینه کلی موسسه</v>
      </c>
      <c r="G242" s="304" t="s">
        <v>1452</v>
      </c>
      <c r="H242" s="316" t="s">
        <v>1393</v>
      </c>
      <c r="I242" s="302"/>
      <c r="J242" s="348">
        <v>360000</v>
      </c>
      <c r="K242" s="338"/>
    </row>
    <row r="243" spans="2:11" ht="15.75" customHeight="1">
      <c r="B243" s="293">
        <v>241</v>
      </c>
      <c r="C243" s="303"/>
      <c r="D243" s="303"/>
      <c r="E243" s="302" t="s">
        <v>146</v>
      </c>
      <c r="F243" s="295" t="str">
        <f t="shared" si="4"/>
        <v>هزینه کلی به مددجویان</v>
      </c>
      <c r="G243" s="304" t="s">
        <v>1453</v>
      </c>
      <c r="H243" s="316" t="s">
        <v>1424</v>
      </c>
      <c r="I243" s="302"/>
      <c r="J243" s="348">
        <v>2500000</v>
      </c>
      <c r="K243" s="338"/>
    </row>
    <row r="244" spans="2:11" ht="33" customHeight="1">
      <c r="B244" s="293">
        <v>242</v>
      </c>
      <c r="C244" s="303"/>
      <c r="D244" s="303"/>
      <c r="E244" s="302" t="s">
        <v>146</v>
      </c>
      <c r="F244" s="295" t="str">
        <f t="shared" si="4"/>
        <v>هزینه کلی به مددجویان</v>
      </c>
      <c r="G244" s="304" t="s">
        <v>1454</v>
      </c>
      <c r="H244" s="316" t="s">
        <v>1426</v>
      </c>
      <c r="I244" s="302"/>
      <c r="J244" s="348">
        <v>2380000</v>
      </c>
      <c r="K244" s="338"/>
    </row>
    <row r="245" spans="2:11" ht="15.75" customHeight="1">
      <c r="B245" s="293">
        <v>243</v>
      </c>
      <c r="C245" s="303"/>
      <c r="D245" s="303"/>
      <c r="E245" s="302" t="s">
        <v>146</v>
      </c>
      <c r="F245" s="295" t="str">
        <f t="shared" si="4"/>
        <v>هزینه کلی به مددجویان</v>
      </c>
      <c r="G245" s="304" t="s">
        <v>1456</v>
      </c>
      <c r="H245" s="316" t="s">
        <v>1426</v>
      </c>
      <c r="I245" s="302"/>
      <c r="J245" s="348">
        <v>1590000</v>
      </c>
      <c r="K245" s="338"/>
    </row>
    <row r="246" spans="2:11" ht="31.5" customHeight="1">
      <c r="B246" s="293">
        <v>244</v>
      </c>
      <c r="C246" s="303"/>
      <c r="D246" s="303"/>
      <c r="E246" s="302" t="s">
        <v>146</v>
      </c>
      <c r="F246" s="295" t="str">
        <f t="shared" si="4"/>
        <v>هزینه کلی به مددجویان</v>
      </c>
      <c r="G246" s="304" t="s">
        <v>1455</v>
      </c>
      <c r="H246" s="316" t="s">
        <v>1395</v>
      </c>
      <c r="I246" s="302"/>
      <c r="J246" s="348">
        <v>1200000</v>
      </c>
      <c r="K246" s="338"/>
    </row>
    <row r="247" spans="2:11" ht="15.75" customHeight="1">
      <c r="B247" s="293">
        <v>245</v>
      </c>
      <c r="C247" s="303"/>
      <c r="D247" s="303"/>
      <c r="E247" s="302"/>
      <c r="F247" s="295" t="str">
        <f t="shared" si="4"/>
        <v/>
      </c>
      <c r="G247" s="304" t="s">
        <v>1461</v>
      </c>
      <c r="H247" s="316" t="s">
        <v>1393</v>
      </c>
      <c r="I247" s="302"/>
      <c r="J247" s="348">
        <v>11530400</v>
      </c>
      <c r="K247" s="338"/>
    </row>
    <row r="248" spans="2:11" ht="15.75" customHeight="1">
      <c r="B248" s="293">
        <v>246</v>
      </c>
      <c r="C248" s="303"/>
      <c r="D248" s="303"/>
      <c r="E248" s="302"/>
      <c r="F248" s="295" t="str">
        <f t="shared" si="4"/>
        <v/>
      </c>
      <c r="G248" s="304" t="s">
        <v>1461</v>
      </c>
      <c r="H248" s="316" t="s">
        <v>1395</v>
      </c>
      <c r="I248" s="302"/>
      <c r="J248" s="348">
        <v>7676000</v>
      </c>
      <c r="K248" s="338"/>
    </row>
    <row r="249" spans="2:11" ht="15.75" customHeight="1">
      <c r="B249" s="293">
        <v>247</v>
      </c>
      <c r="C249" s="303"/>
      <c r="D249" s="303"/>
      <c r="E249" s="302" t="s">
        <v>145</v>
      </c>
      <c r="F249" s="295" t="str">
        <f t="shared" si="4"/>
        <v>هزینه کلی موسسه</v>
      </c>
      <c r="G249" s="304" t="s">
        <v>1498</v>
      </c>
      <c r="H249" s="316" t="s">
        <v>1396</v>
      </c>
      <c r="I249" s="302"/>
      <c r="J249" s="348">
        <v>2286000</v>
      </c>
      <c r="K249" s="338"/>
    </row>
    <row r="250" spans="2:11" ht="15.75" customHeight="1">
      <c r="B250" s="293">
        <v>248</v>
      </c>
      <c r="C250" s="303"/>
      <c r="D250" s="303"/>
      <c r="E250" s="302">
        <v>22</v>
      </c>
      <c r="F250" s="295" t="str">
        <f t="shared" si="4"/>
        <v>مهدبار نماز</v>
      </c>
      <c r="G250" s="304" t="s">
        <v>1457</v>
      </c>
      <c r="H250" s="316" t="s">
        <v>1397</v>
      </c>
      <c r="I250" s="302"/>
      <c r="J250" s="348">
        <v>7006000</v>
      </c>
      <c r="K250" s="338"/>
    </row>
    <row r="251" spans="2:11" ht="15.75" customHeight="1">
      <c r="B251" s="293">
        <v>249</v>
      </c>
      <c r="C251" s="303"/>
      <c r="D251" s="303"/>
      <c r="E251" s="302" t="s">
        <v>145</v>
      </c>
      <c r="F251" s="295" t="str">
        <f t="shared" si="4"/>
        <v>هزینه کلی موسسه</v>
      </c>
      <c r="G251" s="304" t="s">
        <v>1458</v>
      </c>
      <c r="H251" s="316" t="s">
        <v>1397</v>
      </c>
      <c r="I251" s="302"/>
      <c r="J251" s="348">
        <v>5006000</v>
      </c>
      <c r="K251" s="338"/>
    </row>
    <row r="252" spans="2:11" ht="15.75" customHeight="1">
      <c r="B252" s="293">
        <v>250</v>
      </c>
      <c r="C252" s="303"/>
      <c r="D252" s="303"/>
      <c r="E252" s="302" t="s">
        <v>145</v>
      </c>
      <c r="F252" s="295" t="str">
        <f t="shared" si="4"/>
        <v>هزینه کلی موسسه</v>
      </c>
      <c r="G252" s="304" t="s">
        <v>1398</v>
      </c>
      <c r="H252" s="316" t="s">
        <v>1397</v>
      </c>
      <c r="I252" s="302"/>
      <c r="J252" s="348">
        <v>40013200</v>
      </c>
      <c r="K252" s="338"/>
    </row>
    <row r="253" spans="2:11" ht="15.75" customHeight="1">
      <c r="B253" s="293">
        <v>251</v>
      </c>
      <c r="C253" s="303"/>
      <c r="D253" s="303"/>
      <c r="E253" s="302" t="s">
        <v>145</v>
      </c>
      <c r="F253" s="295" t="str">
        <f t="shared" si="4"/>
        <v>هزینه کلی موسسه</v>
      </c>
      <c r="G253" s="304" t="s">
        <v>1399</v>
      </c>
      <c r="H253" s="316" t="s">
        <v>1397</v>
      </c>
      <c r="I253" s="302"/>
      <c r="J253" s="348">
        <v>5006000</v>
      </c>
      <c r="K253" s="338"/>
    </row>
    <row r="254" spans="2:11" ht="15.75" customHeight="1">
      <c r="B254" s="293">
        <v>252</v>
      </c>
      <c r="C254" s="303"/>
      <c r="D254" s="303"/>
      <c r="E254" s="302" t="s">
        <v>145</v>
      </c>
      <c r="F254" s="295" t="str">
        <f t="shared" si="4"/>
        <v>هزینه کلی موسسه</v>
      </c>
      <c r="G254" s="304" t="s">
        <v>1362</v>
      </c>
      <c r="H254" s="316" t="s">
        <v>1400</v>
      </c>
      <c r="I254" s="302"/>
      <c r="J254" s="348">
        <v>2006000</v>
      </c>
      <c r="K254" s="338"/>
    </row>
    <row r="255" spans="2:11" ht="15.75" customHeight="1">
      <c r="B255" s="293">
        <v>253</v>
      </c>
      <c r="C255" s="303"/>
      <c r="D255" s="303"/>
      <c r="E255" s="302" t="s">
        <v>145</v>
      </c>
      <c r="F255" s="295" t="str">
        <f t="shared" si="4"/>
        <v>هزینه کلی موسسه</v>
      </c>
      <c r="G255" s="304" t="s">
        <v>1459</v>
      </c>
      <c r="H255" s="316" t="s">
        <v>1430</v>
      </c>
      <c r="I255" s="302"/>
      <c r="J255" s="348">
        <v>700000</v>
      </c>
      <c r="K255" s="338"/>
    </row>
    <row r="256" spans="2:11" ht="15.75" customHeight="1">
      <c r="B256" s="293">
        <v>254</v>
      </c>
      <c r="C256" s="303"/>
      <c r="D256" s="303"/>
      <c r="E256" s="302">
        <v>12</v>
      </c>
      <c r="F256" s="462" t="str">
        <f t="shared" si="4"/>
        <v>الهام صمدی</v>
      </c>
      <c r="G256" s="304" t="s">
        <v>1460</v>
      </c>
      <c r="H256" s="463" t="s">
        <v>1431</v>
      </c>
      <c r="I256" s="302"/>
      <c r="J256" s="464">
        <v>8000000</v>
      </c>
      <c r="K256" s="338"/>
    </row>
    <row r="257" spans="2:11" ht="15.75" customHeight="1">
      <c r="B257" s="293">
        <v>255</v>
      </c>
      <c r="C257" s="303"/>
      <c r="D257" s="303"/>
      <c r="E257" s="302"/>
      <c r="F257" s="295" t="str">
        <f t="shared" si="4"/>
        <v/>
      </c>
      <c r="G257" s="304" t="s">
        <v>1461</v>
      </c>
      <c r="H257" s="316" t="s">
        <v>1401</v>
      </c>
      <c r="I257" s="302"/>
      <c r="J257" s="348">
        <v>8706000</v>
      </c>
      <c r="K257" s="338"/>
    </row>
    <row r="258" spans="2:11" ht="15.75" customHeight="1">
      <c r="B258" s="293">
        <v>256</v>
      </c>
      <c r="C258" s="303"/>
      <c r="D258" s="303"/>
      <c r="E258" s="302" t="s">
        <v>145</v>
      </c>
      <c r="F258" s="295" t="str">
        <f t="shared" si="4"/>
        <v>هزینه کلی موسسه</v>
      </c>
      <c r="G258" s="304" t="s">
        <v>1340</v>
      </c>
      <c r="H258" s="316" t="s">
        <v>1402</v>
      </c>
      <c r="I258" s="302"/>
      <c r="J258" s="348">
        <v>60018000</v>
      </c>
      <c r="K258" s="338"/>
    </row>
    <row r="259" spans="2:11" ht="15.75" customHeight="1">
      <c r="B259" s="293">
        <v>257</v>
      </c>
      <c r="C259" s="303"/>
      <c r="D259" s="303"/>
      <c r="E259" s="302" t="s">
        <v>145</v>
      </c>
      <c r="F259" s="295" t="str">
        <f t="shared" si="4"/>
        <v>هزینه کلی موسسه</v>
      </c>
      <c r="G259" s="304" t="s">
        <v>1497</v>
      </c>
      <c r="H259" s="316" t="s">
        <v>1477</v>
      </c>
      <c r="I259" s="302"/>
      <c r="J259" s="348">
        <v>359700</v>
      </c>
      <c r="K259" s="338"/>
    </row>
    <row r="260" spans="2:11" ht="15.75" customHeight="1">
      <c r="B260" s="293">
        <v>258</v>
      </c>
      <c r="C260" s="303"/>
      <c r="D260" s="303"/>
      <c r="E260" s="302">
        <v>24</v>
      </c>
      <c r="F260" s="295" t="str">
        <f t="shared" si="4"/>
        <v>کمیل سروری</v>
      </c>
      <c r="G260" s="304" t="s">
        <v>1502</v>
      </c>
      <c r="H260" s="316" t="s">
        <v>1477</v>
      </c>
      <c r="I260" s="302"/>
      <c r="J260" s="348">
        <v>10006000</v>
      </c>
      <c r="K260" s="338"/>
    </row>
    <row r="261" spans="2:11" ht="15.75" customHeight="1">
      <c r="B261" s="293">
        <v>259</v>
      </c>
      <c r="C261" s="303"/>
      <c r="D261" s="303"/>
      <c r="E261" s="302">
        <v>24</v>
      </c>
      <c r="F261" s="295" t="str">
        <f t="shared" si="4"/>
        <v>کمیل سروری</v>
      </c>
      <c r="G261" s="304" t="s">
        <v>1503</v>
      </c>
      <c r="H261" s="316" t="s">
        <v>1483</v>
      </c>
      <c r="I261" s="302"/>
      <c r="J261" s="348" t="s">
        <v>1505</v>
      </c>
      <c r="K261" s="338"/>
    </row>
    <row r="262" spans="2:11" ht="15.75" customHeight="1">
      <c r="B262" s="293">
        <v>260</v>
      </c>
      <c r="C262" s="303"/>
      <c r="D262" s="303"/>
      <c r="E262" s="302" t="s">
        <v>145</v>
      </c>
      <c r="F262" s="295" t="str">
        <f t="shared" si="4"/>
        <v>هزینه کلی موسسه</v>
      </c>
      <c r="G262" s="304" t="s">
        <v>1489</v>
      </c>
      <c r="H262" s="316" t="s">
        <v>1439</v>
      </c>
      <c r="I262" s="302"/>
      <c r="J262" s="348">
        <v>860000</v>
      </c>
      <c r="K262" s="338"/>
    </row>
    <row r="263" spans="2:11" ht="15.75" customHeight="1">
      <c r="B263" s="293">
        <v>261</v>
      </c>
      <c r="C263" s="303"/>
      <c r="D263" s="303"/>
      <c r="E263" s="302" t="s">
        <v>145</v>
      </c>
      <c r="F263" s="295" t="str">
        <f t="shared" si="4"/>
        <v>هزینه کلی موسسه</v>
      </c>
      <c r="G263" s="304" t="s">
        <v>1488</v>
      </c>
      <c r="H263" s="316" t="s">
        <v>1480</v>
      </c>
      <c r="I263" s="302"/>
      <c r="J263" s="348">
        <v>1837000</v>
      </c>
      <c r="K263" s="338"/>
    </row>
    <row r="264" spans="2:11" ht="15.75" customHeight="1">
      <c r="B264" s="293">
        <v>262</v>
      </c>
      <c r="C264" s="303"/>
      <c r="D264" s="303"/>
      <c r="E264" s="302" t="s">
        <v>145</v>
      </c>
      <c r="F264" s="295" t="str">
        <f t="shared" si="4"/>
        <v>هزینه کلی موسسه</v>
      </c>
      <c r="G264" s="304" t="s">
        <v>1488</v>
      </c>
      <c r="H264" s="316" t="s">
        <v>1480</v>
      </c>
      <c r="I264" s="302"/>
      <c r="J264" s="348">
        <v>830000</v>
      </c>
      <c r="K264" s="338"/>
    </row>
    <row r="265" spans="2:11" ht="15.75" customHeight="1">
      <c r="B265" s="293">
        <v>263</v>
      </c>
      <c r="C265" s="303"/>
      <c r="D265" s="303"/>
      <c r="E265" s="302" t="s">
        <v>145</v>
      </c>
      <c r="F265" s="295" t="str">
        <f t="shared" si="4"/>
        <v>هزینه کلی موسسه</v>
      </c>
      <c r="G265" s="304" t="s">
        <v>1490</v>
      </c>
      <c r="H265" s="316" t="s">
        <v>1480</v>
      </c>
      <c r="I265" s="302"/>
      <c r="J265" s="348">
        <v>3397000</v>
      </c>
      <c r="K265" s="338"/>
    </row>
    <row r="266" spans="2:11" ht="15.75" customHeight="1">
      <c r="B266" s="293">
        <v>264</v>
      </c>
      <c r="C266" s="303"/>
      <c r="D266" s="303"/>
      <c r="E266" s="302" t="s">
        <v>145</v>
      </c>
      <c r="F266" s="295" t="str">
        <f t="shared" si="4"/>
        <v>هزینه کلی موسسه</v>
      </c>
      <c r="G266" s="304" t="s">
        <v>1491</v>
      </c>
      <c r="H266" s="316" t="s">
        <v>1480</v>
      </c>
      <c r="I266" s="302"/>
      <c r="J266" s="348">
        <v>1200000</v>
      </c>
      <c r="K266" s="338"/>
    </row>
    <row r="267" spans="2:11" ht="15.75" customHeight="1">
      <c r="B267" s="293">
        <v>265</v>
      </c>
      <c r="C267" s="303"/>
      <c r="D267" s="303"/>
      <c r="E267" s="302" t="s">
        <v>145</v>
      </c>
      <c r="F267" s="295" t="str">
        <f t="shared" si="4"/>
        <v>هزینه کلی موسسه</v>
      </c>
      <c r="G267" s="304" t="s">
        <v>1492</v>
      </c>
      <c r="H267" s="316" t="s">
        <v>1480</v>
      </c>
      <c r="I267" s="302"/>
      <c r="J267" s="348">
        <v>960000</v>
      </c>
      <c r="K267" s="338"/>
    </row>
    <row r="268" spans="2:11" ht="15.75" customHeight="1">
      <c r="B268" s="293">
        <v>266</v>
      </c>
      <c r="C268" s="303"/>
      <c r="D268" s="303"/>
      <c r="E268" s="302" t="s">
        <v>145</v>
      </c>
      <c r="F268" s="295" t="str">
        <f t="shared" si="4"/>
        <v>هزینه کلی موسسه</v>
      </c>
      <c r="G268" s="304" t="s">
        <v>1493</v>
      </c>
      <c r="H268" s="316" t="s">
        <v>1480</v>
      </c>
      <c r="I268" s="302"/>
      <c r="J268" s="348">
        <v>4000000</v>
      </c>
      <c r="K268" s="338"/>
    </row>
    <row r="269" spans="2:11" ht="15.75" customHeight="1">
      <c r="B269" s="293">
        <v>267</v>
      </c>
      <c r="C269" s="303"/>
      <c r="D269" s="303"/>
      <c r="E269" s="302" t="s">
        <v>145</v>
      </c>
      <c r="F269" s="295" t="str">
        <f t="shared" si="4"/>
        <v>هزینه کلی موسسه</v>
      </c>
      <c r="G269" s="304" t="s">
        <v>1493</v>
      </c>
      <c r="H269" s="316" t="s">
        <v>1480</v>
      </c>
      <c r="I269" s="302"/>
      <c r="J269" s="348">
        <v>4370000</v>
      </c>
      <c r="K269" s="338"/>
    </row>
    <row r="270" spans="2:11" ht="15.75" customHeight="1">
      <c r="B270" s="293">
        <v>268</v>
      </c>
      <c r="C270" s="303"/>
      <c r="D270" s="303"/>
      <c r="E270" s="302">
        <v>22</v>
      </c>
      <c r="F270" s="295" t="str">
        <f t="shared" si="4"/>
        <v>مهدبار نماز</v>
      </c>
      <c r="G270" s="304" t="s">
        <v>1486</v>
      </c>
      <c r="H270" s="316" t="s">
        <v>1485</v>
      </c>
      <c r="I270" s="302"/>
      <c r="J270" s="348">
        <v>3500000</v>
      </c>
      <c r="K270" s="338"/>
    </row>
    <row r="271" spans="2:11" ht="15.75" customHeight="1">
      <c r="B271" s="293">
        <v>269</v>
      </c>
      <c r="C271" s="303"/>
      <c r="D271" s="303"/>
      <c r="E271" s="302" t="s">
        <v>145</v>
      </c>
      <c r="F271" s="295" t="str">
        <f t="shared" si="4"/>
        <v>هزینه کلی موسسه</v>
      </c>
      <c r="G271" s="304" t="s">
        <v>1487</v>
      </c>
      <c r="H271" s="316" t="s">
        <v>1485</v>
      </c>
      <c r="I271" s="302"/>
      <c r="J271" s="348">
        <v>5000000</v>
      </c>
      <c r="K271" s="338"/>
    </row>
    <row r="272" spans="2:11" ht="15.75" customHeight="1">
      <c r="B272" s="293">
        <v>270</v>
      </c>
      <c r="C272" s="303"/>
      <c r="D272" s="303"/>
      <c r="E272" s="302" t="s">
        <v>145</v>
      </c>
      <c r="F272" s="295" t="str">
        <f t="shared" ref="F272:F313" si="5">IF(E272="","",HLOOKUP(E272,eeee,2,0))</f>
        <v>هزینه کلی موسسه</v>
      </c>
      <c r="G272" s="304" t="s">
        <v>1501</v>
      </c>
      <c r="H272" s="316" t="s">
        <v>1485</v>
      </c>
      <c r="I272" s="302"/>
      <c r="J272" s="348">
        <v>200000</v>
      </c>
      <c r="K272" s="338"/>
    </row>
    <row r="273" spans="2:11" ht="15.75" customHeight="1">
      <c r="B273" s="293">
        <v>271</v>
      </c>
      <c r="C273" s="303"/>
      <c r="D273" s="303"/>
      <c r="E273" s="302">
        <v>21</v>
      </c>
      <c r="F273" s="295" t="str">
        <f t="shared" si="5"/>
        <v>ملبکا نماز</v>
      </c>
      <c r="G273" s="304" t="s">
        <v>1495</v>
      </c>
      <c r="H273" s="316" t="s">
        <v>1494</v>
      </c>
      <c r="I273" s="302"/>
      <c r="J273" s="348">
        <v>3000000</v>
      </c>
      <c r="K273" s="338"/>
    </row>
    <row r="274" spans="2:11" ht="15.75" customHeight="1">
      <c r="B274" s="293">
        <v>272</v>
      </c>
      <c r="C274" s="303"/>
      <c r="D274" s="303"/>
      <c r="E274" s="302" t="s">
        <v>145</v>
      </c>
      <c r="F274" s="295" t="str">
        <f t="shared" si="5"/>
        <v>هزینه کلی موسسه</v>
      </c>
      <c r="G274" s="304" t="s">
        <v>1461</v>
      </c>
      <c r="H274" s="316" t="s">
        <v>1494</v>
      </c>
      <c r="I274" s="302"/>
      <c r="J274" s="348">
        <v>17454000</v>
      </c>
      <c r="K274" s="338"/>
    </row>
    <row r="275" spans="2:11" ht="15.75" customHeight="1">
      <c r="B275" s="293">
        <v>273</v>
      </c>
      <c r="C275" s="303"/>
      <c r="D275" s="303"/>
      <c r="E275" s="302" t="s">
        <v>145</v>
      </c>
      <c r="F275" s="295" t="str">
        <f t="shared" si="5"/>
        <v>هزینه کلی موسسه</v>
      </c>
      <c r="G275" s="304" t="s">
        <v>1496</v>
      </c>
      <c r="H275" s="316" t="s">
        <v>1494</v>
      </c>
      <c r="I275" s="302"/>
      <c r="J275" s="348">
        <v>40000000</v>
      </c>
      <c r="K275" s="338"/>
    </row>
    <row r="276" spans="2:11" ht="15.75" customHeight="1">
      <c r="B276" s="293">
        <v>274</v>
      </c>
      <c r="C276" s="303"/>
      <c r="D276" s="303"/>
      <c r="E276" s="302" t="s">
        <v>145</v>
      </c>
      <c r="F276" s="295" t="str">
        <f t="shared" si="5"/>
        <v>هزینه کلی موسسه</v>
      </c>
      <c r="G276" s="304" t="s">
        <v>1399</v>
      </c>
      <c r="H276" s="316" t="s">
        <v>1494</v>
      </c>
      <c r="I276" s="302"/>
      <c r="J276" s="348">
        <v>550000</v>
      </c>
      <c r="K276" s="338"/>
    </row>
    <row r="277" spans="2:11" ht="15.75" customHeight="1">
      <c r="B277" s="293">
        <v>275</v>
      </c>
      <c r="C277" s="303"/>
      <c r="D277" s="303"/>
      <c r="E277" s="302">
        <v>24</v>
      </c>
      <c r="F277" s="295" t="str">
        <f t="shared" si="5"/>
        <v>کمیل سروری</v>
      </c>
      <c r="G277" s="304" t="s">
        <v>1503</v>
      </c>
      <c r="H277" s="316" t="s">
        <v>1521</v>
      </c>
      <c r="I277" s="302"/>
      <c r="J277" s="348" t="s">
        <v>1522</v>
      </c>
      <c r="K277" s="338"/>
    </row>
    <row r="278" spans="2:11" ht="15.75" customHeight="1">
      <c r="B278" s="293">
        <v>276</v>
      </c>
      <c r="C278" s="303"/>
      <c r="D278" s="303"/>
      <c r="E278" s="302" t="s">
        <v>145</v>
      </c>
      <c r="F278" s="295" t="str">
        <f t="shared" si="5"/>
        <v>هزینه کلی موسسه</v>
      </c>
      <c r="G278" s="304" t="s">
        <v>1524</v>
      </c>
      <c r="H278" s="316" t="s">
        <v>1523</v>
      </c>
      <c r="I278" s="302"/>
      <c r="J278" s="348">
        <v>2000000000</v>
      </c>
      <c r="K278" s="338"/>
    </row>
    <row r="279" spans="2:11" ht="15.75" customHeight="1">
      <c r="B279" s="293">
        <v>277</v>
      </c>
      <c r="C279" s="303"/>
      <c r="D279" s="303"/>
      <c r="E279" s="302" t="s">
        <v>145</v>
      </c>
      <c r="F279" s="295" t="str">
        <f t="shared" si="5"/>
        <v>هزینه کلی موسسه</v>
      </c>
      <c r="G279" s="304" t="s">
        <v>1524</v>
      </c>
      <c r="H279" s="316" t="s">
        <v>1523</v>
      </c>
      <c r="I279" s="302"/>
      <c r="J279" s="348">
        <v>280000</v>
      </c>
      <c r="K279" s="338"/>
    </row>
    <row r="280" spans="2:11" ht="15.75" customHeight="1">
      <c r="B280" s="293">
        <v>278</v>
      </c>
      <c r="C280" s="303"/>
      <c r="D280" s="303"/>
      <c r="E280" s="302" t="s">
        <v>145</v>
      </c>
      <c r="F280" s="295" t="str">
        <f t="shared" si="5"/>
        <v>هزینه کلی موسسه</v>
      </c>
      <c r="G280" s="304" t="s">
        <v>1340</v>
      </c>
      <c r="H280" s="316" t="s">
        <v>1525</v>
      </c>
      <c r="I280" s="302"/>
      <c r="J280" s="348">
        <v>60021200</v>
      </c>
      <c r="K280" s="338"/>
    </row>
    <row r="281" spans="2:11" ht="15.75" customHeight="1">
      <c r="B281" s="293">
        <v>279</v>
      </c>
      <c r="C281" s="303"/>
      <c r="D281" s="303"/>
      <c r="E281" s="302" t="s">
        <v>145</v>
      </c>
      <c r="F281" s="295" t="str">
        <f t="shared" si="5"/>
        <v>هزینه کلی موسسه</v>
      </c>
      <c r="G281" s="304" t="s">
        <v>1362</v>
      </c>
      <c r="H281" s="316" t="s">
        <v>1525</v>
      </c>
      <c r="I281" s="302"/>
      <c r="J281" s="348">
        <v>2007200</v>
      </c>
      <c r="K281" s="338"/>
    </row>
    <row r="282" spans="2:11" ht="15.75" customHeight="1">
      <c r="B282" s="293">
        <v>280</v>
      </c>
      <c r="C282" s="303"/>
      <c r="D282" s="303"/>
      <c r="E282" s="302" t="s">
        <v>145</v>
      </c>
      <c r="F282" s="295" t="str">
        <f t="shared" si="5"/>
        <v>هزینه کلی موسسه</v>
      </c>
      <c r="G282" s="304" t="s">
        <v>1527</v>
      </c>
      <c r="H282" s="316" t="s">
        <v>1525</v>
      </c>
      <c r="I282" s="302"/>
      <c r="J282" s="348">
        <v>2807200</v>
      </c>
      <c r="K282" s="338"/>
    </row>
    <row r="283" spans="2:11" ht="15.75" customHeight="1">
      <c r="B283" s="293">
        <v>281</v>
      </c>
      <c r="C283" s="303"/>
      <c r="D283" s="303"/>
      <c r="E283" s="302" t="s">
        <v>145</v>
      </c>
      <c r="F283" s="295" t="str">
        <f t="shared" si="5"/>
        <v>هزینه کلی موسسه</v>
      </c>
      <c r="G283" s="304" t="s">
        <v>1528</v>
      </c>
      <c r="H283" s="316" t="s">
        <v>1526</v>
      </c>
      <c r="I283" s="302"/>
      <c r="J283" s="348">
        <v>24012800</v>
      </c>
      <c r="K283" s="338"/>
    </row>
    <row r="284" spans="2:11" ht="15.75" customHeight="1">
      <c r="B284" s="293">
        <v>282</v>
      </c>
      <c r="C284" s="303"/>
      <c r="D284" s="303"/>
      <c r="E284" s="302" t="s">
        <v>145</v>
      </c>
      <c r="F284" s="295" t="str">
        <f t="shared" si="5"/>
        <v>هزینه کلی موسسه</v>
      </c>
      <c r="G284" s="304" t="s">
        <v>1529</v>
      </c>
      <c r="H284" s="316" t="s">
        <v>1526</v>
      </c>
      <c r="I284" s="302"/>
      <c r="J284" s="348">
        <v>10007200</v>
      </c>
      <c r="K284" s="338"/>
    </row>
    <row r="285" spans="2:11" ht="15.75" customHeight="1">
      <c r="B285" s="293">
        <v>283</v>
      </c>
      <c r="C285" s="303"/>
      <c r="D285" s="303"/>
      <c r="E285" s="302">
        <v>34</v>
      </c>
      <c r="F285" s="295" t="str">
        <f t="shared" si="5"/>
        <v>یگانه عبدالله زاده</v>
      </c>
      <c r="G285" s="304" t="s">
        <v>1530</v>
      </c>
      <c r="H285" s="316" t="s">
        <v>1516</v>
      </c>
      <c r="I285" s="302"/>
      <c r="J285" s="348">
        <v>33129194</v>
      </c>
      <c r="K285" s="338"/>
    </row>
    <row r="286" spans="2:11" ht="15.75" customHeight="1">
      <c r="B286" s="293">
        <v>284</v>
      </c>
      <c r="C286" s="303"/>
      <c r="D286" s="303"/>
      <c r="E286" s="302">
        <v>29</v>
      </c>
      <c r="F286" s="295" t="str">
        <f t="shared" si="5"/>
        <v>آتنا جر</v>
      </c>
      <c r="G286" s="304" t="s">
        <v>1531</v>
      </c>
      <c r="H286" s="316" t="s">
        <v>1516</v>
      </c>
      <c r="I286" s="302"/>
      <c r="J286" s="348">
        <v>787200</v>
      </c>
      <c r="K286" s="338"/>
    </row>
    <row r="287" spans="2:11" ht="15.75" customHeight="1">
      <c r="B287" s="293">
        <v>285</v>
      </c>
      <c r="C287" s="303"/>
      <c r="D287" s="303"/>
      <c r="E287" s="302" t="s">
        <v>145</v>
      </c>
      <c r="F287" s="295" t="str">
        <f t="shared" si="5"/>
        <v>هزینه کلی موسسه</v>
      </c>
      <c r="G287" s="304" t="s">
        <v>1549</v>
      </c>
      <c r="H287" s="316" t="s">
        <v>1517</v>
      </c>
      <c r="I287" s="302"/>
      <c r="J287" s="348">
        <v>1500000</v>
      </c>
      <c r="K287" s="338"/>
    </row>
    <row r="288" spans="2:11" ht="15.75" customHeight="1">
      <c r="B288" s="293">
        <v>286</v>
      </c>
      <c r="C288" s="303"/>
      <c r="D288" s="303"/>
      <c r="E288" s="302" t="s">
        <v>145</v>
      </c>
      <c r="F288" s="295" t="str">
        <f t="shared" si="5"/>
        <v>هزینه کلی موسسه</v>
      </c>
      <c r="G288" s="304" t="s">
        <v>1545</v>
      </c>
      <c r="H288" s="316" t="s">
        <v>1533</v>
      </c>
      <c r="I288" s="302"/>
      <c r="J288" s="348">
        <v>4300000</v>
      </c>
      <c r="K288" s="338"/>
    </row>
    <row r="289" spans="2:11" ht="15.75" customHeight="1">
      <c r="B289" s="293">
        <v>287</v>
      </c>
      <c r="C289" s="303"/>
      <c r="D289" s="303"/>
      <c r="E289" s="302" t="s">
        <v>145</v>
      </c>
      <c r="F289" s="295" t="str">
        <f t="shared" si="5"/>
        <v>هزینه کلی موسسه</v>
      </c>
      <c r="G289" s="304" t="s">
        <v>1546</v>
      </c>
      <c r="H289" s="316" t="s">
        <v>1533</v>
      </c>
      <c r="I289" s="302"/>
      <c r="J289" s="348">
        <v>400000</v>
      </c>
      <c r="K289" s="338"/>
    </row>
    <row r="290" spans="2:11" ht="15.75" customHeight="1">
      <c r="B290" s="293">
        <v>288</v>
      </c>
      <c r="C290" s="303"/>
      <c r="D290" s="303"/>
      <c r="E290" s="302" t="s">
        <v>145</v>
      </c>
      <c r="F290" s="295" t="str">
        <f t="shared" si="5"/>
        <v>هزینه کلی موسسه</v>
      </c>
      <c r="G290" s="304" t="s">
        <v>1547</v>
      </c>
      <c r="H290" s="316" t="s">
        <v>1536</v>
      </c>
      <c r="I290" s="302"/>
      <c r="J290" s="348">
        <v>1300000</v>
      </c>
      <c r="K290" s="338"/>
    </row>
    <row r="291" spans="2:11" ht="15.75" customHeight="1">
      <c r="B291" s="293">
        <v>289</v>
      </c>
      <c r="C291" s="303"/>
      <c r="D291" s="303"/>
      <c r="E291" s="302" t="s">
        <v>145</v>
      </c>
      <c r="F291" s="295" t="str">
        <f t="shared" si="5"/>
        <v>هزینه کلی موسسه</v>
      </c>
      <c r="G291" s="304" t="s">
        <v>1565</v>
      </c>
      <c r="H291" s="316" t="s">
        <v>1550</v>
      </c>
      <c r="I291" s="302"/>
      <c r="J291" s="348">
        <v>5000000</v>
      </c>
      <c r="K291" s="338"/>
    </row>
    <row r="292" spans="2:11" ht="15.75" customHeight="1">
      <c r="B292" s="293">
        <v>290</v>
      </c>
      <c r="C292" s="303"/>
      <c r="D292" s="303"/>
      <c r="E292" s="302" t="s">
        <v>145</v>
      </c>
      <c r="F292" s="295" t="str">
        <f t="shared" si="5"/>
        <v>هزینه کلی موسسه</v>
      </c>
      <c r="G292" s="304" t="s">
        <v>1616</v>
      </c>
      <c r="H292" s="316" t="s">
        <v>1561</v>
      </c>
      <c r="I292" s="302"/>
      <c r="J292" s="348">
        <v>8007200</v>
      </c>
      <c r="K292" s="338"/>
    </row>
    <row r="293" spans="2:11" ht="15.75" customHeight="1">
      <c r="B293" s="293">
        <v>291</v>
      </c>
      <c r="C293" s="303"/>
      <c r="D293" s="303"/>
      <c r="E293" s="302">
        <v>27</v>
      </c>
      <c r="F293" s="295" t="str">
        <f t="shared" si="5"/>
        <v>نرگس علینژاد</v>
      </c>
      <c r="G293" s="304" t="s">
        <v>1572</v>
      </c>
      <c r="H293" s="316" t="s">
        <v>1561</v>
      </c>
      <c r="I293" s="302"/>
      <c r="J293" s="348">
        <v>3907200</v>
      </c>
      <c r="K293" s="338"/>
    </row>
    <row r="294" spans="2:11" ht="15.75" customHeight="1">
      <c r="B294" s="293">
        <v>292</v>
      </c>
      <c r="C294" s="303"/>
      <c r="D294" s="303"/>
      <c r="E294" s="302">
        <v>28</v>
      </c>
      <c r="F294" s="295" t="str">
        <f t="shared" si="5"/>
        <v>زینب ادبی یکه باغی</v>
      </c>
      <c r="G294" s="304" t="s">
        <v>1571</v>
      </c>
      <c r="H294" s="316" t="s">
        <v>1561</v>
      </c>
      <c r="I294" s="302"/>
      <c r="J294" s="348">
        <v>8707200</v>
      </c>
      <c r="K294" s="338"/>
    </row>
    <row r="295" spans="2:11" ht="15.75" customHeight="1">
      <c r="B295" s="293">
        <v>293</v>
      </c>
      <c r="C295" s="303"/>
      <c r="D295" s="303"/>
      <c r="E295" s="302" t="s">
        <v>145</v>
      </c>
      <c r="F295" s="295" t="str">
        <f t="shared" si="5"/>
        <v>هزینه کلی موسسه</v>
      </c>
      <c r="G295" s="304" t="s">
        <v>1565</v>
      </c>
      <c r="H295" s="316" t="s">
        <v>1561</v>
      </c>
      <c r="I295" s="302"/>
      <c r="J295" s="348">
        <v>5000000</v>
      </c>
      <c r="K295" s="338"/>
    </row>
    <row r="296" spans="2:11" ht="15.75" customHeight="1">
      <c r="B296" s="293">
        <v>294</v>
      </c>
      <c r="C296" s="303"/>
      <c r="D296" s="303"/>
      <c r="E296" s="302" t="s">
        <v>145</v>
      </c>
      <c r="F296" s="295" t="str">
        <f t="shared" si="5"/>
        <v>هزینه کلی موسسه</v>
      </c>
      <c r="G296" s="304" t="s">
        <v>1566</v>
      </c>
      <c r="H296" s="316" t="s">
        <v>1562</v>
      </c>
      <c r="I296" s="302"/>
      <c r="J296" s="348">
        <v>20000000</v>
      </c>
      <c r="K296" s="338"/>
    </row>
    <row r="297" spans="2:11" ht="15.75" customHeight="1">
      <c r="B297" s="293">
        <v>295</v>
      </c>
      <c r="C297" s="303"/>
      <c r="D297" s="303"/>
      <c r="E297" s="302" t="s">
        <v>145</v>
      </c>
      <c r="F297" s="295" t="str">
        <f t="shared" si="5"/>
        <v>هزینه کلی موسسه</v>
      </c>
      <c r="G297" s="304" t="s">
        <v>1570</v>
      </c>
      <c r="H297" s="316" t="s">
        <v>1562</v>
      </c>
      <c r="I297" s="302"/>
      <c r="J297" s="348">
        <v>10000</v>
      </c>
      <c r="K297" s="338"/>
    </row>
    <row r="298" spans="2:11" ht="15.75" customHeight="1">
      <c r="B298" s="293">
        <v>296</v>
      </c>
      <c r="C298" s="303"/>
      <c r="D298" s="303"/>
      <c r="E298" s="302" t="s">
        <v>145</v>
      </c>
      <c r="F298" s="295" t="str">
        <f t="shared" si="5"/>
        <v>هزینه کلی موسسه</v>
      </c>
      <c r="G298" s="304" t="s">
        <v>1567</v>
      </c>
      <c r="H298" s="316" t="s">
        <v>1562</v>
      </c>
      <c r="I298" s="302"/>
      <c r="J298" s="348">
        <v>106000000</v>
      </c>
      <c r="K298" s="338"/>
    </row>
    <row r="299" spans="2:11" ht="15.75" customHeight="1">
      <c r="B299" s="293">
        <v>297</v>
      </c>
      <c r="C299" s="303"/>
      <c r="D299" s="303"/>
      <c r="E299" s="302" t="s">
        <v>145</v>
      </c>
      <c r="F299" s="295" t="str">
        <f t="shared" si="5"/>
        <v>هزینه کلی موسسه</v>
      </c>
      <c r="G299" s="304" t="s">
        <v>1568</v>
      </c>
      <c r="H299" s="316" t="s">
        <v>1552</v>
      </c>
      <c r="I299" s="302"/>
      <c r="J299" s="348">
        <v>800000</v>
      </c>
      <c r="K299" s="338"/>
    </row>
    <row r="300" spans="2:11" ht="15.75" customHeight="1">
      <c r="B300" s="293">
        <v>298</v>
      </c>
      <c r="C300" s="303"/>
      <c r="D300" s="303"/>
      <c r="E300" s="302" t="s">
        <v>145</v>
      </c>
      <c r="F300" s="295" t="str">
        <f t="shared" si="5"/>
        <v>هزینه کلی موسسه</v>
      </c>
      <c r="G300" s="304" t="s">
        <v>1564</v>
      </c>
      <c r="H300" s="316" t="s">
        <v>1563</v>
      </c>
      <c r="I300" s="302"/>
      <c r="J300" s="348">
        <v>40015600</v>
      </c>
      <c r="K300" s="338"/>
    </row>
    <row r="301" spans="2:11" ht="15.75" customHeight="1">
      <c r="B301" s="293">
        <v>299</v>
      </c>
      <c r="C301" s="303"/>
      <c r="D301" s="303"/>
      <c r="E301" s="302"/>
      <c r="F301" s="295" t="str">
        <f t="shared" si="5"/>
        <v/>
      </c>
      <c r="G301" s="304"/>
      <c r="H301" s="316" t="s">
        <v>1578</v>
      </c>
      <c r="I301" s="302"/>
      <c r="J301" s="348">
        <v>315010</v>
      </c>
      <c r="K301" s="338"/>
    </row>
    <row r="302" spans="2:11" ht="15.75" customHeight="1">
      <c r="B302" s="293">
        <v>300</v>
      </c>
      <c r="C302" s="303"/>
      <c r="D302" s="303"/>
      <c r="E302" s="302" t="s">
        <v>145</v>
      </c>
      <c r="F302" s="295" t="str">
        <f t="shared" si="5"/>
        <v>هزینه کلی موسسه</v>
      </c>
      <c r="G302" s="304" t="s">
        <v>531</v>
      </c>
      <c r="H302" s="316" t="s">
        <v>1578</v>
      </c>
      <c r="I302" s="302"/>
      <c r="J302" s="348">
        <v>60021200</v>
      </c>
      <c r="K302" s="338"/>
    </row>
    <row r="303" spans="2:11" ht="15.75" customHeight="1">
      <c r="B303" s="293">
        <v>301</v>
      </c>
      <c r="C303" s="303"/>
      <c r="D303" s="303"/>
      <c r="E303" s="302" t="s">
        <v>145</v>
      </c>
      <c r="F303" s="295" t="str">
        <f t="shared" si="5"/>
        <v>هزینه کلی موسسه</v>
      </c>
      <c r="G303" s="304" t="s">
        <v>1608</v>
      </c>
      <c r="H303" s="316" t="s">
        <v>1561</v>
      </c>
      <c r="I303" s="302"/>
      <c r="J303" s="348">
        <v>36000</v>
      </c>
      <c r="K303" s="338"/>
    </row>
    <row r="304" spans="2:11" ht="15.75" customHeight="1">
      <c r="B304" s="293">
        <v>302</v>
      </c>
      <c r="C304" s="303"/>
      <c r="D304" s="303"/>
      <c r="E304" s="302" t="s">
        <v>145</v>
      </c>
      <c r="F304" s="295" t="str">
        <f t="shared" si="5"/>
        <v>هزینه کلی موسسه</v>
      </c>
      <c r="G304" s="304" t="s">
        <v>1582</v>
      </c>
      <c r="H304" s="316" t="s">
        <v>1561</v>
      </c>
      <c r="I304" s="302"/>
      <c r="J304" s="348">
        <v>60000</v>
      </c>
      <c r="K304" s="338"/>
    </row>
    <row r="305" spans="2:11" ht="15.75" customHeight="1">
      <c r="B305" s="293">
        <v>303</v>
      </c>
      <c r="C305" s="303"/>
      <c r="D305" s="303"/>
      <c r="E305" s="302" t="s">
        <v>145</v>
      </c>
      <c r="F305" s="295" t="str">
        <f t="shared" si="5"/>
        <v>هزینه کلی موسسه</v>
      </c>
      <c r="G305" s="304" t="s">
        <v>1609</v>
      </c>
      <c r="H305" s="316" t="s">
        <v>1561</v>
      </c>
      <c r="I305" s="302"/>
      <c r="J305" s="348">
        <v>10000</v>
      </c>
      <c r="K305" s="338"/>
    </row>
    <row r="306" spans="2:11" ht="15.75" customHeight="1">
      <c r="B306" s="293">
        <v>304</v>
      </c>
      <c r="C306" s="303"/>
      <c r="D306" s="303"/>
      <c r="E306" s="302" t="s">
        <v>145</v>
      </c>
      <c r="F306" s="295" t="str">
        <f t="shared" si="5"/>
        <v>هزینه کلی موسسه</v>
      </c>
      <c r="G306" s="304" t="s">
        <v>1582</v>
      </c>
      <c r="H306" s="316" t="s">
        <v>1578</v>
      </c>
      <c r="I306" s="302"/>
      <c r="J306" s="348">
        <v>50000000</v>
      </c>
      <c r="K306" s="338"/>
    </row>
    <row r="307" spans="2:11" ht="15.75" customHeight="1">
      <c r="B307" s="293">
        <v>305</v>
      </c>
      <c r="C307" s="303"/>
      <c r="D307" s="303"/>
      <c r="E307" s="302" t="s">
        <v>145</v>
      </c>
      <c r="F307" s="295" t="str">
        <f t="shared" si="5"/>
        <v>هزینه کلی موسسه</v>
      </c>
      <c r="G307" s="304" t="s">
        <v>1610</v>
      </c>
      <c r="H307" s="316" t="s">
        <v>1578</v>
      </c>
      <c r="I307" s="302"/>
      <c r="J307" s="348">
        <v>10000</v>
      </c>
      <c r="K307" s="338"/>
    </row>
    <row r="308" spans="2:11" ht="15.75" customHeight="1">
      <c r="B308" s="293">
        <v>306</v>
      </c>
      <c r="C308" s="303"/>
      <c r="D308" s="303"/>
      <c r="E308" s="302" t="s">
        <v>145</v>
      </c>
      <c r="F308" s="295" t="str">
        <f t="shared" si="5"/>
        <v>هزینه کلی موسسه</v>
      </c>
      <c r="G308" s="304" t="s">
        <v>1611</v>
      </c>
      <c r="H308" s="316" t="s">
        <v>1578</v>
      </c>
      <c r="I308" s="302"/>
      <c r="J308" s="348">
        <v>10000</v>
      </c>
      <c r="K308" s="338"/>
    </row>
    <row r="309" spans="2:11" ht="15.75" customHeight="1">
      <c r="B309" s="293">
        <v>307</v>
      </c>
      <c r="C309" s="303"/>
      <c r="D309" s="303"/>
      <c r="E309" s="302" t="s">
        <v>145</v>
      </c>
      <c r="F309" s="295" t="str">
        <f t="shared" si="5"/>
        <v>هزینه کلی موسسه</v>
      </c>
      <c r="G309" s="304" t="s">
        <v>1613</v>
      </c>
      <c r="H309" s="316" t="s">
        <v>1612</v>
      </c>
      <c r="I309" s="302"/>
      <c r="J309" s="348">
        <v>50000000</v>
      </c>
      <c r="K309" s="338"/>
    </row>
    <row r="310" spans="2:11" ht="15.75" customHeight="1">
      <c r="B310" s="293">
        <v>308</v>
      </c>
      <c r="C310" s="303"/>
      <c r="D310" s="303"/>
      <c r="E310" s="302" t="s">
        <v>145</v>
      </c>
      <c r="F310" s="295" t="str">
        <f t="shared" si="5"/>
        <v>هزینه کلی موسسه</v>
      </c>
      <c r="G310" s="304" t="s">
        <v>1614</v>
      </c>
      <c r="H310" s="316" t="s">
        <v>1612</v>
      </c>
      <c r="I310" s="302"/>
      <c r="J310" s="348">
        <v>360</v>
      </c>
      <c r="K310" s="338"/>
    </row>
    <row r="311" spans="2:11" ht="15.75" customHeight="1">
      <c r="B311" s="293">
        <v>309</v>
      </c>
      <c r="C311" s="303"/>
      <c r="D311" s="303"/>
      <c r="E311" s="302" t="s">
        <v>145</v>
      </c>
      <c r="F311" s="295" t="str">
        <f t="shared" si="5"/>
        <v>هزینه کلی موسسه</v>
      </c>
      <c r="G311" s="304" t="s">
        <v>1688</v>
      </c>
      <c r="H311" s="316" t="s">
        <v>1689</v>
      </c>
      <c r="I311" s="302"/>
      <c r="J311" s="348">
        <v>40004000</v>
      </c>
      <c r="K311" s="338"/>
    </row>
    <row r="312" spans="2:11" ht="15.75" customHeight="1">
      <c r="B312" s="293">
        <v>310</v>
      </c>
      <c r="C312" s="303"/>
      <c r="D312" s="303"/>
      <c r="E312" s="302" t="s">
        <v>145</v>
      </c>
      <c r="F312" s="295" t="str">
        <f t="shared" si="5"/>
        <v>هزینه کلی موسسه</v>
      </c>
      <c r="G312" s="304" t="s">
        <v>1340</v>
      </c>
      <c r="H312" s="316" t="s">
        <v>1632</v>
      </c>
      <c r="I312" s="302"/>
      <c r="J312" s="348">
        <v>60006000</v>
      </c>
      <c r="K312" s="338"/>
    </row>
    <row r="313" spans="2:11" ht="15.75" customHeight="1">
      <c r="B313" s="293">
        <v>311</v>
      </c>
      <c r="C313" s="303"/>
      <c r="D313" s="303"/>
      <c r="E313" s="302">
        <v>35</v>
      </c>
      <c r="F313" s="295" t="str">
        <f t="shared" si="5"/>
        <v>ثنا پور دوران</v>
      </c>
      <c r="G313" s="304" t="s">
        <v>1690</v>
      </c>
      <c r="H313" s="316" t="s">
        <v>1637</v>
      </c>
      <c r="I313" s="302"/>
      <c r="J313" s="348">
        <v>10002400</v>
      </c>
      <c r="K313" s="338"/>
    </row>
    <row r="314" spans="2:11" ht="15.75" customHeight="1">
      <c r="B314" s="293">
        <v>312</v>
      </c>
      <c r="C314" s="303"/>
      <c r="D314" s="303"/>
      <c r="E314" s="302">
        <v>12</v>
      </c>
      <c r="F314" s="462" t="str">
        <f t="shared" ref="F314:F339" si="6">IF(E314="","",HLOOKUP(E314,eeee,2,0))</f>
        <v>الهام صمدی</v>
      </c>
      <c r="G314" s="304" t="s">
        <v>1691</v>
      </c>
      <c r="H314" s="463" t="s">
        <v>1662</v>
      </c>
      <c r="I314" s="302"/>
      <c r="J314" s="464">
        <v>7002400</v>
      </c>
      <c r="K314" s="338"/>
    </row>
    <row r="315" spans="2:11" ht="15.75" customHeight="1">
      <c r="B315" s="293">
        <v>313</v>
      </c>
      <c r="C315" s="303"/>
      <c r="D315" s="303"/>
      <c r="E315" s="302" t="s">
        <v>145</v>
      </c>
      <c r="F315" s="295" t="str">
        <f t="shared" si="6"/>
        <v>هزینه کلی موسسه</v>
      </c>
      <c r="G315" s="304" t="s">
        <v>1692</v>
      </c>
      <c r="H315" s="316" t="s">
        <v>1662</v>
      </c>
      <c r="I315" s="302"/>
      <c r="J315" s="348">
        <v>29751970</v>
      </c>
      <c r="K315" s="338"/>
    </row>
    <row r="316" spans="2:11" ht="15.75" customHeight="1">
      <c r="B316" s="293">
        <v>314</v>
      </c>
      <c r="C316" s="303"/>
      <c r="D316" s="303"/>
      <c r="E316" s="302" t="s">
        <v>145</v>
      </c>
      <c r="F316" s="295" t="str">
        <f t="shared" si="6"/>
        <v>هزینه کلی موسسه</v>
      </c>
      <c r="G316" s="304" t="s">
        <v>1693</v>
      </c>
      <c r="H316" s="316" t="s">
        <v>1669</v>
      </c>
      <c r="I316" s="302"/>
      <c r="J316" s="348">
        <v>14400</v>
      </c>
      <c r="K316" s="338"/>
    </row>
    <row r="317" spans="2:11" ht="15.75" customHeight="1">
      <c r="B317" s="293">
        <v>315</v>
      </c>
      <c r="C317" s="303"/>
      <c r="D317" s="303"/>
      <c r="E317" s="302" t="s">
        <v>145</v>
      </c>
      <c r="F317" s="295" t="str">
        <f t="shared" si="6"/>
        <v>هزینه کلی موسسه</v>
      </c>
      <c r="G317" s="304" t="s">
        <v>1694</v>
      </c>
      <c r="H317" s="316" t="s">
        <v>1675</v>
      </c>
      <c r="I317" s="302"/>
      <c r="J317" s="348">
        <v>40004000</v>
      </c>
      <c r="K317" s="338"/>
    </row>
    <row r="318" spans="2:11" ht="15.75" customHeight="1">
      <c r="B318" s="293">
        <v>316</v>
      </c>
      <c r="C318" s="303"/>
      <c r="D318" s="303"/>
      <c r="E318" s="302">
        <v>35</v>
      </c>
      <c r="F318" s="295" t="str">
        <f t="shared" si="6"/>
        <v>ثنا پور دوران</v>
      </c>
      <c r="G318" s="304" t="s">
        <v>1695</v>
      </c>
      <c r="H318" s="316" t="s">
        <v>1675</v>
      </c>
      <c r="I318" s="302"/>
      <c r="J318" s="348">
        <v>8402400</v>
      </c>
      <c r="K318" s="338"/>
    </row>
    <row r="319" spans="2:11" ht="15.75" customHeight="1">
      <c r="B319" s="293">
        <v>317</v>
      </c>
      <c r="C319" s="303"/>
      <c r="D319" s="303"/>
      <c r="E319" s="302"/>
      <c r="F319" s="295" t="str">
        <f t="shared" si="6"/>
        <v/>
      </c>
      <c r="G319" s="304" t="s">
        <v>1696</v>
      </c>
      <c r="H319" s="316" t="s">
        <v>1677</v>
      </c>
      <c r="I319" s="302"/>
      <c r="J319" s="348">
        <v>82676760</v>
      </c>
      <c r="K319" s="338"/>
    </row>
    <row r="320" spans="2:11" ht="15.75" customHeight="1">
      <c r="B320" s="293">
        <v>318</v>
      </c>
      <c r="C320" s="303"/>
      <c r="D320" s="303"/>
      <c r="E320" s="302"/>
      <c r="F320" s="295" t="str">
        <f t="shared" si="6"/>
        <v/>
      </c>
      <c r="G320" s="304" t="s">
        <v>1697</v>
      </c>
      <c r="H320" s="316" t="s">
        <v>1679</v>
      </c>
      <c r="I320" s="302"/>
      <c r="J320" s="348">
        <v>75007500</v>
      </c>
      <c r="K320" s="338"/>
    </row>
    <row r="321" spans="2:11" ht="15.75" customHeight="1">
      <c r="B321" s="293"/>
      <c r="C321" s="303"/>
      <c r="D321" s="303"/>
      <c r="E321" s="302"/>
      <c r="F321" s="295"/>
      <c r="G321" s="304"/>
      <c r="H321" s="316"/>
      <c r="I321" s="302"/>
      <c r="J321" s="348"/>
      <c r="K321" s="338"/>
    </row>
    <row r="322" spans="2:11" ht="15.75" customHeight="1">
      <c r="B322" s="293"/>
      <c r="C322" s="303"/>
      <c r="D322" s="303"/>
      <c r="E322" s="302"/>
      <c r="F322" s="295"/>
      <c r="G322" s="304"/>
      <c r="H322" s="316"/>
      <c r="I322" s="302"/>
      <c r="J322" s="348"/>
      <c r="K322" s="338"/>
    </row>
    <row r="323" spans="2:11" ht="15.75" customHeight="1">
      <c r="B323" s="293"/>
      <c r="C323" s="303"/>
      <c r="D323" s="303"/>
      <c r="E323" s="302"/>
      <c r="F323" s="295"/>
      <c r="G323" s="304"/>
      <c r="H323" s="316"/>
      <c r="I323" s="302"/>
      <c r="J323" s="348"/>
      <c r="K323" s="338"/>
    </row>
    <row r="324" spans="2:11" ht="15.75" customHeight="1">
      <c r="B324" s="293"/>
      <c r="C324" s="303"/>
      <c r="D324" s="303"/>
      <c r="E324" s="302"/>
      <c r="F324" s="295"/>
      <c r="G324" s="304"/>
      <c r="H324" s="316"/>
      <c r="I324" s="302"/>
      <c r="J324" s="348"/>
      <c r="K324" s="338"/>
    </row>
    <row r="325" spans="2:11" ht="15.75" customHeight="1">
      <c r="B325" s="293"/>
      <c r="C325" s="303"/>
      <c r="D325" s="303"/>
      <c r="E325" s="302"/>
      <c r="F325" s="295"/>
      <c r="G325" s="304"/>
      <c r="H325" s="316"/>
      <c r="I325" s="302"/>
      <c r="J325" s="348"/>
      <c r="K325" s="338"/>
    </row>
    <row r="326" spans="2:11" ht="15.75" customHeight="1">
      <c r="B326" s="293"/>
      <c r="C326" s="303"/>
      <c r="D326" s="303"/>
      <c r="E326" s="302"/>
      <c r="F326" s="295"/>
      <c r="G326" s="304"/>
      <c r="H326" s="316"/>
      <c r="I326" s="302"/>
      <c r="J326" s="348"/>
      <c r="K326" s="338"/>
    </row>
    <row r="327" spans="2:11" ht="15.75" customHeight="1">
      <c r="B327" s="293"/>
      <c r="C327" s="303"/>
      <c r="D327" s="303"/>
      <c r="E327" s="302"/>
      <c r="F327" s="295"/>
      <c r="G327" s="304"/>
      <c r="H327" s="316"/>
      <c r="I327" s="302"/>
      <c r="J327" s="348"/>
      <c r="K327" s="338"/>
    </row>
    <row r="328" spans="2:11" ht="15.75" customHeight="1">
      <c r="B328" s="293">
        <v>319</v>
      </c>
      <c r="C328" s="303"/>
      <c r="D328" s="303"/>
      <c r="E328" s="302"/>
      <c r="F328" s="295" t="str">
        <f t="shared" si="6"/>
        <v/>
      </c>
      <c r="G328" s="304" t="s">
        <v>2201</v>
      </c>
      <c r="H328" s="316" t="s">
        <v>1679</v>
      </c>
      <c r="I328" s="302"/>
      <c r="J328" s="348">
        <v>10000360</v>
      </c>
      <c r="K328" s="338"/>
    </row>
    <row r="329" spans="2:11" ht="15.75" customHeight="1">
      <c r="B329" s="293">
        <v>320</v>
      </c>
      <c r="C329" s="303"/>
      <c r="D329" s="303"/>
      <c r="E329" s="302"/>
      <c r="F329" s="295" t="str">
        <f t="shared" si="6"/>
        <v/>
      </c>
      <c r="G329" s="304" t="s">
        <v>2200</v>
      </c>
      <c r="H329" s="316" t="s">
        <v>1679</v>
      </c>
      <c r="I329" s="302"/>
      <c r="J329" s="348">
        <v>10000360</v>
      </c>
      <c r="K329" s="338"/>
    </row>
    <row r="330" spans="2:11" ht="15.75" customHeight="1">
      <c r="B330" s="293">
        <v>321</v>
      </c>
      <c r="C330" s="303"/>
      <c r="D330" s="303"/>
      <c r="E330" s="302"/>
      <c r="F330" s="295" t="str">
        <f t="shared" si="6"/>
        <v/>
      </c>
      <c r="G330" s="304" t="s">
        <v>2199</v>
      </c>
      <c r="H330" s="316" t="s">
        <v>1679</v>
      </c>
      <c r="I330" s="302"/>
      <c r="J330" s="348">
        <v>15000360</v>
      </c>
      <c r="K330" s="338"/>
    </row>
    <row r="331" spans="2:11" ht="15.75" customHeight="1">
      <c r="B331" s="293">
        <v>322</v>
      </c>
      <c r="C331" s="303"/>
      <c r="D331" s="303"/>
      <c r="E331" s="302"/>
      <c r="F331" s="295" t="str">
        <f t="shared" si="6"/>
        <v/>
      </c>
      <c r="G331" s="304" t="s">
        <v>2198</v>
      </c>
      <c r="H331" s="316" t="s">
        <v>1679</v>
      </c>
      <c r="I331" s="302"/>
      <c r="J331" s="348">
        <v>12500360</v>
      </c>
      <c r="K331" s="338"/>
    </row>
    <row r="332" spans="2:11" ht="15.75" customHeight="1">
      <c r="B332" s="293">
        <v>323</v>
      </c>
      <c r="C332" s="303"/>
      <c r="D332" s="303"/>
      <c r="E332" s="302"/>
      <c r="F332" s="295" t="str">
        <f t="shared" si="6"/>
        <v/>
      </c>
      <c r="G332" s="304" t="s">
        <v>2197</v>
      </c>
      <c r="H332" s="316" t="s">
        <v>1679</v>
      </c>
      <c r="I332" s="302"/>
      <c r="J332" s="348">
        <v>10000360</v>
      </c>
      <c r="K332" s="338"/>
    </row>
    <row r="333" spans="2:11" ht="15.75" customHeight="1">
      <c r="B333" s="293">
        <v>324</v>
      </c>
      <c r="C333" s="303"/>
      <c r="D333" s="303"/>
      <c r="E333" s="302"/>
      <c r="F333" s="295" t="str">
        <f t="shared" si="6"/>
        <v/>
      </c>
      <c r="G333" s="304" t="s">
        <v>2196</v>
      </c>
      <c r="H333" s="316" t="s">
        <v>1679</v>
      </c>
      <c r="I333" s="302"/>
      <c r="J333" s="348">
        <v>15000360</v>
      </c>
      <c r="K333" s="338"/>
    </row>
    <row r="334" spans="2:11" ht="15.75" customHeight="1">
      <c r="B334" s="293">
        <v>325</v>
      </c>
      <c r="C334" s="303"/>
      <c r="D334" s="303"/>
      <c r="E334" s="302"/>
      <c r="F334" s="295" t="str">
        <f t="shared" si="6"/>
        <v/>
      </c>
      <c r="G334" s="304" t="s">
        <v>2195</v>
      </c>
      <c r="H334" s="316" t="s">
        <v>1679</v>
      </c>
      <c r="I334" s="302"/>
      <c r="J334" s="348">
        <v>12500360</v>
      </c>
      <c r="K334" s="338"/>
    </row>
    <row r="335" spans="2:11" ht="15.75" customHeight="1">
      <c r="B335" s="293">
        <v>326</v>
      </c>
      <c r="C335" s="303"/>
      <c r="D335" s="303"/>
      <c r="E335" s="302"/>
      <c r="F335" s="295" t="str">
        <f t="shared" si="6"/>
        <v/>
      </c>
      <c r="G335" s="304" t="s">
        <v>2194</v>
      </c>
      <c r="H335" s="316" t="s">
        <v>1679</v>
      </c>
      <c r="I335" s="302"/>
      <c r="J335" s="348">
        <v>10000360</v>
      </c>
      <c r="K335" s="338"/>
    </row>
    <row r="336" spans="2:11" ht="15.75" customHeight="1">
      <c r="B336" s="293">
        <v>327</v>
      </c>
      <c r="C336" s="303"/>
      <c r="D336" s="303"/>
      <c r="E336" s="302"/>
      <c r="F336" s="295" t="str">
        <f t="shared" si="6"/>
        <v/>
      </c>
      <c r="G336" s="304" t="s">
        <v>2193</v>
      </c>
      <c r="H336" s="316" t="s">
        <v>1679</v>
      </c>
      <c r="I336" s="302"/>
      <c r="J336" s="348">
        <v>12500360</v>
      </c>
      <c r="K336" s="338"/>
    </row>
    <row r="337" spans="2:11" ht="15.75" customHeight="1">
      <c r="B337" s="293">
        <v>328</v>
      </c>
      <c r="C337" s="303"/>
      <c r="D337" s="303"/>
      <c r="E337" s="302"/>
      <c r="F337" s="295" t="str">
        <f t="shared" si="6"/>
        <v/>
      </c>
      <c r="G337" s="304" t="s">
        <v>2192</v>
      </c>
      <c r="H337" s="316" t="s">
        <v>1679</v>
      </c>
      <c r="I337" s="302"/>
      <c r="J337" s="348">
        <v>15000360</v>
      </c>
      <c r="K337" s="338"/>
    </row>
    <row r="338" spans="2:11" ht="15.75" customHeight="1">
      <c r="B338" s="293">
        <v>329</v>
      </c>
      <c r="C338" s="303"/>
      <c r="D338" s="303"/>
      <c r="E338" s="302">
        <v>29</v>
      </c>
      <c r="F338" s="295" t="str">
        <f t="shared" si="6"/>
        <v>آتنا جر</v>
      </c>
      <c r="G338" s="304" t="s">
        <v>1698</v>
      </c>
      <c r="H338" s="316" t="s">
        <v>1679</v>
      </c>
      <c r="I338" s="302"/>
      <c r="J338" s="348">
        <v>50405040</v>
      </c>
      <c r="K338" s="338"/>
    </row>
    <row r="339" spans="2:11" ht="15.75" customHeight="1">
      <c r="B339" s="293">
        <v>330</v>
      </c>
      <c r="C339" s="303"/>
      <c r="D339" s="303"/>
      <c r="E339" s="302"/>
      <c r="F339" s="295" t="str">
        <f t="shared" si="6"/>
        <v/>
      </c>
      <c r="G339" s="304" t="s">
        <v>2191</v>
      </c>
      <c r="H339" s="316" t="s">
        <v>1679</v>
      </c>
      <c r="I339" s="302"/>
      <c r="J339" s="348">
        <v>10000360</v>
      </c>
      <c r="K339" s="338"/>
    </row>
    <row r="340" spans="2:11" ht="15.75" customHeight="1">
      <c r="B340" s="293">
        <v>331</v>
      </c>
      <c r="C340" s="303"/>
      <c r="D340" s="303"/>
      <c r="E340" s="302"/>
      <c r="F340" s="295" t="str">
        <f t="shared" ref="F340:F357" si="7">IF(E340="","",HLOOKUP(E340,eeee,2,0))</f>
        <v/>
      </c>
      <c r="G340" s="304" t="s">
        <v>2190</v>
      </c>
      <c r="H340" s="316" t="s">
        <v>1679</v>
      </c>
      <c r="I340" s="302"/>
      <c r="J340" s="348">
        <v>12500360</v>
      </c>
      <c r="K340" s="338"/>
    </row>
    <row r="341" spans="2:11" ht="15.75" customHeight="1">
      <c r="B341" s="293">
        <v>332</v>
      </c>
      <c r="C341" s="303"/>
      <c r="D341" s="303"/>
      <c r="E341" s="302" t="s">
        <v>145</v>
      </c>
      <c r="F341" s="295" t="str">
        <f t="shared" si="7"/>
        <v>هزینه کلی موسسه</v>
      </c>
      <c r="G341" s="304" t="s">
        <v>1616</v>
      </c>
      <c r="H341" s="316" t="s">
        <v>1699</v>
      </c>
      <c r="I341" s="302"/>
      <c r="J341" s="348">
        <v>8002400</v>
      </c>
      <c r="K341" s="338"/>
    </row>
    <row r="342" spans="2:11" ht="30.75" customHeight="1">
      <c r="B342" s="293">
        <v>333</v>
      </c>
      <c r="C342" s="303"/>
      <c r="D342" s="303"/>
      <c r="E342" s="302" t="s">
        <v>145</v>
      </c>
      <c r="F342" s="295" t="str">
        <f t="shared" si="7"/>
        <v>هزینه کلی موسسه</v>
      </c>
      <c r="G342" s="304" t="s">
        <v>1701</v>
      </c>
      <c r="H342" s="316" t="s">
        <v>1700</v>
      </c>
      <c r="I342" s="302"/>
      <c r="J342" s="348">
        <v>18502400</v>
      </c>
      <c r="K342" s="338"/>
    </row>
    <row r="343" spans="2:11" ht="15.75" customHeight="1">
      <c r="B343" s="293">
        <v>334</v>
      </c>
      <c r="C343" s="303"/>
      <c r="D343" s="303"/>
      <c r="E343" s="302" t="s">
        <v>145</v>
      </c>
      <c r="F343" s="295" t="str">
        <f t="shared" si="7"/>
        <v>هزینه کلی موسسه</v>
      </c>
      <c r="G343" s="304" t="s">
        <v>1340</v>
      </c>
      <c r="H343" s="316" t="s">
        <v>1700</v>
      </c>
      <c r="I343" s="302"/>
      <c r="J343" s="348">
        <v>60006000</v>
      </c>
      <c r="K343" s="338"/>
    </row>
    <row r="344" spans="2:11" ht="15.75" customHeight="1">
      <c r="B344" s="293">
        <v>335</v>
      </c>
      <c r="C344" s="303"/>
      <c r="D344" s="303"/>
      <c r="E344" s="302" t="s">
        <v>145</v>
      </c>
      <c r="F344" s="295" t="str">
        <f t="shared" si="7"/>
        <v>هزینه کلی موسسه</v>
      </c>
      <c r="G344" s="304" t="s">
        <v>1702</v>
      </c>
      <c r="H344" s="316" t="s">
        <v>1700</v>
      </c>
      <c r="I344" s="302"/>
      <c r="J344" s="348">
        <v>4202400</v>
      </c>
      <c r="K344" s="338"/>
    </row>
    <row r="345" spans="2:11" ht="15.75" customHeight="1">
      <c r="B345" s="293">
        <v>335</v>
      </c>
      <c r="C345" s="303"/>
      <c r="D345" s="303"/>
      <c r="E345" s="302">
        <v>12</v>
      </c>
      <c r="F345" s="462" t="str">
        <f t="shared" si="7"/>
        <v>الهام صمدی</v>
      </c>
      <c r="G345" s="304" t="s">
        <v>1703</v>
      </c>
      <c r="H345" s="463" t="s">
        <v>1700</v>
      </c>
      <c r="I345" s="302"/>
      <c r="J345" s="464">
        <v>2002400</v>
      </c>
      <c r="K345" s="338"/>
    </row>
    <row r="346" spans="2:11" ht="15.75" customHeight="1">
      <c r="B346" s="293">
        <v>336</v>
      </c>
      <c r="C346" s="303"/>
      <c r="D346" s="303"/>
      <c r="E346" s="302">
        <v>27</v>
      </c>
      <c r="F346" s="295" t="str">
        <f t="shared" si="7"/>
        <v>نرگس علینژاد</v>
      </c>
      <c r="G346" s="304" t="s">
        <v>1704</v>
      </c>
      <c r="H346" s="316" t="s">
        <v>1683</v>
      </c>
      <c r="I346" s="302"/>
      <c r="J346" s="348">
        <v>20054400</v>
      </c>
      <c r="K346" s="338"/>
    </row>
    <row r="347" spans="2:11" ht="15.75" customHeight="1">
      <c r="B347" s="293">
        <v>337</v>
      </c>
      <c r="C347" s="303"/>
      <c r="D347" s="303"/>
      <c r="E347" s="302">
        <v>12</v>
      </c>
      <c r="F347" s="462" t="str">
        <f t="shared" si="7"/>
        <v>الهام صمدی</v>
      </c>
      <c r="G347" s="304" t="s">
        <v>1705</v>
      </c>
      <c r="H347" s="463" t="s">
        <v>1683</v>
      </c>
      <c r="I347" s="302"/>
      <c r="J347" s="464">
        <v>5002400</v>
      </c>
      <c r="K347" s="338"/>
    </row>
    <row r="348" spans="2:11" ht="15.75" customHeight="1">
      <c r="B348" s="293">
        <v>338</v>
      </c>
      <c r="C348" s="303"/>
      <c r="D348" s="303"/>
      <c r="E348" s="302" t="s">
        <v>145</v>
      </c>
      <c r="F348" s="295" t="str">
        <f t="shared" si="7"/>
        <v>هزینه کلی موسسه</v>
      </c>
      <c r="G348" s="304" t="s">
        <v>1706</v>
      </c>
      <c r="H348" s="316" t="s">
        <v>1683</v>
      </c>
      <c r="I348" s="302"/>
      <c r="J348" s="348">
        <v>8032400</v>
      </c>
      <c r="K348" s="338"/>
    </row>
    <row r="349" spans="2:11" ht="15.75" customHeight="1">
      <c r="B349" s="293">
        <v>339</v>
      </c>
      <c r="C349" s="303"/>
      <c r="D349" s="303"/>
      <c r="E349" s="302" t="s">
        <v>145</v>
      </c>
      <c r="F349" s="295" t="str">
        <f t="shared" si="7"/>
        <v>هزینه کلی موسسه</v>
      </c>
      <c r="G349" s="304" t="s">
        <v>1707</v>
      </c>
      <c r="H349" s="316" t="s">
        <v>1683</v>
      </c>
      <c r="I349" s="302"/>
      <c r="J349" s="348">
        <v>31503150</v>
      </c>
      <c r="K349" s="338"/>
    </row>
    <row r="350" spans="2:11" ht="15.75" customHeight="1">
      <c r="B350" s="293">
        <v>340</v>
      </c>
      <c r="C350" s="303"/>
      <c r="D350" s="303"/>
      <c r="E350" s="302" t="s">
        <v>145</v>
      </c>
      <c r="F350" s="295" t="str">
        <f t="shared" si="7"/>
        <v>هزینه کلی موسسه</v>
      </c>
      <c r="G350" s="304" t="s">
        <v>1708</v>
      </c>
      <c r="H350" s="316" t="s">
        <v>1683</v>
      </c>
      <c r="I350" s="302"/>
      <c r="J350" s="348">
        <v>5502400</v>
      </c>
      <c r="K350" s="338"/>
    </row>
    <row r="351" spans="2:11" ht="15.75" customHeight="1">
      <c r="B351" s="293">
        <v>341</v>
      </c>
      <c r="C351" s="303"/>
      <c r="D351" s="303"/>
      <c r="E351" s="302"/>
      <c r="F351" s="295" t="str">
        <f t="shared" si="7"/>
        <v/>
      </c>
      <c r="G351" s="304" t="s">
        <v>2189</v>
      </c>
      <c r="H351" s="316" t="s">
        <v>1709</v>
      </c>
      <c r="I351" s="302"/>
      <c r="J351" s="348">
        <v>12500360</v>
      </c>
      <c r="K351" s="338"/>
    </row>
    <row r="352" spans="2:11" ht="15.75" customHeight="1">
      <c r="B352" s="293">
        <v>342</v>
      </c>
      <c r="C352" s="303"/>
      <c r="D352" s="303"/>
      <c r="E352" s="302"/>
      <c r="F352" s="295" t="str">
        <f t="shared" si="7"/>
        <v/>
      </c>
      <c r="G352" s="304" t="s">
        <v>2188</v>
      </c>
      <c r="H352" s="316" t="s">
        <v>1709</v>
      </c>
      <c r="I352" s="302"/>
      <c r="J352" s="348">
        <v>10000360</v>
      </c>
      <c r="K352" s="338"/>
    </row>
    <row r="353" spans="2:11" ht="15.75" customHeight="1">
      <c r="B353" s="293">
        <v>343</v>
      </c>
      <c r="C353" s="303"/>
      <c r="D353" s="303"/>
      <c r="E353" s="302"/>
      <c r="F353" s="295" t="str">
        <f t="shared" si="7"/>
        <v/>
      </c>
      <c r="G353" s="304" t="s">
        <v>2187</v>
      </c>
      <c r="H353" s="316" t="s">
        <v>1709</v>
      </c>
      <c r="I353" s="302"/>
      <c r="J353" s="348">
        <v>10000360</v>
      </c>
      <c r="K353" s="338"/>
    </row>
    <row r="354" spans="2:11" ht="15.75" customHeight="1">
      <c r="B354" s="293">
        <v>344</v>
      </c>
      <c r="C354" s="303"/>
      <c r="D354" s="303"/>
      <c r="E354" s="302"/>
      <c r="F354" s="295" t="str">
        <f t="shared" si="7"/>
        <v/>
      </c>
      <c r="G354" s="304" t="s">
        <v>2186</v>
      </c>
      <c r="H354" s="316" t="s">
        <v>1709</v>
      </c>
      <c r="I354" s="302"/>
      <c r="J354" s="348">
        <v>15000360</v>
      </c>
      <c r="K354" s="338"/>
    </row>
    <row r="355" spans="2:11" ht="15.75" customHeight="1">
      <c r="B355" s="293">
        <v>345</v>
      </c>
      <c r="C355" s="303"/>
      <c r="D355" s="303"/>
      <c r="E355" s="302"/>
      <c r="F355" s="295" t="str">
        <f t="shared" si="7"/>
        <v/>
      </c>
      <c r="G355" s="304" t="s">
        <v>2185</v>
      </c>
      <c r="H355" s="316" t="s">
        <v>1709</v>
      </c>
      <c r="I355" s="302"/>
      <c r="J355" s="348">
        <v>15000360</v>
      </c>
      <c r="K355" s="338"/>
    </row>
    <row r="356" spans="2:11" ht="15.75" customHeight="1">
      <c r="B356" s="293">
        <v>346</v>
      </c>
      <c r="C356" s="303"/>
      <c r="D356" s="303"/>
      <c r="E356" s="302"/>
      <c r="F356" s="295" t="str">
        <f t="shared" si="7"/>
        <v/>
      </c>
      <c r="G356" s="304" t="s">
        <v>2184</v>
      </c>
      <c r="H356" s="316" t="s">
        <v>1709</v>
      </c>
      <c r="I356" s="302"/>
      <c r="J356" s="348">
        <v>10000360</v>
      </c>
      <c r="K356" s="338"/>
    </row>
    <row r="357" spans="2:11" ht="15.75" customHeight="1">
      <c r="B357" s="293">
        <v>347</v>
      </c>
      <c r="C357" s="303"/>
      <c r="D357" s="303"/>
      <c r="E357" s="302"/>
      <c r="F357" s="295" t="str">
        <f t="shared" si="7"/>
        <v/>
      </c>
      <c r="G357" s="304" t="s">
        <v>2183</v>
      </c>
      <c r="H357" s="316" t="s">
        <v>1709</v>
      </c>
      <c r="I357" s="302"/>
      <c r="J357" s="348">
        <v>10000360</v>
      </c>
      <c r="K357" s="338"/>
    </row>
    <row r="358" spans="2:11" ht="15.75" customHeight="1">
      <c r="B358" s="293">
        <v>348</v>
      </c>
      <c r="C358" s="303"/>
      <c r="D358" s="303"/>
      <c r="E358" s="302"/>
      <c r="F358" s="295"/>
      <c r="G358" s="304" t="s">
        <v>2182</v>
      </c>
      <c r="H358" s="316" t="s">
        <v>1709</v>
      </c>
      <c r="I358" s="302"/>
      <c r="J358" s="348">
        <v>12500360</v>
      </c>
      <c r="K358" s="338"/>
    </row>
    <row r="359" spans="2:11" ht="15.75" customHeight="1">
      <c r="B359" s="293">
        <v>349</v>
      </c>
      <c r="C359" s="303"/>
      <c r="D359" s="303"/>
      <c r="E359" s="302"/>
      <c r="F359" s="295"/>
      <c r="G359" s="304" t="s">
        <v>2181</v>
      </c>
      <c r="H359" s="316" t="s">
        <v>1709</v>
      </c>
      <c r="I359" s="302"/>
      <c r="J359" s="348">
        <v>15000360</v>
      </c>
      <c r="K359" s="338"/>
    </row>
    <row r="360" spans="2:11" ht="15.75" customHeight="1">
      <c r="B360" s="293">
        <v>350</v>
      </c>
      <c r="C360" s="303"/>
      <c r="D360" s="303"/>
      <c r="E360" s="302"/>
      <c r="F360" s="295"/>
      <c r="G360" s="304" t="s">
        <v>2180</v>
      </c>
      <c r="H360" s="316" t="s">
        <v>1709</v>
      </c>
      <c r="I360" s="302"/>
      <c r="J360" s="348">
        <v>12500360</v>
      </c>
      <c r="K360" s="338"/>
    </row>
    <row r="361" spans="2:11" ht="15.75" customHeight="1">
      <c r="B361" s="293">
        <v>351</v>
      </c>
      <c r="C361" s="303"/>
      <c r="D361" s="303"/>
      <c r="E361" s="302"/>
      <c r="F361" s="295" t="str">
        <f t="shared" ref="F361:F439" si="8">IF(E361="","",HLOOKUP(E361,eeee,2,0))</f>
        <v/>
      </c>
      <c r="G361" s="304" t="s">
        <v>2179</v>
      </c>
      <c r="H361" s="316" t="s">
        <v>1709</v>
      </c>
      <c r="I361" s="302"/>
      <c r="J361" s="348">
        <v>10000360</v>
      </c>
      <c r="K361" s="338"/>
    </row>
    <row r="362" spans="2:11" ht="15.75" customHeight="1">
      <c r="B362" s="293">
        <v>352</v>
      </c>
      <c r="C362" s="303"/>
      <c r="D362" s="303"/>
      <c r="E362" s="302"/>
      <c r="F362" s="295" t="str">
        <f t="shared" si="8"/>
        <v/>
      </c>
      <c r="G362" s="304" t="s">
        <v>2178</v>
      </c>
      <c r="H362" s="316" t="s">
        <v>1709</v>
      </c>
      <c r="I362" s="302"/>
      <c r="J362" s="348">
        <v>10000360</v>
      </c>
      <c r="K362" s="338"/>
    </row>
    <row r="363" spans="2:11" ht="15.75" customHeight="1">
      <c r="B363" s="293">
        <v>353</v>
      </c>
      <c r="C363" s="303"/>
      <c r="D363" s="303"/>
      <c r="E363" s="302"/>
      <c r="F363" s="295" t="str">
        <f t="shared" si="8"/>
        <v/>
      </c>
      <c r="G363" s="304" t="s">
        <v>2177</v>
      </c>
      <c r="H363" s="316" t="s">
        <v>1709</v>
      </c>
      <c r="I363" s="302"/>
      <c r="J363" s="348">
        <v>10000360</v>
      </c>
      <c r="K363" s="338"/>
    </row>
    <row r="364" spans="2:11" ht="15.75" customHeight="1">
      <c r="B364" s="293">
        <v>354</v>
      </c>
      <c r="C364" s="303"/>
      <c r="D364" s="303"/>
      <c r="E364" s="302"/>
      <c r="F364" s="295" t="str">
        <f t="shared" si="8"/>
        <v/>
      </c>
      <c r="G364" s="304" t="s">
        <v>2176</v>
      </c>
      <c r="H364" s="316" t="s">
        <v>1709</v>
      </c>
      <c r="I364" s="302"/>
      <c r="J364" s="348">
        <v>12500360</v>
      </c>
      <c r="K364" s="338"/>
    </row>
    <row r="365" spans="2:11" ht="15.75" customHeight="1">
      <c r="B365" s="293">
        <v>355</v>
      </c>
      <c r="C365" s="303"/>
      <c r="D365" s="303"/>
      <c r="E365" s="302"/>
      <c r="F365" s="295" t="str">
        <f t="shared" si="8"/>
        <v/>
      </c>
      <c r="G365" s="304" t="s">
        <v>2175</v>
      </c>
      <c r="H365" s="316" t="s">
        <v>1709</v>
      </c>
      <c r="I365" s="302"/>
      <c r="J365" s="348">
        <v>12500360</v>
      </c>
      <c r="K365" s="338"/>
    </row>
    <row r="366" spans="2:11" ht="15.75" customHeight="1">
      <c r="B366" s="293">
        <v>356</v>
      </c>
      <c r="C366" s="303"/>
      <c r="D366" s="303"/>
      <c r="E366" s="302" t="s">
        <v>145</v>
      </c>
      <c r="F366" s="295" t="str">
        <f t="shared" si="8"/>
        <v>هزینه کلی موسسه</v>
      </c>
      <c r="G366" s="304" t="s">
        <v>1399</v>
      </c>
      <c r="H366" s="316" t="s">
        <v>1740</v>
      </c>
      <c r="I366" s="302"/>
      <c r="J366" s="348">
        <v>7252400</v>
      </c>
      <c r="K366" s="338"/>
    </row>
    <row r="367" spans="2:11" ht="15.75" customHeight="1">
      <c r="B367" s="293">
        <v>357</v>
      </c>
      <c r="C367" s="303"/>
      <c r="D367" s="303"/>
      <c r="E367" s="302" t="s">
        <v>145</v>
      </c>
      <c r="F367" s="295" t="str">
        <f t="shared" si="8"/>
        <v>هزینه کلی موسسه</v>
      </c>
      <c r="G367" s="304" t="s">
        <v>1785</v>
      </c>
      <c r="H367" s="316" t="s">
        <v>1740</v>
      </c>
      <c r="I367" s="302"/>
      <c r="J367" s="348">
        <v>40004000</v>
      </c>
      <c r="K367" s="338"/>
    </row>
    <row r="368" spans="2:11" ht="15.75" customHeight="1">
      <c r="B368" s="293">
        <v>358</v>
      </c>
      <c r="C368" s="303"/>
      <c r="D368" s="303"/>
      <c r="E368" s="302">
        <v>35</v>
      </c>
      <c r="F368" s="295" t="str">
        <f t="shared" si="8"/>
        <v>ثنا پور دوران</v>
      </c>
      <c r="G368" s="304" t="s">
        <v>1840</v>
      </c>
      <c r="H368" s="316" t="s">
        <v>1740</v>
      </c>
      <c r="I368" s="302"/>
      <c r="J368" s="348">
        <v>5002400</v>
      </c>
      <c r="K368" s="338"/>
    </row>
    <row r="369" spans="2:11" ht="15.75" customHeight="1">
      <c r="B369" s="293">
        <v>359</v>
      </c>
      <c r="C369" s="303"/>
      <c r="D369" s="303"/>
      <c r="E369" s="302" t="s">
        <v>145</v>
      </c>
      <c r="F369" s="295" t="str">
        <f t="shared" si="8"/>
        <v>هزینه کلی موسسه</v>
      </c>
      <c r="G369" s="304" t="s">
        <v>1841</v>
      </c>
      <c r="H369" s="316" t="s">
        <v>1743</v>
      </c>
      <c r="I369" s="302"/>
      <c r="J369" s="348">
        <v>30003000</v>
      </c>
      <c r="K369" s="338"/>
    </row>
    <row r="370" spans="2:11" ht="15.75" customHeight="1">
      <c r="B370" s="293">
        <v>360</v>
      </c>
      <c r="C370" s="303"/>
      <c r="D370" s="303"/>
      <c r="E370" s="302"/>
      <c r="F370" s="295" t="str">
        <f t="shared" si="8"/>
        <v/>
      </c>
      <c r="G370" s="304" t="s">
        <v>1842</v>
      </c>
      <c r="H370" s="316" t="s">
        <v>1843</v>
      </c>
      <c r="I370" s="302"/>
      <c r="J370" s="348">
        <v>35003500</v>
      </c>
      <c r="K370" s="338"/>
    </row>
    <row r="371" spans="2:11" ht="15.75" customHeight="1">
      <c r="B371" s="293">
        <v>361</v>
      </c>
      <c r="C371" s="303"/>
      <c r="D371" s="303"/>
      <c r="E371" s="302"/>
      <c r="F371" s="295" t="str">
        <f t="shared" si="8"/>
        <v/>
      </c>
      <c r="G371" s="304" t="s">
        <v>2202</v>
      </c>
      <c r="H371" s="316" t="s">
        <v>1843</v>
      </c>
      <c r="I371" s="302"/>
      <c r="J371" s="348">
        <v>12500360</v>
      </c>
      <c r="K371" s="338"/>
    </row>
    <row r="372" spans="2:11" ht="15.75" customHeight="1">
      <c r="B372" s="293">
        <v>362</v>
      </c>
      <c r="C372" s="303"/>
      <c r="D372" s="303"/>
      <c r="E372" s="302">
        <v>59</v>
      </c>
      <c r="F372" s="295" t="str">
        <f t="shared" si="8"/>
        <v>زهرا مروی</v>
      </c>
      <c r="G372" s="304" t="s">
        <v>1844</v>
      </c>
      <c r="H372" s="316" t="s">
        <v>1752</v>
      </c>
      <c r="I372" s="302"/>
      <c r="J372" s="348">
        <v>3702400</v>
      </c>
      <c r="K372" s="338"/>
    </row>
    <row r="373" spans="2:11" ht="15.75" customHeight="1">
      <c r="B373" s="293">
        <v>363</v>
      </c>
      <c r="C373" s="303"/>
      <c r="D373" s="303"/>
      <c r="E373" s="302">
        <v>35</v>
      </c>
      <c r="F373" s="295" t="str">
        <f t="shared" si="8"/>
        <v>ثنا پور دوران</v>
      </c>
      <c r="G373" s="304" t="s">
        <v>1845</v>
      </c>
      <c r="H373" s="316" t="s">
        <v>1752</v>
      </c>
      <c r="I373" s="302"/>
      <c r="J373" s="348">
        <v>3622400</v>
      </c>
      <c r="K373" s="338"/>
    </row>
    <row r="374" spans="2:11" ht="15.75" customHeight="1">
      <c r="B374" s="293">
        <v>364</v>
      </c>
      <c r="C374" s="303"/>
      <c r="D374" s="303"/>
      <c r="E374" s="302" t="s">
        <v>145</v>
      </c>
      <c r="F374" s="295" t="str">
        <f t="shared" si="8"/>
        <v>هزینه کلی موسسه</v>
      </c>
      <c r="G374" s="304" t="s">
        <v>1846</v>
      </c>
      <c r="H374" s="316" t="s">
        <v>1754</v>
      </c>
      <c r="I374" s="302"/>
      <c r="J374" s="348">
        <v>2502400</v>
      </c>
      <c r="K374" s="338"/>
    </row>
    <row r="375" spans="2:11" ht="15.75" customHeight="1">
      <c r="B375" s="293">
        <v>365</v>
      </c>
      <c r="C375" s="303"/>
      <c r="D375" s="303"/>
      <c r="E375" s="302">
        <v>59</v>
      </c>
      <c r="F375" s="295" t="str">
        <f t="shared" si="8"/>
        <v>زهرا مروی</v>
      </c>
      <c r="G375" s="304" t="s">
        <v>1850</v>
      </c>
      <c r="H375" s="316" t="s">
        <v>1756</v>
      </c>
      <c r="I375" s="302"/>
      <c r="J375" s="348">
        <v>7252400</v>
      </c>
      <c r="K375" s="338"/>
    </row>
    <row r="376" spans="2:11" ht="15.75" customHeight="1">
      <c r="B376" s="293">
        <v>366</v>
      </c>
      <c r="C376" s="303"/>
      <c r="D376" s="303"/>
      <c r="E376" s="302" t="s">
        <v>145</v>
      </c>
      <c r="F376" s="295" t="str">
        <f t="shared" si="8"/>
        <v>هزینه کلی موسسه</v>
      </c>
      <c r="G376" s="304" t="s">
        <v>1340</v>
      </c>
      <c r="H376" s="316" t="s">
        <v>1756</v>
      </c>
      <c r="I376" s="302"/>
      <c r="J376" s="348">
        <v>60006000</v>
      </c>
      <c r="K376" s="338"/>
    </row>
    <row r="377" spans="2:11" ht="15.75" customHeight="1">
      <c r="B377" s="293">
        <v>367</v>
      </c>
      <c r="C377" s="303"/>
      <c r="D377" s="303"/>
      <c r="E377" s="302">
        <v>59</v>
      </c>
      <c r="F377" s="295" t="str">
        <f t="shared" si="8"/>
        <v>زهرا مروی</v>
      </c>
      <c r="G377" s="304" t="s">
        <v>1847</v>
      </c>
      <c r="H377" s="316" t="s">
        <v>1757</v>
      </c>
      <c r="I377" s="302"/>
      <c r="J377" s="348">
        <v>5672400</v>
      </c>
      <c r="K377" s="338"/>
    </row>
    <row r="378" spans="2:11" ht="15.75" customHeight="1">
      <c r="B378" s="293">
        <v>368</v>
      </c>
      <c r="C378" s="303"/>
      <c r="D378" s="303"/>
      <c r="E378" s="302"/>
      <c r="F378" s="295" t="str">
        <f t="shared" si="8"/>
        <v/>
      </c>
      <c r="G378" s="304" t="s">
        <v>2174</v>
      </c>
      <c r="H378" s="316" t="s">
        <v>1848</v>
      </c>
      <c r="I378" s="302"/>
      <c r="J378" s="348">
        <v>12500360</v>
      </c>
      <c r="K378" s="338"/>
    </row>
    <row r="379" spans="2:11" ht="15.75" customHeight="1">
      <c r="B379" s="293">
        <v>369</v>
      </c>
      <c r="C379" s="303"/>
      <c r="D379" s="303"/>
      <c r="E379" s="302"/>
      <c r="F379" s="295" t="str">
        <f t="shared" si="8"/>
        <v/>
      </c>
      <c r="G379" s="304" t="s">
        <v>2173</v>
      </c>
      <c r="H379" s="316" t="s">
        <v>1848</v>
      </c>
      <c r="I379" s="302"/>
      <c r="J379" s="348">
        <v>10000360</v>
      </c>
      <c r="K379" s="338"/>
    </row>
    <row r="380" spans="2:11" ht="15.75" customHeight="1">
      <c r="B380" s="293">
        <v>370</v>
      </c>
      <c r="C380" s="303"/>
      <c r="D380" s="303"/>
      <c r="E380" s="302"/>
      <c r="F380" s="295" t="str">
        <f t="shared" si="8"/>
        <v/>
      </c>
      <c r="G380" s="304" t="s">
        <v>2172</v>
      </c>
      <c r="H380" s="316" t="s">
        <v>1848</v>
      </c>
      <c r="I380" s="302"/>
      <c r="J380" s="348">
        <v>10000360</v>
      </c>
      <c r="K380" s="338"/>
    </row>
    <row r="381" spans="2:11" ht="15.75" customHeight="1">
      <c r="B381" s="293">
        <v>371</v>
      </c>
      <c r="C381" s="303"/>
      <c r="D381" s="303"/>
      <c r="E381" s="302"/>
      <c r="F381" s="295" t="str">
        <f t="shared" si="8"/>
        <v/>
      </c>
      <c r="G381" s="304" t="s">
        <v>2171</v>
      </c>
      <c r="H381" s="316" t="s">
        <v>1848</v>
      </c>
      <c r="I381" s="302"/>
      <c r="J381" s="348">
        <v>15000360</v>
      </c>
      <c r="K381" s="338"/>
    </row>
    <row r="382" spans="2:11" ht="15.75" customHeight="1">
      <c r="B382" s="293">
        <v>372</v>
      </c>
      <c r="C382" s="303"/>
      <c r="D382" s="303"/>
      <c r="E382" s="302"/>
      <c r="F382" s="295" t="str">
        <f t="shared" si="8"/>
        <v/>
      </c>
      <c r="G382" s="304" t="s">
        <v>2170</v>
      </c>
      <c r="H382" s="316" t="s">
        <v>1848</v>
      </c>
      <c r="I382" s="302"/>
      <c r="J382" s="348">
        <v>15000360</v>
      </c>
      <c r="K382" s="338"/>
    </row>
    <row r="383" spans="2:11" ht="15.75" customHeight="1">
      <c r="B383" s="293">
        <v>373</v>
      </c>
      <c r="C383" s="303"/>
      <c r="D383" s="303"/>
      <c r="E383" s="302"/>
      <c r="F383" s="295" t="str">
        <f t="shared" si="8"/>
        <v/>
      </c>
      <c r="G383" s="304" t="s">
        <v>2169</v>
      </c>
      <c r="H383" s="316" t="s">
        <v>1848</v>
      </c>
      <c r="I383" s="302"/>
      <c r="J383" s="348">
        <v>10000360</v>
      </c>
      <c r="K383" s="338"/>
    </row>
    <row r="384" spans="2:11" ht="15.75" customHeight="1">
      <c r="B384" s="293">
        <v>374</v>
      </c>
      <c r="C384" s="303"/>
      <c r="D384" s="303"/>
      <c r="E384" s="302"/>
      <c r="F384" s="295" t="str">
        <f t="shared" si="8"/>
        <v/>
      </c>
      <c r="G384" s="304" t="s">
        <v>2168</v>
      </c>
      <c r="H384" s="316" t="s">
        <v>1848</v>
      </c>
      <c r="I384" s="302"/>
      <c r="J384" s="348">
        <v>10000360</v>
      </c>
      <c r="K384" s="338"/>
    </row>
    <row r="385" spans="2:11" ht="15.75" customHeight="1">
      <c r="B385" s="293">
        <v>375</v>
      </c>
      <c r="C385" s="303"/>
      <c r="D385" s="303"/>
      <c r="E385" s="302"/>
      <c r="F385" s="295" t="str">
        <f t="shared" si="8"/>
        <v/>
      </c>
      <c r="G385" s="304" t="s">
        <v>2167</v>
      </c>
      <c r="H385" s="316" t="s">
        <v>1848</v>
      </c>
      <c r="I385" s="302"/>
      <c r="J385" s="348">
        <v>12500360</v>
      </c>
      <c r="K385" s="338"/>
    </row>
    <row r="386" spans="2:11" ht="15.75" customHeight="1">
      <c r="B386" s="293">
        <v>376</v>
      </c>
      <c r="C386" s="303"/>
      <c r="D386" s="303"/>
      <c r="E386" s="302"/>
      <c r="F386" s="295" t="str">
        <f t="shared" si="8"/>
        <v/>
      </c>
      <c r="G386" s="304" t="s">
        <v>2166</v>
      </c>
      <c r="H386" s="316" t="s">
        <v>1848</v>
      </c>
      <c r="I386" s="302"/>
      <c r="J386" s="348">
        <v>15000360</v>
      </c>
      <c r="K386" s="338"/>
    </row>
    <row r="387" spans="2:11" ht="15.75" customHeight="1">
      <c r="B387" s="293">
        <v>377</v>
      </c>
      <c r="C387" s="303"/>
      <c r="D387" s="303"/>
      <c r="E387" s="302"/>
      <c r="F387" s="295" t="str">
        <f t="shared" si="8"/>
        <v/>
      </c>
      <c r="G387" s="304" t="s">
        <v>2165</v>
      </c>
      <c r="H387" s="316" t="s">
        <v>1848</v>
      </c>
      <c r="I387" s="302"/>
      <c r="J387" s="348">
        <v>12500360</v>
      </c>
      <c r="K387" s="338"/>
    </row>
    <row r="388" spans="2:11" ht="15.75" customHeight="1">
      <c r="B388" s="293">
        <v>378</v>
      </c>
      <c r="C388" s="303"/>
      <c r="D388" s="303"/>
      <c r="E388" s="302"/>
      <c r="F388" s="295" t="str">
        <f t="shared" si="8"/>
        <v/>
      </c>
      <c r="G388" s="304" t="s">
        <v>2164</v>
      </c>
      <c r="H388" s="316" t="s">
        <v>1848</v>
      </c>
      <c r="I388" s="302"/>
      <c r="J388" s="348">
        <v>10000360</v>
      </c>
      <c r="K388" s="338"/>
    </row>
    <row r="389" spans="2:11" ht="15.75" customHeight="1">
      <c r="B389" s="293">
        <v>379</v>
      </c>
      <c r="C389" s="303"/>
      <c r="D389" s="303"/>
      <c r="E389" s="302"/>
      <c r="F389" s="295" t="str">
        <f t="shared" si="8"/>
        <v/>
      </c>
      <c r="G389" s="304" t="s">
        <v>2163</v>
      </c>
      <c r="H389" s="316" t="s">
        <v>1848</v>
      </c>
      <c r="I389" s="302"/>
      <c r="J389" s="348">
        <v>10000360</v>
      </c>
      <c r="K389" s="338"/>
    </row>
    <row r="390" spans="2:11" ht="15.75" customHeight="1">
      <c r="B390" s="293">
        <v>380</v>
      </c>
      <c r="C390" s="303"/>
      <c r="D390" s="303"/>
      <c r="E390" s="302"/>
      <c r="F390" s="295" t="str">
        <f t="shared" si="8"/>
        <v/>
      </c>
      <c r="G390" s="304" t="s">
        <v>2162</v>
      </c>
      <c r="H390" s="316" t="s">
        <v>1848</v>
      </c>
      <c r="I390" s="302"/>
      <c r="J390" s="348">
        <v>10000360</v>
      </c>
      <c r="K390" s="338"/>
    </row>
    <row r="391" spans="2:11" ht="15.75" customHeight="1">
      <c r="B391" s="293">
        <v>381</v>
      </c>
      <c r="C391" s="303"/>
      <c r="D391" s="303"/>
      <c r="E391" s="302"/>
      <c r="F391" s="295" t="str">
        <f t="shared" si="8"/>
        <v/>
      </c>
      <c r="G391" s="304" t="s">
        <v>2161</v>
      </c>
      <c r="H391" s="316" t="s">
        <v>1848</v>
      </c>
      <c r="I391" s="302"/>
      <c r="J391" s="348">
        <v>12500360</v>
      </c>
      <c r="K391" s="338"/>
    </row>
    <row r="392" spans="2:11" ht="15.75" customHeight="1">
      <c r="B392" s="293">
        <v>382</v>
      </c>
      <c r="C392" s="303"/>
      <c r="D392" s="303"/>
      <c r="E392" s="302"/>
      <c r="F392" s="295" t="str">
        <f t="shared" si="8"/>
        <v/>
      </c>
      <c r="G392" s="304" t="s">
        <v>2160</v>
      </c>
      <c r="H392" s="316" t="s">
        <v>1848</v>
      </c>
      <c r="I392" s="302"/>
      <c r="J392" s="348">
        <v>12500360</v>
      </c>
      <c r="K392" s="338"/>
    </row>
    <row r="393" spans="2:11" ht="15.75" customHeight="1">
      <c r="B393" s="293">
        <v>383</v>
      </c>
      <c r="C393" s="303"/>
      <c r="D393" s="303"/>
      <c r="E393" s="302"/>
      <c r="F393" s="295" t="str">
        <f t="shared" si="8"/>
        <v/>
      </c>
      <c r="G393" s="304" t="s">
        <v>2159</v>
      </c>
      <c r="H393" s="316" t="s">
        <v>1848</v>
      </c>
      <c r="I393" s="302"/>
      <c r="J393" s="348">
        <v>12500360</v>
      </c>
      <c r="K393" s="338"/>
    </row>
    <row r="394" spans="2:11" ht="15.75" customHeight="1">
      <c r="B394" s="293">
        <v>384</v>
      </c>
      <c r="C394" s="303"/>
      <c r="D394" s="303"/>
      <c r="E394" s="302">
        <v>59</v>
      </c>
      <c r="F394" s="295" t="str">
        <f t="shared" si="8"/>
        <v>زهرا مروی</v>
      </c>
      <c r="G394" s="304" t="s">
        <v>1851</v>
      </c>
      <c r="H394" s="316" t="s">
        <v>1848</v>
      </c>
      <c r="I394" s="302"/>
      <c r="J394" s="348">
        <v>2602400</v>
      </c>
      <c r="K394" s="338"/>
    </row>
    <row r="395" spans="2:11" ht="15.75" customHeight="1">
      <c r="B395" s="293">
        <v>385</v>
      </c>
      <c r="C395" s="303"/>
      <c r="D395" s="303"/>
      <c r="E395" s="302"/>
      <c r="F395" s="295" t="str">
        <f t="shared" si="8"/>
        <v/>
      </c>
      <c r="G395" s="304" t="s">
        <v>1852</v>
      </c>
      <c r="H395" s="316" t="s">
        <v>1849</v>
      </c>
      <c r="I395" s="302"/>
      <c r="J395" s="348">
        <v>85000000</v>
      </c>
      <c r="K395" s="338"/>
    </row>
    <row r="396" spans="2:11" ht="15.75" customHeight="1">
      <c r="B396" s="293"/>
      <c r="C396" s="303"/>
      <c r="D396" s="303"/>
      <c r="E396" s="302"/>
      <c r="F396" s="295"/>
      <c r="G396" s="304"/>
      <c r="H396" s="316"/>
      <c r="I396" s="302"/>
      <c r="J396" s="348"/>
      <c r="K396" s="338"/>
    </row>
    <row r="397" spans="2:11" ht="15.75" customHeight="1">
      <c r="B397" s="293"/>
      <c r="C397" s="303"/>
      <c r="D397" s="303"/>
      <c r="E397" s="302"/>
      <c r="F397" s="295"/>
      <c r="G397" s="304"/>
      <c r="H397" s="316"/>
      <c r="I397" s="302"/>
      <c r="J397" s="348"/>
      <c r="K397" s="338"/>
    </row>
    <row r="398" spans="2:11" ht="15.75" customHeight="1">
      <c r="B398" s="293"/>
      <c r="C398" s="303"/>
      <c r="D398" s="303"/>
      <c r="E398" s="302"/>
      <c r="F398" s="295"/>
      <c r="G398" s="304"/>
      <c r="H398" s="316"/>
      <c r="I398" s="302"/>
      <c r="J398" s="348"/>
      <c r="K398" s="338"/>
    </row>
    <row r="399" spans="2:11" ht="15.75" customHeight="1">
      <c r="B399" s="293"/>
      <c r="C399" s="303"/>
      <c r="D399" s="303"/>
      <c r="E399" s="302"/>
      <c r="F399" s="295"/>
      <c r="G399" s="304"/>
      <c r="H399" s="316"/>
      <c r="I399" s="302"/>
      <c r="J399" s="348"/>
      <c r="K399" s="338"/>
    </row>
    <row r="400" spans="2:11" ht="15.75" customHeight="1">
      <c r="B400" s="293"/>
      <c r="C400" s="303"/>
      <c r="D400" s="303"/>
      <c r="E400" s="302"/>
      <c r="F400" s="295"/>
      <c r="G400" s="304"/>
      <c r="H400" s="316"/>
      <c r="I400" s="302"/>
      <c r="J400" s="348"/>
      <c r="K400" s="338"/>
    </row>
    <row r="401" spans="2:11" ht="15.75" customHeight="1">
      <c r="B401" s="293"/>
      <c r="C401" s="303"/>
      <c r="D401" s="303"/>
      <c r="E401" s="302"/>
      <c r="F401" s="295"/>
      <c r="G401" s="304"/>
      <c r="H401" s="316"/>
      <c r="I401" s="302"/>
      <c r="J401" s="348"/>
      <c r="K401" s="338"/>
    </row>
    <row r="402" spans="2:11" ht="15.75" customHeight="1">
      <c r="B402" s="293"/>
      <c r="C402" s="303"/>
      <c r="D402" s="303"/>
      <c r="E402" s="302"/>
      <c r="F402" s="295"/>
      <c r="G402" s="304"/>
      <c r="H402" s="316"/>
      <c r="I402" s="302"/>
      <c r="J402" s="348"/>
      <c r="K402" s="338"/>
    </row>
    <row r="403" spans="2:11" ht="15.75" customHeight="1">
      <c r="B403" s="293"/>
      <c r="C403" s="303"/>
      <c r="D403" s="303"/>
      <c r="E403" s="302"/>
      <c r="F403" s="295"/>
      <c r="G403" s="304"/>
      <c r="H403" s="316"/>
      <c r="I403" s="302"/>
      <c r="J403" s="348"/>
      <c r="K403" s="338"/>
    </row>
    <row r="404" spans="2:11" ht="15.75" customHeight="1">
      <c r="B404" s="293">
        <v>386</v>
      </c>
      <c r="C404" s="303"/>
      <c r="D404" s="303"/>
      <c r="E404" s="302" t="s">
        <v>145</v>
      </c>
      <c r="F404" s="295" t="str">
        <f t="shared" si="8"/>
        <v>هزینه کلی موسسه</v>
      </c>
      <c r="G404" s="304" t="s">
        <v>1783</v>
      </c>
      <c r="H404" s="316" t="s">
        <v>1765</v>
      </c>
      <c r="I404" s="302"/>
      <c r="J404" s="348">
        <v>8002400</v>
      </c>
      <c r="K404" s="338"/>
    </row>
    <row r="405" spans="2:11" ht="15.75" customHeight="1">
      <c r="B405" s="293">
        <v>387</v>
      </c>
      <c r="C405" s="303"/>
      <c r="D405" s="303"/>
      <c r="E405" s="302" t="s">
        <v>145</v>
      </c>
      <c r="F405" s="295" t="str">
        <f t="shared" si="8"/>
        <v>هزینه کلی موسسه</v>
      </c>
      <c r="G405" s="304" t="s">
        <v>1399</v>
      </c>
      <c r="H405" s="316" t="s">
        <v>1765</v>
      </c>
      <c r="I405" s="302"/>
      <c r="J405" s="348">
        <v>1802400</v>
      </c>
      <c r="K405" s="338"/>
    </row>
    <row r="406" spans="2:11" ht="15.75" customHeight="1">
      <c r="B406" s="293">
        <v>388</v>
      </c>
      <c r="C406" s="303"/>
      <c r="D406" s="303"/>
      <c r="E406" s="302">
        <v>35</v>
      </c>
      <c r="F406" s="295" t="str">
        <f t="shared" si="8"/>
        <v>ثنا پور دوران</v>
      </c>
      <c r="G406" s="304" t="s">
        <v>1784</v>
      </c>
      <c r="H406" s="316" t="s">
        <v>1765</v>
      </c>
      <c r="I406" s="302"/>
      <c r="J406" s="348">
        <v>5002400</v>
      </c>
      <c r="K406" s="338"/>
    </row>
    <row r="407" spans="2:11" ht="15.75" customHeight="1">
      <c r="B407" s="293">
        <v>389</v>
      </c>
      <c r="C407" s="303"/>
      <c r="D407" s="303"/>
      <c r="E407" s="302" t="s">
        <v>145</v>
      </c>
      <c r="F407" s="295" t="str">
        <f t="shared" si="8"/>
        <v>هزینه کلی موسسه</v>
      </c>
      <c r="G407" s="304" t="s">
        <v>1785</v>
      </c>
      <c r="H407" s="316" t="s">
        <v>1765</v>
      </c>
      <c r="I407" s="302"/>
      <c r="J407" s="348">
        <v>40004000</v>
      </c>
      <c r="K407" s="338"/>
    </row>
    <row r="408" spans="2:11" ht="15.75" customHeight="1">
      <c r="B408" s="293">
        <v>390</v>
      </c>
      <c r="C408" s="303"/>
      <c r="D408" s="303"/>
      <c r="E408" s="302"/>
      <c r="F408" s="295" t="str">
        <f t="shared" si="8"/>
        <v/>
      </c>
      <c r="G408" s="304" t="s">
        <v>1786</v>
      </c>
      <c r="H408" s="316" t="s">
        <v>1765</v>
      </c>
      <c r="I408" s="302"/>
      <c r="J408" s="348">
        <v>28290820</v>
      </c>
      <c r="K408" s="338"/>
    </row>
    <row r="409" spans="2:11" ht="15.75" customHeight="1">
      <c r="B409" s="293">
        <v>391</v>
      </c>
      <c r="C409" s="303"/>
      <c r="D409" s="303"/>
      <c r="E409" s="302"/>
      <c r="F409" s="295" t="str">
        <f t="shared" si="8"/>
        <v/>
      </c>
      <c r="G409" s="304" t="s">
        <v>1787</v>
      </c>
      <c r="H409" s="316" t="s">
        <v>1773</v>
      </c>
      <c r="I409" s="302"/>
      <c r="J409" s="348">
        <v>85700000</v>
      </c>
      <c r="K409" s="338"/>
    </row>
    <row r="410" spans="2:11" ht="15.75" customHeight="1">
      <c r="B410" s="293"/>
      <c r="C410" s="303"/>
      <c r="D410" s="303"/>
      <c r="E410" s="302"/>
      <c r="F410" s="295"/>
      <c r="G410" s="304"/>
      <c r="H410" s="316"/>
      <c r="I410" s="302"/>
      <c r="J410" s="348"/>
      <c r="K410" s="338"/>
    </row>
    <row r="411" spans="2:11" ht="15.75" customHeight="1">
      <c r="B411" s="293"/>
      <c r="C411" s="303"/>
      <c r="D411" s="303"/>
      <c r="E411" s="302"/>
      <c r="F411" s="295"/>
      <c r="G411" s="304"/>
      <c r="H411" s="316"/>
      <c r="I411" s="302"/>
      <c r="J411" s="348"/>
      <c r="K411" s="338"/>
    </row>
    <row r="412" spans="2:11" ht="15.75" customHeight="1">
      <c r="B412" s="293"/>
      <c r="C412" s="303"/>
      <c r="D412" s="303"/>
      <c r="E412" s="302"/>
      <c r="F412" s="295"/>
      <c r="G412" s="304"/>
      <c r="H412" s="316"/>
      <c r="I412" s="302"/>
      <c r="J412" s="348"/>
      <c r="K412" s="338"/>
    </row>
    <row r="413" spans="2:11" ht="15.75" customHeight="1">
      <c r="B413" s="293"/>
      <c r="C413" s="303"/>
      <c r="D413" s="303"/>
      <c r="E413" s="302"/>
      <c r="F413" s="295"/>
      <c r="G413" s="304"/>
      <c r="H413" s="316"/>
      <c r="I413" s="302"/>
      <c r="J413" s="348"/>
      <c r="K413" s="338"/>
    </row>
    <row r="414" spans="2:11" ht="15.75" customHeight="1">
      <c r="B414" s="293"/>
      <c r="C414" s="303"/>
      <c r="D414" s="303"/>
      <c r="E414" s="302"/>
      <c r="F414" s="295"/>
      <c r="G414" s="304"/>
      <c r="H414" s="316"/>
      <c r="I414" s="302"/>
      <c r="J414" s="348"/>
      <c r="K414" s="338"/>
    </row>
    <row r="415" spans="2:11" ht="15.75" customHeight="1">
      <c r="B415" s="293"/>
      <c r="C415" s="303"/>
      <c r="D415" s="303"/>
      <c r="E415" s="302"/>
      <c r="F415" s="295"/>
      <c r="G415" s="304"/>
      <c r="H415" s="316"/>
      <c r="I415" s="302"/>
      <c r="J415" s="348"/>
      <c r="K415" s="338"/>
    </row>
    <row r="416" spans="2:11" ht="15.75" customHeight="1">
      <c r="B416" s="293"/>
      <c r="C416" s="303"/>
      <c r="D416" s="303"/>
      <c r="E416" s="302"/>
      <c r="F416" s="295"/>
      <c r="G416" s="304"/>
      <c r="H416" s="316"/>
      <c r="I416" s="302"/>
      <c r="J416" s="348"/>
      <c r="K416" s="338"/>
    </row>
    <row r="417" spans="2:11" ht="15.75" customHeight="1">
      <c r="B417" s="293">
        <v>392</v>
      </c>
      <c r="C417" s="303"/>
      <c r="D417" s="303"/>
      <c r="E417" s="302" t="s">
        <v>145</v>
      </c>
      <c r="F417" s="295" t="str">
        <f t="shared" si="8"/>
        <v>هزینه کلی موسسه</v>
      </c>
      <c r="G417" s="304" t="s">
        <v>1340</v>
      </c>
      <c r="H417" s="316" t="s">
        <v>1777</v>
      </c>
      <c r="I417" s="302"/>
      <c r="J417" s="348">
        <v>60006000</v>
      </c>
      <c r="K417" s="338"/>
    </row>
    <row r="418" spans="2:11" ht="15.75" customHeight="1">
      <c r="B418" s="293">
        <v>393</v>
      </c>
      <c r="C418" s="303"/>
      <c r="D418" s="303"/>
      <c r="E418" s="302">
        <v>12</v>
      </c>
      <c r="F418" s="462" t="str">
        <f t="shared" si="8"/>
        <v>الهام صمدی</v>
      </c>
      <c r="G418" s="304" t="s">
        <v>1788</v>
      </c>
      <c r="H418" s="463" t="s">
        <v>1777</v>
      </c>
      <c r="I418" s="302"/>
      <c r="J418" s="464">
        <v>1252400</v>
      </c>
      <c r="K418" s="338"/>
    </row>
    <row r="419" spans="2:11" ht="15.75" customHeight="1">
      <c r="B419" s="293">
        <v>394</v>
      </c>
      <c r="C419" s="303"/>
      <c r="D419" s="303"/>
      <c r="E419" s="302" t="s">
        <v>145</v>
      </c>
      <c r="F419" s="295" t="str">
        <f t="shared" si="8"/>
        <v>هزینه کلی موسسه</v>
      </c>
      <c r="G419" s="304" t="s">
        <v>1362</v>
      </c>
      <c r="H419" s="316" t="s">
        <v>1777</v>
      </c>
      <c r="I419" s="302"/>
      <c r="J419" s="348">
        <v>2502400</v>
      </c>
      <c r="K419" s="338"/>
    </row>
    <row r="420" spans="2:11" ht="15.75" customHeight="1">
      <c r="B420" s="293">
        <v>395</v>
      </c>
      <c r="C420" s="303"/>
      <c r="D420" s="303"/>
      <c r="E420" s="302">
        <v>12</v>
      </c>
      <c r="F420" s="462" t="str">
        <f t="shared" si="8"/>
        <v>الهام صمدی</v>
      </c>
      <c r="G420" s="304" t="s">
        <v>1789</v>
      </c>
      <c r="H420" s="463" t="s">
        <v>1790</v>
      </c>
      <c r="I420" s="302"/>
      <c r="J420" s="464">
        <v>1092400</v>
      </c>
      <c r="K420" s="338"/>
    </row>
    <row r="421" spans="2:11" ht="15.75" customHeight="1">
      <c r="B421" s="293">
        <v>396</v>
      </c>
      <c r="C421" s="303"/>
      <c r="D421" s="303"/>
      <c r="E421" s="302" t="s">
        <v>145</v>
      </c>
      <c r="F421" s="295" t="str">
        <f t="shared" si="8"/>
        <v>هزینه کلی موسسه</v>
      </c>
      <c r="G421" s="304" t="s">
        <v>1791</v>
      </c>
      <c r="H421" s="316" t="s">
        <v>1790</v>
      </c>
      <c r="I421" s="302"/>
      <c r="J421" s="348">
        <v>6452400</v>
      </c>
      <c r="K421" s="338"/>
    </row>
    <row r="422" spans="2:11" ht="15.75" customHeight="1">
      <c r="B422" s="293">
        <v>397</v>
      </c>
      <c r="C422" s="303"/>
      <c r="D422" s="303"/>
      <c r="E422" s="302">
        <v>12</v>
      </c>
      <c r="F422" s="462" t="str">
        <f t="shared" si="8"/>
        <v>الهام صمدی</v>
      </c>
      <c r="G422" s="304" t="s">
        <v>1792</v>
      </c>
      <c r="H422" s="463" t="s">
        <v>1790</v>
      </c>
      <c r="I422" s="302"/>
      <c r="J422" s="464">
        <v>1102400</v>
      </c>
      <c r="K422" s="338"/>
    </row>
    <row r="423" spans="2:11" ht="15.75" customHeight="1">
      <c r="B423" s="293">
        <v>398</v>
      </c>
      <c r="C423" s="303"/>
      <c r="D423" s="303"/>
      <c r="E423" s="302">
        <v>49</v>
      </c>
      <c r="F423" s="295" t="str">
        <f t="shared" si="8"/>
        <v>متین شاملی</v>
      </c>
      <c r="G423" s="304" t="s">
        <v>2158</v>
      </c>
      <c r="H423" s="316" t="s">
        <v>1793</v>
      </c>
      <c r="I423" s="302"/>
      <c r="J423" s="348">
        <v>12500360</v>
      </c>
      <c r="K423" s="338"/>
    </row>
    <row r="424" spans="2:11" ht="15.75" customHeight="1">
      <c r="B424" s="293">
        <v>399</v>
      </c>
      <c r="C424" s="303"/>
      <c r="D424" s="303"/>
      <c r="E424" s="302">
        <v>50</v>
      </c>
      <c r="F424" s="295" t="str">
        <f t="shared" si="8"/>
        <v>امیر پارسا قویدل</v>
      </c>
      <c r="G424" s="304" t="s">
        <v>2157</v>
      </c>
      <c r="H424" s="316" t="s">
        <v>1793</v>
      </c>
      <c r="I424" s="302"/>
      <c r="J424" s="348">
        <v>10000360</v>
      </c>
      <c r="K424" s="338"/>
    </row>
    <row r="425" spans="2:11" ht="15.75" customHeight="1">
      <c r="B425" s="293">
        <v>400</v>
      </c>
      <c r="C425" s="303"/>
      <c r="D425" s="303"/>
      <c r="E425" s="302">
        <v>53</v>
      </c>
      <c r="F425" s="295" t="str">
        <f t="shared" si="8"/>
        <v>محمد امین تاتاری</v>
      </c>
      <c r="G425" s="304" t="s">
        <v>2156</v>
      </c>
      <c r="H425" s="316" t="s">
        <v>1793</v>
      </c>
      <c r="I425" s="302"/>
      <c r="J425" s="348">
        <v>10000360</v>
      </c>
      <c r="K425" s="338"/>
    </row>
    <row r="426" spans="2:11" ht="15.75" customHeight="1">
      <c r="B426" s="293">
        <v>401</v>
      </c>
      <c r="C426" s="303"/>
      <c r="D426" s="303"/>
      <c r="E426" s="302">
        <v>47</v>
      </c>
      <c r="F426" s="295" t="str">
        <f t="shared" si="8"/>
        <v>امیرحسین محمدزاده</v>
      </c>
      <c r="G426" s="304" t="s">
        <v>2155</v>
      </c>
      <c r="H426" s="316" t="s">
        <v>1793</v>
      </c>
      <c r="I426" s="302"/>
      <c r="J426" s="348">
        <v>15000360</v>
      </c>
      <c r="K426" s="338"/>
    </row>
    <row r="427" spans="2:11" ht="15.75" customHeight="1">
      <c r="B427" s="293">
        <v>402</v>
      </c>
      <c r="C427" s="303"/>
      <c r="D427" s="303"/>
      <c r="E427" s="302">
        <v>41</v>
      </c>
      <c r="F427" s="295" t="str">
        <f t="shared" si="8"/>
        <v>مائده وفای فرخانی</v>
      </c>
      <c r="G427" s="304" t="s">
        <v>2154</v>
      </c>
      <c r="H427" s="316" t="s">
        <v>1793</v>
      </c>
      <c r="I427" s="302"/>
      <c r="J427" s="348">
        <v>15000360</v>
      </c>
      <c r="K427" s="338"/>
    </row>
    <row r="428" spans="2:11" ht="15.75" customHeight="1">
      <c r="B428" s="293">
        <v>403</v>
      </c>
      <c r="C428" s="303"/>
      <c r="D428" s="303"/>
      <c r="E428" s="302">
        <v>46</v>
      </c>
      <c r="F428" s="295" t="str">
        <f t="shared" si="8"/>
        <v>صادق نجمی</v>
      </c>
      <c r="G428" s="304" t="s">
        <v>2153</v>
      </c>
      <c r="H428" s="316" t="s">
        <v>1793</v>
      </c>
      <c r="I428" s="302"/>
      <c r="J428" s="348">
        <v>10000360</v>
      </c>
      <c r="K428" s="338"/>
    </row>
    <row r="429" spans="2:11" ht="15.75" customHeight="1">
      <c r="B429" s="293">
        <v>404</v>
      </c>
      <c r="C429" s="303"/>
      <c r="D429" s="303"/>
      <c r="E429" s="302">
        <v>36</v>
      </c>
      <c r="F429" s="295" t="str">
        <f t="shared" si="8"/>
        <v>هدیه محمد پور جاغرق</v>
      </c>
      <c r="G429" s="304" t="s">
        <v>2152</v>
      </c>
      <c r="H429" s="316" t="s">
        <v>1793</v>
      </c>
      <c r="I429" s="302"/>
      <c r="J429" s="348">
        <v>10000360</v>
      </c>
      <c r="K429" s="338"/>
    </row>
    <row r="430" spans="2:11" ht="15.75" customHeight="1">
      <c r="B430" s="293">
        <v>405</v>
      </c>
      <c r="C430" s="303"/>
      <c r="D430" s="303"/>
      <c r="E430" s="302">
        <v>54</v>
      </c>
      <c r="F430" s="295" t="str">
        <f t="shared" si="8"/>
        <v>فاطمه سادات سلطانی</v>
      </c>
      <c r="G430" s="304" t="s">
        <v>2151</v>
      </c>
      <c r="H430" s="316" t="s">
        <v>1793</v>
      </c>
      <c r="I430" s="302"/>
      <c r="J430" s="348">
        <v>12500360</v>
      </c>
      <c r="K430" s="338"/>
    </row>
    <row r="431" spans="2:11" ht="15.75" customHeight="1">
      <c r="B431" s="293">
        <v>406</v>
      </c>
      <c r="C431" s="303"/>
      <c r="D431" s="303"/>
      <c r="E431" s="302">
        <v>55</v>
      </c>
      <c r="F431" s="295" t="str">
        <f t="shared" si="8"/>
        <v>سحر خادم حقیقی</v>
      </c>
      <c r="G431" s="304" t="s">
        <v>2150</v>
      </c>
      <c r="H431" s="316" t="s">
        <v>1793</v>
      </c>
      <c r="I431" s="302"/>
      <c r="J431" s="348">
        <v>15000360</v>
      </c>
      <c r="K431" s="338"/>
    </row>
    <row r="432" spans="2:11" ht="15.75" customHeight="1">
      <c r="B432" s="293">
        <v>407</v>
      </c>
      <c r="C432" s="303"/>
      <c r="D432" s="303"/>
      <c r="E432" s="302">
        <v>48</v>
      </c>
      <c r="F432" s="295" t="str">
        <f t="shared" si="8"/>
        <v>امیرحسین مودب</v>
      </c>
      <c r="G432" s="304" t="s">
        <v>2149</v>
      </c>
      <c r="H432" s="316" t="s">
        <v>1793</v>
      </c>
      <c r="I432" s="302"/>
      <c r="J432" s="348">
        <v>12500360</v>
      </c>
      <c r="K432" s="338"/>
    </row>
    <row r="433" spans="2:11" ht="15.75" customHeight="1">
      <c r="B433" s="293">
        <v>408</v>
      </c>
      <c r="C433" s="303"/>
      <c r="D433" s="303"/>
      <c r="E433" s="302">
        <v>45</v>
      </c>
      <c r="F433" s="295" t="str">
        <f t="shared" si="8"/>
        <v>احمد خاوری عدل</v>
      </c>
      <c r="G433" s="304" t="s">
        <v>2148</v>
      </c>
      <c r="H433" s="316" t="s">
        <v>1793</v>
      </c>
      <c r="I433" s="302"/>
      <c r="J433" s="348">
        <v>10000360</v>
      </c>
      <c r="K433" s="338"/>
    </row>
    <row r="434" spans="2:11" ht="15.75" customHeight="1">
      <c r="B434" s="293">
        <v>409</v>
      </c>
      <c r="C434" s="303"/>
      <c r="D434" s="303"/>
      <c r="E434" s="302">
        <v>43</v>
      </c>
      <c r="F434" s="295" t="str">
        <f t="shared" si="8"/>
        <v>فرخنده خوشگفتار</v>
      </c>
      <c r="G434" s="304" t="s">
        <v>2147</v>
      </c>
      <c r="H434" s="316" t="s">
        <v>1793</v>
      </c>
      <c r="I434" s="302"/>
      <c r="J434" s="348">
        <v>10000360</v>
      </c>
      <c r="K434" s="338"/>
    </row>
    <row r="435" spans="2:11" ht="15.75" customHeight="1">
      <c r="B435" s="293">
        <v>410</v>
      </c>
      <c r="C435" s="303"/>
      <c r="D435" s="303"/>
      <c r="E435" s="302">
        <v>42</v>
      </c>
      <c r="F435" s="295" t="str">
        <f t="shared" si="8"/>
        <v>فرزانه خوشگفتار</v>
      </c>
      <c r="G435" s="304" t="s">
        <v>2146</v>
      </c>
      <c r="H435" s="316" t="s">
        <v>1793</v>
      </c>
      <c r="I435" s="302"/>
      <c r="J435" s="348">
        <v>10000360</v>
      </c>
      <c r="K435" s="338"/>
    </row>
    <row r="436" spans="2:11" ht="15.75" customHeight="1">
      <c r="B436" s="293">
        <v>411</v>
      </c>
      <c r="C436" s="303"/>
      <c r="D436" s="303"/>
      <c r="E436" s="302">
        <v>37</v>
      </c>
      <c r="F436" s="295" t="str">
        <f t="shared" si="8"/>
        <v>کوثر صفری</v>
      </c>
      <c r="G436" s="304" t="s">
        <v>2145</v>
      </c>
      <c r="H436" s="316" t="s">
        <v>1793</v>
      </c>
      <c r="I436" s="302"/>
      <c r="J436" s="348">
        <v>12500360</v>
      </c>
      <c r="K436" s="338"/>
    </row>
    <row r="437" spans="2:11" ht="15.75" customHeight="1">
      <c r="B437" s="293">
        <v>412</v>
      </c>
      <c r="C437" s="303"/>
      <c r="D437" s="303"/>
      <c r="E437" s="302">
        <v>44</v>
      </c>
      <c r="F437" s="295" t="str">
        <f t="shared" si="8"/>
        <v>ریحانه منفردی</v>
      </c>
      <c r="G437" s="304" t="s">
        <v>2144</v>
      </c>
      <c r="H437" s="316" t="s">
        <v>1793</v>
      </c>
      <c r="I437" s="302"/>
      <c r="J437" s="348">
        <v>12500360</v>
      </c>
      <c r="K437" s="338"/>
    </row>
    <row r="438" spans="2:11" ht="15.75" customHeight="1">
      <c r="B438" s="293">
        <v>413</v>
      </c>
      <c r="C438" s="303"/>
      <c r="D438" s="303"/>
      <c r="E438" s="302">
        <v>57</v>
      </c>
      <c r="F438" s="295" t="str">
        <f t="shared" si="8"/>
        <v>ثمین اکبری شاندیز</v>
      </c>
      <c r="G438" s="304" t="s">
        <v>2143</v>
      </c>
      <c r="H438" s="316" t="s">
        <v>1793</v>
      </c>
      <c r="I438" s="302"/>
      <c r="J438" s="348">
        <v>12500360</v>
      </c>
      <c r="K438" s="338"/>
    </row>
    <row r="439" spans="2:11" ht="15.75" customHeight="1">
      <c r="B439" s="293">
        <v>414</v>
      </c>
      <c r="C439" s="303"/>
      <c r="D439" s="303"/>
      <c r="E439" s="302">
        <v>35</v>
      </c>
      <c r="F439" s="295" t="str">
        <f t="shared" si="8"/>
        <v>ثنا پور دوران</v>
      </c>
      <c r="G439" s="304" t="s">
        <v>1853</v>
      </c>
      <c r="H439" s="316" t="s">
        <v>1794</v>
      </c>
      <c r="I439" s="302"/>
      <c r="J439" s="348">
        <v>5002400</v>
      </c>
      <c r="K439" s="338"/>
    </row>
    <row r="440" spans="2:11" ht="15.75" customHeight="1">
      <c r="B440" s="293">
        <v>415</v>
      </c>
      <c r="C440" s="303"/>
      <c r="D440" s="303"/>
      <c r="E440" s="302" t="s">
        <v>145</v>
      </c>
      <c r="F440" s="295" t="str">
        <f t="shared" ref="F440:F512" si="9">IF(E440="","",HLOOKUP(E440,eeee,2,0))</f>
        <v>هزینه کلی موسسه</v>
      </c>
      <c r="G440" s="304" t="s">
        <v>1798</v>
      </c>
      <c r="H440" s="316" t="s">
        <v>1794</v>
      </c>
      <c r="I440" s="302"/>
      <c r="J440" s="348">
        <v>7402400</v>
      </c>
      <c r="K440" s="338"/>
    </row>
    <row r="441" spans="2:11" ht="15.75" customHeight="1">
      <c r="B441" s="293">
        <v>416</v>
      </c>
      <c r="C441" s="303"/>
      <c r="D441" s="303"/>
      <c r="E441" s="302" t="s">
        <v>145</v>
      </c>
      <c r="F441" s="295" t="str">
        <f t="shared" si="9"/>
        <v>هزینه کلی موسسه</v>
      </c>
      <c r="G441" s="304" t="s">
        <v>1785</v>
      </c>
      <c r="H441" s="316" t="s">
        <v>1794</v>
      </c>
      <c r="I441" s="302"/>
      <c r="J441" s="348">
        <v>40004000</v>
      </c>
      <c r="K441" s="338"/>
    </row>
    <row r="442" spans="2:11" ht="35.25" customHeight="1">
      <c r="B442" s="293">
        <v>417</v>
      </c>
      <c r="C442" s="303"/>
      <c r="D442" s="303"/>
      <c r="E442" s="302"/>
      <c r="F442" s="295" t="str">
        <f t="shared" si="9"/>
        <v/>
      </c>
      <c r="G442" s="304" t="s">
        <v>2228</v>
      </c>
      <c r="H442" s="316" t="s">
        <v>1795</v>
      </c>
      <c r="I442" s="302"/>
      <c r="J442" s="348">
        <v>85700000</v>
      </c>
      <c r="K442" s="338"/>
    </row>
    <row r="443" spans="2:11" ht="15.75" customHeight="1">
      <c r="B443" s="293"/>
      <c r="C443" s="303"/>
      <c r="D443" s="303"/>
      <c r="E443" s="302"/>
      <c r="F443" s="295"/>
      <c r="G443" s="304"/>
      <c r="H443" s="316"/>
      <c r="I443" s="302"/>
      <c r="J443" s="348"/>
      <c r="K443" s="338"/>
    </row>
    <row r="444" spans="2:11" ht="15.75" customHeight="1">
      <c r="B444" s="293"/>
      <c r="C444" s="303"/>
      <c r="D444" s="303"/>
      <c r="E444" s="302"/>
      <c r="F444" s="295"/>
      <c r="G444" s="304"/>
      <c r="H444" s="316"/>
      <c r="I444" s="302"/>
      <c r="J444" s="348"/>
      <c r="K444" s="338"/>
    </row>
    <row r="445" spans="2:11" ht="15.75" customHeight="1">
      <c r="B445" s="293"/>
      <c r="C445" s="303"/>
      <c r="D445" s="303"/>
      <c r="E445" s="302"/>
      <c r="F445" s="295"/>
      <c r="G445" s="304"/>
      <c r="H445" s="316"/>
      <c r="I445" s="302"/>
      <c r="J445" s="348"/>
      <c r="K445" s="338"/>
    </row>
    <row r="446" spans="2:11" ht="15.75" customHeight="1">
      <c r="B446" s="293"/>
      <c r="C446" s="303"/>
      <c r="D446" s="303"/>
      <c r="E446" s="302"/>
      <c r="F446" s="295"/>
      <c r="G446" s="304"/>
      <c r="H446" s="316"/>
      <c r="I446" s="302"/>
      <c r="J446" s="348"/>
      <c r="K446" s="338"/>
    </row>
    <row r="447" spans="2:11" ht="15.75" customHeight="1">
      <c r="B447" s="293"/>
      <c r="C447" s="303"/>
      <c r="D447" s="303"/>
      <c r="E447" s="302"/>
      <c r="F447" s="295"/>
      <c r="G447" s="304"/>
      <c r="H447" s="316"/>
      <c r="I447" s="302"/>
      <c r="J447" s="348"/>
      <c r="K447" s="338"/>
    </row>
    <row r="448" spans="2:11" ht="15.75" customHeight="1">
      <c r="B448" s="293"/>
      <c r="C448" s="303"/>
      <c r="D448" s="303"/>
      <c r="E448" s="302"/>
      <c r="F448" s="295"/>
      <c r="G448" s="304"/>
      <c r="H448" s="316"/>
      <c r="I448" s="302"/>
      <c r="J448" s="348"/>
      <c r="K448" s="338"/>
    </row>
    <row r="449" spans="2:11" ht="15.75" customHeight="1">
      <c r="B449" s="293"/>
      <c r="C449" s="303"/>
      <c r="D449" s="303"/>
      <c r="E449" s="302"/>
      <c r="F449" s="295"/>
      <c r="G449" s="304"/>
      <c r="H449" s="316"/>
      <c r="I449" s="302"/>
      <c r="J449" s="348"/>
      <c r="K449" s="338"/>
    </row>
    <row r="450" spans="2:11" ht="15.75" customHeight="1">
      <c r="B450" s="293">
        <v>418</v>
      </c>
      <c r="C450" s="303"/>
      <c r="D450" s="303"/>
      <c r="E450" s="302" t="s">
        <v>145</v>
      </c>
      <c r="F450" s="295" t="str">
        <f t="shared" si="9"/>
        <v>هزینه کلی موسسه</v>
      </c>
      <c r="G450" s="304" t="s">
        <v>1783</v>
      </c>
      <c r="H450" s="316" t="s">
        <v>1795</v>
      </c>
      <c r="I450" s="302"/>
      <c r="J450" s="348">
        <v>8002400</v>
      </c>
      <c r="K450" s="338"/>
    </row>
    <row r="451" spans="2:11" ht="15.75" customHeight="1">
      <c r="B451" s="293">
        <v>419</v>
      </c>
      <c r="C451" s="303"/>
      <c r="D451" s="303"/>
      <c r="E451" s="302">
        <v>35</v>
      </c>
      <c r="F451" s="295" t="str">
        <f t="shared" si="9"/>
        <v>ثنا پور دوران</v>
      </c>
      <c r="G451" s="304" t="s">
        <v>1799</v>
      </c>
      <c r="H451" s="316" t="s">
        <v>1795</v>
      </c>
      <c r="I451" s="302"/>
      <c r="J451" s="348">
        <v>6602400</v>
      </c>
      <c r="K451" s="338"/>
    </row>
    <row r="452" spans="2:11" ht="15.75" customHeight="1">
      <c r="B452" s="293">
        <v>420</v>
      </c>
      <c r="C452" s="303"/>
      <c r="D452" s="303"/>
      <c r="E452" s="302" t="s">
        <v>145</v>
      </c>
      <c r="F452" s="295" t="str">
        <f t="shared" si="9"/>
        <v>هزینه کلی موسسه</v>
      </c>
      <c r="G452" s="304" t="s">
        <v>1800</v>
      </c>
      <c r="H452" s="316" t="s">
        <v>1796</v>
      </c>
      <c r="I452" s="302"/>
      <c r="J452" s="348">
        <v>24000</v>
      </c>
      <c r="K452" s="338"/>
    </row>
    <row r="453" spans="2:11" ht="15.75" customHeight="1">
      <c r="B453" s="293">
        <v>421</v>
      </c>
      <c r="C453" s="303"/>
      <c r="D453" s="303"/>
      <c r="E453" s="302" t="s">
        <v>145</v>
      </c>
      <c r="F453" s="295" t="str">
        <f t="shared" si="9"/>
        <v>هزینه کلی موسسه</v>
      </c>
      <c r="G453" s="304" t="s">
        <v>1340</v>
      </c>
      <c r="H453" s="316" t="s">
        <v>1797</v>
      </c>
      <c r="I453" s="302"/>
      <c r="J453" s="348">
        <v>60006000</v>
      </c>
      <c r="K453" s="338"/>
    </row>
    <row r="454" spans="2:11" ht="15.75" customHeight="1">
      <c r="B454" s="293">
        <v>422</v>
      </c>
      <c r="C454" s="303"/>
      <c r="D454" s="303"/>
      <c r="E454" s="302" t="s">
        <v>145</v>
      </c>
      <c r="F454" s="295" t="str">
        <f t="shared" si="9"/>
        <v>هزینه کلی موسسه</v>
      </c>
      <c r="G454" s="304" t="s">
        <v>1846</v>
      </c>
      <c r="H454" s="316" t="s">
        <v>1812</v>
      </c>
      <c r="I454" s="302"/>
      <c r="J454" s="348">
        <v>2502400</v>
      </c>
      <c r="K454" s="338"/>
    </row>
    <row r="455" spans="2:11" ht="15.75" customHeight="1">
      <c r="B455" s="293">
        <v>423</v>
      </c>
      <c r="C455" s="303"/>
      <c r="D455" s="303"/>
      <c r="E455" s="302" t="s">
        <v>145</v>
      </c>
      <c r="F455" s="295" t="str">
        <f t="shared" si="9"/>
        <v>هزینه کلی موسسه</v>
      </c>
      <c r="G455" s="304" t="s">
        <v>1854</v>
      </c>
      <c r="H455" s="316" t="s">
        <v>1812</v>
      </c>
      <c r="I455" s="302"/>
      <c r="J455" s="348">
        <v>1172400</v>
      </c>
      <c r="K455" s="338"/>
    </row>
    <row r="456" spans="2:11" ht="15.75" customHeight="1">
      <c r="B456" s="293">
        <v>424</v>
      </c>
      <c r="C456" s="303"/>
      <c r="D456" s="303"/>
      <c r="E456" s="302">
        <v>59</v>
      </c>
      <c r="F456" s="295" t="str">
        <f t="shared" si="9"/>
        <v>زهرا مروی</v>
      </c>
      <c r="G456" s="304" t="s">
        <v>1850</v>
      </c>
      <c r="H456" s="316" t="s">
        <v>1812</v>
      </c>
      <c r="I456" s="302"/>
      <c r="J456" s="348">
        <v>7252400</v>
      </c>
      <c r="K456" s="338"/>
    </row>
    <row r="457" spans="2:11" ht="15.75" customHeight="1">
      <c r="B457" s="293">
        <v>425</v>
      </c>
      <c r="C457" s="303"/>
      <c r="D457" s="303"/>
      <c r="E457" s="302">
        <v>59</v>
      </c>
      <c r="F457" s="295" t="str">
        <f t="shared" si="9"/>
        <v>زهرا مروی</v>
      </c>
      <c r="G457" s="304" t="s">
        <v>1856</v>
      </c>
      <c r="H457" s="316" t="s">
        <v>1855</v>
      </c>
      <c r="I457" s="302"/>
      <c r="J457" s="348">
        <v>11362400</v>
      </c>
      <c r="K457" s="338"/>
    </row>
    <row r="458" spans="2:11" ht="15.75" customHeight="1">
      <c r="B458" s="293">
        <v>426</v>
      </c>
      <c r="C458" s="303"/>
      <c r="D458" s="303"/>
      <c r="E458" s="302">
        <v>49</v>
      </c>
      <c r="F458" s="295" t="str">
        <f t="shared" si="9"/>
        <v>متین شاملی</v>
      </c>
      <c r="G458" s="304" t="s">
        <v>2142</v>
      </c>
      <c r="H458" s="316" t="s">
        <v>1855</v>
      </c>
      <c r="I458" s="302"/>
      <c r="J458" s="348">
        <v>12500360</v>
      </c>
      <c r="K458" s="338"/>
    </row>
    <row r="459" spans="2:11" ht="15.75" customHeight="1">
      <c r="B459" s="293">
        <v>427</v>
      </c>
      <c r="C459" s="303"/>
      <c r="D459" s="303"/>
      <c r="E459" s="302">
        <v>50</v>
      </c>
      <c r="F459" s="295" t="str">
        <f t="shared" si="9"/>
        <v>امیر پارسا قویدل</v>
      </c>
      <c r="G459" s="304" t="s">
        <v>2141</v>
      </c>
      <c r="H459" s="316" t="s">
        <v>1855</v>
      </c>
      <c r="I459" s="302"/>
      <c r="J459" s="348">
        <v>10000360</v>
      </c>
      <c r="K459" s="338"/>
    </row>
    <row r="460" spans="2:11" ht="15.75" customHeight="1">
      <c r="B460" s="293">
        <v>428</v>
      </c>
      <c r="C460" s="303"/>
      <c r="D460" s="303"/>
      <c r="E460" s="302">
        <v>53</v>
      </c>
      <c r="F460" s="295" t="str">
        <f t="shared" si="9"/>
        <v>محمد امین تاتاری</v>
      </c>
      <c r="G460" s="304" t="s">
        <v>2140</v>
      </c>
      <c r="H460" s="316" t="s">
        <v>1855</v>
      </c>
      <c r="I460" s="302"/>
      <c r="J460" s="348">
        <v>10000360</v>
      </c>
      <c r="K460" s="338"/>
    </row>
    <row r="461" spans="2:11" ht="15.75" customHeight="1">
      <c r="B461" s="293">
        <v>429</v>
      </c>
      <c r="C461" s="303"/>
      <c r="D461" s="303"/>
      <c r="E461" s="302">
        <v>47</v>
      </c>
      <c r="F461" s="295" t="str">
        <f t="shared" si="9"/>
        <v>امیرحسین محمدزاده</v>
      </c>
      <c r="G461" s="304" t="s">
        <v>2139</v>
      </c>
      <c r="H461" s="316" t="s">
        <v>1855</v>
      </c>
      <c r="I461" s="302"/>
      <c r="J461" s="348">
        <v>15000360</v>
      </c>
      <c r="K461" s="338"/>
    </row>
    <row r="462" spans="2:11" ht="15.75" customHeight="1">
      <c r="B462" s="293">
        <v>430</v>
      </c>
      <c r="C462" s="303"/>
      <c r="D462" s="303"/>
      <c r="E462" s="302">
        <v>41</v>
      </c>
      <c r="F462" s="295" t="str">
        <f t="shared" si="9"/>
        <v>مائده وفای فرخانی</v>
      </c>
      <c r="G462" s="304" t="s">
        <v>2138</v>
      </c>
      <c r="H462" s="316" t="s">
        <v>1855</v>
      </c>
      <c r="I462" s="302"/>
      <c r="J462" s="348">
        <v>15000360</v>
      </c>
      <c r="K462" s="338"/>
    </row>
    <row r="463" spans="2:11" ht="15.75" customHeight="1">
      <c r="B463" s="293">
        <v>431</v>
      </c>
      <c r="C463" s="303"/>
      <c r="D463" s="303"/>
      <c r="E463" s="302">
        <v>46</v>
      </c>
      <c r="F463" s="295" t="str">
        <f t="shared" si="9"/>
        <v>صادق نجمی</v>
      </c>
      <c r="G463" s="304" t="s">
        <v>2137</v>
      </c>
      <c r="H463" s="316" t="s">
        <v>1855</v>
      </c>
      <c r="I463" s="302"/>
      <c r="J463" s="348">
        <v>10000360</v>
      </c>
      <c r="K463" s="338"/>
    </row>
    <row r="464" spans="2:11" ht="15.75" customHeight="1">
      <c r="B464" s="293">
        <v>432</v>
      </c>
      <c r="C464" s="303"/>
      <c r="D464" s="303"/>
      <c r="E464" s="302">
        <v>36</v>
      </c>
      <c r="F464" s="295" t="str">
        <f t="shared" si="9"/>
        <v>هدیه محمد پور جاغرق</v>
      </c>
      <c r="G464" s="304" t="s">
        <v>2136</v>
      </c>
      <c r="H464" s="316" t="s">
        <v>1855</v>
      </c>
      <c r="I464" s="302"/>
      <c r="J464" s="348">
        <v>10000360</v>
      </c>
      <c r="K464" s="338"/>
    </row>
    <row r="465" spans="2:11" ht="15.75" customHeight="1">
      <c r="B465" s="293">
        <v>433</v>
      </c>
      <c r="C465" s="303"/>
      <c r="D465" s="303"/>
      <c r="E465" s="302">
        <v>54</v>
      </c>
      <c r="F465" s="295" t="str">
        <f t="shared" si="9"/>
        <v>فاطمه سادات سلطانی</v>
      </c>
      <c r="G465" s="304" t="s">
        <v>2135</v>
      </c>
      <c r="H465" s="316" t="s">
        <v>1855</v>
      </c>
      <c r="I465" s="302"/>
      <c r="J465" s="348">
        <v>12500360</v>
      </c>
      <c r="K465" s="338"/>
    </row>
    <row r="466" spans="2:11" ht="15.75" customHeight="1">
      <c r="B466" s="293">
        <v>434</v>
      </c>
      <c r="C466" s="303"/>
      <c r="D466" s="303"/>
      <c r="E466" s="302">
        <v>55</v>
      </c>
      <c r="F466" s="295" t="str">
        <f t="shared" si="9"/>
        <v>سحر خادم حقیقی</v>
      </c>
      <c r="G466" s="304" t="s">
        <v>2134</v>
      </c>
      <c r="H466" s="316" t="s">
        <v>1855</v>
      </c>
      <c r="I466" s="302"/>
      <c r="J466" s="348">
        <v>15000360</v>
      </c>
      <c r="K466" s="338"/>
    </row>
    <row r="467" spans="2:11" ht="15.75" customHeight="1">
      <c r="B467" s="293">
        <v>435</v>
      </c>
      <c r="C467" s="303"/>
      <c r="D467" s="303"/>
      <c r="E467" s="302">
        <v>48</v>
      </c>
      <c r="F467" s="295" t="str">
        <f t="shared" si="9"/>
        <v>امیرحسین مودب</v>
      </c>
      <c r="G467" s="304" t="s">
        <v>2133</v>
      </c>
      <c r="H467" s="316" t="s">
        <v>1855</v>
      </c>
      <c r="I467" s="302"/>
      <c r="J467" s="348">
        <v>12500360</v>
      </c>
      <c r="K467" s="338"/>
    </row>
    <row r="468" spans="2:11" ht="15.75" customHeight="1">
      <c r="B468" s="293">
        <v>436</v>
      </c>
      <c r="C468" s="303"/>
      <c r="D468" s="303"/>
      <c r="E468" s="302">
        <v>45</v>
      </c>
      <c r="F468" s="295" t="str">
        <f t="shared" si="9"/>
        <v>احمد خاوری عدل</v>
      </c>
      <c r="G468" s="304" t="s">
        <v>2132</v>
      </c>
      <c r="H468" s="316" t="s">
        <v>1855</v>
      </c>
      <c r="I468" s="302"/>
      <c r="J468" s="348">
        <v>10000360</v>
      </c>
      <c r="K468" s="338"/>
    </row>
    <row r="469" spans="2:11" ht="15.75" customHeight="1">
      <c r="B469" s="293">
        <v>437</v>
      </c>
      <c r="C469" s="303"/>
      <c r="D469" s="303"/>
      <c r="E469" s="302">
        <v>43</v>
      </c>
      <c r="F469" s="295" t="str">
        <f t="shared" si="9"/>
        <v>فرخنده خوشگفتار</v>
      </c>
      <c r="G469" s="304" t="s">
        <v>2131</v>
      </c>
      <c r="H469" s="316" t="s">
        <v>1855</v>
      </c>
      <c r="I469" s="302"/>
      <c r="J469" s="348">
        <v>10000360</v>
      </c>
      <c r="K469" s="338"/>
    </row>
    <row r="470" spans="2:11" ht="15.75" customHeight="1">
      <c r="B470" s="293">
        <v>438</v>
      </c>
      <c r="C470" s="303"/>
      <c r="D470" s="303"/>
      <c r="E470" s="302">
        <v>42</v>
      </c>
      <c r="F470" s="295" t="str">
        <f t="shared" si="9"/>
        <v>فرزانه خوشگفتار</v>
      </c>
      <c r="G470" s="304" t="s">
        <v>2130</v>
      </c>
      <c r="H470" s="316" t="s">
        <v>1855</v>
      </c>
      <c r="I470" s="302"/>
      <c r="J470" s="348">
        <v>10000360</v>
      </c>
      <c r="K470" s="338"/>
    </row>
    <row r="471" spans="2:11" ht="15.75" customHeight="1">
      <c r="B471" s="293">
        <v>439</v>
      </c>
      <c r="C471" s="303"/>
      <c r="D471" s="303"/>
      <c r="E471" s="302">
        <v>37</v>
      </c>
      <c r="F471" s="295" t="str">
        <f t="shared" si="9"/>
        <v>کوثر صفری</v>
      </c>
      <c r="G471" s="304" t="s">
        <v>2129</v>
      </c>
      <c r="H471" s="316" t="s">
        <v>1855</v>
      </c>
      <c r="I471" s="302"/>
      <c r="J471" s="348">
        <v>12500360</v>
      </c>
      <c r="K471" s="338"/>
    </row>
    <row r="472" spans="2:11" ht="15.75" customHeight="1">
      <c r="B472" s="293">
        <v>440</v>
      </c>
      <c r="C472" s="303"/>
      <c r="D472" s="303"/>
      <c r="E472" s="302">
        <v>44</v>
      </c>
      <c r="F472" s="295" t="str">
        <f t="shared" si="9"/>
        <v>ریحانه منفردی</v>
      </c>
      <c r="G472" s="304" t="s">
        <v>2128</v>
      </c>
      <c r="H472" s="316" t="s">
        <v>1855</v>
      </c>
      <c r="I472" s="302"/>
      <c r="J472" s="348">
        <v>12500360</v>
      </c>
      <c r="K472" s="338"/>
    </row>
    <row r="473" spans="2:11" ht="15.75" customHeight="1">
      <c r="B473" s="293">
        <v>441</v>
      </c>
      <c r="C473" s="303"/>
      <c r="D473" s="303"/>
      <c r="E473" s="302">
        <v>57</v>
      </c>
      <c r="F473" s="295" t="str">
        <f t="shared" si="9"/>
        <v>ثمین اکبری شاندیز</v>
      </c>
      <c r="G473" s="304" t="s">
        <v>2127</v>
      </c>
      <c r="H473" s="316" t="s">
        <v>1855</v>
      </c>
      <c r="I473" s="302"/>
      <c r="J473" s="348">
        <v>12500360</v>
      </c>
      <c r="K473" s="338"/>
    </row>
    <row r="474" spans="2:11" ht="15.75" customHeight="1">
      <c r="B474" s="293">
        <v>442</v>
      </c>
      <c r="C474" s="303"/>
      <c r="D474" s="303"/>
      <c r="E474" s="302">
        <v>56</v>
      </c>
      <c r="F474" s="295" t="str">
        <f t="shared" si="9"/>
        <v>سارینا داوری</v>
      </c>
      <c r="G474" s="304" t="s">
        <v>2126</v>
      </c>
      <c r="H474" s="316" t="s">
        <v>1855</v>
      </c>
      <c r="I474" s="302"/>
      <c r="J474" s="348">
        <v>12500360</v>
      </c>
      <c r="K474" s="338"/>
    </row>
    <row r="475" spans="2:11" ht="15.75" customHeight="1">
      <c r="B475" s="293">
        <v>443</v>
      </c>
      <c r="C475" s="303"/>
      <c r="D475" s="303"/>
      <c r="E475" s="302">
        <v>38</v>
      </c>
      <c r="F475" s="295" t="str">
        <f t="shared" si="9"/>
        <v>حانیه دشتبانی</v>
      </c>
      <c r="G475" s="304" t="s">
        <v>2125</v>
      </c>
      <c r="H475" s="316" t="s">
        <v>1855</v>
      </c>
      <c r="I475" s="302"/>
      <c r="J475" s="348">
        <v>12500360</v>
      </c>
      <c r="K475" s="338"/>
    </row>
    <row r="476" spans="2:11" ht="15.75" customHeight="1">
      <c r="B476" s="293">
        <v>444</v>
      </c>
      <c r="C476" s="303"/>
      <c r="D476" s="303"/>
      <c r="E476" s="302">
        <v>39</v>
      </c>
      <c r="F476" s="295" t="str">
        <f t="shared" si="9"/>
        <v>فاطمه حیدرزاده</v>
      </c>
      <c r="G476" s="304" t="s">
        <v>2124</v>
      </c>
      <c r="H476" s="316" t="s">
        <v>1855</v>
      </c>
      <c r="I476" s="302"/>
      <c r="J476" s="348">
        <v>12500360</v>
      </c>
      <c r="K476" s="338"/>
    </row>
    <row r="477" spans="2:11" ht="15.75" customHeight="1">
      <c r="B477" s="293">
        <v>445</v>
      </c>
      <c r="C477" s="303"/>
      <c r="D477" s="303"/>
      <c r="E477" s="302">
        <v>58</v>
      </c>
      <c r="F477" s="295" t="str">
        <f t="shared" si="9"/>
        <v>بهروز خباز ترشیزی</v>
      </c>
      <c r="G477" s="304" t="s">
        <v>2123</v>
      </c>
      <c r="H477" s="316" t="s">
        <v>1855</v>
      </c>
      <c r="I477" s="302"/>
      <c r="J477" s="348">
        <v>12500360</v>
      </c>
      <c r="K477" s="338"/>
    </row>
    <row r="478" spans="2:11" ht="15.75" customHeight="1">
      <c r="B478" s="293">
        <v>446</v>
      </c>
      <c r="C478" s="303"/>
      <c r="D478" s="303"/>
      <c r="E478" s="302">
        <v>35</v>
      </c>
      <c r="F478" s="295" t="str">
        <f t="shared" si="9"/>
        <v>ثنا پور دوران</v>
      </c>
      <c r="G478" s="304" t="s">
        <v>1853</v>
      </c>
      <c r="H478" s="316" t="s">
        <v>1822</v>
      </c>
      <c r="I478" s="302"/>
      <c r="J478" s="348">
        <v>5002400</v>
      </c>
      <c r="K478" s="338"/>
    </row>
    <row r="479" spans="2:11" ht="15.75" customHeight="1">
      <c r="B479" s="293">
        <v>447</v>
      </c>
      <c r="C479" s="303"/>
      <c r="D479" s="303"/>
      <c r="E479" s="302" t="s">
        <v>145</v>
      </c>
      <c r="F479" s="295" t="str">
        <f t="shared" si="9"/>
        <v>هزینه کلی موسسه</v>
      </c>
      <c r="G479" s="304" t="s">
        <v>1785</v>
      </c>
      <c r="H479" s="316" t="s">
        <v>1822</v>
      </c>
      <c r="I479" s="302"/>
      <c r="J479" s="348">
        <v>40004000</v>
      </c>
      <c r="K479" s="338"/>
    </row>
    <row r="480" spans="2:11" ht="15.75" customHeight="1">
      <c r="B480" s="293">
        <v>448</v>
      </c>
      <c r="C480" s="303"/>
      <c r="D480" s="303"/>
      <c r="E480" s="302">
        <v>52</v>
      </c>
      <c r="F480" s="295" t="str">
        <f t="shared" si="9"/>
        <v>امیرحسین بنا زاده</v>
      </c>
      <c r="G480" s="304" t="s">
        <v>2122</v>
      </c>
      <c r="H480" s="316" t="s">
        <v>1826</v>
      </c>
      <c r="I480" s="302"/>
      <c r="J480" s="348">
        <v>12500360</v>
      </c>
      <c r="K480" s="338"/>
    </row>
    <row r="481" spans="2:11" ht="15.75" customHeight="1">
      <c r="B481" s="293">
        <v>449</v>
      </c>
      <c r="C481" s="303"/>
      <c r="D481" s="303"/>
      <c r="E481" s="302" t="s">
        <v>145</v>
      </c>
      <c r="F481" s="295" t="str">
        <f t="shared" si="9"/>
        <v>هزینه کلی موسسه</v>
      </c>
      <c r="G481" s="304" t="s">
        <v>1783</v>
      </c>
      <c r="H481" s="316" t="s">
        <v>1826</v>
      </c>
      <c r="I481" s="302"/>
      <c r="J481" s="348">
        <v>8002400</v>
      </c>
      <c r="K481" s="338"/>
    </row>
    <row r="482" spans="2:11" ht="36.75" customHeight="1">
      <c r="B482" s="293">
        <v>450</v>
      </c>
      <c r="C482" s="303"/>
      <c r="D482" s="303"/>
      <c r="E482" s="302"/>
      <c r="F482" s="295" t="str">
        <f t="shared" si="9"/>
        <v/>
      </c>
      <c r="G482" s="304" t="s">
        <v>2227</v>
      </c>
      <c r="H482" s="316" t="s">
        <v>1857</v>
      </c>
      <c r="I482" s="302"/>
      <c r="J482" s="348"/>
      <c r="K482" s="338"/>
    </row>
    <row r="483" spans="2:11" ht="15.75" customHeight="1">
      <c r="B483" s="293"/>
      <c r="C483" s="303"/>
      <c r="D483" s="303"/>
      <c r="E483" s="302">
        <v>40</v>
      </c>
      <c r="F483" s="295" t="str">
        <f t="shared" si="9"/>
        <v>سیده شقایق محمودی زاده</v>
      </c>
      <c r="G483" s="304" t="s">
        <v>2225</v>
      </c>
      <c r="H483" s="316" t="s">
        <v>1857</v>
      </c>
      <c r="I483" s="302"/>
      <c r="J483" s="348">
        <v>12500000</v>
      </c>
      <c r="K483" s="338"/>
    </row>
    <row r="484" spans="2:11" ht="15.75" customHeight="1">
      <c r="B484" s="293"/>
      <c r="C484" s="303"/>
      <c r="D484" s="303"/>
      <c r="E484" s="302">
        <v>51</v>
      </c>
      <c r="F484" s="295" t="str">
        <f t="shared" si="9"/>
        <v>محمدسجاد طوسی گروهی</v>
      </c>
      <c r="G484" s="304" t="s">
        <v>2226</v>
      </c>
      <c r="H484" s="316" t="s">
        <v>1857</v>
      </c>
      <c r="I484" s="302"/>
      <c r="J484" s="348">
        <v>10000000</v>
      </c>
      <c r="K484" s="338"/>
    </row>
    <row r="485" spans="2:11" ht="15.75" customHeight="1">
      <c r="B485" s="293">
        <v>451</v>
      </c>
      <c r="C485" s="303"/>
      <c r="D485" s="303"/>
      <c r="E485" s="302" t="s">
        <v>145</v>
      </c>
      <c r="F485" s="295" t="str">
        <f t="shared" si="9"/>
        <v>هزینه کلی موسسه</v>
      </c>
      <c r="G485" s="304" t="s">
        <v>1858</v>
      </c>
      <c r="H485" s="316" t="s">
        <v>1859</v>
      </c>
      <c r="I485" s="302"/>
      <c r="J485" s="348">
        <v>2002400</v>
      </c>
      <c r="K485" s="338"/>
    </row>
    <row r="486" spans="2:11" ht="15.75" customHeight="1">
      <c r="B486" s="293">
        <v>452</v>
      </c>
      <c r="C486" s="303"/>
      <c r="D486" s="303"/>
      <c r="E486" s="302">
        <v>12</v>
      </c>
      <c r="F486" s="462" t="str">
        <f t="shared" si="9"/>
        <v>الهام صمدی</v>
      </c>
      <c r="G486" s="304" t="s">
        <v>1860</v>
      </c>
      <c r="H486" s="463" t="s">
        <v>1861</v>
      </c>
      <c r="I486" s="302"/>
      <c r="J486" s="464">
        <v>5002400</v>
      </c>
      <c r="K486" s="338"/>
    </row>
    <row r="487" spans="2:11" ht="15.75" customHeight="1">
      <c r="B487" s="293">
        <v>453</v>
      </c>
      <c r="C487" s="303"/>
      <c r="D487" s="303"/>
      <c r="E487" s="302" t="s">
        <v>145</v>
      </c>
      <c r="F487" s="295" t="str">
        <f t="shared" si="9"/>
        <v>هزینه کلی موسسه</v>
      </c>
      <c r="G487" s="304" t="s">
        <v>1862</v>
      </c>
      <c r="H487" s="316" t="s">
        <v>1861</v>
      </c>
      <c r="I487" s="302"/>
      <c r="J487" s="348">
        <v>1002400</v>
      </c>
      <c r="K487" s="338"/>
    </row>
    <row r="488" spans="2:11" ht="15.75" customHeight="1">
      <c r="B488" s="293">
        <v>454</v>
      </c>
      <c r="C488" s="303"/>
      <c r="D488" s="303"/>
      <c r="E488" s="302" t="s">
        <v>145</v>
      </c>
      <c r="F488" s="295" t="str">
        <f t="shared" si="9"/>
        <v>هزینه کلی موسسه</v>
      </c>
      <c r="G488" s="304" t="s">
        <v>1863</v>
      </c>
      <c r="H488" s="316" t="s">
        <v>1861</v>
      </c>
      <c r="I488" s="302"/>
      <c r="J488" s="348">
        <v>1232400</v>
      </c>
      <c r="K488" s="338"/>
    </row>
    <row r="489" spans="2:11" ht="15.75" customHeight="1">
      <c r="B489" s="293">
        <v>455</v>
      </c>
      <c r="C489" s="303"/>
      <c r="D489" s="303"/>
      <c r="E489" s="302">
        <v>49</v>
      </c>
      <c r="F489" s="295" t="str">
        <f t="shared" si="9"/>
        <v>متین شاملی</v>
      </c>
      <c r="G489" s="304" t="s">
        <v>2121</v>
      </c>
      <c r="H489" s="316" t="s">
        <v>1861</v>
      </c>
      <c r="I489" s="302"/>
      <c r="J489" s="348">
        <v>12500360</v>
      </c>
      <c r="K489" s="338"/>
    </row>
    <row r="490" spans="2:11" ht="15.75" customHeight="1">
      <c r="B490" s="293">
        <v>456</v>
      </c>
      <c r="C490" s="303"/>
      <c r="D490" s="303"/>
      <c r="E490" s="302">
        <v>50</v>
      </c>
      <c r="F490" s="295" t="str">
        <f t="shared" si="9"/>
        <v>امیر پارسا قویدل</v>
      </c>
      <c r="G490" s="304" t="s">
        <v>2120</v>
      </c>
      <c r="H490" s="316" t="s">
        <v>1861</v>
      </c>
      <c r="I490" s="302"/>
      <c r="J490" s="348">
        <v>10000360</v>
      </c>
      <c r="K490" s="338"/>
    </row>
    <row r="491" spans="2:11" ht="15.75" customHeight="1">
      <c r="B491" s="293">
        <v>457</v>
      </c>
      <c r="C491" s="303"/>
      <c r="D491" s="303"/>
      <c r="E491" s="302">
        <v>53</v>
      </c>
      <c r="F491" s="295" t="str">
        <f t="shared" si="9"/>
        <v>محمد امین تاتاری</v>
      </c>
      <c r="G491" s="304" t="s">
        <v>2119</v>
      </c>
      <c r="H491" s="316" t="s">
        <v>1861</v>
      </c>
      <c r="I491" s="302"/>
      <c r="J491" s="348">
        <v>10000360</v>
      </c>
      <c r="K491" s="338"/>
    </row>
    <row r="492" spans="2:11" ht="15.75" customHeight="1">
      <c r="B492" s="293">
        <v>458</v>
      </c>
      <c r="C492" s="303"/>
      <c r="D492" s="303"/>
      <c r="E492" s="302">
        <v>47</v>
      </c>
      <c r="F492" s="295" t="str">
        <f t="shared" si="9"/>
        <v>امیرحسین محمدزاده</v>
      </c>
      <c r="G492" s="304" t="s">
        <v>2118</v>
      </c>
      <c r="H492" s="316" t="s">
        <v>1861</v>
      </c>
      <c r="I492" s="302"/>
      <c r="J492" s="348">
        <v>15000360</v>
      </c>
      <c r="K492" s="338"/>
    </row>
    <row r="493" spans="2:11" ht="15.75" customHeight="1">
      <c r="B493" s="293">
        <v>459</v>
      </c>
      <c r="C493" s="303"/>
      <c r="D493" s="303"/>
      <c r="E493" s="302">
        <v>41</v>
      </c>
      <c r="F493" s="295" t="str">
        <f t="shared" si="9"/>
        <v>مائده وفای فرخانی</v>
      </c>
      <c r="G493" s="304" t="s">
        <v>2117</v>
      </c>
      <c r="H493" s="316" t="s">
        <v>1861</v>
      </c>
      <c r="I493" s="302"/>
      <c r="J493" s="348">
        <v>15000360</v>
      </c>
      <c r="K493" s="338"/>
    </row>
    <row r="494" spans="2:11" ht="15.75" customHeight="1">
      <c r="B494" s="293">
        <v>460</v>
      </c>
      <c r="C494" s="303"/>
      <c r="D494" s="303"/>
      <c r="E494" s="302">
        <v>46</v>
      </c>
      <c r="F494" s="295" t="str">
        <f t="shared" si="9"/>
        <v>صادق نجمی</v>
      </c>
      <c r="G494" s="304" t="s">
        <v>2116</v>
      </c>
      <c r="H494" s="316" t="s">
        <v>1861</v>
      </c>
      <c r="I494" s="302"/>
      <c r="J494" s="348">
        <v>10000360</v>
      </c>
      <c r="K494" s="338"/>
    </row>
    <row r="495" spans="2:11" ht="15.75" customHeight="1">
      <c r="B495" s="293">
        <v>461</v>
      </c>
      <c r="C495" s="303"/>
      <c r="D495" s="303"/>
      <c r="E495" s="302">
        <v>36</v>
      </c>
      <c r="F495" s="295" t="str">
        <f t="shared" si="9"/>
        <v>هدیه محمد پور جاغرق</v>
      </c>
      <c r="G495" s="304" t="s">
        <v>2115</v>
      </c>
      <c r="H495" s="316" t="s">
        <v>1861</v>
      </c>
      <c r="I495" s="302"/>
      <c r="J495" s="348">
        <v>10000360</v>
      </c>
      <c r="K495" s="338"/>
    </row>
    <row r="496" spans="2:11" ht="15.75" customHeight="1">
      <c r="B496" s="293">
        <v>462</v>
      </c>
      <c r="C496" s="303"/>
      <c r="D496" s="303"/>
      <c r="E496" s="302">
        <v>54</v>
      </c>
      <c r="F496" s="295" t="str">
        <f t="shared" si="9"/>
        <v>فاطمه سادات سلطانی</v>
      </c>
      <c r="G496" s="304" t="s">
        <v>2114</v>
      </c>
      <c r="H496" s="316" t="s">
        <v>1861</v>
      </c>
      <c r="I496" s="302"/>
      <c r="J496" s="348">
        <v>12500360</v>
      </c>
      <c r="K496" s="338"/>
    </row>
    <row r="497" spans="2:11" ht="15.75" customHeight="1">
      <c r="B497" s="293">
        <v>463</v>
      </c>
      <c r="C497" s="303"/>
      <c r="D497" s="303"/>
      <c r="E497" s="302">
        <v>55</v>
      </c>
      <c r="F497" s="295" t="str">
        <f t="shared" si="9"/>
        <v>سحر خادم حقیقی</v>
      </c>
      <c r="G497" s="304" t="s">
        <v>2113</v>
      </c>
      <c r="H497" s="316" t="s">
        <v>1861</v>
      </c>
      <c r="I497" s="302"/>
      <c r="J497" s="348">
        <v>15000360</v>
      </c>
      <c r="K497" s="338"/>
    </row>
    <row r="498" spans="2:11" ht="15.75" customHeight="1">
      <c r="B498" s="293">
        <v>464</v>
      </c>
      <c r="C498" s="303"/>
      <c r="D498" s="303"/>
      <c r="E498" s="302">
        <v>48</v>
      </c>
      <c r="F498" s="295" t="str">
        <f t="shared" si="9"/>
        <v>امیرحسین مودب</v>
      </c>
      <c r="G498" s="304" t="s">
        <v>2112</v>
      </c>
      <c r="H498" s="316" t="s">
        <v>1861</v>
      </c>
      <c r="I498" s="302"/>
      <c r="J498" s="348">
        <v>12500360</v>
      </c>
      <c r="K498" s="338"/>
    </row>
    <row r="499" spans="2:11" ht="15.75" customHeight="1">
      <c r="B499" s="293">
        <v>465</v>
      </c>
      <c r="C499" s="303"/>
      <c r="D499" s="303"/>
      <c r="E499" s="302">
        <v>45</v>
      </c>
      <c r="F499" s="295" t="str">
        <f t="shared" si="9"/>
        <v>احمد خاوری عدل</v>
      </c>
      <c r="G499" s="304" t="s">
        <v>2111</v>
      </c>
      <c r="H499" s="316" t="s">
        <v>1861</v>
      </c>
      <c r="I499" s="302"/>
      <c r="J499" s="348">
        <v>10000360</v>
      </c>
      <c r="K499" s="338"/>
    </row>
    <row r="500" spans="2:11" ht="15.75" customHeight="1">
      <c r="B500" s="293">
        <v>466</v>
      </c>
      <c r="C500" s="303"/>
      <c r="D500" s="303"/>
      <c r="E500" s="302">
        <v>43</v>
      </c>
      <c r="F500" s="295" t="str">
        <f t="shared" si="9"/>
        <v>فرخنده خوشگفتار</v>
      </c>
      <c r="G500" s="304" t="s">
        <v>2110</v>
      </c>
      <c r="H500" s="316" t="s">
        <v>1861</v>
      </c>
      <c r="I500" s="302"/>
      <c r="J500" s="348">
        <v>10000360</v>
      </c>
      <c r="K500" s="338"/>
    </row>
    <row r="501" spans="2:11" ht="15.75" customHeight="1">
      <c r="B501" s="293">
        <v>467</v>
      </c>
      <c r="C501" s="303"/>
      <c r="D501" s="303"/>
      <c r="E501" s="302">
        <v>42</v>
      </c>
      <c r="F501" s="295" t="str">
        <f t="shared" si="9"/>
        <v>فرزانه خوشگفتار</v>
      </c>
      <c r="G501" s="304" t="s">
        <v>2109</v>
      </c>
      <c r="H501" s="316" t="s">
        <v>1861</v>
      </c>
      <c r="I501" s="302"/>
      <c r="J501" s="348">
        <v>10000360</v>
      </c>
      <c r="K501" s="338"/>
    </row>
    <row r="502" spans="2:11" ht="15.75" customHeight="1">
      <c r="B502" s="293">
        <v>468</v>
      </c>
      <c r="C502" s="303"/>
      <c r="D502" s="303"/>
      <c r="E502" s="302">
        <v>37</v>
      </c>
      <c r="F502" s="295" t="str">
        <f t="shared" si="9"/>
        <v>کوثر صفری</v>
      </c>
      <c r="G502" s="304" t="s">
        <v>2108</v>
      </c>
      <c r="H502" s="316" t="s">
        <v>1861</v>
      </c>
      <c r="I502" s="302"/>
      <c r="J502" s="348">
        <v>12500360</v>
      </c>
      <c r="K502" s="338"/>
    </row>
    <row r="503" spans="2:11" ht="15.75" customHeight="1">
      <c r="B503" s="293">
        <v>469</v>
      </c>
      <c r="C503" s="303"/>
      <c r="D503" s="303"/>
      <c r="E503" s="302">
        <v>44</v>
      </c>
      <c r="F503" s="295" t="str">
        <f t="shared" si="9"/>
        <v>ریحانه منفردی</v>
      </c>
      <c r="G503" s="304" t="s">
        <v>2107</v>
      </c>
      <c r="H503" s="316" t="s">
        <v>1861</v>
      </c>
      <c r="I503" s="302"/>
      <c r="J503" s="348">
        <v>12500360</v>
      </c>
      <c r="K503" s="338"/>
    </row>
    <row r="504" spans="2:11" ht="15.75" customHeight="1">
      <c r="B504" s="293">
        <v>470</v>
      </c>
      <c r="C504" s="303"/>
      <c r="D504" s="303"/>
      <c r="E504" s="302">
        <v>57</v>
      </c>
      <c r="F504" s="295" t="str">
        <f t="shared" si="9"/>
        <v>ثمین اکبری شاندیز</v>
      </c>
      <c r="G504" s="304" t="s">
        <v>2106</v>
      </c>
      <c r="H504" s="316" t="s">
        <v>1861</v>
      </c>
      <c r="I504" s="302"/>
      <c r="J504" s="348">
        <v>12500360</v>
      </c>
      <c r="K504" s="338"/>
    </row>
    <row r="505" spans="2:11" ht="15.75" customHeight="1">
      <c r="B505" s="293">
        <v>471</v>
      </c>
      <c r="C505" s="303"/>
      <c r="D505" s="303"/>
      <c r="E505" s="302">
        <v>56</v>
      </c>
      <c r="F505" s="295" t="str">
        <f t="shared" si="9"/>
        <v>سارینا داوری</v>
      </c>
      <c r="G505" s="304" t="s">
        <v>2105</v>
      </c>
      <c r="H505" s="316" t="s">
        <v>1861</v>
      </c>
      <c r="I505" s="302"/>
      <c r="J505" s="348">
        <v>12500360</v>
      </c>
      <c r="K505" s="338"/>
    </row>
    <row r="506" spans="2:11" ht="15.75" customHeight="1">
      <c r="B506" s="293">
        <v>472</v>
      </c>
      <c r="C506" s="303"/>
      <c r="D506" s="303"/>
      <c r="E506" s="302">
        <v>38</v>
      </c>
      <c r="F506" s="295" t="str">
        <f t="shared" si="9"/>
        <v>حانیه دشتبانی</v>
      </c>
      <c r="G506" s="304" t="s">
        <v>2104</v>
      </c>
      <c r="H506" s="316" t="s">
        <v>1861</v>
      </c>
      <c r="I506" s="302"/>
      <c r="J506" s="348">
        <v>12500360</v>
      </c>
      <c r="K506" s="338"/>
    </row>
    <row r="507" spans="2:11" ht="15.75" customHeight="1">
      <c r="B507" s="293">
        <v>473</v>
      </c>
      <c r="C507" s="303"/>
      <c r="D507" s="303"/>
      <c r="E507" s="302">
        <v>39</v>
      </c>
      <c r="F507" s="295" t="str">
        <f t="shared" si="9"/>
        <v>فاطمه حیدرزاده</v>
      </c>
      <c r="G507" s="304" t="s">
        <v>2103</v>
      </c>
      <c r="H507" s="316" t="s">
        <v>1861</v>
      </c>
      <c r="I507" s="302"/>
      <c r="J507" s="348">
        <v>12500360</v>
      </c>
      <c r="K507" s="338"/>
    </row>
    <row r="508" spans="2:11" ht="15.75" customHeight="1">
      <c r="B508" s="293">
        <v>474</v>
      </c>
      <c r="C508" s="303"/>
      <c r="D508" s="303"/>
      <c r="E508" s="302">
        <v>58</v>
      </c>
      <c r="F508" s="295" t="str">
        <f t="shared" si="9"/>
        <v>بهروز خباز ترشیزی</v>
      </c>
      <c r="G508" s="304" t="s">
        <v>2102</v>
      </c>
      <c r="H508" s="316" t="s">
        <v>1861</v>
      </c>
      <c r="I508" s="302"/>
      <c r="J508" s="348">
        <v>12500360</v>
      </c>
      <c r="K508" s="338"/>
    </row>
    <row r="509" spans="2:11" ht="15.75" customHeight="1">
      <c r="B509" s="293">
        <v>475</v>
      </c>
      <c r="C509" s="303"/>
      <c r="D509" s="303"/>
      <c r="E509" s="302">
        <v>52</v>
      </c>
      <c r="F509" s="295" t="str">
        <f t="shared" si="9"/>
        <v>امیرحسین بنا زاده</v>
      </c>
      <c r="G509" s="304" t="s">
        <v>2101</v>
      </c>
      <c r="H509" s="316" t="s">
        <v>1861</v>
      </c>
      <c r="I509" s="302"/>
      <c r="J509" s="348">
        <v>12500360</v>
      </c>
      <c r="K509" s="338"/>
    </row>
    <row r="510" spans="2:11" ht="15.75" customHeight="1">
      <c r="B510" s="293">
        <v>476</v>
      </c>
      <c r="C510" s="303"/>
      <c r="D510" s="303"/>
      <c r="E510" s="302" t="s">
        <v>145</v>
      </c>
      <c r="F510" s="295" t="str">
        <f t="shared" si="9"/>
        <v>هزینه کلی موسسه</v>
      </c>
      <c r="G510" s="304" t="s">
        <v>1783</v>
      </c>
      <c r="H510" s="316" t="s">
        <v>1878</v>
      </c>
      <c r="I510" s="302"/>
      <c r="J510" s="348">
        <v>8002400</v>
      </c>
      <c r="K510" s="338"/>
    </row>
    <row r="511" spans="2:11" ht="15.75" customHeight="1">
      <c r="B511" s="293">
        <v>477</v>
      </c>
      <c r="C511" s="303"/>
      <c r="D511" s="303"/>
      <c r="E511" s="302">
        <v>35</v>
      </c>
      <c r="F511" s="295" t="str">
        <f t="shared" si="9"/>
        <v>ثنا پور دوران</v>
      </c>
      <c r="G511" s="304" t="s">
        <v>2100</v>
      </c>
      <c r="H511" s="316" t="s">
        <v>1878</v>
      </c>
      <c r="I511" s="302"/>
      <c r="J511" s="348">
        <v>5002400</v>
      </c>
      <c r="K511" s="338"/>
    </row>
    <row r="512" spans="2:11" ht="15.75" customHeight="1">
      <c r="B512" s="293">
        <v>478</v>
      </c>
      <c r="C512" s="303"/>
      <c r="D512" s="303"/>
      <c r="E512" s="302" t="s">
        <v>145</v>
      </c>
      <c r="F512" s="295" t="str">
        <f t="shared" si="9"/>
        <v>هزینه کلی موسسه</v>
      </c>
      <c r="G512" s="304" t="s">
        <v>1785</v>
      </c>
      <c r="H512" s="316" t="s">
        <v>1878</v>
      </c>
      <c r="I512" s="302"/>
      <c r="J512" s="348">
        <v>40004000</v>
      </c>
      <c r="K512" s="338"/>
    </row>
    <row r="513" spans="2:11" ht="33" customHeight="1">
      <c r="B513" s="293"/>
      <c r="C513" s="303"/>
      <c r="D513" s="303"/>
      <c r="E513" s="302"/>
      <c r="F513" s="295"/>
      <c r="G513" s="304" t="s">
        <v>2206</v>
      </c>
      <c r="H513" s="316"/>
      <c r="I513" s="302"/>
      <c r="J513" s="348"/>
      <c r="K513" s="338"/>
    </row>
    <row r="514" spans="2:11" ht="15.75" customHeight="1">
      <c r="B514" s="293">
        <v>479</v>
      </c>
      <c r="C514" s="303"/>
      <c r="D514" s="303"/>
      <c r="E514" s="302">
        <v>40</v>
      </c>
      <c r="F514" s="295" t="str">
        <f t="shared" ref="F514:F578" si="10">IF(E514="","",HLOOKUP(E514,eeee,2,0))</f>
        <v>سیده شقایق محمودی زاده</v>
      </c>
      <c r="G514" s="304" t="s">
        <v>2099</v>
      </c>
      <c r="H514" s="316" t="s">
        <v>1891</v>
      </c>
      <c r="I514" s="302"/>
      <c r="J514" s="348">
        <v>12500000</v>
      </c>
      <c r="K514" s="338"/>
    </row>
    <row r="515" spans="2:11" ht="15.75" customHeight="1">
      <c r="B515" s="293">
        <v>480</v>
      </c>
      <c r="C515" s="303"/>
      <c r="D515" s="303"/>
      <c r="E515" s="302">
        <v>51</v>
      </c>
      <c r="F515" s="295" t="str">
        <f t="shared" si="10"/>
        <v>محمدسجاد طوسی گروهی</v>
      </c>
      <c r="G515" s="304" t="s">
        <v>2098</v>
      </c>
      <c r="H515" s="316" t="s">
        <v>1891</v>
      </c>
      <c r="I515" s="302"/>
      <c r="J515" s="348">
        <v>10000000</v>
      </c>
      <c r="K515" s="338"/>
    </row>
    <row r="516" spans="2:11" ht="15.75" customHeight="1">
      <c r="B516" s="293">
        <v>482</v>
      </c>
      <c r="C516" s="303"/>
      <c r="D516" s="303"/>
      <c r="E516" s="302">
        <v>12</v>
      </c>
      <c r="F516" s="462" t="str">
        <f t="shared" si="10"/>
        <v>الهام صمدی</v>
      </c>
      <c r="G516" s="304" t="s">
        <v>1860</v>
      </c>
      <c r="H516" s="463" t="s">
        <v>1895</v>
      </c>
      <c r="I516" s="302"/>
      <c r="J516" s="464">
        <v>5002400</v>
      </c>
      <c r="K516" s="338"/>
    </row>
    <row r="517" spans="2:11" ht="15.75" customHeight="1">
      <c r="B517" s="293">
        <v>483</v>
      </c>
      <c r="C517" s="303"/>
      <c r="D517" s="303"/>
      <c r="E517" s="302">
        <v>59</v>
      </c>
      <c r="F517" s="295" t="str">
        <f t="shared" si="10"/>
        <v>زهرا مروی</v>
      </c>
      <c r="G517" s="304" t="s">
        <v>1896</v>
      </c>
      <c r="H517" s="316" t="s">
        <v>1895</v>
      </c>
      <c r="I517" s="302"/>
      <c r="J517" s="348">
        <v>18769400</v>
      </c>
      <c r="K517" s="338"/>
    </row>
    <row r="518" spans="2:11" ht="15.75" customHeight="1">
      <c r="B518" s="293">
        <v>484</v>
      </c>
      <c r="C518" s="303"/>
      <c r="D518" s="303"/>
      <c r="E518" s="302">
        <v>49</v>
      </c>
      <c r="F518" s="295" t="str">
        <f t="shared" si="10"/>
        <v>متین شاملی</v>
      </c>
      <c r="G518" s="304" t="s">
        <v>2097</v>
      </c>
      <c r="H518" s="316" t="s">
        <v>1898</v>
      </c>
      <c r="I518" s="302"/>
      <c r="J518" s="348">
        <v>12500360</v>
      </c>
      <c r="K518" s="338"/>
    </row>
    <row r="519" spans="2:11" ht="15.75" customHeight="1">
      <c r="B519" s="293">
        <v>485</v>
      </c>
      <c r="C519" s="303"/>
      <c r="D519" s="303"/>
      <c r="E519" s="302">
        <v>50</v>
      </c>
      <c r="F519" s="295" t="str">
        <f t="shared" si="10"/>
        <v>امیر پارسا قویدل</v>
      </c>
      <c r="G519" s="304" t="s">
        <v>2096</v>
      </c>
      <c r="H519" s="316" t="s">
        <v>1898</v>
      </c>
      <c r="I519" s="302"/>
      <c r="J519" s="348">
        <v>10000360</v>
      </c>
      <c r="K519" s="338"/>
    </row>
    <row r="520" spans="2:11" ht="15.75" customHeight="1">
      <c r="B520" s="293">
        <v>486</v>
      </c>
      <c r="C520" s="303"/>
      <c r="D520" s="303"/>
      <c r="E520" s="302">
        <v>53</v>
      </c>
      <c r="F520" s="295" t="str">
        <f t="shared" si="10"/>
        <v>محمد امین تاتاری</v>
      </c>
      <c r="G520" s="304" t="s">
        <v>2095</v>
      </c>
      <c r="H520" s="316" t="s">
        <v>1898</v>
      </c>
      <c r="I520" s="302"/>
      <c r="J520" s="348">
        <v>10000360</v>
      </c>
      <c r="K520" s="338"/>
    </row>
    <row r="521" spans="2:11" ht="15.75" customHeight="1">
      <c r="B521" s="293">
        <v>487</v>
      </c>
      <c r="C521" s="303"/>
      <c r="D521" s="303"/>
      <c r="E521" s="302">
        <v>47</v>
      </c>
      <c r="F521" s="295" t="str">
        <f t="shared" si="10"/>
        <v>امیرحسین محمدزاده</v>
      </c>
      <c r="G521" s="304" t="s">
        <v>2094</v>
      </c>
      <c r="H521" s="316" t="s">
        <v>1898</v>
      </c>
      <c r="I521" s="302"/>
      <c r="J521" s="348">
        <v>15000360</v>
      </c>
      <c r="K521" s="338"/>
    </row>
    <row r="522" spans="2:11" ht="15.75" customHeight="1">
      <c r="B522" s="293">
        <v>488</v>
      </c>
      <c r="C522" s="303"/>
      <c r="D522" s="303"/>
      <c r="E522" s="302">
        <v>41</v>
      </c>
      <c r="F522" s="295" t="str">
        <f t="shared" si="10"/>
        <v>مائده وفای فرخانی</v>
      </c>
      <c r="G522" s="304" t="s">
        <v>2093</v>
      </c>
      <c r="H522" s="316" t="s">
        <v>1898</v>
      </c>
      <c r="I522" s="302"/>
      <c r="J522" s="348">
        <v>15000360</v>
      </c>
      <c r="K522" s="338"/>
    </row>
    <row r="523" spans="2:11" ht="15.75" customHeight="1">
      <c r="B523" s="293">
        <v>489</v>
      </c>
      <c r="C523" s="303"/>
      <c r="D523" s="303"/>
      <c r="E523" s="302">
        <v>46</v>
      </c>
      <c r="F523" s="295" t="str">
        <f t="shared" si="10"/>
        <v>صادق نجمی</v>
      </c>
      <c r="G523" s="304" t="s">
        <v>2092</v>
      </c>
      <c r="H523" s="316" t="s">
        <v>1898</v>
      </c>
      <c r="I523" s="302"/>
      <c r="J523" s="348">
        <v>10000360</v>
      </c>
      <c r="K523" s="338"/>
    </row>
    <row r="524" spans="2:11" ht="15.75" customHeight="1">
      <c r="B524" s="293">
        <v>490</v>
      </c>
      <c r="C524" s="303"/>
      <c r="D524" s="303"/>
      <c r="E524" s="302">
        <v>36</v>
      </c>
      <c r="F524" s="295" t="str">
        <f t="shared" si="10"/>
        <v>هدیه محمد پور جاغرق</v>
      </c>
      <c r="G524" s="304" t="s">
        <v>2091</v>
      </c>
      <c r="H524" s="316" t="s">
        <v>1898</v>
      </c>
      <c r="I524" s="302"/>
      <c r="J524" s="348">
        <v>10000360</v>
      </c>
      <c r="K524" s="338"/>
    </row>
    <row r="525" spans="2:11" ht="15.75" customHeight="1">
      <c r="B525" s="293">
        <v>491</v>
      </c>
      <c r="C525" s="303"/>
      <c r="D525" s="303"/>
      <c r="E525" s="302">
        <v>54</v>
      </c>
      <c r="F525" s="295" t="str">
        <f t="shared" si="10"/>
        <v>فاطمه سادات سلطانی</v>
      </c>
      <c r="G525" s="304" t="s">
        <v>2090</v>
      </c>
      <c r="H525" s="316" t="s">
        <v>1898</v>
      </c>
      <c r="I525" s="302"/>
      <c r="J525" s="348">
        <v>12500360</v>
      </c>
      <c r="K525" s="338"/>
    </row>
    <row r="526" spans="2:11" ht="15.75" customHeight="1">
      <c r="B526" s="293">
        <v>492</v>
      </c>
      <c r="C526" s="303"/>
      <c r="D526" s="303"/>
      <c r="E526" s="302">
        <v>55</v>
      </c>
      <c r="F526" s="295" t="str">
        <f t="shared" si="10"/>
        <v>سحر خادم حقیقی</v>
      </c>
      <c r="G526" s="304" t="s">
        <v>2089</v>
      </c>
      <c r="H526" s="316" t="s">
        <v>1898</v>
      </c>
      <c r="I526" s="302"/>
      <c r="J526" s="348">
        <v>15000360</v>
      </c>
      <c r="K526" s="338"/>
    </row>
    <row r="527" spans="2:11" ht="15.75" customHeight="1">
      <c r="B527" s="293">
        <v>493</v>
      </c>
      <c r="C527" s="303"/>
      <c r="D527" s="303"/>
      <c r="E527" s="302">
        <v>48</v>
      </c>
      <c r="F527" s="295" t="str">
        <f t="shared" si="10"/>
        <v>امیرحسین مودب</v>
      </c>
      <c r="G527" s="304" t="s">
        <v>2088</v>
      </c>
      <c r="H527" s="316" t="s">
        <v>1898</v>
      </c>
      <c r="I527" s="302"/>
      <c r="J527" s="348">
        <v>12500360</v>
      </c>
      <c r="K527" s="338"/>
    </row>
    <row r="528" spans="2:11" ht="15.75" customHeight="1">
      <c r="B528" s="293">
        <v>494</v>
      </c>
      <c r="C528" s="303"/>
      <c r="D528" s="303"/>
      <c r="E528" s="302">
        <v>45</v>
      </c>
      <c r="F528" s="295" t="str">
        <f t="shared" si="10"/>
        <v>احمد خاوری عدل</v>
      </c>
      <c r="G528" s="304" t="s">
        <v>2087</v>
      </c>
      <c r="H528" s="316" t="s">
        <v>1898</v>
      </c>
      <c r="I528" s="302"/>
      <c r="J528" s="348">
        <v>10000360</v>
      </c>
      <c r="K528" s="338"/>
    </row>
    <row r="529" spans="2:11" ht="15.75" customHeight="1">
      <c r="B529" s="293">
        <v>495</v>
      </c>
      <c r="C529" s="303"/>
      <c r="D529" s="303"/>
      <c r="E529" s="302">
        <v>43</v>
      </c>
      <c r="F529" s="295" t="str">
        <f t="shared" si="10"/>
        <v>فرخنده خوشگفتار</v>
      </c>
      <c r="G529" s="304" t="s">
        <v>2086</v>
      </c>
      <c r="H529" s="316" t="s">
        <v>1898</v>
      </c>
      <c r="I529" s="302"/>
      <c r="J529" s="348">
        <v>10000360</v>
      </c>
      <c r="K529" s="338"/>
    </row>
    <row r="530" spans="2:11" ht="15.75" customHeight="1">
      <c r="B530" s="293">
        <v>496</v>
      </c>
      <c r="C530" s="303"/>
      <c r="D530" s="303"/>
      <c r="E530" s="302">
        <v>42</v>
      </c>
      <c r="F530" s="295" t="str">
        <f t="shared" si="10"/>
        <v>فرزانه خوشگفتار</v>
      </c>
      <c r="G530" s="304" t="s">
        <v>2085</v>
      </c>
      <c r="H530" s="316" t="s">
        <v>1898</v>
      </c>
      <c r="I530" s="302"/>
      <c r="J530" s="348">
        <v>10000360</v>
      </c>
      <c r="K530" s="338"/>
    </row>
    <row r="531" spans="2:11" ht="15.75" customHeight="1">
      <c r="B531" s="293">
        <v>497</v>
      </c>
      <c r="C531" s="303"/>
      <c r="D531" s="303"/>
      <c r="E531" s="302">
        <v>37</v>
      </c>
      <c r="F531" s="295" t="str">
        <f t="shared" si="10"/>
        <v>کوثر صفری</v>
      </c>
      <c r="G531" s="304" t="s">
        <v>2084</v>
      </c>
      <c r="H531" s="316" t="s">
        <v>1898</v>
      </c>
      <c r="I531" s="302"/>
      <c r="J531" s="348">
        <v>12500360</v>
      </c>
      <c r="K531" s="338"/>
    </row>
    <row r="532" spans="2:11" ht="15.75" customHeight="1">
      <c r="B532" s="293">
        <v>498</v>
      </c>
      <c r="C532" s="303"/>
      <c r="D532" s="303"/>
      <c r="E532" s="302">
        <v>44</v>
      </c>
      <c r="F532" s="295" t="str">
        <f t="shared" si="10"/>
        <v>ریحانه منفردی</v>
      </c>
      <c r="G532" s="304" t="s">
        <v>2083</v>
      </c>
      <c r="H532" s="316" t="s">
        <v>1898</v>
      </c>
      <c r="I532" s="302"/>
      <c r="J532" s="348">
        <v>12500360</v>
      </c>
      <c r="K532" s="338"/>
    </row>
    <row r="533" spans="2:11" ht="15.75" customHeight="1">
      <c r="B533" s="293">
        <v>499</v>
      </c>
      <c r="C533" s="303"/>
      <c r="D533" s="303"/>
      <c r="E533" s="302">
        <v>57</v>
      </c>
      <c r="F533" s="295" t="str">
        <f t="shared" si="10"/>
        <v>ثمین اکبری شاندیز</v>
      </c>
      <c r="G533" s="304" t="s">
        <v>2082</v>
      </c>
      <c r="H533" s="316" t="s">
        <v>1898</v>
      </c>
      <c r="I533" s="302"/>
      <c r="J533" s="348">
        <v>12500360</v>
      </c>
      <c r="K533" s="338"/>
    </row>
    <row r="534" spans="2:11" ht="15.75" customHeight="1">
      <c r="B534" s="293">
        <v>500</v>
      </c>
      <c r="C534" s="303"/>
      <c r="D534" s="303"/>
      <c r="E534" s="302">
        <v>52</v>
      </c>
      <c r="F534" s="295" t="str">
        <f t="shared" si="10"/>
        <v>امیرحسین بنا زاده</v>
      </c>
      <c r="G534" s="304" t="s">
        <v>2081</v>
      </c>
      <c r="H534" s="316" t="s">
        <v>1898</v>
      </c>
      <c r="I534" s="302"/>
      <c r="J534" s="348">
        <v>12500360</v>
      </c>
      <c r="K534" s="338"/>
    </row>
    <row r="535" spans="2:11" ht="15.75" customHeight="1">
      <c r="B535" s="293">
        <v>501</v>
      </c>
      <c r="C535" s="303"/>
      <c r="D535" s="303"/>
      <c r="E535" s="302">
        <v>58</v>
      </c>
      <c r="F535" s="295" t="str">
        <f t="shared" si="10"/>
        <v>بهروز خباز ترشیزی</v>
      </c>
      <c r="G535" s="304" t="s">
        <v>2080</v>
      </c>
      <c r="H535" s="316" t="s">
        <v>1898</v>
      </c>
      <c r="I535" s="302"/>
      <c r="J535" s="348">
        <v>12500360</v>
      </c>
      <c r="K535" s="338"/>
    </row>
    <row r="536" spans="2:11" ht="15.75" customHeight="1">
      <c r="B536" s="293">
        <v>502</v>
      </c>
      <c r="C536" s="303"/>
      <c r="D536" s="303"/>
      <c r="E536" s="302">
        <v>39</v>
      </c>
      <c r="F536" s="295" t="str">
        <f t="shared" si="10"/>
        <v>فاطمه حیدرزاده</v>
      </c>
      <c r="G536" s="304" t="s">
        <v>2079</v>
      </c>
      <c r="H536" s="316" t="s">
        <v>1898</v>
      </c>
      <c r="I536" s="302"/>
      <c r="J536" s="348">
        <v>12500360</v>
      </c>
      <c r="K536" s="338"/>
    </row>
    <row r="537" spans="2:11" ht="15.75" customHeight="1">
      <c r="B537" s="293">
        <v>503</v>
      </c>
      <c r="C537" s="303"/>
      <c r="D537" s="303"/>
      <c r="E537" s="302">
        <v>38</v>
      </c>
      <c r="F537" s="295" t="str">
        <f t="shared" si="10"/>
        <v>حانیه دشتبانی</v>
      </c>
      <c r="G537" s="304" t="s">
        <v>2078</v>
      </c>
      <c r="H537" s="316" t="s">
        <v>1898</v>
      </c>
      <c r="I537" s="302"/>
      <c r="J537" s="348">
        <v>12500360</v>
      </c>
      <c r="K537" s="338"/>
    </row>
    <row r="538" spans="2:11" ht="15.75" customHeight="1">
      <c r="B538" s="293">
        <v>504</v>
      </c>
      <c r="C538" s="303"/>
      <c r="D538" s="303"/>
      <c r="E538" s="302">
        <v>56</v>
      </c>
      <c r="F538" s="295" t="str">
        <f t="shared" si="10"/>
        <v>سارینا داوری</v>
      </c>
      <c r="G538" s="304" t="s">
        <v>2077</v>
      </c>
      <c r="H538" s="316" t="s">
        <v>1898</v>
      </c>
      <c r="I538" s="302"/>
      <c r="J538" s="348">
        <v>12500360</v>
      </c>
      <c r="K538" s="338"/>
    </row>
    <row r="539" spans="2:11" ht="15.75" customHeight="1">
      <c r="B539" s="293">
        <v>505</v>
      </c>
      <c r="C539" s="303"/>
      <c r="D539" s="303"/>
      <c r="E539" s="302" t="s">
        <v>145</v>
      </c>
      <c r="F539" s="295" t="str">
        <f t="shared" si="10"/>
        <v>هزینه کلی موسسه</v>
      </c>
      <c r="G539" s="304" t="s">
        <v>1846</v>
      </c>
      <c r="H539" s="316" t="s">
        <v>1898</v>
      </c>
      <c r="I539" s="302"/>
      <c r="J539" s="348">
        <v>2502400</v>
      </c>
      <c r="K539" s="338"/>
    </row>
    <row r="540" spans="2:11" ht="15.75" customHeight="1">
      <c r="B540" s="293">
        <v>506</v>
      </c>
      <c r="C540" s="303"/>
      <c r="D540" s="303"/>
      <c r="E540" s="302">
        <v>12</v>
      </c>
      <c r="F540" s="462" t="str">
        <f t="shared" si="10"/>
        <v>الهام صمدی</v>
      </c>
      <c r="G540" s="304" t="s">
        <v>1916</v>
      </c>
      <c r="H540" s="463" t="s">
        <v>1950</v>
      </c>
      <c r="I540" s="302"/>
      <c r="J540" s="464">
        <v>5002400</v>
      </c>
      <c r="K540" s="338"/>
    </row>
    <row r="541" spans="2:11" ht="15.75" customHeight="1">
      <c r="B541" s="293">
        <v>507</v>
      </c>
      <c r="C541" s="303"/>
      <c r="D541" s="303"/>
      <c r="E541" s="302" t="s">
        <v>145</v>
      </c>
      <c r="F541" s="295" t="str">
        <f t="shared" si="10"/>
        <v>هزینه کلی موسسه</v>
      </c>
      <c r="G541" s="304" t="s">
        <v>1785</v>
      </c>
      <c r="H541" s="316" t="s">
        <v>1950</v>
      </c>
      <c r="I541" s="302"/>
      <c r="J541" s="348">
        <v>40004000</v>
      </c>
      <c r="K541" s="338"/>
    </row>
    <row r="542" spans="2:11" ht="15.75" customHeight="1">
      <c r="B542" s="293">
        <v>508</v>
      </c>
      <c r="C542" s="303"/>
      <c r="D542" s="303"/>
      <c r="E542" s="302">
        <v>35</v>
      </c>
      <c r="F542" s="295" t="str">
        <f t="shared" si="10"/>
        <v>ثنا پور دوران</v>
      </c>
      <c r="G542" s="304" t="s">
        <v>1853</v>
      </c>
      <c r="H542" s="316" t="s">
        <v>1950</v>
      </c>
      <c r="I542" s="302"/>
      <c r="J542" s="348">
        <v>5002400</v>
      </c>
      <c r="K542" s="338"/>
    </row>
    <row r="543" spans="2:11" ht="15.75" customHeight="1">
      <c r="B543" s="293">
        <v>509</v>
      </c>
      <c r="C543" s="303"/>
      <c r="D543" s="303"/>
      <c r="E543" s="302" t="s">
        <v>145</v>
      </c>
      <c r="F543" s="295" t="str">
        <f t="shared" si="10"/>
        <v>هزینه کلی موسسه</v>
      </c>
      <c r="G543" s="304" t="s">
        <v>1783</v>
      </c>
      <c r="H543" s="316" t="s">
        <v>1950</v>
      </c>
      <c r="I543" s="302"/>
      <c r="J543" s="348">
        <v>10002400</v>
      </c>
      <c r="K543" s="338"/>
    </row>
    <row r="544" spans="2:11" ht="15.75" customHeight="1">
      <c r="B544" s="293">
        <v>510</v>
      </c>
      <c r="C544" s="303"/>
      <c r="D544" s="303"/>
      <c r="E544" s="302" t="s">
        <v>145</v>
      </c>
      <c r="F544" s="295" t="str">
        <f t="shared" si="10"/>
        <v>هزینه کلی موسسه</v>
      </c>
      <c r="G544" s="304" t="s">
        <v>1917</v>
      </c>
      <c r="H544" s="316" t="s">
        <v>1950</v>
      </c>
      <c r="I544" s="302"/>
      <c r="J544" s="348">
        <v>1602400</v>
      </c>
      <c r="K544" s="338"/>
    </row>
    <row r="545" spans="2:11" ht="15.75" customHeight="1">
      <c r="B545" s="293">
        <v>511</v>
      </c>
      <c r="C545" s="303"/>
      <c r="D545" s="303"/>
      <c r="E545" s="302">
        <v>49</v>
      </c>
      <c r="F545" s="295" t="str">
        <f t="shared" si="10"/>
        <v>متین شاملی</v>
      </c>
      <c r="G545" s="304" t="s">
        <v>2076</v>
      </c>
      <c r="H545" s="316" t="s">
        <v>1923</v>
      </c>
      <c r="I545" s="302"/>
      <c r="J545" s="348">
        <v>12500360</v>
      </c>
      <c r="K545" s="338"/>
    </row>
    <row r="546" spans="2:11" ht="15.75" customHeight="1">
      <c r="B546" s="293">
        <v>512</v>
      </c>
      <c r="C546" s="303"/>
      <c r="D546" s="303"/>
      <c r="E546" s="302">
        <v>50</v>
      </c>
      <c r="F546" s="295" t="str">
        <f t="shared" si="10"/>
        <v>امیر پارسا قویدل</v>
      </c>
      <c r="G546" s="304" t="s">
        <v>2075</v>
      </c>
      <c r="H546" s="316" t="s">
        <v>1923</v>
      </c>
      <c r="I546" s="302"/>
      <c r="J546" s="348">
        <v>10000360</v>
      </c>
      <c r="K546" s="338"/>
    </row>
    <row r="547" spans="2:11" ht="15.75" customHeight="1">
      <c r="B547" s="293">
        <v>513</v>
      </c>
      <c r="C547" s="303"/>
      <c r="D547" s="303"/>
      <c r="E547" s="302">
        <v>53</v>
      </c>
      <c r="F547" s="295" t="str">
        <f t="shared" si="10"/>
        <v>محمد امین تاتاری</v>
      </c>
      <c r="G547" s="304" t="s">
        <v>2074</v>
      </c>
      <c r="H547" s="316" t="s">
        <v>1923</v>
      </c>
      <c r="I547" s="302"/>
      <c r="J547" s="348">
        <v>10000360</v>
      </c>
      <c r="K547" s="338"/>
    </row>
    <row r="548" spans="2:11" ht="15.75" customHeight="1">
      <c r="B548" s="293">
        <v>514</v>
      </c>
      <c r="C548" s="303"/>
      <c r="D548" s="303"/>
      <c r="E548" s="302">
        <v>47</v>
      </c>
      <c r="F548" s="295" t="str">
        <f t="shared" si="10"/>
        <v>امیرحسین محمدزاده</v>
      </c>
      <c r="G548" s="304" t="s">
        <v>2073</v>
      </c>
      <c r="H548" s="316" t="s">
        <v>1923</v>
      </c>
      <c r="I548" s="302"/>
      <c r="J548" s="348">
        <v>15000360</v>
      </c>
      <c r="K548" s="338"/>
    </row>
    <row r="549" spans="2:11" ht="15.75" customHeight="1">
      <c r="B549" s="293">
        <v>515</v>
      </c>
      <c r="C549" s="303"/>
      <c r="D549" s="303"/>
      <c r="E549" s="302">
        <v>41</v>
      </c>
      <c r="F549" s="295" t="str">
        <f t="shared" si="10"/>
        <v>مائده وفای فرخانی</v>
      </c>
      <c r="G549" s="304" t="s">
        <v>2072</v>
      </c>
      <c r="H549" s="316" t="s">
        <v>1923</v>
      </c>
      <c r="I549" s="302"/>
      <c r="J549" s="348">
        <v>15000360</v>
      </c>
      <c r="K549" s="338"/>
    </row>
    <row r="550" spans="2:11" ht="15.75" customHeight="1">
      <c r="B550" s="293">
        <v>516</v>
      </c>
      <c r="C550" s="303"/>
      <c r="D550" s="303"/>
      <c r="E550" s="302">
        <v>46</v>
      </c>
      <c r="F550" s="295" t="str">
        <f t="shared" si="10"/>
        <v>صادق نجمی</v>
      </c>
      <c r="G550" s="304" t="s">
        <v>2071</v>
      </c>
      <c r="H550" s="316" t="s">
        <v>1923</v>
      </c>
      <c r="I550" s="302"/>
      <c r="J550" s="348">
        <v>10000360</v>
      </c>
      <c r="K550" s="338"/>
    </row>
    <row r="551" spans="2:11" ht="15.75" customHeight="1">
      <c r="B551" s="293">
        <v>517</v>
      </c>
      <c r="C551" s="303"/>
      <c r="D551" s="303"/>
      <c r="E551" s="302">
        <v>36</v>
      </c>
      <c r="F551" s="295" t="str">
        <f t="shared" si="10"/>
        <v>هدیه محمد پور جاغرق</v>
      </c>
      <c r="G551" s="304" t="s">
        <v>2070</v>
      </c>
      <c r="H551" s="316" t="s">
        <v>1923</v>
      </c>
      <c r="I551" s="302"/>
      <c r="J551" s="348">
        <v>10000360</v>
      </c>
      <c r="K551" s="338"/>
    </row>
    <row r="552" spans="2:11" ht="15.75" customHeight="1">
      <c r="B552" s="293">
        <v>518</v>
      </c>
      <c r="C552" s="303"/>
      <c r="D552" s="303"/>
      <c r="E552" s="302">
        <v>54</v>
      </c>
      <c r="F552" s="295" t="str">
        <f t="shared" si="10"/>
        <v>فاطمه سادات سلطانی</v>
      </c>
      <c r="G552" s="304" t="s">
        <v>2069</v>
      </c>
      <c r="H552" s="316" t="s">
        <v>1923</v>
      </c>
      <c r="I552" s="302"/>
      <c r="J552" s="348">
        <v>12500360</v>
      </c>
      <c r="K552" s="338"/>
    </row>
    <row r="553" spans="2:11" ht="15.75" customHeight="1">
      <c r="B553" s="293">
        <v>519</v>
      </c>
      <c r="C553" s="303"/>
      <c r="D553" s="303"/>
      <c r="E553" s="302">
        <v>55</v>
      </c>
      <c r="F553" s="295" t="str">
        <f t="shared" si="10"/>
        <v>سحر خادم حقیقی</v>
      </c>
      <c r="G553" s="304" t="s">
        <v>2068</v>
      </c>
      <c r="H553" s="316" t="s">
        <v>1923</v>
      </c>
      <c r="I553" s="302"/>
      <c r="J553" s="348">
        <v>15000360</v>
      </c>
      <c r="K553" s="338"/>
    </row>
    <row r="554" spans="2:11" ht="15.75" customHeight="1">
      <c r="B554" s="293">
        <v>520</v>
      </c>
      <c r="C554" s="303"/>
      <c r="D554" s="303"/>
      <c r="E554" s="302">
        <v>48</v>
      </c>
      <c r="F554" s="295" t="str">
        <f t="shared" si="10"/>
        <v>امیرحسین مودب</v>
      </c>
      <c r="G554" s="304" t="s">
        <v>2067</v>
      </c>
      <c r="H554" s="316" t="s">
        <v>1923</v>
      </c>
      <c r="I554" s="302"/>
      <c r="J554" s="348">
        <v>12500360</v>
      </c>
      <c r="K554" s="338"/>
    </row>
    <row r="555" spans="2:11" ht="15.75" customHeight="1">
      <c r="B555" s="293">
        <v>521</v>
      </c>
      <c r="C555" s="303"/>
      <c r="D555" s="303"/>
      <c r="E555" s="302">
        <v>45</v>
      </c>
      <c r="F555" s="295" t="str">
        <f t="shared" si="10"/>
        <v>احمد خاوری عدل</v>
      </c>
      <c r="G555" s="304" t="s">
        <v>2066</v>
      </c>
      <c r="H555" s="316" t="s">
        <v>1923</v>
      </c>
      <c r="I555" s="302"/>
      <c r="J555" s="348">
        <v>10000360</v>
      </c>
      <c r="K555" s="338"/>
    </row>
    <row r="556" spans="2:11" ht="15.75" customHeight="1">
      <c r="B556" s="293">
        <v>522</v>
      </c>
      <c r="C556" s="303"/>
      <c r="D556" s="303"/>
      <c r="E556" s="302">
        <v>43</v>
      </c>
      <c r="F556" s="295" t="str">
        <f t="shared" si="10"/>
        <v>فرخنده خوشگفتار</v>
      </c>
      <c r="G556" s="304" t="s">
        <v>2065</v>
      </c>
      <c r="H556" s="316" t="s">
        <v>1923</v>
      </c>
      <c r="I556" s="302"/>
      <c r="J556" s="348">
        <v>10000360</v>
      </c>
      <c r="K556" s="338"/>
    </row>
    <row r="557" spans="2:11" ht="15.75" customHeight="1">
      <c r="B557" s="293">
        <v>523</v>
      </c>
      <c r="C557" s="303"/>
      <c r="D557" s="303"/>
      <c r="E557" s="302">
        <v>42</v>
      </c>
      <c r="F557" s="295" t="str">
        <f t="shared" si="10"/>
        <v>فرزانه خوشگفتار</v>
      </c>
      <c r="G557" s="304" t="s">
        <v>2064</v>
      </c>
      <c r="H557" s="316" t="s">
        <v>1923</v>
      </c>
      <c r="I557" s="302"/>
      <c r="J557" s="348">
        <v>10000360</v>
      </c>
      <c r="K557" s="338"/>
    </row>
    <row r="558" spans="2:11" ht="15.75" customHeight="1">
      <c r="B558" s="293">
        <v>524</v>
      </c>
      <c r="C558" s="303"/>
      <c r="D558" s="303"/>
      <c r="E558" s="302">
        <v>37</v>
      </c>
      <c r="F558" s="295" t="str">
        <f t="shared" si="10"/>
        <v>کوثر صفری</v>
      </c>
      <c r="G558" s="304" t="s">
        <v>2063</v>
      </c>
      <c r="H558" s="316" t="s">
        <v>1923</v>
      </c>
      <c r="I558" s="302"/>
      <c r="J558" s="348">
        <v>12500360</v>
      </c>
      <c r="K558" s="338"/>
    </row>
    <row r="559" spans="2:11" ht="15.75" customHeight="1">
      <c r="B559" s="293">
        <v>525</v>
      </c>
      <c r="C559" s="303"/>
      <c r="D559" s="303"/>
      <c r="E559" s="302">
        <v>44</v>
      </c>
      <c r="F559" s="295" t="str">
        <f t="shared" si="10"/>
        <v>ریحانه منفردی</v>
      </c>
      <c r="G559" s="304" t="s">
        <v>2062</v>
      </c>
      <c r="H559" s="316" t="s">
        <v>1923</v>
      </c>
      <c r="I559" s="302"/>
      <c r="J559" s="348">
        <v>12500360</v>
      </c>
      <c r="K559" s="338"/>
    </row>
    <row r="560" spans="2:11" ht="15.75" customHeight="1">
      <c r="B560" s="293">
        <v>526</v>
      </c>
      <c r="C560" s="303"/>
      <c r="D560" s="303"/>
      <c r="E560" s="302">
        <v>57</v>
      </c>
      <c r="F560" s="295" t="str">
        <f t="shared" si="10"/>
        <v>ثمین اکبری شاندیز</v>
      </c>
      <c r="G560" s="304" t="s">
        <v>2061</v>
      </c>
      <c r="H560" s="316" t="s">
        <v>1923</v>
      </c>
      <c r="I560" s="302"/>
      <c r="J560" s="348">
        <v>12500360</v>
      </c>
      <c r="K560" s="338"/>
    </row>
    <row r="561" spans="2:11" ht="15.75" customHeight="1">
      <c r="B561" s="293">
        <v>527</v>
      </c>
      <c r="C561" s="303"/>
      <c r="D561" s="303"/>
      <c r="E561" s="302">
        <v>52</v>
      </c>
      <c r="F561" s="295" t="str">
        <f t="shared" si="10"/>
        <v>امیرحسین بنا زاده</v>
      </c>
      <c r="G561" s="304" t="s">
        <v>2060</v>
      </c>
      <c r="H561" s="316" t="s">
        <v>1923</v>
      </c>
      <c r="I561" s="302"/>
      <c r="J561" s="348">
        <v>12500360</v>
      </c>
      <c r="K561" s="338"/>
    </row>
    <row r="562" spans="2:11" ht="15.75" customHeight="1">
      <c r="B562" s="293">
        <v>528</v>
      </c>
      <c r="C562" s="303"/>
      <c r="D562" s="303"/>
      <c r="E562" s="302">
        <v>58</v>
      </c>
      <c r="F562" s="295" t="str">
        <f t="shared" si="10"/>
        <v>بهروز خباز ترشیزی</v>
      </c>
      <c r="G562" s="304" t="s">
        <v>2059</v>
      </c>
      <c r="H562" s="316" t="s">
        <v>1923</v>
      </c>
      <c r="I562" s="302"/>
      <c r="J562" s="348">
        <v>12500360</v>
      </c>
      <c r="K562" s="338"/>
    </row>
    <row r="563" spans="2:11" ht="15.75" customHeight="1">
      <c r="B563" s="293">
        <v>529</v>
      </c>
      <c r="C563" s="303"/>
      <c r="D563" s="303"/>
      <c r="E563" s="302">
        <v>39</v>
      </c>
      <c r="F563" s="295" t="str">
        <f t="shared" si="10"/>
        <v>فاطمه حیدرزاده</v>
      </c>
      <c r="G563" s="304" t="s">
        <v>2058</v>
      </c>
      <c r="H563" s="316" t="s">
        <v>1923</v>
      </c>
      <c r="I563" s="302"/>
      <c r="J563" s="348">
        <v>12500360</v>
      </c>
      <c r="K563" s="338"/>
    </row>
    <row r="564" spans="2:11" ht="15.75" customHeight="1">
      <c r="B564" s="293">
        <v>530</v>
      </c>
      <c r="C564" s="303"/>
      <c r="D564" s="303"/>
      <c r="E564" s="302">
        <v>38</v>
      </c>
      <c r="F564" s="295" t="str">
        <f t="shared" si="10"/>
        <v>حانیه دشتبانی</v>
      </c>
      <c r="G564" s="304" t="s">
        <v>2057</v>
      </c>
      <c r="H564" s="316" t="s">
        <v>1923</v>
      </c>
      <c r="I564" s="302"/>
      <c r="J564" s="348">
        <v>12500360</v>
      </c>
      <c r="K564" s="338"/>
    </row>
    <row r="565" spans="2:11" ht="15.75" customHeight="1">
      <c r="B565" s="293">
        <v>531</v>
      </c>
      <c r="C565" s="303"/>
      <c r="D565" s="303"/>
      <c r="E565" s="302">
        <v>56</v>
      </c>
      <c r="F565" s="295" t="str">
        <f t="shared" si="10"/>
        <v>سارینا داوری</v>
      </c>
      <c r="G565" s="304" t="s">
        <v>2056</v>
      </c>
      <c r="H565" s="316" t="s">
        <v>1923</v>
      </c>
      <c r="I565" s="302"/>
      <c r="J565" s="348">
        <v>12500360</v>
      </c>
      <c r="K565" s="338"/>
    </row>
    <row r="566" spans="2:11" ht="15.75" customHeight="1">
      <c r="B566" s="293">
        <v>532</v>
      </c>
      <c r="C566" s="303"/>
      <c r="D566" s="303"/>
      <c r="E566" s="302">
        <v>54</v>
      </c>
      <c r="F566" s="295" t="str">
        <f t="shared" si="10"/>
        <v>فاطمه سادات سلطانی</v>
      </c>
      <c r="G566" s="304" t="s">
        <v>1918</v>
      </c>
      <c r="H566" s="316" t="s">
        <v>1923</v>
      </c>
      <c r="I566" s="302"/>
      <c r="J566" s="348">
        <v>5002400</v>
      </c>
      <c r="K566" s="338"/>
    </row>
    <row r="567" spans="2:11" ht="15.75" customHeight="1">
      <c r="B567" s="293">
        <v>533</v>
      </c>
      <c r="C567" s="303"/>
      <c r="D567" s="303"/>
      <c r="E567" s="302" t="s">
        <v>145</v>
      </c>
      <c r="F567" s="295" t="str">
        <f t="shared" si="10"/>
        <v>هزینه کلی موسسه</v>
      </c>
      <c r="G567" s="304" t="s">
        <v>1919</v>
      </c>
      <c r="H567" s="316" t="s">
        <v>1923</v>
      </c>
      <c r="I567" s="302"/>
      <c r="J567" s="348">
        <v>1002400</v>
      </c>
      <c r="K567" s="338"/>
    </row>
    <row r="568" spans="2:11" ht="15.75" customHeight="1">
      <c r="B568" s="293">
        <v>534</v>
      </c>
      <c r="C568" s="303"/>
      <c r="D568" s="303"/>
      <c r="E568" s="302" t="s">
        <v>145</v>
      </c>
      <c r="F568" s="295" t="str">
        <f t="shared" si="10"/>
        <v>هزینه کلی موسسه</v>
      </c>
      <c r="G568" s="304" t="s">
        <v>1948</v>
      </c>
      <c r="H568" s="316" t="s">
        <v>1951</v>
      </c>
      <c r="I568" s="302"/>
      <c r="J568" s="348">
        <v>2052400</v>
      </c>
      <c r="K568" s="338"/>
    </row>
    <row r="569" spans="2:11" ht="15.75" customHeight="1">
      <c r="B569" s="293">
        <v>535</v>
      </c>
      <c r="C569" s="303"/>
      <c r="D569" s="303"/>
      <c r="E569" s="302" t="s">
        <v>145</v>
      </c>
      <c r="F569" s="295" t="str">
        <f t="shared" si="10"/>
        <v>هزینه کلی موسسه</v>
      </c>
      <c r="G569" s="304" t="s">
        <v>1616</v>
      </c>
      <c r="H569" s="316" t="s">
        <v>1951</v>
      </c>
      <c r="I569" s="302"/>
      <c r="J569" s="348">
        <v>10002400</v>
      </c>
      <c r="K569" s="338"/>
    </row>
    <row r="570" spans="2:11" ht="15.75" customHeight="1">
      <c r="B570" s="293">
        <v>536</v>
      </c>
      <c r="C570" s="303"/>
      <c r="D570" s="303"/>
      <c r="E570" s="302">
        <v>59</v>
      </c>
      <c r="F570" s="295" t="str">
        <f t="shared" si="10"/>
        <v>زهرا مروی</v>
      </c>
      <c r="G570" s="304" t="s">
        <v>1949</v>
      </c>
      <c r="H570" s="316" t="s">
        <v>1951</v>
      </c>
      <c r="I570" s="302"/>
      <c r="J570" s="348">
        <v>7002400</v>
      </c>
      <c r="K570" s="338"/>
    </row>
    <row r="571" spans="2:11" ht="15.75" customHeight="1">
      <c r="B571" s="293">
        <v>537</v>
      </c>
      <c r="C571" s="303"/>
      <c r="D571" s="303"/>
      <c r="E571" s="302">
        <v>35</v>
      </c>
      <c r="F571" s="295" t="str">
        <f t="shared" si="10"/>
        <v>ثنا پور دوران</v>
      </c>
      <c r="G571" s="304" t="s">
        <v>1853</v>
      </c>
      <c r="H571" s="316" t="s">
        <v>1951</v>
      </c>
      <c r="I571" s="302"/>
      <c r="J571" s="348">
        <v>5002200</v>
      </c>
      <c r="K571" s="338"/>
    </row>
    <row r="572" spans="2:11" ht="15.75" customHeight="1">
      <c r="B572" s="293">
        <v>538</v>
      </c>
      <c r="C572" s="303"/>
      <c r="D572" s="303"/>
      <c r="E572" s="302" t="s">
        <v>145</v>
      </c>
      <c r="F572" s="295" t="str">
        <f t="shared" si="10"/>
        <v>هزینه کلی موسسه</v>
      </c>
      <c r="G572" s="304" t="s">
        <v>1785</v>
      </c>
      <c r="H572" s="316" t="s">
        <v>1951</v>
      </c>
      <c r="I572" s="302"/>
      <c r="J572" s="348">
        <v>40004000</v>
      </c>
      <c r="K572" s="338"/>
    </row>
    <row r="573" spans="2:11" ht="35.25" customHeight="1">
      <c r="B573" s="293"/>
      <c r="C573" s="303"/>
      <c r="D573" s="303"/>
      <c r="E573" s="302"/>
      <c r="F573" s="295"/>
      <c r="G573" s="304" t="s">
        <v>2205</v>
      </c>
      <c r="H573" s="316"/>
      <c r="I573" s="302"/>
      <c r="J573" s="348"/>
      <c r="K573" s="338"/>
    </row>
    <row r="574" spans="2:11" ht="25.5" customHeight="1">
      <c r="B574" s="293">
        <v>539</v>
      </c>
      <c r="C574" s="303"/>
      <c r="D574" s="303"/>
      <c r="E574" s="302">
        <v>51</v>
      </c>
      <c r="F574" s="295" t="str">
        <f t="shared" si="10"/>
        <v>محمدسجاد طوسی گروهی</v>
      </c>
      <c r="G574" s="304" t="s">
        <v>2203</v>
      </c>
      <c r="H574" s="316" t="s">
        <v>1974</v>
      </c>
      <c r="I574" s="302"/>
      <c r="J574" s="348">
        <v>20130000</v>
      </c>
      <c r="K574" s="338"/>
    </row>
    <row r="575" spans="2:11" ht="25.5" customHeight="1">
      <c r="B575" s="293">
        <v>540</v>
      </c>
      <c r="C575" s="303"/>
      <c r="D575" s="303"/>
      <c r="E575" s="302">
        <v>40</v>
      </c>
      <c r="F575" s="295" t="str">
        <f t="shared" si="10"/>
        <v>سیده شقایق محمودی زاده</v>
      </c>
      <c r="G575" s="304" t="s">
        <v>2204</v>
      </c>
      <c r="H575" s="316" t="s">
        <v>1974</v>
      </c>
      <c r="I575" s="302"/>
      <c r="J575" s="348">
        <v>25130000</v>
      </c>
      <c r="K575" s="338"/>
    </row>
    <row r="576" spans="2:11" ht="15.75" customHeight="1">
      <c r="B576" s="293">
        <v>541</v>
      </c>
      <c r="C576" s="303"/>
      <c r="D576" s="303"/>
      <c r="E576" s="302">
        <v>12</v>
      </c>
      <c r="F576" s="462" t="str">
        <f t="shared" si="10"/>
        <v>الهام صمدی</v>
      </c>
      <c r="G576" s="304" t="s">
        <v>1975</v>
      </c>
      <c r="H576" s="463" t="s">
        <v>1974</v>
      </c>
      <c r="I576" s="302"/>
      <c r="J576" s="464">
        <v>1672400</v>
      </c>
      <c r="K576" s="338"/>
    </row>
    <row r="577" spans="2:11" ht="15.75" customHeight="1">
      <c r="B577" s="293">
        <v>542</v>
      </c>
      <c r="C577" s="303"/>
      <c r="D577" s="303"/>
      <c r="E577" s="302">
        <v>21</v>
      </c>
      <c r="F577" s="295" t="str">
        <f t="shared" si="10"/>
        <v>ملبکا نماز</v>
      </c>
      <c r="G577" s="304" t="s">
        <v>1976</v>
      </c>
      <c r="H577" s="316" t="s">
        <v>1974</v>
      </c>
      <c r="I577" s="302"/>
      <c r="J577" s="348">
        <v>872400</v>
      </c>
      <c r="K577" s="338"/>
    </row>
    <row r="578" spans="2:11" ht="15.75" customHeight="1">
      <c r="B578" s="293">
        <v>543</v>
      </c>
      <c r="C578" s="303"/>
      <c r="D578" s="303"/>
      <c r="E578" s="302">
        <v>59</v>
      </c>
      <c r="F578" s="295" t="str">
        <f t="shared" si="10"/>
        <v>زهرا مروی</v>
      </c>
      <c r="G578" s="304" t="s">
        <v>1977</v>
      </c>
      <c r="H578" s="316" t="s">
        <v>1974</v>
      </c>
      <c r="I578" s="302"/>
      <c r="J578" s="348">
        <v>2802400</v>
      </c>
      <c r="K578" s="338"/>
    </row>
    <row r="579" spans="2:11" ht="15.75" customHeight="1">
      <c r="B579" s="293">
        <v>544</v>
      </c>
      <c r="C579" s="303"/>
      <c r="D579" s="303"/>
      <c r="E579" s="302" t="s">
        <v>145</v>
      </c>
      <c r="F579" s="295" t="str">
        <f t="shared" ref="F579:F642" si="11">IF(E579="","",HLOOKUP(E579,eeee,2,0))</f>
        <v>هزینه کلی موسسه</v>
      </c>
      <c r="G579" s="304" t="s">
        <v>1978</v>
      </c>
      <c r="H579" s="316" t="s">
        <v>1974</v>
      </c>
      <c r="I579" s="302"/>
      <c r="J579" s="348">
        <v>1152400</v>
      </c>
      <c r="K579" s="338"/>
    </row>
    <row r="580" spans="2:11" ht="15.75" customHeight="1">
      <c r="B580" s="293">
        <v>545</v>
      </c>
      <c r="C580" s="303"/>
      <c r="D580" s="303"/>
      <c r="E580" s="302">
        <v>35</v>
      </c>
      <c r="F580" s="295" t="str">
        <f t="shared" si="11"/>
        <v>ثنا پور دوران</v>
      </c>
      <c r="G580" s="304" t="s">
        <v>1979</v>
      </c>
      <c r="H580" s="316" t="s">
        <v>1974</v>
      </c>
      <c r="I580" s="302"/>
      <c r="J580" s="348">
        <v>2402400</v>
      </c>
      <c r="K580" s="338"/>
    </row>
    <row r="581" spans="2:11" ht="15.75" customHeight="1">
      <c r="B581" s="293">
        <v>546</v>
      </c>
      <c r="C581" s="303"/>
      <c r="D581" s="303"/>
      <c r="E581" s="302">
        <v>59</v>
      </c>
      <c r="F581" s="295" t="str">
        <f t="shared" si="11"/>
        <v>زهرا مروی</v>
      </c>
      <c r="G581" s="304" t="s">
        <v>1896</v>
      </c>
      <c r="H581" s="316" t="s">
        <v>1974</v>
      </c>
      <c r="I581" s="302"/>
      <c r="J581" s="348">
        <v>6002400</v>
      </c>
      <c r="K581" s="338"/>
    </row>
    <row r="582" spans="2:11" ht="15.75" customHeight="1">
      <c r="B582" s="293">
        <v>547</v>
      </c>
      <c r="C582" s="303"/>
      <c r="D582" s="303"/>
      <c r="E582" s="302">
        <v>59</v>
      </c>
      <c r="F582" s="295" t="str">
        <f t="shared" si="11"/>
        <v>زهرا مروی</v>
      </c>
      <c r="G582" s="304" t="s">
        <v>1982</v>
      </c>
      <c r="H582" s="316" t="s">
        <v>1941</v>
      </c>
      <c r="I582" s="302"/>
      <c r="J582" s="348">
        <v>7002400</v>
      </c>
      <c r="K582" s="338"/>
    </row>
    <row r="583" spans="2:11" ht="15.75" customHeight="1">
      <c r="B583" s="293">
        <v>548</v>
      </c>
      <c r="C583" s="303"/>
      <c r="D583" s="303"/>
      <c r="E583" s="302">
        <v>49</v>
      </c>
      <c r="F583" s="295" t="str">
        <f t="shared" si="11"/>
        <v>متین شاملی</v>
      </c>
      <c r="G583" s="304" t="s">
        <v>2055</v>
      </c>
      <c r="H583" s="316" t="s">
        <v>1941</v>
      </c>
      <c r="I583" s="302"/>
      <c r="J583" s="348">
        <v>12500360</v>
      </c>
      <c r="K583" s="338"/>
    </row>
    <row r="584" spans="2:11" ht="15.75" customHeight="1">
      <c r="B584" s="293">
        <v>549</v>
      </c>
      <c r="C584" s="303"/>
      <c r="D584" s="303"/>
      <c r="E584" s="302">
        <v>50</v>
      </c>
      <c r="F584" s="295" t="str">
        <f t="shared" si="11"/>
        <v>امیر پارسا قویدل</v>
      </c>
      <c r="G584" s="304" t="s">
        <v>2054</v>
      </c>
      <c r="H584" s="316" t="s">
        <v>1941</v>
      </c>
      <c r="I584" s="302"/>
      <c r="J584" s="348">
        <v>10000360</v>
      </c>
      <c r="K584" s="338"/>
    </row>
    <row r="585" spans="2:11" ht="15.75" customHeight="1">
      <c r="B585" s="293">
        <v>550</v>
      </c>
      <c r="C585" s="303"/>
      <c r="D585" s="303"/>
      <c r="E585" s="302">
        <v>53</v>
      </c>
      <c r="F585" s="295" t="str">
        <f t="shared" si="11"/>
        <v>محمد امین تاتاری</v>
      </c>
      <c r="G585" s="304" t="s">
        <v>2053</v>
      </c>
      <c r="H585" s="316" t="s">
        <v>1941</v>
      </c>
      <c r="I585" s="302"/>
      <c r="J585" s="348">
        <v>10000360</v>
      </c>
      <c r="K585" s="338"/>
    </row>
    <row r="586" spans="2:11" ht="15.75" customHeight="1">
      <c r="B586" s="293">
        <v>551</v>
      </c>
      <c r="C586" s="303"/>
      <c r="D586" s="303"/>
      <c r="E586" s="302">
        <v>47</v>
      </c>
      <c r="F586" s="295" t="str">
        <f t="shared" si="11"/>
        <v>امیرحسین محمدزاده</v>
      </c>
      <c r="G586" s="304" t="s">
        <v>2052</v>
      </c>
      <c r="H586" s="316" t="s">
        <v>1941</v>
      </c>
      <c r="I586" s="302"/>
      <c r="J586" s="348">
        <v>15000360</v>
      </c>
      <c r="K586" s="338"/>
    </row>
    <row r="587" spans="2:11" ht="15.75" customHeight="1">
      <c r="B587" s="293">
        <v>552</v>
      </c>
      <c r="C587" s="303"/>
      <c r="D587" s="303"/>
      <c r="E587" s="302">
        <v>41</v>
      </c>
      <c r="F587" s="295" t="str">
        <f t="shared" si="11"/>
        <v>مائده وفای فرخانی</v>
      </c>
      <c r="G587" s="304" t="s">
        <v>2051</v>
      </c>
      <c r="H587" s="316" t="s">
        <v>1941</v>
      </c>
      <c r="I587" s="302"/>
      <c r="J587" s="348">
        <v>15000360</v>
      </c>
      <c r="K587" s="338"/>
    </row>
    <row r="588" spans="2:11" ht="15.75" customHeight="1">
      <c r="B588" s="293">
        <v>553</v>
      </c>
      <c r="C588" s="303"/>
      <c r="D588" s="303"/>
      <c r="E588" s="302">
        <v>46</v>
      </c>
      <c r="F588" s="295" t="str">
        <f t="shared" si="11"/>
        <v>صادق نجمی</v>
      </c>
      <c r="G588" s="304" t="s">
        <v>2050</v>
      </c>
      <c r="H588" s="316" t="s">
        <v>1941</v>
      </c>
      <c r="I588" s="302"/>
      <c r="J588" s="348">
        <v>10000360</v>
      </c>
      <c r="K588" s="338"/>
    </row>
    <row r="589" spans="2:11" ht="15.75" customHeight="1">
      <c r="B589" s="293">
        <v>554</v>
      </c>
      <c r="C589" s="303"/>
      <c r="D589" s="303"/>
      <c r="E589" s="302">
        <v>36</v>
      </c>
      <c r="F589" s="295" t="str">
        <f t="shared" si="11"/>
        <v>هدیه محمد پور جاغرق</v>
      </c>
      <c r="G589" s="304" t="s">
        <v>2049</v>
      </c>
      <c r="H589" s="316" t="s">
        <v>1941</v>
      </c>
      <c r="I589" s="302"/>
      <c r="J589" s="348">
        <v>10000360</v>
      </c>
      <c r="K589" s="338"/>
    </row>
    <row r="590" spans="2:11" ht="15.75" customHeight="1">
      <c r="B590" s="293">
        <v>555</v>
      </c>
      <c r="C590" s="303"/>
      <c r="D590" s="303"/>
      <c r="E590" s="302">
        <v>54</v>
      </c>
      <c r="F590" s="295" t="str">
        <f t="shared" si="11"/>
        <v>فاطمه سادات سلطانی</v>
      </c>
      <c r="G590" s="304" t="s">
        <v>2048</v>
      </c>
      <c r="H590" s="316" t="s">
        <v>1941</v>
      </c>
      <c r="I590" s="302"/>
      <c r="J590" s="348">
        <v>12500360</v>
      </c>
      <c r="K590" s="338"/>
    </row>
    <row r="591" spans="2:11" ht="15.75" customHeight="1">
      <c r="B591" s="293">
        <v>556</v>
      </c>
      <c r="C591" s="303"/>
      <c r="D591" s="303"/>
      <c r="E591" s="302">
        <v>55</v>
      </c>
      <c r="F591" s="295" t="str">
        <f t="shared" si="11"/>
        <v>سحر خادم حقیقی</v>
      </c>
      <c r="G591" s="304" t="s">
        <v>2047</v>
      </c>
      <c r="H591" s="316" t="s">
        <v>1941</v>
      </c>
      <c r="I591" s="302"/>
      <c r="J591" s="348">
        <v>15000360</v>
      </c>
      <c r="K591" s="338"/>
    </row>
    <row r="592" spans="2:11" ht="15.75" customHeight="1">
      <c r="B592" s="293">
        <v>557</v>
      </c>
      <c r="C592" s="303"/>
      <c r="D592" s="303"/>
      <c r="E592" s="302">
        <v>48</v>
      </c>
      <c r="F592" s="295" t="str">
        <f t="shared" si="11"/>
        <v>امیرحسین مودب</v>
      </c>
      <c r="G592" s="304" t="s">
        <v>2046</v>
      </c>
      <c r="H592" s="316" t="s">
        <v>1941</v>
      </c>
      <c r="I592" s="302"/>
      <c r="J592" s="348">
        <v>12500360</v>
      </c>
      <c r="K592" s="338"/>
    </row>
    <row r="593" spans="2:11" ht="15.75" customHeight="1">
      <c r="B593" s="293">
        <v>558</v>
      </c>
      <c r="C593" s="303"/>
      <c r="D593" s="303"/>
      <c r="E593" s="302">
        <v>45</v>
      </c>
      <c r="F593" s="295" t="str">
        <f t="shared" si="11"/>
        <v>احمد خاوری عدل</v>
      </c>
      <c r="G593" s="304" t="s">
        <v>2045</v>
      </c>
      <c r="H593" s="316" t="s">
        <v>1941</v>
      </c>
      <c r="I593" s="302"/>
      <c r="J593" s="348">
        <v>10000360</v>
      </c>
      <c r="K593" s="338"/>
    </row>
    <row r="594" spans="2:11" ht="15.75" customHeight="1">
      <c r="B594" s="293">
        <v>559</v>
      </c>
      <c r="C594" s="303"/>
      <c r="D594" s="303"/>
      <c r="E594" s="302">
        <v>42</v>
      </c>
      <c r="F594" s="295" t="str">
        <f t="shared" si="11"/>
        <v>فرزانه خوشگفتار</v>
      </c>
      <c r="G594" s="304" t="s">
        <v>2044</v>
      </c>
      <c r="H594" s="316" t="s">
        <v>1941</v>
      </c>
      <c r="I594" s="302"/>
      <c r="J594" s="348">
        <v>10000360</v>
      </c>
      <c r="K594" s="338"/>
    </row>
    <row r="595" spans="2:11" ht="15.75" customHeight="1">
      <c r="B595" s="293">
        <v>560</v>
      </c>
      <c r="C595" s="303"/>
      <c r="D595" s="303"/>
      <c r="E595" s="302">
        <v>43</v>
      </c>
      <c r="F595" s="295" t="str">
        <f t="shared" si="11"/>
        <v>فرخنده خوشگفتار</v>
      </c>
      <c r="G595" s="304" t="s">
        <v>2043</v>
      </c>
      <c r="H595" s="316" t="s">
        <v>1941</v>
      </c>
      <c r="I595" s="302"/>
      <c r="J595" s="348">
        <v>10000360</v>
      </c>
      <c r="K595" s="338"/>
    </row>
    <row r="596" spans="2:11" ht="15.75" customHeight="1">
      <c r="B596" s="293">
        <v>561</v>
      </c>
      <c r="C596" s="303"/>
      <c r="D596" s="303"/>
      <c r="E596" s="302">
        <v>37</v>
      </c>
      <c r="F596" s="295" t="str">
        <f t="shared" si="11"/>
        <v>کوثر صفری</v>
      </c>
      <c r="G596" s="304" t="s">
        <v>2042</v>
      </c>
      <c r="H596" s="316" t="s">
        <v>1941</v>
      </c>
      <c r="I596" s="302"/>
      <c r="J596" s="348">
        <v>12500360</v>
      </c>
      <c r="K596" s="338"/>
    </row>
    <row r="597" spans="2:11" ht="15.75" customHeight="1">
      <c r="B597" s="293">
        <v>562</v>
      </c>
      <c r="C597" s="303"/>
      <c r="D597" s="303"/>
      <c r="E597" s="302">
        <v>44</v>
      </c>
      <c r="F597" s="295" t="str">
        <f t="shared" si="11"/>
        <v>ریحانه منفردی</v>
      </c>
      <c r="G597" s="304" t="s">
        <v>2041</v>
      </c>
      <c r="H597" s="316" t="s">
        <v>1941</v>
      </c>
      <c r="I597" s="302"/>
      <c r="J597" s="348">
        <v>12500360</v>
      </c>
      <c r="K597" s="338"/>
    </row>
    <row r="598" spans="2:11" ht="15.75" customHeight="1">
      <c r="B598" s="293">
        <v>563</v>
      </c>
      <c r="C598" s="303"/>
      <c r="D598" s="303"/>
      <c r="E598" s="302">
        <v>57</v>
      </c>
      <c r="F598" s="295" t="str">
        <f t="shared" si="11"/>
        <v>ثمین اکبری شاندیز</v>
      </c>
      <c r="G598" s="304" t="s">
        <v>2040</v>
      </c>
      <c r="H598" s="316" t="s">
        <v>1941</v>
      </c>
      <c r="I598" s="302"/>
      <c r="J598" s="348">
        <v>10000360</v>
      </c>
      <c r="K598" s="338"/>
    </row>
    <row r="599" spans="2:11" ht="15.75" customHeight="1">
      <c r="B599" s="293">
        <v>564</v>
      </c>
      <c r="C599" s="303"/>
      <c r="D599" s="303"/>
      <c r="E599" s="302">
        <v>52</v>
      </c>
      <c r="F599" s="295" t="str">
        <f t="shared" si="11"/>
        <v>امیرحسین بنا زاده</v>
      </c>
      <c r="G599" s="304" t="s">
        <v>2039</v>
      </c>
      <c r="H599" s="316" t="s">
        <v>1941</v>
      </c>
      <c r="I599" s="302"/>
      <c r="J599" s="348">
        <v>12500360</v>
      </c>
      <c r="K599" s="338"/>
    </row>
    <row r="600" spans="2:11" ht="15.75" customHeight="1">
      <c r="B600" s="293">
        <v>565</v>
      </c>
      <c r="C600" s="303"/>
      <c r="D600" s="303"/>
      <c r="E600" s="302">
        <v>58</v>
      </c>
      <c r="F600" s="295" t="str">
        <f t="shared" si="11"/>
        <v>بهروز خباز ترشیزی</v>
      </c>
      <c r="G600" s="304" t="s">
        <v>2038</v>
      </c>
      <c r="H600" s="316" t="s">
        <v>1941</v>
      </c>
      <c r="I600" s="302"/>
      <c r="J600" s="348">
        <v>12500360</v>
      </c>
      <c r="K600" s="338"/>
    </row>
    <row r="601" spans="2:11" ht="15.75" customHeight="1">
      <c r="B601" s="293">
        <v>566</v>
      </c>
      <c r="C601" s="303"/>
      <c r="D601" s="303"/>
      <c r="E601" s="302">
        <v>39</v>
      </c>
      <c r="F601" s="295" t="str">
        <f t="shared" si="11"/>
        <v>فاطمه حیدرزاده</v>
      </c>
      <c r="G601" s="304" t="s">
        <v>2037</v>
      </c>
      <c r="H601" s="316" t="s">
        <v>1941</v>
      </c>
      <c r="I601" s="302"/>
      <c r="J601" s="348">
        <v>12500360</v>
      </c>
      <c r="K601" s="338"/>
    </row>
    <row r="602" spans="2:11" ht="15.75" customHeight="1">
      <c r="B602" s="293">
        <v>567</v>
      </c>
      <c r="C602" s="303"/>
      <c r="D602" s="303"/>
      <c r="E602" s="302">
        <v>56</v>
      </c>
      <c r="F602" s="295" t="str">
        <f t="shared" si="11"/>
        <v>سارینا داوری</v>
      </c>
      <c r="G602" s="304" t="s">
        <v>2036</v>
      </c>
      <c r="H602" s="316" t="s">
        <v>1941</v>
      </c>
      <c r="I602" s="302"/>
      <c r="J602" s="348">
        <v>12500360</v>
      </c>
      <c r="K602" s="338"/>
    </row>
    <row r="603" spans="2:11" ht="15.75" customHeight="1">
      <c r="B603" s="293">
        <v>568</v>
      </c>
      <c r="C603" s="303"/>
      <c r="D603" s="303"/>
      <c r="E603" s="302" t="s">
        <v>145</v>
      </c>
      <c r="F603" s="295" t="str">
        <f t="shared" si="11"/>
        <v>هزینه کلی موسسه</v>
      </c>
      <c r="G603" s="304" t="s">
        <v>1984</v>
      </c>
      <c r="H603" s="316" t="s">
        <v>1983</v>
      </c>
      <c r="I603" s="302"/>
      <c r="J603" s="348">
        <v>20002400</v>
      </c>
      <c r="K603" s="338"/>
    </row>
    <row r="604" spans="2:11" ht="15.75" customHeight="1">
      <c r="B604" s="293">
        <v>569</v>
      </c>
      <c r="C604" s="303"/>
      <c r="D604" s="303"/>
      <c r="E604" s="302">
        <v>59</v>
      </c>
      <c r="F604" s="295" t="str">
        <f t="shared" si="11"/>
        <v>زهرا مروی</v>
      </c>
      <c r="G604" s="304" t="s">
        <v>1985</v>
      </c>
      <c r="H604" s="316" t="s">
        <v>1983</v>
      </c>
      <c r="I604" s="302"/>
      <c r="J604" s="348">
        <v>1552400</v>
      </c>
      <c r="K604" s="338"/>
    </row>
    <row r="605" spans="2:11" ht="15.75" customHeight="1">
      <c r="B605" s="293">
        <v>570</v>
      </c>
      <c r="C605" s="303"/>
      <c r="D605" s="303"/>
      <c r="E605" s="302" t="s">
        <v>145</v>
      </c>
      <c r="F605" s="295" t="str">
        <f t="shared" si="11"/>
        <v>هزینه کلی موسسه</v>
      </c>
      <c r="G605" s="304" t="s">
        <v>1986</v>
      </c>
      <c r="H605" s="316" t="s">
        <v>1983</v>
      </c>
      <c r="I605" s="302"/>
      <c r="J605" s="348">
        <v>60006000</v>
      </c>
      <c r="K605" s="338"/>
    </row>
    <row r="606" spans="2:11" ht="15.75" customHeight="1">
      <c r="B606" s="293">
        <v>571</v>
      </c>
      <c r="C606" s="303"/>
      <c r="D606" s="303"/>
      <c r="E606" s="302">
        <v>38</v>
      </c>
      <c r="F606" s="295" t="str">
        <f t="shared" si="11"/>
        <v>حانیه دشتبانی</v>
      </c>
      <c r="G606" s="304" t="s">
        <v>2207</v>
      </c>
      <c r="H606" s="316" t="s">
        <v>1983</v>
      </c>
      <c r="I606" s="302"/>
      <c r="J606" s="348">
        <v>12500360</v>
      </c>
      <c r="K606" s="338"/>
    </row>
    <row r="607" spans="2:11" ht="15.75" customHeight="1">
      <c r="B607" s="293">
        <v>572</v>
      </c>
      <c r="C607" s="303"/>
      <c r="D607" s="303"/>
      <c r="E607" s="302">
        <v>12</v>
      </c>
      <c r="F607" s="462" t="str">
        <f t="shared" si="11"/>
        <v>الهام صمدی</v>
      </c>
      <c r="G607" s="304" t="s">
        <v>1987</v>
      </c>
      <c r="H607" s="463" t="s">
        <v>1983</v>
      </c>
      <c r="I607" s="302"/>
      <c r="J607" s="464">
        <v>5002400</v>
      </c>
      <c r="K607" s="338"/>
    </row>
    <row r="608" spans="2:11" ht="15.75" customHeight="1">
      <c r="B608" s="293">
        <v>573</v>
      </c>
      <c r="C608" s="303"/>
      <c r="D608" s="303"/>
      <c r="E608" s="302" t="s">
        <v>145</v>
      </c>
      <c r="F608" s="295" t="str">
        <f t="shared" si="11"/>
        <v>هزینه کلی موسسه</v>
      </c>
      <c r="G608" s="304" t="s">
        <v>1988</v>
      </c>
      <c r="H608" s="316" t="s">
        <v>1983</v>
      </c>
      <c r="I608" s="302"/>
      <c r="J608" s="348">
        <v>1902400</v>
      </c>
      <c r="K608" s="338"/>
    </row>
    <row r="609" spans="2:11" ht="15.75" customHeight="1">
      <c r="B609" s="293">
        <v>574</v>
      </c>
      <c r="C609" s="303"/>
      <c r="D609" s="303"/>
      <c r="E609" s="302">
        <v>35</v>
      </c>
      <c r="F609" s="295" t="str">
        <f t="shared" si="11"/>
        <v>ثنا پور دوران</v>
      </c>
      <c r="G609" s="304" t="s">
        <v>1989</v>
      </c>
      <c r="H609" s="316" t="s">
        <v>1983</v>
      </c>
      <c r="I609" s="302"/>
      <c r="J609" s="348">
        <v>1867400</v>
      </c>
      <c r="K609" s="338"/>
    </row>
    <row r="610" spans="2:11" ht="15.75" customHeight="1">
      <c r="B610" s="293">
        <v>575</v>
      </c>
      <c r="C610" s="303"/>
      <c r="D610" s="303"/>
      <c r="E610" s="302">
        <v>59</v>
      </c>
      <c r="F610" s="295" t="str">
        <f t="shared" si="11"/>
        <v>زهرا مروی</v>
      </c>
      <c r="G610" s="304" t="s">
        <v>1990</v>
      </c>
      <c r="H610" s="316" t="s">
        <v>1983</v>
      </c>
      <c r="I610" s="302"/>
      <c r="J610" s="348">
        <v>13502400</v>
      </c>
      <c r="K610" s="338"/>
    </row>
    <row r="611" spans="2:11" ht="15.75" customHeight="1">
      <c r="B611" s="293">
        <v>576</v>
      </c>
      <c r="C611" s="303"/>
      <c r="D611" s="303"/>
      <c r="E611" s="302">
        <v>35</v>
      </c>
      <c r="F611" s="295" t="str">
        <f t="shared" si="11"/>
        <v>ثنا پور دوران</v>
      </c>
      <c r="G611" s="304" t="s">
        <v>1991</v>
      </c>
      <c r="H611" s="316" t="s">
        <v>1983</v>
      </c>
      <c r="I611" s="302"/>
      <c r="J611" s="348">
        <v>5002400</v>
      </c>
      <c r="K611" s="338"/>
    </row>
    <row r="612" spans="2:11" ht="15.75" customHeight="1">
      <c r="B612" s="293">
        <v>577</v>
      </c>
      <c r="C612" s="303"/>
      <c r="D612" s="303"/>
      <c r="E612" s="302" t="s">
        <v>145</v>
      </c>
      <c r="F612" s="295" t="str">
        <f t="shared" si="11"/>
        <v>هزینه کلی موسسه</v>
      </c>
      <c r="G612" s="304" t="s">
        <v>1992</v>
      </c>
      <c r="H612" s="316" t="s">
        <v>1983</v>
      </c>
      <c r="I612" s="302"/>
      <c r="J612" s="348">
        <v>10002400</v>
      </c>
      <c r="K612" s="338"/>
    </row>
    <row r="613" spans="2:11" ht="15.75" customHeight="1">
      <c r="B613" s="293">
        <v>578</v>
      </c>
      <c r="C613" s="303"/>
      <c r="D613" s="303"/>
      <c r="E613" s="302">
        <v>60</v>
      </c>
      <c r="F613" s="295" t="str">
        <f t="shared" si="11"/>
        <v>نوید مختاریه</v>
      </c>
      <c r="G613" s="304" t="s">
        <v>1993</v>
      </c>
      <c r="H613" s="316" t="s">
        <v>1983</v>
      </c>
      <c r="I613" s="302"/>
      <c r="J613" s="348">
        <v>18502400</v>
      </c>
      <c r="K613" s="338"/>
    </row>
    <row r="614" spans="2:11" ht="15.75" customHeight="1">
      <c r="B614" s="293">
        <v>579</v>
      </c>
      <c r="C614" s="303"/>
      <c r="D614" s="303"/>
      <c r="E614" s="302" t="s">
        <v>145</v>
      </c>
      <c r="F614" s="295" t="str">
        <f t="shared" si="11"/>
        <v>هزینه کلی موسسه</v>
      </c>
      <c r="G614" s="304" t="s">
        <v>1362</v>
      </c>
      <c r="H614" s="316" t="s">
        <v>1963</v>
      </c>
      <c r="I614" s="302"/>
      <c r="J614" s="348">
        <v>2502400</v>
      </c>
      <c r="K614" s="338"/>
    </row>
    <row r="615" spans="2:11" ht="15.75" customHeight="1">
      <c r="B615" s="293">
        <v>580</v>
      </c>
      <c r="C615" s="303"/>
      <c r="D615" s="303"/>
      <c r="E615" s="302">
        <v>59</v>
      </c>
      <c r="F615" s="295" t="str">
        <f t="shared" si="11"/>
        <v>زهرا مروی</v>
      </c>
      <c r="G615" s="304" t="s">
        <v>1994</v>
      </c>
      <c r="H615" s="316" t="s">
        <v>1963</v>
      </c>
      <c r="I615" s="302"/>
      <c r="J615" s="348">
        <v>3228400</v>
      </c>
      <c r="K615" s="338"/>
    </row>
    <row r="616" spans="2:11" ht="15.75" customHeight="1">
      <c r="B616" s="293">
        <v>581</v>
      </c>
      <c r="C616" s="303"/>
      <c r="D616" s="303"/>
      <c r="E616" s="302" t="s">
        <v>145</v>
      </c>
      <c r="F616" s="295" t="str">
        <f t="shared" si="11"/>
        <v>هزینه کلی موسسه</v>
      </c>
      <c r="G616" s="304" t="s">
        <v>1995</v>
      </c>
      <c r="H616" s="316" t="s">
        <v>1963</v>
      </c>
      <c r="I616" s="302"/>
      <c r="J616" s="348">
        <v>2457400</v>
      </c>
      <c r="K616" s="338"/>
    </row>
    <row r="617" spans="2:11" ht="15.75" customHeight="1">
      <c r="B617" s="293">
        <v>582</v>
      </c>
      <c r="C617" s="303"/>
      <c r="D617" s="303"/>
      <c r="E617" s="302">
        <v>21</v>
      </c>
      <c r="F617" s="295" t="str">
        <f t="shared" si="11"/>
        <v>ملبکا نماز</v>
      </c>
      <c r="G617" s="304" t="s">
        <v>1996</v>
      </c>
      <c r="H617" s="316" t="s">
        <v>1997</v>
      </c>
      <c r="I617" s="302"/>
      <c r="J617" s="348">
        <v>1002400</v>
      </c>
      <c r="K617" s="338"/>
    </row>
    <row r="618" spans="2:11" ht="15.75" customHeight="1">
      <c r="B618" s="293">
        <v>583</v>
      </c>
      <c r="C618" s="303"/>
      <c r="D618" s="303"/>
      <c r="E618" s="302" t="s">
        <v>145</v>
      </c>
      <c r="F618" s="295" t="str">
        <f t="shared" si="11"/>
        <v>هزینه کلی موسسه</v>
      </c>
      <c r="G618" s="304" t="s">
        <v>1998</v>
      </c>
      <c r="H618" s="316" t="s">
        <v>1997</v>
      </c>
      <c r="I618" s="302"/>
      <c r="J618" s="348">
        <v>21402400</v>
      </c>
      <c r="K618" s="338"/>
    </row>
    <row r="619" spans="2:11" ht="15.75" customHeight="1">
      <c r="B619" s="293">
        <v>584</v>
      </c>
      <c r="C619" s="303"/>
      <c r="D619" s="303"/>
      <c r="E619" s="302" t="s">
        <v>145</v>
      </c>
      <c r="F619" s="295" t="str">
        <f t="shared" si="11"/>
        <v>هزینه کلی موسسه</v>
      </c>
      <c r="G619" s="304" t="s">
        <v>1999</v>
      </c>
      <c r="H619" s="316" t="s">
        <v>1997</v>
      </c>
      <c r="I619" s="302"/>
      <c r="J619" s="348">
        <v>5302400</v>
      </c>
      <c r="K619" s="338"/>
    </row>
    <row r="620" spans="2:11" ht="15.75" customHeight="1">
      <c r="B620" s="293">
        <v>585</v>
      </c>
      <c r="C620" s="303"/>
      <c r="D620" s="303"/>
      <c r="E620" s="302" t="s">
        <v>145</v>
      </c>
      <c r="F620" s="295" t="str">
        <f t="shared" si="11"/>
        <v>هزینه کلی موسسه</v>
      </c>
      <c r="G620" s="304" t="s">
        <v>2000</v>
      </c>
      <c r="H620" s="316" t="s">
        <v>1997</v>
      </c>
      <c r="I620" s="302"/>
      <c r="J620" s="348">
        <v>1652400</v>
      </c>
      <c r="K620" s="338"/>
    </row>
    <row r="621" spans="2:11" ht="15.75" customHeight="1">
      <c r="B621" s="293">
        <v>586</v>
      </c>
      <c r="C621" s="303"/>
      <c r="D621" s="303"/>
      <c r="E621" s="302" t="s">
        <v>145</v>
      </c>
      <c r="F621" s="295" t="str">
        <f t="shared" si="11"/>
        <v>هزینه کلی موسسه</v>
      </c>
      <c r="G621" s="304" t="s">
        <v>2001</v>
      </c>
      <c r="H621" s="316" t="s">
        <v>1997</v>
      </c>
      <c r="I621" s="302"/>
      <c r="J621" s="348">
        <v>962400</v>
      </c>
      <c r="K621" s="338"/>
    </row>
    <row r="622" spans="2:11" ht="15.75" customHeight="1">
      <c r="B622" s="293">
        <v>587</v>
      </c>
      <c r="C622" s="303"/>
      <c r="D622" s="303"/>
      <c r="E622" s="302" t="s">
        <v>145</v>
      </c>
      <c r="F622" s="295" t="str">
        <f t="shared" si="11"/>
        <v>هزینه کلی موسسه</v>
      </c>
      <c r="G622" s="304" t="s">
        <v>2002</v>
      </c>
      <c r="H622" s="316" t="s">
        <v>1997</v>
      </c>
      <c r="I622" s="302"/>
      <c r="J622" s="348">
        <v>1902400</v>
      </c>
      <c r="K622" s="338"/>
    </row>
    <row r="623" spans="2:11" ht="15.75" customHeight="1">
      <c r="B623" s="293">
        <v>588</v>
      </c>
      <c r="C623" s="303"/>
      <c r="D623" s="303"/>
      <c r="E623" s="302">
        <v>52</v>
      </c>
      <c r="F623" s="295" t="str">
        <f t="shared" si="11"/>
        <v>امیرحسین بنا زاده</v>
      </c>
      <c r="G623" s="304" t="s">
        <v>2035</v>
      </c>
      <c r="H623" s="316" t="s">
        <v>2003</v>
      </c>
      <c r="I623" s="302"/>
      <c r="J623" s="348">
        <v>12500360</v>
      </c>
      <c r="K623" s="338"/>
    </row>
    <row r="624" spans="2:11" ht="15.75" customHeight="1">
      <c r="B624" s="293">
        <v>589</v>
      </c>
      <c r="C624" s="303"/>
      <c r="D624" s="303"/>
      <c r="E624" s="302">
        <v>58</v>
      </c>
      <c r="F624" s="295" t="str">
        <f t="shared" si="11"/>
        <v>بهروز خباز ترشیزی</v>
      </c>
      <c r="G624" s="304" t="s">
        <v>2034</v>
      </c>
      <c r="H624" s="316" t="s">
        <v>2003</v>
      </c>
      <c r="I624" s="302"/>
      <c r="J624" s="348">
        <v>12500360</v>
      </c>
      <c r="K624" s="338"/>
    </row>
    <row r="625" spans="2:11" ht="15.75" customHeight="1">
      <c r="B625" s="293">
        <v>590</v>
      </c>
      <c r="C625" s="303"/>
      <c r="D625" s="303"/>
      <c r="E625" s="302">
        <v>39</v>
      </c>
      <c r="F625" s="295" t="str">
        <f t="shared" si="11"/>
        <v>فاطمه حیدرزاده</v>
      </c>
      <c r="G625" s="304" t="s">
        <v>2033</v>
      </c>
      <c r="H625" s="316" t="s">
        <v>2003</v>
      </c>
      <c r="I625" s="302"/>
      <c r="J625" s="348">
        <v>12500360</v>
      </c>
      <c r="K625" s="338"/>
    </row>
    <row r="626" spans="2:11" ht="15.75" customHeight="1">
      <c r="B626" s="293">
        <v>591</v>
      </c>
      <c r="C626" s="303"/>
      <c r="D626" s="303"/>
      <c r="E626" s="302">
        <v>38</v>
      </c>
      <c r="F626" s="295" t="str">
        <f t="shared" si="11"/>
        <v>حانیه دشتبانی</v>
      </c>
      <c r="G626" s="304" t="s">
        <v>2032</v>
      </c>
      <c r="H626" s="316" t="s">
        <v>2003</v>
      </c>
      <c r="I626" s="302"/>
      <c r="J626" s="348">
        <v>12500360</v>
      </c>
      <c r="K626" s="338"/>
    </row>
    <row r="627" spans="2:11" ht="15.75" customHeight="1">
      <c r="B627" s="293">
        <v>592</v>
      </c>
      <c r="C627" s="303"/>
      <c r="D627" s="303"/>
      <c r="E627" s="302">
        <v>56</v>
      </c>
      <c r="F627" s="295" t="str">
        <f t="shared" si="11"/>
        <v>سارینا داوری</v>
      </c>
      <c r="G627" s="304" t="s">
        <v>2031</v>
      </c>
      <c r="H627" s="316" t="s">
        <v>2003</v>
      </c>
      <c r="I627" s="302"/>
      <c r="J627" s="348">
        <v>12500360</v>
      </c>
      <c r="K627" s="338"/>
    </row>
    <row r="628" spans="2:11" ht="15.75" customHeight="1">
      <c r="B628" s="293">
        <v>593</v>
      </c>
      <c r="C628" s="303"/>
      <c r="D628" s="303"/>
      <c r="E628" s="302">
        <v>50</v>
      </c>
      <c r="F628" s="295" t="str">
        <f t="shared" si="11"/>
        <v>امیر پارسا قویدل</v>
      </c>
      <c r="G628" s="304" t="s">
        <v>2030</v>
      </c>
      <c r="H628" s="316" t="s">
        <v>2003</v>
      </c>
      <c r="I628" s="302"/>
      <c r="J628" s="348">
        <v>10000360</v>
      </c>
      <c r="K628" s="338"/>
    </row>
    <row r="629" spans="2:11" ht="15.75" customHeight="1">
      <c r="B629" s="293">
        <v>564</v>
      </c>
      <c r="C629" s="303"/>
      <c r="D629" s="303"/>
      <c r="E629" s="302">
        <v>53</v>
      </c>
      <c r="F629" s="295" t="str">
        <f t="shared" si="11"/>
        <v>محمد امین تاتاری</v>
      </c>
      <c r="G629" s="304" t="s">
        <v>2029</v>
      </c>
      <c r="H629" s="316" t="s">
        <v>2003</v>
      </c>
      <c r="I629" s="302"/>
      <c r="J629" s="348">
        <v>10000360</v>
      </c>
      <c r="K629" s="338"/>
    </row>
    <row r="630" spans="2:11" ht="15.75" customHeight="1">
      <c r="B630" s="293">
        <v>565</v>
      </c>
      <c r="C630" s="303"/>
      <c r="D630" s="303"/>
      <c r="E630" s="302">
        <v>47</v>
      </c>
      <c r="F630" s="295" t="str">
        <f t="shared" si="11"/>
        <v>امیرحسین محمدزاده</v>
      </c>
      <c r="G630" s="304" t="s">
        <v>2028</v>
      </c>
      <c r="H630" s="316" t="s">
        <v>2003</v>
      </c>
      <c r="I630" s="302"/>
      <c r="J630" s="348">
        <v>15000360</v>
      </c>
      <c r="K630" s="338"/>
    </row>
    <row r="631" spans="2:11" ht="15.75" customHeight="1">
      <c r="B631" s="293">
        <v>566</v>
      </c>
      <c r="C631" s="303"/>
      <c r="D631" s="303"/>
      <c r="E631" s="302">
        <v>41</v>
      </c>
      <c r="F631" s="295" t="str">
        <f t="shared" si="11"/>
        <v>مائده وفای فرخانی</v>
      </c>
      <c r="G631" s="304" t="s">
        <v>2027</v>
      </c>
      <c r="H631" s="316" t="s">
        <v>2003</v>
      </c>
      <c r="I631" s="302"/>
      <c r="J631" s="348">
        <v>15000360</v>
      </c>
      <c r="K631" s="338"/>
    </row>
    <row r="632" spans="2:11" ht="15.75" customHeight="1">
      <c r="B632" s="293">
        <v>567</v>
      </c>
      <c r="C632" s="303"/>
      <c r="D632" s="303"/>
      <c r="E632" s="302">
        <v>46</v>
      </c>
      <c r="F632" s="295" t="str">
        <f t="shared" si="11"/>
        <v>صادق نجمی</v>
      </c>
      <c r="G632" s="304" t="s">
        <v>2026</v>
      </c>
      <c r="H632" s="316" t="s">
        <v>2003</v>
      </c>
      <c r="I632" s="302"/>
      <c r="J632" s="348">
        <v>10000360</v>
      </c>
      <c r="K632" s="338"/>
    </row>
    <row r="633" spans="2:11" ht="15.75" customHeight="1">
      <c r="B633" s="293">
        <v>568</v>
      </c>
      <c r="C633" s="303"/>
      <c r="D633" s="303"/>
      <c r="E633" s="302">
        <v>36</v>
      </c>
      <c r="F633" s="295" t="str">
        <f t="shared" si="11"/>
        <v>هدیه محمد پور جاغرق</v>
      </c>
      <c r="G633" s="304" t="s">
        <v>2025</v>
      </c>
      <c r="H633" s="316" t="s">
        <v>2003</v>
      </c>
      <c r="I633" s="302"/>
      <c r="J633" s="348">
        <v>10000360</v>
      </c>
      <c r="K633" s="338"/>
    </row>
    <row r="634" spans="2:11" ht="15.75" customHeight="1">
      <c r="B634" s="293">
        <v>569</v>
      </c>
      <c r="C634" s="303"/>
      <c r="D634" s="303"/>
      <c r="E634" s="302">
        <v>54</v>
      </c>
      <c r="F634" s="295" t="str">
        <f t="shared" si="11"/>
        <v>فاطمه سادات سلطانی</v>
      </c>
      <c r="G634" s="304" t="s">
        <v>2024</v>
      </c>
      <c r="H634" s="316" t="s">
        <v>2003</v>
      </c>
      <c r="I634" s="302"/>
      <c r="J634" s="348">
        <v>12500360</v>
      </c>
      <c r="K634" s="338"/>
    </row>
    <row r="635" spans="2:11" ht="15.75" customHeight="1">
      <c r="B635" s="293">
        <v>570</v>
      </c>
      <c r="C635" s="303"/>
      <c r="D635" s="303"/>
      <c r="E635" s="302">
        <v>55</v>
      </c>
      <c r="F635" s="295" t="str">
        <f t="shared" si="11"/>
        <v>سحر خادم حقیقی</v>
      </c>
      <c r="G635" s="304" t="s">
        <v>2023</v>
      </c>
      <c r="H635" s="316" t="s">
        <v>2003</v>
      </c>
      <c r="I635" s="302"/>
      <c r="J635" s="348">
        <v>15000360</v>
      </c>
      <c r="K635" s="338"/>
    </row>
    <row r="636" spans="2:11" ht="15.75" customHeight="1">
      <c r="B636" s="293">
        <v>571</v>
      </c>
      <c r="C636" s="303"/>
      <c r="D636" s="303"/>
      <c r="E636" s="302">
        <v>48</v>
      </c>
      <c r="F636" s="295" t="str">
        <f t="shared" si="11"/>
        <v>امیرحسین مودب</v>
      </c>
      <c r="G636" s="304" t="s">
        <v>2022</v>
      </c>
      <c r="H636" s="316" t="s">
        <v>2003</v>
      </c>
      <c r="I636" s="302"/>
      <c r="J636" s="348">
        <v>12500360</v>
      </c>
      <c r="K636" s="338"/>
    </row>
    <row r="637" spans="2:11" ht="15.75" customHeight="1">
      <c r="B637" s="293">
        <v>572</v>
      </c>
      <c r="C637" s="303"/>
      <c r="D637" s="303"/>
      <c r="E637" s="302">
        <v>45</v>
      </c>
      <c r="F637" s="295" t="str">
        <f t="shared" si="11"/>
        <v>احمد خاوری عدل</v>
      </c>
      <c r="G637" s="304" t="s">
        <v>2021</v>
      </c>
      <c r="H637" s="316" t="s">
        <v>2003</v>
      </c>
      <c r="I637" s="302"/>
      <c r="J637" s="348">
        <v>10000360</v>
      </c>
      <c r="K637" s="338"/>
    </row>
    <row r="638" spans="2:11" ht="15.75" customHeight="1">
      <c r="B638" s="293">
        <v>573</v>
      </c>
      <c r="C638" s="303"/>
      <c r="D638" s="303"/>
      <c r="E638" s="302">
        <v>42</v>
      </c>
      <c r="F638" s="295" t="str">
        <f t="shared" si="11"/>
        <v>فرزانه خوشگفتار</v>
      </c>
      <c r="G638" s="304" t="s">
        <v>2020</v>
      </c>
      <c r="H638" s="316" t="s">
        <v>2003</v>
      </c>
      <c r="I638" s="302"/>
      <c r="J638" s="348">
        <v>10000360</v>
      </c>
      <c r="K638" s="338"/>
    </row>
    <row r="639" spans="2:11" ht="15.75" customHeight="1">
      <c r="B639" s="293">
        <v>574</v>
      </c>
      <c r="C639" s="303"/>
      <c r="D639" s="303"/>
      <c r="E639" s="302">
        <v>43</v>
      </c>
      <c r="F639" s="295" t="str">
        <f t="shared" si="11"/>
        <v>فرخنده خوشگفتار</v>
      </c>
      <c r="G639" s="304" t="s">
        <v>2019</v>
      </c>
      <c r="H639" s="316" t="s">
        <v>2003</v>
      </c>
      <c r="I639" s="302"/>
      <c r="J639" s="348">
        <v>10000360</v>
      </c>
      <c r="K639" s="338"/>
    </row>
    <row r="640" spans="2:11" ht="15.75" customHeight="1">
      <c r="B640" s="293">
        <v>575</v>
      </c>
      <c r="C640" s="303"/>
      <c r="D640" s="303"/>
      <c r="E640" s="302">
        <v>37</v>
      </c>
      <c r="F640" s="295" t="str">
        <f t="shared" si="11"/>
        <v>کوثر صفری</v>
      </c>
      <c r="G640" s="304" t="s">
        <v>2018</v>
      </c>
      <c r="H640" s="316" t="s">
        <v>2003</v>
      </c>
      <c r="I640" s="302"/>
      <c r="J640" s="348">
        <v>12500360</v>
      </c>
      <c r="K640" s="338"/>
    </row>
    <row r="641" spans="2:11" ht="15.75" customHeight="1">
      <c r="B641" s="293">
        <v>576</v>
      </c>
      <c r="C641" s="303"/>
      <c r="D641" s="303"/>
      <c r="E641" s="302">
        <v>44</v>
      </c>
      <c r="F641" s="295" t="str">
        <f t="shared" si="11"/>
        <v>ریحانه منفردی</v>
      </c>
      <c r="G641" s="304" t="s">
        <v>2017</v>
      </c>
      <c r="H641" s="316" t="s">
        <v>2003</v>
      </c>
      <c r="I641" s="302"/>
      <c r="J641" s="348">
        <v>12500360</v>
      </c>
      <c r="K641" s="338"/>
    </row>
    <row r="642" spans="2:11" ht="15.75" customHeight="1">
      <c r="B642" s="293">
        <v>577</v>
      </c>
      <c r="C642" s="303"/>
      <c r="D642" s="303"/>
      <c r="E642" s="302">
        <v>57</v>
      </c>
      <c r="F642" s="295" t="str">
        <f t="shared" si="11"/>
        <v>ثمین اکبری شاندیز</v>
      </c>
      <c r="G642" s="304" t="s">
        <v>2016</v>
      </c>
      <c r="H642" s="316" t="s">
        <v>2003</v>
      </c>
      <c r="I642" s="302"/>
      <c r="J642" s="348">
        <v>12500360</v>
      </c>
      <c r="K642" s="338"/>
    </row>
    <row r="643" spans="2:11" ht="15.75" customHeight="1">
      <c r="B643" s="293">
        <v>578</v>
      </c>
      <c r="C643" s="303"/>
      <c r="D643" s="303"/>
      <c r="E643" s="302">
        <v>51</v>
      </c>
      <c r="F643" s="295" t="str">
        <f t="shared" ref="F643:F665" si="12">IF(E643="","",HLOOKUP(E643,eeee,2,0))</f>
        <v>محمدسجاد طوسی گروهی</v>
      </c>
      <c r="G643" s="304" t="s">
        <v>2015</v>
      </c>
      <c r="H643" s="316" t="s">
        <v>2003</v>
      </c>
      <c r="I643" s="302"/>
      <c r="J643" s="348">
        <v>10000360</v>
      </c>
      <c r="K643" s="338"/>
    </row>
    <row r="644" spans="2:11" ht="15.75" customHeight="1">
      <c r="B644" s="293">
        <v>579</v>
      </c>
      <c r="C644" s="303"/>
      <c r="D644" s="303"/>
      <c r="E644" s="302">
        <v>49</v>
      </c>
      <c r="F644" s="295" t="str">
        <f t="shared" si="12"/>
        <v>متین شاملی</v>
      </c>
      <c r="G644" s="304" t="s">
        <v>2014</v>
      </c>
      <c r="H644" s="316" t="s">
        <v>2003</v>
      </c>
      <c r="I644" s="302"/>
      <c r="J644" s="348">
        <v>12500360</v>
      </c>
      <c r="K644" s="338"/>
    </row>
    <row r="645" spans="2:11" ht="15.75" customHeight="1">
      <c r="B645" s="293">
        <v>580</v>
      </c>
      <c r="C645" s="303"/>
      <c r="D645" s="303"/>
      <c r="E645" s="302">
        <v>60</v>
      </c>
      <c r="F645" s="295" t="str">
        <f t="shared" si="12"/>
        <v>نوید مختاریه</v>
      </c>
      <c r="G645" s="304" t="s">
        <v>2004</v>
      </c>
      <c r="H645" s="316" t="s">
        <v>2003</v>
      </c>
      <c r="I645" s="302"/>
      <c r="J645" s="348">
        <v>8252400</v>
      </c>
      <c r="K645" s="338"/>
    </row>
    <row r="646" spans="2:11" ht="15.75" customHeight="1">
      <c r="B646" s="293">
        <v>581</v>
      </c>
      <c r="C646" s="303"/>
      <c r="D646" s="303"/>
      <c r="E646" s="302">
        <v>59</v>
      </c>
      <c r="F646" s="295" t="str">
        <f t="shared" si="12"/>
        <v>زهرا مروی</v>
      </c>
      <c r="G646" s="304" t="s">
        <v>1982</v>
      </c>
      <c r="H646" s="316" t="s">
        <v>2003</v>
      </c>
      <c r="I646" s="302"/>
      <c r="J646" s="348">
        <v>7002400</v>
      </c>
      <c r="K646" s="338"/>
    </row>
    <row r="647" spans="2:11" ht="15.75" customHeight="1">
      <c r="B647" s="293">
        <v>582</v>
      </c>
      <c r="C647" s="303"/>
      <c r="D647" s="303"/>
      <c r="E647" s="302">
        <v>40</v>
      </c>
      <c r="F647" s="295" t="str">
        <f t="shared" si="12"/>
        <v>سیده شقایق محمودی زاده</v>
      </c>
      <c r="G647" s="304" t="s">
        <v>2208</v>
      </c>
      <c r="H647" s="316" t="s">
        <v>2234</v>
      </c>
      <c r="I647" s="302"/>
      <c r="J647" s="348">
        <v>12500360</v>
      </c>
      <c r="K647" s="338"/>
    </row>
    <row r="648" spans="2:11" ht="15.75" customHeight="1">
      <c r="B648" s="293">
        <v>583</v>
      </c>
      <c r="C648" s="303"/>
      <c r="D648" s="303"/>
      <c r="E648" s="302">
        <v>35</v>
      </c>
      <c r="F648" s="295" t="str">
        <f t="shared" si="12"/>
        <v>ثنا پور دوران</v>
      </c>
      <c r="G648" s="304" t="s">
        <v>2209</v>
      </c>
      <c r="H648" s="316" t="s">
        <v>2210</v>
      </c>
      <c r="I648" s="302"/>
      <c r="J648" s="348">
        <v>5002400</v>
      </c>
      <c r="K648" s="338"/>
    </row>
    <row r="649" spans="2:11" ht="15.75" customHeight="1">
      <c r="B649" s="293">
        <v>584</v>
      </c>
      <c r="C649" s="303"/>
      <c r="D649" s="303"/>
      <c r="E649" s="302">
        <v>12</v>
      </c>
      <c r="F649" s="462" t="str">
        <f t="shared" si="12"/>
        <v>الهام صمدی</v>
      </c>
      <c r="G649" s="304" t="s">
        <v>2211</v>
      </c>
      <c r="H649" s="463" t="s">
        <v>2210</v>
      </c>
      <c r="I649" s="302"/>
      <c r="J649" s="464">
        <v>25002500</v>
      </c>
      <c r="K649" s="338"/>
    </row>
    <row r="650" spans="2:11" ht="15.75" customHeight="1">
      <c r="B650" s="293">
        <v>585</v>
      </c>
      <c r="C650" s="303"/>
      <c r="D650" s="303"/>
      <c r="E650" s="302" t="s">
        <v>145</v>
      </c>
      <c r="F650" s="295" t="str">
        <f t="shared" si="12"/>
        <v>هزینه کلی موسسه</v>
      </c>
      <c r="G650" s="304" t="s">
        <v>2212</v>
      </c>
      <c r="H650" s="316" t="s">
        <v>2210</v>
      </c>
      <c r="I650" s="302"/>
      <c r="J650" s="348">
        <v>60006000</v>
      </c>
      <c r="K650" s="338"/>
    </row>
    <row r="651" spans="2:11" ht="15.75" customHeight="1">
      <c r="B651" s="293">
        <v>586</v>
      </c>
      <c r="C651" s="303"/>
      <c r="D651" s="303"/>
      <c r="E651" s="302" t="s">
        <v>145</v>
      </c>
      <c r="F651" s="295" t="str">
        <f t="shared" si="12"/>
        <v>هزینه کلی موسسه</v>
      </c>
      <c r="G651" s="304" t="s">
        <v>2213</v>
      </c>
      <c r="H651" s="316" t="s">
        <v>2210</v>
      </c>
      <c r="I651" s="302"/>
      <c r="J651" s="348">
        <v>1102400</v>
      </c>
      <c r="K651" s="338"/>
    </row>
    <row r="652" spans="2:11" ht="15.75" customHeight="1">
      <c r="B652" s="293">
        <v>587</v>
      </c>
      <c r="C652" s="303"/>
      <c r="D652" s="303"/>
      <c r="E652" s="302" t="s">
        <v>145</v>
      </c>
      <c r="F652" s="295" t="str">
        <f t="shared" si="12"/>
        <v>هزینه کلی موسسه</v>
      </c>
      <c r="G652" s="304" t="s">
        <v>2214</v>
      </c>
      <c r="H652" s="316" t="s">
        <v>2210</v>
      </c>
      <c r="I652" s="302"/>
      <c r="J652" s="348">
        <v>10002400</v>
      </c>
      <c r="K652" s="338"/>
    </row>
    <row r="653" spans="2:11" ht="15.75" customHeight="1">
      <c r="B653" s="293">
        <v>588</v>
      </c>
      <c r="C653" s="303"/>
      <c r="D653" s="303"/>
      <c r="E653" s="302" t="s">
        <v>145</v>
      </c>
      <c r="F653" s="295" t="str">
        <f t="shared" si="12"/>
        <v>هزینه کلی موسسه</v>
      </c>
      <c r="G653" s="304" t="s">
        <v>2216</v>
      </c>
      <c r="H653" s="316" t="s">
        <v>2210</v>
      </c>
      <c r="I653" s="302"/>
      <c r="J653" s="348">
        <v>3302400</v>
      </c>
      <c r="K653" s="338"/>
    </row>
    <row r="654" spans="2:11" ht="15.75" customHeight="1">
      <c r="B654" s="293">
        <v>589</v>
      </c>
      <c r="C654" s="303"/>
      <c r="D654" s="303"/>
      <c r="E654" s="302" t="s">
        <v>145</v>
      </c>
      <c r="F654" s="295" t="str">
        <f t="shared" si="12"/>
        <v>هزینه کلی موسسه</v>
      </c>
      <c r="G654" s="304" t="s">
        <v>2215</v>
      </c>
      <c r="H654" s="316" t="s">
        <v>2210</v>
      </c>
      <c r="I654" s="302"/>
      <c r="J654" s="348">
        <v>6092400</v>
      </c>
      <c r="K654" s="338"/>
    </row>
    <row r="655" spans="2:11" ht="15.75" customHeight="1">
      <c r="B655" s="293">
        <v>590</v>
      </c>
      <c r="C655" s="303"/>
      <c r="D655" s="303"/>
      <c r="E655" s="302" t="s">
        <v>145</v>
      </c>
      <c r="F655" s="295" t="str">
        <f t="shared" si="12"/>
        <v>هزینه کلی موسسه</v>
      </c>
      <c r="G655" s="304" t="s">
        <v>2217</v>
      </c>
      <c r="H655" s="316" t="s">
        <v>2210</v>
      </c>
      <c r="I655" s="302"/>
      <c r="J655" s="348">
        <v>5082400</v>
      </c>
      <c r="K655" s="338"/>
    </row>
    <row r="656" spans="2:11" ht="15.75" customHeight="1">
      <c r="B656" s="293">
        <v>591</v>
      </c>
      <c r="C656" s="303"/>
      <c r="D656" s="303"/>
      <c r="E656" s="302" t="s">
        <v>145</v>
      </c>
      <c r="F656" s="295" t="str">
        <f t="shared" si="12"/>
        <v>هزینه کلی موسسه</v>
      </c>
      <c r="G656" s="304" t="s">
        <v>2218</v>
      </c>
      <c r="H656" s="316" t="s">
        <v>2220</v>
      </c>
      <c r="I656" s="302"/>
      <c r="J656" s="348">
        <v>7502400</v>
      </c>
      <c r="K656" s="338"/>
    </row>
    <row r="657" spans="2:11" ht="15.75" customHeight="1">
      <c r="B657" s="293">
        <v>592</v>
      </c>
      <c r="C657" s="303"/>
      <c r="D657" s="303"/>
      <c r="E657" s="302">
        <v>35</v>
      </c>
      <c r="F657" s="295" t="str">
        <f t="shared" si="12"/>
        <v>ثنا پور دوران</v>
      </c>
      <c r="G657" s="304" t="s">
        <v>2233</v>
      </c>
      <c r="H657" s="316" t="s">
        <v>2229</v>
      </c>
      <c r="I657" s="302"/>
      <c r="J657" s="348">
        <v>10002400</v>
      </c>
      <c r="K657" s="338"/>
    </row>
    <row r="658" spans="2:11" ht="15.75" customHeight="1">
      <c r="B658" s="293">
        <v>593</v>
      </c>
      <c r="C658" s="303"/>
      <c r="D658" s="303"/>
      <c r="E658" s="302">
        <v>47</v>
      </c>
      <c r="F658" s="295" t="str">
        <f t="shared" si="12"/>
        <v>امیرحسین محمدزاده</v>
      </c>
      <c r="G658" s="304" t="s">
        <v>2235</v>
      </c>
      <c r="H658" s="316" t="s">
        <v>2236</v>
      </c>
      <c r="I658" s="302"/>
      <c r="J658" s="348">
        <v>50000360</v>
      </c>
      <c r="K658" s="338"/>
    </row>
    <row r="659" spans="2:11" ht="15.75" customHeight="1">
      <c r="B659" s="293">
        <v>594</v>
      </c>
      <c r="C659" s="303"/>
      <c r="D659" s="303"/>
      <c r="E659" s="302"/>
      <c r="F659" s="295" t="str">
        <f t="shared" si="12"/>
        <v/>
      </c>
      <c r="G659" s="304" t="s">
        <v>2237</v>
      </c>
      <c r="H659" s="316" t="s">
        <v>2238</v>
      </c>
      <c r="I659" s="302"/>
      <c r="J659" s="348">
        <v>2002400</v>
      </c>
      <c r="K659" s="338"/>
    </row>
    <row r="660" spans="2:11" ht="15.75" customHeight="1">
      <c r="B660" s="293">
        <v>595</v>
      </c>
      <c r="C660" s="303"/>
      <c r="D660" s="303"/>
      <c r="E660" s="302"/>
      <c r="F660" s="295" t="str">
        <f t="shared" si="12"/>
        <v/>
      </c>
      <c r="G660" s="304" t="s">
        <v>2239</v>
      </c>
      <c r="H660" s="316" t="s">
        <v>2238</v>
      </c>
      <c r="I660" s="302"/>
      <c r="J660" s="348">
        <v>5252400</v>
      </c>
      <c r="K660" s="338"/>
    </row>
    <row r="661" spans="2:11" ht="15.75" customHeight="1">
      <c r="B661" s="293">
        <v>596</v>
      </c>
      <c r="C661" s="303"/>
      <c r="D661" s="303"/>
      <c r="E661" s="302"/>
      <c r="F661" s="295" t="str">
        <f t="shared" si="12"/>
        <v/>
      </c>
      <c r="G661" s="304" t="s">
        <v>2240</v>
      </c>
      <c r="H661" s="316" t="s">
        <v>2238</v>
      </c>
      <c r="I661" s="302"/>
      <c r="J661" s="348">
        <v>12002400</v>
      </c>
      <c r="K661" s="338"/>
    </row>
    <row r="662" spans="2:11" ht="15.75" customHeight="1">
      <c r="B662" s="293">
        <v>597</v>
      </c>
      <c r="C662" s="303"/>
      <c r="D662" s="303"/>
      <c r="E662" s="302"/>
      <c r="F662" s="295" t="str">
        <f t="shared" si="12"/>
        <v/>
      </c>
      <c r="G662" s="304" t="s">
        <v>2241</v>
      </c>
      <c r="H662" s="316" t="s">
        <v>2238</v>
      </c>
      <c r="I662" s="302"/>
      <c r="J662" s="348">
        <v>1052400</v>
      </c>
      <c r="K662" s="338"/>
    </row>
    <row r="663" spans="2:11" ht="15.75" customHeight="1">
      <c r="B663" s="293">
        <v>598</v>
      </c>
      <c r="C663" s="303"/>
      <c r="D663" s="303"/>
      <c r="E663" s="302"/>
      <c r="F663" s="295" t="str">
        <f t="shared" si="12"/>
        <v/>
      </c>
      <c r="G663" s="304" t="s">
        <v>2242</v>
      </c>
      <c r="H663" s="316" t="s">
        <v>2238</v>
      </c>
      <c r="I663" s="302"/>
      <c r="J663" s="348">
        <v>2872400</v>
      </c>
      <c r="K663" s="338"/>
    </row>
    <row r="664" spans="2:11" ht="15.75" customHeight="1">
      <c r="B664" s="293">
        <v>599</v>
      </c>
      <c r="C664" s="303"/>
      <c r="D664" s="303"/>
      <c r="E664" s="302"/>
      <c r="F664" s="295" t="str">
        <f t="shared" si="12"/>
        <v/>
      </c>
      <c r="G664" s="304" t="s">
        <v>2243</v>
      </c>
      <c r="H664" s="316" t="s">
        <v>2238</v>
      </c>
      <c r="I664" s="302"/>
      <c r="J664" s="348">
        <v>12500360</v>
      </c>
      <c r="K664" s="338"/>
    </row>
    <row r="665" spans="2:11" ht="15.75" customHeight="1">
      <c r="B665" s="293">
        <v>600</v>
      </c>
      <c r="C665" s="303"/>
      <c r="D665" s="303"/>
      <c r="E665" s="302"/>
      <c r="F665" s="295" t="str">
        <f t="shared" si="12"/>
        <v/>
      </c>
      <c r="G665" s="304" t="s">
        <v>2244</v>
      </c>
      <c r="H665" s="316" t="s">
        <v>2238</v>
      </c>
      <c r="I665" s="302"/>
      <c r="J665" s="348">
        <v>10000360</v>
      </c>
      <c r="K665" s="338"/>
    </row>
    <row r="666" spans="2:11" ht="15.75" customHeight="1">
      <c r="B666" s="293">
        <v>601</v>
      </c>
      <c r="C666" s="303"/>
      <c r="D666" s="303"/>
      <c r="E666" s="302"/>
      <c r="F666" s="295" t="str">
        <f t="shared" ref="F666:F706" si="13">IF(E666="","",HLOOKUP(E666,eeee,2,0))</f>
        <v/>
      </c>
      <c r="G666" s="304" t="s">
        <v>2245</v>
      </c>
      <c r="H666" s="316" t="s">
        <v>2238</v>
      </c>
      <c r="I666" s="302"/>
      <c r="J666" s="348">
        <v>15000360</v>
      </c>
      <c r="K666" s="338"/>
    </row>
    <row r="667" spans="2:11" ht="15.75" customHeight="1">
      <c r="B667" s="293">
        <v>602</v>
      </c>
      <c r="C667" s="303"/>
      <c r="D667" s="303"/>
      <c r="E667" s="302"/>
      <c r="F667" s="295" t="str">
        <f t="shared" si="13"/>
        <v/>
      </c>
      <c r="G667" s="304" t="s">
        <v>2246</v>
      </c>
      <c r="H667" s="316" t="s">
        <v>2238</v>
      </c>
      <c r="I667" s="302"/>
      <c r="J667" s="348">
        <v>15000360</v>
      </c>
      <c r="K667" s="338"/>
    </row>
    <row r="668" spans="2:11" ht="15.75" customHeight="1">
      <c r="B668" s="293">
        <v>603</v>
      </c>
      <c r="C668" s="303"/>
      <c r="D668" s="303"/>
      <c r="E668" s="302"/>
      <c r="F668" s="295" t="str">
        <f t="shared" si="13"/>
        <v/>
      </c>
      <c r="G668" s="304" t="s">
        <v>2247</v>
      </c>
      <c r="H668" s="316" t="s">
        <v>2238</v>
      </c>
      <c r="I668" s="302"/>
      <c r="J668" s="348">
        <v>10000360</v>
      </c>
      <c r="K668" s="338"/>
    </row>
    <row r="669" spans="2:11" ht="15.75" customHeight="1">
      <c r="B669" s="293">
        <v>604</v>
      </c>
      <c r="C669" s="303"/>
      <c r="D669" s="303"/>
      <c r="E669" s="302"/>
      <c r="F669" s="295" t="str">
        <f t="shared" si="13"/>
        <v/>
      </c>
      <c r="G669" s="304" t="s">
        <v>2248</v>
      </c>
      <c r="H669" s="316" t="s">
        <v>2238</v>
      </c>
      <c r="I669" s="302"/>
      <c r="J669" s="348">
        <v>10000360</v>
      </c>
      <c r="K669" s="338"/>
    </row>
    <row r="670" spans="2:11" ht="15.75" customHeight="1">
      <c r="B670" s="293">
        <v>605</v>
      </c>
      <c r="C670" s="303"/>
      <c r="D670" s="303"/>
      <c r="E670" s="302"/>
      <c r="F670" s="295" t="str">
        <f t="shared" si="13"/>
        <v/>
      </c>
      <c r="G670" s="304" t="s">
        <v>2249</v>
      </c>
      <c r="H670" s="316" t="s">
        <v>2238</v>
      </c>
      <c r="I670" s="302"/>
      <c r="J670" s="348">
        <v>12500360</v>
      </c>
      <c r="K670" s="338"/>
    </row>
    <row r="671" spans="2:11" ht="15.75" customHeight="1">
      <c r="B671" s="293">
        <v>606</v>
      </c>
      <c r="C671" s="303"/>
      <c r="D671" s="303"/>
      <c r="E671" s="302"/>
      <c r="F671" s="295" t="str">
        <f t="shared" si="13"/>
        <v/>
      </c>
      <c r="G671" s="304" t="s">
        <v>2250</v>
      </c>
      <c r="H671" s="316" t="s">
        <v>2238</v>
      </c>
      <c r="I671" s="302"/>
      <c r="J671" s="348">
        <v>15000360</v>
      </c>
      <c r="K671" s="338"/>
    </row>
    <row r="672" spans="2:11" ht="15.75" customHeight="1">
      <c r="B672" s="293">
        <v>607</v>
      </c>
      <c r="C672" s="303"/>
      <c r="D672" s="303"/>
      <c r="E672" s="302"/>
      <c r="F672" s="295" t="str">
        <f t="shared" si="13"/>
        <v/>
      </c>
      <c r="G672" s="304" t="s">
        <v>2251</v>
      </c>
      <c r="H672" s="316" t="s">
        <v>2238</v>
      </c>
      <c r="I672" s="302"/>
      <c r="J672" s="348">
        <v>12500360</v>
      </c>
      <c r="K672" s="338"/>
    </row>
    <row r="673" spans="2:11" ht="15.75" customHeight="1">
      <c r="B673" s="293">
        <v>608</v>
      </c>
      <c r="C673" s="303"/>
      <c r="D673" s="303"/>
      <c r="E673" s="302"/>
      <c r="F673" s="295" t="str">
        <f t="shared" si="13"/>
        <v/>
      </c>
      <c r="G673" s="304" t="s">
        <v>2252</v>
      </c>
      <c r="H673" s="316" t="s">
        <v>2238</v>
      </c>
      <c r="I673" s="302"/>
      <c r="J673" s="348">
        <v>10000360</v>
      </c>
      <c r="K673" s="338"/>
    </row>
    <row r="674" spans="2:11" ht="15.75" customHeight="1">
      <c r="B674" s="293">
        <v>609</v>
      </c>
      <c r="C674" s="303"/>
      <c r="D674" s="303"/>
      <c r="E674" s="302"/>
      <c r="F674" s="295" t="str">
        <f t="shared" si="13"/>
        <v/>
      </c>
      <c r="G674" s="304" t="s">
        <v>2253</v>
      </c>
      <c r="H674" s="316" t="s">
        <v>2238</v>
      </c>
      <c r="I674" s="302"/>
      <c r="J674" s="348">
        <v>10000360</v>
      </c>
      <c r="K674" s="338"/>
    </row>
    <row r="675" spans="2:11" ht="15.75" customHeight="1">
      <c r="B675" s="293">
        <v>610</v>
      </c>
      <c r="C675" s="303"/>
      <c r="D675" s="303"/>
      <c r="E675" s="302"/>
      <c r="F675" s="295" t="str">
        <f t="shared" si="13"/>
        <v/>
      </c>
      <c r="G675" s="304" t="s">
        <v>2254</v>
      </c>
      <c r="H675" s="316" t="s">
        <v>2238</v>
      </c>
      <c r="I675" s="302"/>
      <c r="J675" s="348">
        <v>10000360</v>
      </c>
      <c r="K675" s="338"/>
    </row>
    <row r="676" spans="2:11" ht="15.75" customHeight="1">
      <c r="B676" s="293">
        <v>611</v>
      </c>
      <c r="C676" s="303"/>
      <c r="D676" s="303"/>
      <c r="E676" s="302"/>
      <c r="F676" s="295" t="str">
        <f t="shared" si="13"/>
        <v/>
      </c>
      <c r="G676" s="304" t="s">
        <v>2255</v>
      </c>
      <c r="H676" s="316" t="s">
        <v>2238</v>
      </c>
      <c r="I676" s="302"/>
      <c r="J676" s="348">
        <v>12500360</v>
      </c>
      <c r="K676" s="338"/>
    </row>
    <row r="677" spans="2:11" ht="15.75" customHeight="1">
      <c r="B677" s="293">
        <v>612</v>
      </c>
      <c r="C677" s="303"/>
      <c r="D677" s="303"/>
      <c r="E677" s="302"/>
      <c r="F677" s="295" t="str">
        <f t="shared" si="13"/>
        <v/>
      </c>
      <c r="G677" s="304" t="s">
        <v>2256</v>
      </c>
      <c r="H677" s="316" t="s">
        <v>2238</v>
      </c>
      <c r="I677" s="302"/>
      <c r="J677" s="348">
        <v>12500360</v>
      </c>
      <c r="K677" s="338"/>
    </row>
    <row r="678" spans="2:11" ht="15.75" customHeight="1">
      <c r="B678" s="293">
        <v>613</v>
      </c>
      <c r="C678" s="303"/>
      <c r="D678" s="303"/>
      <c r="E678" s="302"/>
      <c r="F678" s="295" t="str">
        <f t="shared" si="13"/>
        <v/>
      </c>
      <c r="G678" s="304" t="s">
        <v>2257</v>
      </c>
      <c r="H678" s="316" t="s">
        <v>2238</v>
      </c>
      <c r="I678" s="302"/>
      <c r="J678" s="348">
        <v>12500360</v>
      </c>
      <c r="K678" s="338"/>
    </row>
    <row r="679" spans="2:11" ht="15.75" customHeight="1">
      <c r="B679" s="293">
        <v>614</v>
      </c>
      <c r="C679" s="303"/>
      <c r="D679" s="303"/>
      <c r="E679" s="302"/>
      <c r="F679" s="295" t="str">
        <f t="shared" si="13"/>
        <v/>
      </c>
      <c r="G679" s="304" t="s">
        <v>2258</v>
      </c>
      <c r="H679" s="316" t="s">
        <v>2238</v>
      </c>
      <c r="I679" s="302"/>
      <c r="J679" s="348">
        <v>12500360</v>
      </c>
      <c r="K679" s="338"/>
    </row>
    <row r="680" spans="2:11" ht="15.75" customHeight="1">
      <c r="B680" s="293">
        <v>615</v>
      </c>
      <c r="C680" s="303"/>
      <c r="D680" s="303"/>
      <c r="E680" s="302"/>
      <c r="F680" s="295" t="str">
        <f t="shared" si="13"/>
        <v/>
      </c>
      <c r="G680" s="304" t="s">
        <v>2259</v>
      </c>
      <c r="H680" s="316" t="s">
        <v>2238</v>
      </c>
      <c r="I680" s="302"/>
      <c r="J680" s="348">
        <v>12500360</v>
      </c>
      <c r="K680" s="338"/>
    </row>
    <row r="681" spans="2:11" ht="15.75" customHeight="1">
      <c r="B681" s="293">
        <v>616</v>
      </c>
      <c r="C681" s="303"/>
      <c r="D681" s="303"/>
      <c r="E681" s="302"/>
      <c r="F681" s="295" t="str">
        <f t="shared" si="13"/>
        <v/>
      </c>
      <c r="G681" s="304" t="s">
        <v>2260</v>
      </c>
      <c r="H681" s="316" t="s">
        <v>2238</v>
      </c>
      <c r="I681" s="302"/>
      <c r="J681" s="348">
        <v>12500360</v>
      </c>
      <c r="K681" s="338"/>
    </row>
    <row r="682" spans="2:11" ht="15.75" customHeight="1">
      <c r="B682" s="293">
        <v>617</v>
      </c>
      <c r="C682" s="303"/>
      <c r="D682" s="303"/>
      <c r="E682" s="302"/>
      <c r="F682" s="295" t="str">
        <f t="shared" si="13"/>
        <v/>
      </c>
      <c r="G682" s="304" t="s">
        <v>2261</v>
      </c>
      <c r="H682" s="316" t="s">
        <v>2238</v>
      </c>
      <c r="I682" s="302"/>
      <c r="J682" s="348">
        <v>12500360</v>
      </c>
      <c r="K682" s="338"/>
    </row>
    <row r="683" spans="2:11" ht="15.75" customHeight="1">
      <c r="B683" s="293">
        <v>618</v>
      </c>
      <c r="C683" s="303"/>
      <c r="D683" s="303"/>
      <c r="E683" s="302"/>
      <c r="F683" s="295" t="str">
        <f t="shared" si="13"/>
        <v/>
      </c>
      <c r="G683" s="304" t="s">
        <v>2262</v>
      </c>
      <c r="H683" s="316" t="s">
        <v>2238</v>
      </c>
      <c r="I683" s="302"/>
      <c r="J683" s="348">
        <v>12500360</v>
      </c>
      <c r="K683" s="338"/>
    </row>
    <row r="684" spans="2:11" ht="15.75" customHeight="1">
      <c r="B684" s="293">
        <v>619</v>
      </c>
      <c r="C684" s="303"/>
      <c r="D684" s="303"/>
      <c r="E684" s="302"/>
      <c r="F684" s="295" t="str">
        <f t="shared" si="13"/>
        <v/>
      </c>
      <c r="G684" s="304" t="s">
        <v>2263</v>
      </c>
      <c r="H684" s="316" t="s">
        <v>2264</v>
      </c>
      <c r="I684" s="302"/>
      <c r="J684" s="348">
        <v>60006000</v>
      </c>
      <c r="K684" s="338"/>
    </row>
    <row r="685" spans="2:11" ht="15.75" customHeight="1">
      <c r="B685" s="293">
        <v>620</v>
      </c>
      <c r="C685" s="303"/>
      <c r="D685" s="303"/>
      <c r="E685" s="302"/>
      <c r="F685" s="295" t="str">
        <f t="shared" si="13"/>
        <v/>
      </c>
      <c r="G685" s="304" t="s">
        <v>1783</v>
      </c>
      <c r="H685" s="316" t="s">
        <v>2264</v>
      </c>
      <c r="I685" s="302"/>
      <c r="J685" s="348">
        <v>10002400</v>
      </c>
      <c r="K685" s="338"/>
    </row>
    <row r="686" spans="2:11" ht="15.75" customHeight="1">
      <c r="B686" s="293">
        <v>621</v>
      </c>
      <c r="C686" s="303"/>
      <c r="D686" s="303"/>
      <c r="E686" s="302"/>
      <c r="F686" s="295" t="str">
        <f t="shared" si="13"/>
        <v/>
      </c>
      <c r="G686" s="304" t="s">
        <v>2265</v>
      </c>
      <c r="H686" s="316" t="s">
        <v>2264</v>
      </c>
      <c r="I686" s="302"/>
      <c r="J686" s="348">
        <v>5002400</v>
      </c>
      <c r="K686" s="338"/>
    </row>
    <row r="687" spans="2:11" ht="15.75" customHeight="1">
      <c r="B687" s="293">
        <v>622</v>
      </c>
      <c r="C687" s="303"/>
      <c r="D687" s="303"/>
      <c r="E687" s="302">
        <v>12</v>
      </c>
      <c r="F687" s="462" t="str">
        <f t="shared" si="13"/>
        <v>الهام صمدی</v>
      </c>
      <c r="G687" s="304" t="s">
        <v>2266</v>
      </c>
      <c r="H687" s="463" t="s">
        <v>2270</v>
      </c>
      <c r="I687" s="302"/>
      <c r="J687" s="464">
        <v>3362400</v>
      </c>
      <c r="K687" s="338"/>
    </row>
    <row r="688" spans="2:11" ht="15.75" customHeight="1">
      <c r="B688" s="293">
        <v>623</v>
      </c>
      <c r="C688" s="303"/>
      <c r="D688" s="303"/>
      <c r="E688" s="302"/>
      <c r="F688" s="295" t="str">
        <f t="shared" si="13"/>
        <v/>
      </c>
      <c r="G688" s="304" t="s">
        <v>2267</v>
      </c>
      <c r="H688" s="316" t="s">
        <v>2270</v>
      </c>
      <c r="I688" s="302"/>
      <c r="J688" s="348">
        <v>5302400</v>
      </c>
      <c r="K688" s="338"/>
    </row>
    <row r="689" spans="2:11" ht="15.75" customHeight="1">
      <c r="B689" s="293">
        <v>624</v>
      </c>
      <c r="C689" s="303"/>
      <c r="D689" s="303"/>
      <c r="E689" s="302"/>
      <c r="F689" s="295" t="str">
        <f t="shared" si="13"/>
        <v/>
      </c>
      <c r="G689" s="304" t="s">
        <v>2268</v>
      </c>
      <c r="H689" s="316" t="s">
        <v>2270</v>
      </c>
      <c r="I689" s="302"/>
      <c r="J689" s="348">
        <v>752400</v>
      </c>
      <c r="K689" s="338"/>
    </row>
    <row r="690" spans="2:11" ht="15.75" customHeight="1">
      <c r="B690" s="293">
        <v>625</v>
      </c>
      <c r="C690" s="303"/>
      <c r="D690" s="303"/>
      <c r="E690" s="302"/>
      <c r="F690" s="295" t="str">
        <f t="shared" si="13"/>
        <v/>
      </c>
      <c r="G690" s="304" t="s">
        <v>2269</v>
      </c>
      <c r="H690" s="316" t="s">
        <v>2270</v>
      </c>
      <c r="I690" s="302"/>
      <c r="J690" s="348">
        <v>5502400</v>
      </c>
      <c r="K690" s="338"/>
    </row>
    <row r="691" spans="2:11" ht="15.75" customHeight="1">
      <c r="B691" s="293">
        <v>626</v>
      </c>
      <c r="C691" s="303"/>
      <c r="D691" s="303"/>
      <c r="E691" s="302"/>
      <c r="F691" s="295" t="str">
        <f t="shared" si="13"/>
        <v/>
      </c>
      <c r="G691" s="304" t="s">
        <v>2271</v>
      </c>
      <c r="H691" s="316" t="s">
        <v>2270</v>
      </c>
      <c r="I691" s="302"/>
      <c r="J691" s="348">
        <v>1202400</v>
      </c>
      <c r="K691" s="338"/>
    </row>
    <row r="692" spans="2:11" ht="15.75" customHeight="1">
      <c r="B692" s="293">
        <v>627</v>
      </c>
      <c r="C692" s="303"/>
      <c r="D692" s="303"/>
      <c r="E692" s="302"/>
      <c r="F692" s="295" t="str">
        <f t="shared" si="13"/>
        <v/>
      </c>
      <c r="G692" s="304" t="s">
        <v>2272</v>
      </c>
      <c r="H692" s="316" t="s">
        <v>2270</v>
      </c>
      <c r="I692" s="302"/>
      <c r="J692" s="348">
        <v>1052400</v>
      </c>
      <c r="K692" s="338"/>
    </row>
    <row r="693" spans="2:11" ht="15.75" customHeight="1">
      <c r="B693" s="293">
        <v>628</v>
      </c>
      <c r="C693" s="303"/>
      <c r="D693" s="303"/>
      <c r="E693" s="302"/>
      <c r="F693" s="295" t="str">
        <f t="shared" si="13"/>
        <v/>
      </c>
      <c r="G693" s="304" t="s">
        <v>1982</v>
      </c>
      <c r="H693" s="316" t="s">
        <v>2270</v>
      </c>
      <c r="I693" s="302"/>
      <c r="J693" s="348">
        <v>9252400</v>
      </c>
      <c r="K693" s="338"/>
    </row>
    <row r="694" spans="2:11" ht="15.75" customHeight="1">
      <c r="B694" s="293">
        <v>629</v>
      </c>
      <c r="C694" s="303"/>
      <c r="D694" s="303"/>
      <c r="E694" s="302"/>
      <c r="F694" s="295" t="str">
        <f t="shared" si="13"/>
        <v/>
      </c>
      <c r="G694" s="304" t="s">
        <v>2004</v>
      </c>
      <c r="H694" s="316" t="s">
        <v>2270</v>
      </c>
      <c r="I694" s="302"/>
      <c r="J694" s="348">
        <v>10002400</v>
      </c>
      <c r="K694" s="338"/>
    </row>
    <row r="695" spans="2:11" ht="15.75" customHeight="1">
      <c r="B695" s="293">
        <v>630</v>
      </c>
      <c r="C695" s="303"/>
      <c r="D695" s="303"/>
      <c r="E695" s="302"/>
      <c r="F695" s="295" t="str">
        <f t="shared" si="13"/>
        <v/>
      </c>
      <c r="G695" s="304" t="s">
        <v>2273</v>
      </c>
      <c r="H695" s="316" t="s">
        <v>2270</v>
      </c>
      <c r="I695" s="302"/>
      <c r="J695" s="348">
        <v>5002400</v>
      </c>
      <c r="K695" s="338"/>
    </row>
    <row r="696" spans="2:11" ht="15.75" customHeight="1">
      <c r="B696" s="293">
        <v>631</v>
      </c>
      <c r="C696" s="303"/>
      <c r="D696" s="303"/>
      <c r="E696" s="302"/>
      <c r="F696" s="295" t="str">
        <f t="shared" si="13"/>
        <v/>
      </c>
      <c r="G696" s="304" t="s">
        <v>2274</v>
      </c>
      <c r="H696" s="316" t="s">
        <v>2275</v>
      </c>
      <c r="I696" s="302"/>
      <c r="J696" s="348">
        <v>51625160</v>
      </c>
      <c r="K696" s="338"/>
    </row>
    <row r="697" spans="2:11" ht="15.75" customHeight="1">
      <c r="B697" s="293">
        <v>632</v>
      </c>
      <c r="C697" s="303"/>
      <c r="D697" s="303"/>
      <c r="E697" s="302"/>
      <c r="F697" s="295" t="str">
        <f t="shared" si="13"/>
        <v/>
      </c>
      <c r="G697" s="304" t="s">
        <v>2276</v>
      </c>
      <c r="H697" s="316" t="s">
        <v>2277</v>
      </c>
      <c r="I697" s="302"/>
      <c r="J697" s="348">
        <v>24002400</v>
      </c>
      <c r="K697" s="338"/>
    </row>
    <row r="698" spans="2:11" ht="15.75" customHeight="1">
      <c r="B698" s="293">
        <v>633</v>
      </c>
      <c r="C698" s="303"/>
      <c r="D698" s="303"/>
      <c r="E698" s="302"/>
      <c r="F698" s="295" t="str">
        <f t="shared" si="13"/>
        <v/>
      </c>
      <c r="G698" s="304" t="s">
        <v>1977</v>
      </c>
      <c r="H698" s="316" t="s">
        <v>2277</v>
      </c>
      <c r="I698" s="302"/>
      <c r="J698" s="348">
        <v>2872400</v>
      </c>
      <c r="K698" s="338"/>
    </row>
    <row r="699" spans="2:11" ht="15.75" customHeight="1">
      <c r="B699" s="293">
        <v>634</v>
      </c>
      <c r="C699" s="303"/>
      <c r="D699" s="303"/>
      <c r="E699" s="302"/>
      <c r="F699" s="295" t="str">
        <f t="shared" si="13"/>
        <v/>
      </c>
      <c r="G699" s="304" t="s">
        <v>1858</v>
      </c>
      <c r="H699" s="316" t="s">
        <v>2302</v>
      </c>
      <c r="I699" s="302"/>
      <c r="J699" s="348">
        <v>3002400</v>
      </c>
      <c r="K699" s="338"/>
    </row>
    <row r="700" spans="2:11" ht="15.75" customHeight="1">
      <c r="B700" s="293">
        <v>635</v>
      </c>
      <c r="C700" s="303"/>
      <c r="D700" s="303"/>
      <c r="E700" s="302"/>
      <c r="F700" s="295" t="str">
        <f t="shared" si="13"/>
        <v/>
      </c>
      <c r="G700" s="304" t="s">
        <v>2727</v>
      </c>
      <c r="H700" s="316" t="s">
        <v>2302</v>
      </c>
      <c r="I700" s="302"/>
      <c r="J700" s="348">
        <v>60006000</v>
      </c>
      <c r="K700" s="338"/>
    </row>
    <row r="701" spans="2:11" ht="15.75" customHeight="1">
      <c r="B701" s="293">
        <v>636</v>
      </c>
      <c r="C701" s="303"/>
      <c r="D701" s="303"/>
      <c r="E701" s="302"/>
      <c r="F701" s="295" t="str">
        <f t="shared" si="13"/>
        <v/>
      </c>
      <c r="G701" s="304" t="s">
        <v>2271</v>
      </c>
      <c r="H701" s="316" t="s">
        <v>2302</v>
      </c>
      <c r="I701" s="302"/>
      <c r="J701" s="348">
        <v>1002400</v>
      </c>
      <c r="K701" s="338"/>
    </row>
    <row r="702" spans="2:11" ht="15.75" customHeight="1">
      <c r="B702" s="293">
        <v>637</v>
      </c>
      <c r="C702" s="303"/>
      <c r="D702" s="303"/>
      <c r="E702" s="302"/>
      <c r="F702" s="295" t="str">
        <f t="shared" si="13"/>
        <v/>
      </c>
      <c r="G702" s="304" t="s">
        <v>2728</v>
      </c>
      <c r="H702" s="316" t="s">
        <v>2302</v>
      </c>
      <c r="I702" s="302"/>
      <c r="J702" s="348">
        <v>3502400</v>
      </c>
      <c r="K702" s="338"/>
    </row>
    <row r="703" spans="2:11" ht="15.75" customHeight="1">
      <c r="B703" s="293">
        <v>638</v>
      </c>
      <c r="C703" s="303"/>
      <c r="D703" s="303"/>
      <c r="E703" s="302"/>
      <c r="F703" s="295" t="str">
        <f t="shared" si="13"/>
        <v/>
      </c>
      <c r="G703" s="304" t="s">
        <v>1783</v>
      </c>
      <c r="H703" s="316" t="s">
        <v>2302</v>
      </c>
      <c r="I703" s="302"/>
      <c r="J703" s="348">
        <v>10002400</v>
      </c>
      <c r="K703" s="338"/>
    </row>
    <row r="704" spans="2:11" ht="15.75" customHeight="1">
      <c r="B704" s="293">
        <v>639</v>
      </c>
      <c r="C704" s="303"/>
      <c r="D704" s="303"/>
      <c r="E704" s="302"/>
      <c r="F704" s="295" t="str">
        <f t="shared" si="13"/>
        <v/>
      </c>
      <c r="G704" s="304" t="s">
        <v>1688</v>
      </c>
      <c r="H704" s="316" t="s">
        <v>2302</v>
      </c>
      <c r="I704" s="302"/>
      <c r="J704" s="348">
        <v>60006000</v>
      </c>
      <c r="K704" s="338"/>
    </row>
    <row r="705" spans="2:11" ht="15.75" customHeight="1">
      <c r="B705" s="293">
        <v>640</v>
      </c>
      <c r="C705" s="303"/>
      <c r="D705" s="303"/>
      <c r="E705" s="302"/>
      <c r="F705" s="295" t="str">
        <f t="shared" si="13"/>
        <v/>
      </c>
      <c r="G705" s="304" t="s">
        <v>2730</v>
      </c>
      <c r="H705" s="316" t="s">
        <v>2729</v>
      </c>
      <c r="I705" s="302"/>
      <c r="J705" s="348">
        <v>5002400</v>
      </c>
      <c r="K705" s="338"/>
    </row>
    <row r="706" spans="2:11" ht="15.75" customHeight="1">
      <c r="B706" s="293">
        <v>641</v>
      </c>
      <c r="C706" s="303"/>
      <c r="D706" s="303"/>
      <c r="E706" s="302"/>
      <c r="F706" s="295" t="str">
        <f t="shared" si="13"/>
        <v/>
      </c>
      <c r="G706" s="304" t="s">
        <v>2731</v>
      </c>
      <c r="H706" s="316" t="s">
        <v>2729</v>
      </c>
      <c r="I706" s="302"/>
      <c r="J706" s="348">
        <v>500030000</v>
      </c>
      <c r="K706" s="338"/>
    </row>
    <row r="707" spans="2:11" ht="15.75" customHeight="1">
      <c r="B707" s="293">
        <v>642</v>
      </c>
      <c r="C707" s="303"/>
      <c r="D707" s="303"/>
      <c r="E707" s="302"/>
      <c r="F707" s="295" t="str">
        <f t="shared" ref="F707:F770" si="14">IF(E707="","",HLOOKUP(E707,eeee,2,0))</f>
        <v/>
      </c>
      <c r="G707" s="304" t="s">
        <v>2004</v>
      </c>
      <c r="H707" s="316" t="s">
        <v>2729</v>
      </c>
      <c r="I707" s="302"/>
      <c r="J707" s="348">
        <v>10002400</v>
      </c>
      <c r="K707" s="338"/>
    </row>
    <row r="708" spans="2:11" ht="15.75" customHeight="1">
      <c r="B708" s="293">
        <v>643</v>
      </c>
      <c r="C708" s="303"/>
      <c r="D708" s="303"/>
      <c r="E708" s="302"/>
      <c r="F708" s="295" t="str">
        <f t="shared" si="14"/>
        <v/>
      </c>
      <c r="G708" s="304" t="s">
        <v>1982</v>
      </c>
      <c r="H708" s="316" t="s">
        <v>2729</v>
      </c>
      <c r="I708" s="302"/>
      <c r="J708" s="348">
        <v>9252400</v>
      </c>
      <c r="K708" s="338"/>
    </row>
    <row r="709" spans="2:11" ht="15.75" customHeight="1">
      <c r="B709" s="293">
        <v>644</v>
      </c>
      <c r="C709" s="303"/>
      <c r="D709" s="303"/>
      <c r="E709" s="302"/>
      <c r="F709" s="295" t="str">
        <f t="shared" si="14"/>
        <v/>
      </c>
      <c r="G709" s="304" t="s">
        <v>2732</v>
      </c>
      <c r="H709" s="316" t="s">
        <v>2729</v>
      </c>
      <c r="I709" s="302"/>
      <c r="J709" s="348">
        <v>3502400</v>
      </c>
      <c r="K709" s="338"/>
    </row>
    <row r="710" spans="2:11" ht="15.75" customHeight="1">
      <c r="B710" s="293">
        <v>645</v>
      </c>
      <c r="C710" s="303"/>
      <c r="D710" s="303"/>
      <c r="E710" s="302"/>
      <c r="F710" s="295" t="str">
        <f t="shared" si="14"/>
        <v/>
      </c>
      <c r="G710" s="304" t="s">
        <v>1993</v>
      </c>
      <c r="H710" s="316" t="s">
        <v>2729</v>
      </c>
      <c r="I710" s="302"/>
      <c r="J710" s="348">
        <v>5002400</v>
      </c>
      <c r="K710" s="338"/>
    </row>
    <row r="711" spans="2:11" ht="15.75" customHeight="1">
      <c r="B711" s="293">
        <v>646</v>
      </c>
      <c r="C711" s="303"/>
      <c r="D711" s="303"/>
      <c r="E711" s="302"/>
      <c r="F711" s="295" t="str">
        <f t="shared" si="14"/>
        <v/>
      </c>
      <c r="G711" s="304" t="s">
        <v>2733</v>
      </c>
      <c r="H711" s="316" t="s">
        <v>2729</v>
      </c>
      <c r="I711" s="302"/>
      <c r="J711" s="348">
        <v>5002400</v>
      </c>
      <c r="K711" s="338"/>
    </row>
    <row r="712" spans="2:11" ht="15.75" customHeight="1">
      <c r="B712" s="293">
        <v>647</v>
      </c>
      <c r="C712" s="303"/>
      <c r="D712" s="303"/>
      <c r="E712" s="302"/>
      <c r="F712" s="295" t="str">
        <f t="shared" si="14"/>
        <v/>
      </c>
      <c r="G712" s="304" t="s">
        <v>2265</v>
      </c>
      <c r="H712" s="316" t="s">
        <v>2348</v>
      </c>
      <c r="I712" s="302"/>
      <c r="J712" s="348">
        <v>5002400</v>
      </c>
      <c r="K712" s="338"/>
    </row>
    <row r="713" spans="2:11" ht="15.75" customHeight="1">
      <c r="B713" s="293">
        <v>648</v>
      </c>
      <c r="C713" s="303"/>
      <c r="D713" s="303"/>
      <c r="E713" s="302"/>
      <c r="F713" s="295" t="str">
        <f t="shared" si="14"/>
        <v/>
      </c>
      <c r="G713" s="304" t="s">
        <v>1858</v>
      </c>
      <c r="H713" s="316" t="s">
        <v>2348</v>
      </c>
      <c r="I713" s="302"/>
      <c r="J713" s="348">
        <v>2502400</v>
      </c>
      <c r="K713" s="338"/>
    </row>
    <row r="714" spans="2:11" ht="15.75" customHeight="1">
      <c r="B714" s="293">
        <v>649</v>
      </c>
      <c r="C714" s="303"/>
      <c r="D714" s="303"/>
      <c r="E714" s="302"/>
      <c r="F714" s="295" t="str">
        <f t="shared" si="14"/>
        <v/>
      </c>
      <c r="G714" s="304" t="s">
        <v>2735</v>
      </c>
      <c r="H714" s="316" t="s">
        <v>2348</v>
      </c>
      <c r="I714" s="302"/>
      <c r="J714" s="348">
        <v>2522400</v>
      </c>
      <c r="K714" s="338"/>
    </row>
    <row r="715" spans="2:11" ht="15.75" customHeight="1">
      <c r="B715" s="293">
        <v>650</v>
      </c>
      <c r="C715" s="303"/>
      <c r="D715" s="303"/>
      <c r="E715" s="302"/>
      <c r="F715" s="295" t="str">
        <f t="shared" si="14"/>
        <v/>
      </c>
      <c r="G715" s="304" t="s">
        <v>2736</v>
      </c>
      <c r="H715" s="316" t="s">
        <v>2348</v>
      </c>
      <c r="I715" s="302"/>
      <c r="J715" s="348">
        <v>200020000</v>
      </c>
      <c r="K715" s="338"/>
    </row>
    <row r="716" spans="2:11" ht="15.75" customHeight="1">
      <c r="B716" s="293">
        <v>651</v>
      </c>
      <c r="C716" s="303"/>
      <c r="D716" s="303"/>
      <c r="E716" s="302"/>
      <c r="F716" s="295" t="str">
        <f t="shared" si="14"/>
        <v/>
      </c>
      <c r="G716" s="304" t="s">
        <v>1694</v>
      </c>
      <c r="H716" s="316" t="s">
        <v>2348</v>
      </c>
      <c r="I716" s="302"/>
      <c r="J716" s="348">
        <v>60006000</v>
      </c>
      <c r="K716" s="338"/>
    </row>
    <row r="717" spans="2:11" ht="15.75" customHeight="1">
      <c r="B717" s="293">
        <v>652</v>
      </c>
      <c r="C717" s="303"/>
      <c r="D717" s="303"/>
      <c r="E717" s="302"/>
      <c r="F717" s="295" t="str">
        <f t="shared" si="14"/>
        <v/>
      </c>
      <c r="G717" s="304" t="s">
        <v>2737</v>
      </c>
      <c r="H717" s="316" t="s">
        <v>2348</v>
      </c>
      <c r="I717" s="302"/>
      <c r="J717" s="348">
        <v>60006000</v>
      </c>
      <c r="K717" s="338"/>
    </row>
    <row r="718" spans="2:11" ht="15.75" customHeight="1">
      <c r="B718" s="293">
        <v>653</v>
      </c>
      <c r="C718" s="303"/>
      <c r="D718" s="303"/>
      <c r="E718" s="302"/>
      <c r="F718" s="295" t="str">
        <f t="shared" si="14"/>
        <v/>
      </c>
      <c r="G718" s="304" t="s">
        <v>1783</v>
      </c>
      <c r="H718" s="316" t="s">
        <v>2348</v>
      </c>
      <c r="I718" s="302"/>
      <c r="J718" s="348">
        <v>10002400</v>
      </c>
      <c r="K718" s="338"/>
    </row>
    <row r="719" spans="2:11" ht="15.75" customHeight="1">
      <c r="B719" s="293">
        <v>654</v>
      </c>
      <c r="C719" s="303"/>
      <c r="D719" s="303"/>
      <c r="E719" s="302"/>
      <c r="F719" s="295" t="str">
        <f t="shared" si="14"/>
        <v/>
      </c>
      <c r="G719" s="304" t="s">
        <v>2733</v>
      </c>
      <c r="H719" s="316" t="s">
        <v>2348</v>
      </c>
      <c r="I719" s="302"/>
      <c r="J719" s="348">
        <v>5002400</v>
      </c>
      <c r="K719" s="338"/>
    </row>
    <row r="720" spans="2:11" ht="15.75" customHeight="1">
      <c r="B720" s="293">
        <v>655</v>
      </c>
      <c r="C720" s="303"/>
      <c r="D720" s="303"/>
      <c r="E720" s="302"/>
      <c r="F720" s="295" t="str">
        <f t="shared" si="14"/>
        <v/>
      </c>
      <c r="G720" s="304" t="s">
        <v>2738</v>
      </c>
      <c r="H720" s="316" t="s">
        <v>2734</v>
      </c>
      <c r="I720" s="302"/>
      <c r="J720" s="348">
        <v>15000360</v>
      </c>
      <c r="K720" s="338"/>
    </row>
    <row r="721" spans="2:11" ht="15.75" customHeight="1">
      <c r="B721" s="293">
        <v>656</v>
      </c>
      <c r="C721" s="303"/>
      <c r="D721" s="303"/>
      <c r="E721" s="302"/>
      <c r="F721" s="295" t="str">
        <f t="shared" si="14"/>
        <v/>
      </c>
      <c r="G721" s="304" t="s">
        <v>2739</v>
      </c>
      <c r="H721" s="316" t="s">
        <v>2734</v>
      </c>
      <c r="I721" s="302"/>
      <c r="J721" s="348">
        <v>15000360</v>
      </c>
      <c r="K721" s="338"/>
    </row>
    <row r="722" spans="2:11" ht="15.75" customHeight="1">
      <c r="B722" s="293">
        <v>657</v>
      </c>
      <c r="C722" s="303"/>
      <c r="D722" s="303"/>
      <c r="E722" s="302"/>
      <c r="F722" s="295" t="str">
        <f t="shared" si="14"/>
        <v/>
      </c>
      <c r="G722" s="304" t="s">
        <v>2740</v>
      </c>
      <c r="H722" s="316" t="s">
        <v>2734</v>
      </c>
      <c r="I722" s="302"/>
      <c r="J722" s="348">
        <v>15000360</v>
      </c>
      <c r="K722" s="338"/>
    </row>
    <row r="723" spans="2:11" ht="15.75" customHeight="1">
      <c r="B723" s="293">
        <v>658</v>
      </c>
      <c r="C723" s="303"/>
      <c r="D723" s="303"/>
      <c r="E723" s="302"/>
      <c r="F723" s="295" t="str">
        <f t="shared" si="14"/>
        <v/>
      </c>
      <c r="G723" s="304" t="s">
        <v>2741</v>
      </c>
      <c r="H723" s="316" t="s">
        <v>2734</v>
      </c>
      <c r="I723" s="302"/>
      <c r="J723" s="348">
        <v>15000360</v>
      </c>
      <c r="K723" s="338"/>
    </row>
    <row r="724" spans="2:11" ht="15.75" customHeight="1">
      <c r="B724" s="293">
        <v>659</v>
      </c>
      <c r="C724" s="303"/>
      <c r="D724" s="303"/>
      <c r="E724" s="302"/>
      <c r="F724" s="295" t="str">
        <f t="shared" si="14"/>
        <v/>
      </c>
      <c r="G724" s="304" t="s">
        <v>2742</v>
      </c>
      <c r="H724" s="316" t="s">
        <v>2734</v>
      </c>
      <c r="I724" s="302"/>
      <c r="J724" s="348">
        <v>20000360</v>
      </c>
      <c r="K724" s="338"/>
    </row>
    <row r="725" spans="2:11" ht="15.75" customHeight="1">
      <c r="B725" s="293">
        <v>660</v>
      </c>
      <c r="C725" s="303"/>
      <c r="D725" s="303"/>
      <c r="E725" s="302"/>
      <c r="F725" s="295" t="str">
        <f t="shared" si="14"/>
        <v/>
      </c>
      <c r="G725" s="304" t="s">
        <v>2743</v>
      </c>
      <c r="H725" s="316" t="s">
        <v>2734</v>
      </c>
      <c r="I725" s="302"/>
      <c r="J725" s="348">
        <v>12500360</v>
      </c>
      <c r="K725" s="338"/>
    </row>
    <row r="726" spans="2:11" ht="15.75" customHeight="1">
      <c r="B726" s="293">
        <v>661</v>
      </c>
      <c r="C726" s="303"/>
      <c r="D726" s="303"/>
      <c r="E726" s="302"/>
      <c r="F726" s="295" t="str">
        <f t="shared" si="14"/>
        <v/>
      </c>
      <c r="G726" s="304" t="s">
        <v>2744</v>
      </c>
      <c r="H726" s="316" t="s">
        <v>2734</v>
      </c>
      <c r="I726" s="302"/>
      <c r="J726" s="348">
        <v>15000360</v>
      </c>
      <c r="K726" s="338"/>
    </row>
    <row r="727" spans="2:11" ht="15.75" customHeight="1">
      <c r="B727" s="293">
        <v>662</v>
      </c>
      <c r="C727" s="303"/>
      <c r="D727" s="303"/>
      <c r="E727" s="302"/>
      <c r="F727" s="295" t="str">
        <f t="shared" si="14"/>
        <v/>
      </c>
      <c r="G727" s="304" t="s">
        <v>2745</v>
      </c>
      <c r="H727" s="316" t="s">
        <v>2734</v>
      </c>
      <c r="I727" s="302"/>
      <c r="J727" s="348">
        <v>10000360</v>
      </c>
      <c r="K727" s="338"/>
    </row>
    <row r="728" spans="2:11" ht="15.75" customHeight="1">
      <c r="B728" s="293">
        <v>663</v>
      </c>
      <c r="C728" s="303"/>
      <c r="D728" s="303"/>
      <c r="E728" s="302"/>
      <c r="F728" s="295" t="str">
        <f t="shared" si="14"/>
        <v/>
      </c>
      <c r="G728" s="304" t="s">
        <v>2746</v>
      </c>
      <c r="H728" s="316" t="s">
        <v>2734</v>
      </c>
      <c r="I728" s="302"/>
      <c r="J728" s="348">
        <v>15000360</v>
      </c>
      <c r="K728" s="338"/>
    </row>
    <row r="729" spans="2:11" ht="15.75" customHeight="1">
      <c r="B729" s="293">
        <v>664</v>
      </c>
      <c r="C729" s="303"/>
      <c r="D729" s="303"/>
      <c r="E729" s="302"/>
      <c r="F729" s="295" t="str">
        <f t="shared" si="14"/>
        <v/>
      </c>
      <c r="G729" s="304" t="s">
        <v>2747</v>
      </c>
      <c r="H729" s="316" t="s">
        <v>2734</v>
      </c>
      <c r="I729" s="302"/>
      <c r="J729" s="348">
        <v>20000360</v>
      </c>
      <c r="K729" s="338"/>
    </row>
    <row r="730" spans="2:11" ht="15.75" customHeight="1">
      <c r="B730" s="293">
        <v>665</v>
      </c>
      <c r="C730" s="303"/>
      <c r="D730" s="303"/>
      <c r="E730" s="302"/>
      <c r="F730" s="295" t="str">
        <f t="shared" si="14"/>
        <v/>
      </c>
      <c r="G730" s="304" t="s">
        <v>2748</v>
      </c>
      <c r="H730" s="316" t="s">
        <v>2734</v>
      </c>
      <c r="I730" s="302"/>
      <c r="J730" s="348">
        <v>15000360</v>
      </c>
      <c r="K730" s="338"/>
    </row>
    <row r="731" spans="2:11" ht="15.75" customHeight="1">
      <c r="B731" s="293">
        <v>666</v>
      </c>
      <c r="C731" s="303"/>
      <c r="D731" s="303"/>
      <c r="E731" s="302"/>
      <c r="F731" s="295" t="str">
        <f t="shared" si="14"/>
        <v/>
      </c>
      <c r="G731" s="304" t="s">
        <v>2749</v>
      </c>
      <c r="H731" s="316" t="s">
        <v>2734</v>
      </c>
      <c r="I731" s="302"/>
      <c r="J731" s="348">
        <v>12500360</v>
      </c>
      <c r="K731" s="338"/>
    </row>
    <row r="732" spans="2:11" ht="15.75" customHeight="1">
      <c r="B732" s="293">
        <v>667</v>
      </c>
      <c r="C732" s="303"/>
      <c r="D732" s="303"/>
      <c r="E732" s="302"/>
      <c r="F732" s="295" t="str">
        <f t="shared" si="14"/>
        <v/>
      </c>
      <c r="G732" s="304" t="s">
        <v>2750</v>
      </c>
      <c r="H732" s="316" t="s">
        <v>2734</v>
      </c>
      <c r="I732" s="302"/>
      <c r="J732" s="348">
        <v>15000360</v>
      </c>
      <c r="K732" s="338"/>
    </row>
    <row r="733" spans="2:11" ht="15.75" customHeight="1">
      <c r="B733" s="293">
        <v>668</v>
      </c>
      <c r="C733" s="303"/>
      <c r="D733" s="303"/>
      <c r="E733" s="302"/>
      <c r="F733" s="295" t="str">
        <f t="shared" si="14"/>
        <v/>
      </c>
      <c r="G733" s="304" t="s">
        <v>2751</v>
      </c>
      <c r="H733" s="316" t="s">
        <v>2734</v>
      </c>
      <c r="I733" s="302"/>
      <c r="J733" s="348">
        <v>12500360</v>
      </c>
      <c r="K733" s="338"/>
    </row>
    <row r="734" spans="2:11" ht="15.75" customHeight="1">
      <c r="B734" s="293">
        <v>669</v>
      </c>
      <c r="C734" s="303"/>
      <c r="D734" s="303"/>
      <c r="E734" s="302"/>
      <c r="F734" s="295" t="str">
        <f t="shared" si="14"/>
        <v/>
      </c>
      <c r="G734" s="304" t="s">
        <v>2752</v>
      </c>
      <c r="H734" s="316" t="s">
        <v>2734</v>
      </c>
      <c r="I734" s="302"/>
      <c r="J734" s="348">
        <v>12500360</v>
      </c>
      <c r="K734" s="338"/>
    </row>
    <row r="735" spans="2:11" ht="15.75" customHeight="1">
      <c r="B735" s="293">
        <v>670</v>
      </c>
      <c r="C735" s="303"/>
      <c r="D735" s="303"/>
      <c r="E735" s="302"/>
      <c r="F735" s="295" t="str">
        <f t="shared" si="14"/>
        <v/>
      </c>
      <c r="G735" s="304" t="s">
        <v>2753</v>
      </c>
      <c r="H735" s="316" t="s">
        <v>2734</v>
      </c>
      <c r="I735" s="302"/>
      <c r="J735" s="348">
        <v>12500360</v>
      </c>
      <c r="K735" s="338"/>
    </row>
    <row r="736" spans="2:11" ht="15.75" customHeight="1">
      <c r="B736" s="293">
        <v>671</v>
      </c>
      <c r="C736" s="303"/>
      <c r="D736" s="303"/>
      <c r="E736" s="302"/>
      <c r="F736" s="295" t="str">
        <f t="shared" si="14"/>
        <v/>
      </c>
      <c r="G736" s="304" t="s">
        <v>2754</v>
      </c>
      <c r="H736" s="316" t="s">
        <v>2734</v>
      </c>
      <c r="I736" s="302"/>
      <c r="J736" s="348">
        <v>15000360</v>
      </c>
      <c r="K736" s="338"/>
    </row>
    <row r="737" spans="2:11" ht="15.75" customHeight="1">
      <c r="B737" s="293">
        <v>672</v>
      </c>
      <c r="C737" s="303"/>
      <c r="D737" s="303"/>
      <c r="E737" s="302"/>
      <c r="F737" s="295" t="str">
        <f t="shared" si="14"/>
        <v/>
      </c>
      <c r="G737" s="304" t="s">
        <v>2755</v>
      </c>
      <c r="H737" s="316" t="s">
        <v>2734</v>
      </c>
      <c r="I737" s="302"/>
      <c r="J737" s="348">
        <v>982400</v>
      </c>
      <c r="K737" s="338"/>
    </row>
    <row r="738" spans="2:11" ht="15.75" customHeight="1">
      <c r="B738" s="293">
        <v>673</v>
      </c>
      <c r="C738" s="303"/>
      <c r="D738" s="303"/>
      <c r="E738" s="302"/>
      <c r="F738" s="295" t="str">
        <f t="shared" si="14"/>
        <v/>
      </c>
      <c r="G738" s="304" t="s">
        <v>2756</v>
      </c>
      <c r="H738" s="316" t="s">
        <v>2734</v>
      </c>
      <c r="I738" s="302"/>
      <c r="J738" s="348">
        <v>502400</v>
      </c>
      <c r="K738" s="338"/>
    </row>
    <row r="739" spans="2:11" ht="15.75" customHeight="1">
      <c r="B739" s="293">
        <v>674</v>
      </c>
      <c r="C739" s="303"/>
      <c r="D739" s="303"/>
      <c r="E739" s="302"/>
      <c r="F739" s="295" t="str">
        <f t="shared" si="14"/>
        <v/>
      </c>
      <c r="G739" s="304" t="s">
        <v>2271</v>
      </c>
      <c r="H739" s="316" t="s">
        <v>2734</v>
      </c>
      <c r="I739" s="302"/>
      <c r="J739" s="348">
        <v>1002400</v>
      </c>
      <c r="K739" s="338"/>
    </row>
    <row r="740" spans="2:11" ht="15.75" customHeight="1">
      <c r="B740" s="293">
        <v>675</v>
      </c>
      <c r="C740" s="303"/>
      <c r="D740" s="303"/>
      <c r="E740" s="302"/>
      <c r="F740" s="295" t="str">
        <f t="shared" si="14"/>
        <v/>
      </c>
      <c r="G740" s="304" t="s">
        <v>1860</v>
      </c>
      <c r="H740" s="316" t="s">
        <v>2758</v>
      </c>
      <c r="I740" s="302"/>
      <c r="J740" s="348">
        <v>6002400</v>
      </c>
      <c r="K740" s="338"/>
    </row>
    <row r="741" spans="2:11" ht="15.75" customHeight="1">
      <c r="B741" s="293">
        <v>676</v>
      </c>
      <c r="C741" s="303"/>
      <c r="D741" s="303"/>
      <c r="E741" s="302"/>
      <c r="F741" s="295" t="str">
        <f t="shared" si="14"/>
        <v/>
      </c>
      <c r="G741" s="304" t="s">
        <v>2757</v>
      </c>
      <c r="H741" s="316" t="s">
        <v>2758</v>
      </c>
      <c r="I741" s="302"/>
      <c r="J741" s="348">
        <v>10002400</v>
      </c>
      <c r="K741" s="338"/>
    </row>
    <row r="742" spans="2:11" ht="15.75" customHeight="1">
      <c r="B742" s="293">
        <v>677</v>
      </c>
      <c r="C742" s="303"/>
      <c r="D742" s="303"/>
      <c r="E742" s="302"/>
      <c r="F742" s="295" t="str">
        <f t="shared" si="14"/>
        <v/>
      </c>
      <c r="G742" s="304" t="s">
        <v>1846</v>
      </c>
      <c r="H742" s="316" t="s">
        <v>2758</v>
      </c>
      <c r="I742" s="302"/>
      <c r="J742" s="348">
        <v>3502400</v>
      </c>
      <c r="K742" s="338"/>
    </row>
    <row r="743" spans="2:11" ht="15.75" customHeight="1">
      <c r="B743" s="293">
        <v>678</v>
      </c>
      <c r="C743" s="303"/>
      <c r="D743" s="303"/>
      <c r="E743" s="302"/>
      <c r="F743" s="295" t="str">
        <f t="shared" si="14"/>
        <v/>
      </c>
      <c r="G743" s="304" t="s">
        <v>2755</v>
      </c>
      <c r="H743" s="316" t="s">
        <v>2758</v>
      </c>
      <c r="I743" s="302"/>
      <c r="J743" s="348">
        <v>492400</v>
      </c>
      <c r="K743" s="338"/>
    </row>
    <row r="744" spans="2:11" ht="15.75" customHeight="1">
      <c r="B744" s="293">
        <v>679</v>
      </c>
      <c r="C744" s="303"/>
      <c r="D744" s="303"/>
      <c r="E744" s="302"/>
      <c r="F744" s="295" t="str">
        <f t="shared" si="14"/>
        <v/>
      </c>
      <c r="G744" s="304" t="s">
        <v>2759</v>
      </c>
      <c r="H744" s="316" t="s">
        <v>2758</v>
      </c>
      <c r="I744" s="302"/>
      <c r="J744" s="348">
        <v>2402400</v>
      </c>
      <c r="K744" s="338"/>
    </row>
    <row r="745" spans="2:11" ht="15.75" customHeight="1">
      <c r="B745" s="293">
        <v>680</v>
      </c>
      <c r="C745" s="303"/>
      <c r="D745" s="303"/>
      <c r="E745" s="302"/>
      <c r="F745" s="295" t="str">
        <f t="shared" si="14"/>
        <v/>
      </c>
      <c r="G745" s="304" t="s">
        <v>2271</v>
      </c>
      <c r="H745" s="316" t="s">
        <v>2760</v>
      </c>
      <c r="I745" s="302"/>
      <c r="J745" s="348">
        <v>1002400</v>
      </c>
      <c r="K745" s="338"/>
    </row>
    <row r="746" spans="2:11" ht="15.75" customHeight="1">
      <c r="B746" s="293">
        <v>681</v>
      </c>
      <c r="C746" s="303"/>
      <c r="D746" s="303"/>
      <c r="E746" s="302"/>
      <c r="F746" s="295" t="str">
        <f t="shared" si="14"/>
        <v/>
      </c>
      <c r="G746" s="304" t="s">
        <v>1978</v>
      </c>
      <c r="H746" s="316" t="s">
        <v>2760</v>
      </c>
      <c r="I746" s="302"/>
      <c r="J746" s="348">
        <v>1152400</v>
      </c>
      <c r="K746" s="338"/>
    </row>
    <row r="747" spans="2:11" ht="15.75" customHeight="1">
      <c r="B747" s="293">
        <v>682</v>
      </c>
      <c r="C747" s="303"/>
      <c r="D747" s="303"/>
      <c r="E747" s="302"/>
      <c r="F747" s="295" t="str">
        <f t="shared" si="14"/>
        <v/>
      </c>
      <c r="G747" s="304" t="s">
        <v>2761</v>
      </c>
      <c r="H747" s="316" t="s">
        <v>2760</v>
      </c>
      <c r="I747" s="302"/>
      <c r="J747" s="348">
        <v>35003500</v>
      </c>
      <c r="K747" s="338"/>
    </row>
    <row r="748" spans="2:11" ht="15.75" customHeight="1">
      <c r="B748" s="293">
        <v>683</v>
      </c>
      <c r="C748" s="303"/>
      <c r="D748" s="303"/>
      <c r="E748" s="302"/>
      <c r="F748" s="295" t="str">
        <f t="shared" si="14"/>
        <v/>
      </c>
      <c r="G748" s="304" t="s">
        <v>2762</v>
      </c>
      <c r="H748" s="316" t="s">
        <v>2380</v>
      </c>
      <c r="I748" s="302"/>
      <c r="J748" s="348">
        <v>25002500</v>
      </c>
      <c r="K748" s="338"/>
    </row>
    <row r="749" spans="2:11" ht="15.75" customHeight="1">
      <c r="B749" s="293">
        <v>684</v>
      </c>
      <c r="C749" s="303"/>
      <c r="D749" s="303"/>
      <c r="E749" s="302"/>
      <c r="F749" s="295" t="str">
        <f t="shared" si="14"/>
        <v/>
      </c>
      <c r="G749" s="304" t="s">
        <v>2763</v>
      </c>
      <c r="H749" s="316" t="s">
        <v>2380</v>
      </c>
      <c r="I749" s="302"/>
      <c r="J749" s="348">
        <v>6002400</v>
      </c>
      <c r="K749" s="338"/>
    </row>
    <row r="750" spans="2:11" ht="15.75" customHeight="1">
      <c r="B750" s="293">
        <v>685</v>
      </c>
      <c r="C750" s="303"/>
      <c r="D750" s="303"/>
      <c r="E750" s="302"/>
      <c r="F750" s="295" t="str">
        <f t="shared" si="14"/>
        <v/>
      </c>
      <c r="G750" s="304" t="s">
        <v>2764</v>
      </c>
      <c r="H750" s="316" t="s">
        <v>2380</v>
      </c>
      <c r="I750" s="302"/>
      <c r="J750" s="348">
        <v>6002400</v>
      </c>
      <c r="K750" s="338"/>
    </row>
    <row r="751" spans="2:11" ht="15.75" customHeight="1">
      <c r="B751" s="293">
        <v>686</v>
      </c>
      <c r="C751" s="303"/>
      <c r="D751" s="303"/>
      <c r="E751" s="302"/>
      <c r="F751" s="295" t="str">
        <f t="shared" si="14"/>
        <v/>
      </c>
      <c r="G751" s="304" t="s">
        <v>2265</v>
      </c>
      <c r="H751" s="316" t="s">
        <v>2380</v>
      </c>
      <c r="I751" s="302"/>
      <c r="J751" s="348">
        <v>7002400</v>
      </c>
      <c r="K751" s="338"/>
    </row>
    <row r="752" spans="2:11" ht="15.75" customHeight="1">
      <c r="B752" s="293">
        <v>687</v>
      </c>
      <c r="C752" s="303"/>
      <c r="D752" s="303"/>
      <c r="E752" s="302"/>
      <c r="F752" s="295" t="str">
        <f t="shared" si="14"/>
        <v/>
      </c>
      <c r="G752" s="304" t="s">
        <v>2765</v>
      </c>
      <c r="H752" s="316" t="s">
        <v>2380</v>
      </c>
      <c r="I752" s="302"/>
      <c r="J752" s="348">
        <v>10502400</v>
      </c>
      <c r="K752" s="338"/>
    </row>
    <row r="753" spans="2:11" ht="15.75" customHeight="1">
      <c r="B753" s="293">
        <v>688</v>
      </c>
      <c r="C753" s="303"/>
      <c r="D753" s="303"/>
      <c r="E753" s="302"/>
      <c r="F753" s="295" t="str">
        <f t="shared" si="14"/>
        <v/>
      </c>
      <c r="G753" s="304" t="s">
        <v>2766</v>
      </c>
      <c r="H753" s="316" t="s">
        <v>2380</v>
      </c>
      <c r="I753" s="302"/>
      <c r="J753" s="348">
        <v>9252400</v>
      </c>
      <c r="K753" s="338"/>
    </row>
    <row r="754" spans="2:11" ht="15.75" customHeight="1">
      <c r="B754" s="293">
        <v>689</v>
      </c>
      <c r="C754" s="303"/>
      <c r="D754" s="303"/>
      <c r="E754" s="302"/>
      <c r="F754" s="295" t="str">
        <f t="shared" si="14"/>
        <v/>
      </c>
      <c r="G754" s="304" t="s">
        <v>2767</v>
      </c>
      <c r="H754" s="316" t="s">
        <v>2380</v>
      </c>
      <c r="I754" s="302"/>
      <c r="J754" s="348">
        <v>4202400</v>
      </c>
      <c r="K754" s="338"/>
    </row>
    <row r="755" spans="2:11" ht="15.75" customHeight="1">
      <c r="B755" s="293">
        <v>690</v>
      </c>
      <c r="C755" s="303"/>
      <c r="D755" s="303"/>
      <c r="E755" s="302"/>
      <c r="F755" s="295" t="str">
        <f t="shared" si="14"/>
        <v/>
      </c>
      <c r="G755" s="304" t="s">
        <v>2768</v>
      </c>
      <c r="H755" s="316" t="s">
        <v>2380</v>
      </c>
      <c r="I755" s="302"/>
      <c r="J755" s="348">
        <v>602400</v>
      </c>
      <c r="K755" s="338"/>
    </row>
    <row r="756" spans="2:11" ht="15.75" customHeight="1">
      <c r="B756" s="293">
        <v>691</v>
      </c>
      <c r="C756" s="303"/>
      <c r="D756" s="303"/>
      <c r="E756" s="302"/>
      <c r="F756" s="295" t="str">
        <f t="shared" si="14"/>
        <v/>
      </c>
      <c r="G756" s="304" t="s">
        <v>2769</v>
      </c>
      <c r="H756" s="316" t="s">
        <v>2380</v>
      </c>
      <c r="I756" s="302"/>
      <c r="J756" s="348">
        <v>22002400</v>
      </c>
      <c r="K756" s="338"/>
    </row>
    <row r="757" spans="2:11" ht="15.75" customHeight="1">
      <c r="B757" s="293">
        <v>692</v>
      </c>
      <c r="C757" s="303"/>
      <c r="D757" s="303"/>
      <c r="E757" s="302"/>
      <c r="F757" s="295" t="str">
        <f t="shared" si="14"/>
        <v/>
      </c>
      <c r="G757" s="304" t="s">
        <v>2802</v>
      </c>
      <c r="H757" s="316" t="s">
        <v>2380</v>
      </c>
      <c r="I757" s="302"/>
      <c r="J757" s="348">
        <v>15000360</v>
      </c>
      <c r="K757" s="338"/>
    </row>
    <row r="758" spans="2:11" ht="15.75" customHeight="1">
      <c r="B758" s="293">
        <v>693</v>
      </c>
      <c r="C758" s="303"/>
      <c r="D758" s="303"/>
      <c r="E758" s="302"/>
      <c r="F758" s="295" t="str">
        <f t="shared" si="14"/>
        <v/>
      </c>
      <c r="G758" s="304" t="s">
        <v>2770</v>
      </c>
      <c r="H758" s="316" t="s">
        <v>2380</v>
      </c>
      <c r="I758" s="302"/>
      <c r="J758" s="348">
        <v>15000360</v>
      </c>
      <c r="K758" s="338"/>
    </row>
    <row r="759" spans="2:11" ht="15.75" customHeight="1">
      <c r="B759" s="293">
        <v>694</v>
      </c>
      <c r="C759" s="303"/>
      <c r="D759" s="303"/>
      <c r="E759" s="302"/>
      <c r="F759" s="295" t="str">
        <f t="shared" si="14"/>
        <v/>
      </c>
      <c r="G759" s="304" t="s">
        <v>2771</v>
      </c>
      <c r="H759" s="316" t="s">
        <v>2380</v>
      </c>
      <c r="I759" s="302"/>
      <c r="J759" s="348">
        <v>15000360</v>
      </c>
      <c r="K759" s="338"/>
    </row>
    <row r="760" spans="2:11" ht="15.75" customHeight="1">
      <c r="B760" s="293">
        <v>695</v>
      </c>
      <c r="C760" s="303"/>
      <c r="D760" s="303"/>
      <c r="E760" s="302"/>
      <c r="F760" s="295" t="str">
        <f t="shared" si="14"/>
        <v/>
      </c>
      <c r="G760" s="304" t="s">
        <v>2772</v>
      </c>
      <c r="H760" s="316" t="s">
        <v>2380</v>
      </c>
      <c r="I760" s="302"/>
      <c r="J760" s="348">
        <v>15000360</v>
      </c>
      <c r="K760" s="338"/>
    </row>
    <row r="761" spans="2:11" ht="15.75" customHeight="1">
      <c r="B761" s="293">
        <v>696</v>
      </c>
      <c r="C761" s="303"/>
      <c r="D761" s="303"/>
      <c r="E761" s="302"/>
      <c r="F761" s="295" t="str">
        <f t="shared" si="14"/>
        <v/>
      </c>
      <c r="G761" s="304" t="s">
        <v>2773</v>
      </c>
      <c r="H761" s="316" t="s">
        <v>2380</v>
      </c>
      <c r="I761" s="302"/>
      <c r="J761" s="348">
        <v>20000360</v>
      </c>
      <c r="K761" s="338"/>
    </row>
    <row r="762" spans="2:11" ht="15.75" customHeight="1">
      <c r="B762" s="293">
        <v>697</v>
      </c>
      <c r="C762" s="303"/>
      <c r="D762" s="303"/>
      <c r="E762" s="302"/>
      <c r="F762" s="295" t="str">
        <f t="shared" si="14"/>
        <v/>
      </c>
      <c r="G762" s="304" t="s">
        <v>2774</v>
      </c>
      <c r="H762" s="316" t="s">
        <v>2380</v>
      </c>
      <c r="I762" s="302"/>
      <c r="J762" s="348">
        <v>12500360</v>
      </c>
      <c r="K762" s="338"/>
    </row>
    <row r="763" spans="2:11" ht="15.75" customHeight="1">
      <c r="B763" s="293">
        <v>698</v>
      </c>
      <c r="C763" s="303"/>
      <c r="D763" s="303"/>
      <c r="E763" s="302"/>
      <c r="F763" s="295" t="str">
        <f t="shared" si="14"/>
        <v/>
      </c>
      <c r="G763" s="304" t="s">
        <v>2775</v>
      </c>
      <c r="H763" s="316" t="s">
        <v>2380</v>
      </c>
      <c r="I763" s="302"/>
      <c r="J763" s="348">
        <v>15000360</v>
      </c>
      <c r="K763" s="338"/>
    </row>
    <row r="764" spans="2:11" ht="15.75" customHeight="1">
      <c r="B764" s="293">
        <v>699</v>
      </c>
      <c r="C764" s="303"/>
      <c r="D764" s="303"/>
      <c r="E764" s="302"/>
      <c r="F764" s="295" t="str">
        <f t="shared" si="14"/>
        <v/>
      </c>
      <c r="G764" s="304" t="s">
        <v>2776</v>
      </c>
      <c r="H764" s="316" t="s">
        <v>2380</v>
      </c>
      <c r="I764" s="302"/>
      <c r="J764" s="348">
        <v>10000360</v>
      </c>
      <c r="K764" s="338"/>
    </row>
    <row r="765" spans="2:11" ht="15.75" customHeight="1">
      <c r="B765" s="293">
        <v>700</v>
      </c>
      <c r="C765" s="303"/>
      <c r="D765" s="303"/>
      <c r="E765" s="302"/>
      <c r="F765" s="295" t="str">
        <f t="shared" si="14"/>
        <v/>
      </c>
      <c r="G765" s="304" t="s">
        <v>2777</v>
      </c>
      <c r="H765" s="316" t="s">
        <v>2380</v>
      </c>
      <c r="I765" s="302"/>
      <c r="J765" s="348">
        <v>15000360</v>
      </c>
      <c r="K765" s="338"/>
    </row>
    <row r="766" spans="2:11" ht="15.75" customHeight="1">
      <c r="B766" s="293">
        <v>701</v>
      </c>
      <c r="C766" s="303"/>
      <c r="D766" s="303"/>
      <c r="E766" s="302"/>
      <c r="F766" s="295" t="str">
        <f t="shared" si="14"/>
        <v/>
      </c>
      <c r="G766" s="304" t="s">
        <v>2778</v>
      </c>
      <c r="H766" s="316" t="s">
        <v>2380</v>
      </c>
      <c r="I766" s="302"/>
      <c r="J766" s="348">
        <v>20000360</v>
      </c>
      <c r="K766" s="338"/>
    </row>
    <row r="767" spans="2:11" ht="15.75" customHeight="1">
      <c r="B767" s="293">
        <v>702</v>
      </c>
      <c r="C767" s="303"/>
      <c r="D767" s="303"/>
      <c r="E767" s="302"/>
      <c r="F767" s="295" t="str">
        <f t="shared" si="14"/>
        <v/>
      </c>
      <c r="G767" s="304" t="s">
        <v>2779</v>
      </c>
      <c r="H767" s="316" t="s">
        <v>2380</v>
      </c>
      <c r="I767" s="302"/>
      <c r="J767" s="348">
        <v>15000360</v>
      </c>
      <c r="K767" s="338"/>
    </row>
    <row r="768" spans="2:11" ht="15.75" customHeight="1">
      <c r="B768" s="293">
        <v>703</v>
      </c>
      <c r="C768" s="303"/>
      <c r="D768" s="303"/>
      <c r="E768" s="302"/>
      <c r="F768" s="295" t="str">
        <f t="shared" si="14"/>
        <v/>
      </c>
      <c r="G768" s="304" t="s">
        <v>2780</v>
      </c>
      <c r="H768" s="316" t="s">
        <v>2380</v>
      </c>
      <c r="I768" s="302"/>
      <c r="J768" s="348">
        <v>12500360</v>
      </c>
      <c r="K768" s="338"/>
    </row>
    <row r="769" spans="2:11" ht="15.75" customHeight="1">
      <c r="B769" s="293">
        <v>704</v>
      </c>
      <c r="C769" s="303"/>
      <c r="D769" s="303"/>
      <c r="E769" s="302"/>
      <c r="F769" s="295" t="str">
        <f t="shared" si="14"/>
        <v/>
      </c>
      <c r="G769" s="304" t="s">
        <v>2781</v>
      </c>
      <c r="H769" s="316" t="s">
        <v>2380</v>
      </c>
      <c r="I769" s="302"/>
      <c r="J769" s="348">
        <v>15000360</v>
      </c>
      <c r="K769" s="338"/>
    </row>
    <row r="770" spans="2:11" ht="15.75" customHeight="1">
      <c r="B770" s="293">
        <v>705</v>
      </c>
      <c r="C770" s="303"/>
      <c r="D770" s="303"/>
      <c r="E770" s="302"/>
      <c r="F770" s="295" t="str">
        <f t="shared" si="14"/>
        <v/>
      </c>
      <c r="G770" s="304" t="s">
        <v>2782</v>
      </c>
      <c r="H770" s="316" t="s">
        <v>2380</v>
      </c>
      <c r="I770" s="302"/>
      <c r="J770" s="348">
        <v>12500360</v>
      </c>
      <c r="K770" s="338"/>
    </row>
    <row r="771" spans="2:11" ht="15.75" customHeight="1">
      <c r="B771" s="293">
        <v>706</v>
      </c>
      <c r="C771" s="303"/>
      <c r="D771" s="303"/>
      <c r="E771" s="302"/>
      <c r="F771" s="295" t="str">
        <f t="shared" ref="F771:F882" si="15">IF(E771="","",HLOOKUP(E771,eeee,2,0))</f>
        <v/>
      </c>
      <c r="G771" s="304" t="s">
        <v>2783</v>
      </c>
      <c r="H771" s="316" t="s">
        <v>2380</v>
      </c>
      <c r="I771" s="302"/>
      <c r="J771" s="348">
        <v>12500360</v>
      </c>
      <c r="K771" s="338"/>
    </row>
    <row r="772" spans="2:11" ht="15.75" customHeight="1">
      <c r="B772" s="293">
        <v>707</v>
      </c>
      <c r="C772" s="303"/>
      <c r="D772" s="303"/>
      <c r="E772" s="302"/>
      <c r="F772" s="295" t="str">
        <f t="shared" si="15"/>
        <v/>
      </c>
      <c r="G772" s="304" t="s">
        <v>2784</v>
      </c>
      <c r="H772" s="316" t="s">
        <v>2380</v>
      </c>
      <c r="I772" s="302"/>
      <c r="J772" s="348">
        <v>12500360</v>
      </c>
      <c r="K772" s="338"/>
    </row>
    <row r="773" spans="2:11" ht="15.75" customHeight="1">
      <c r="B773" s="293">
        <v>708</v>
      </c>
      <c r="C773" s="303"/>
      <c r="D773" s="303"/>
      <c r="E773" s="302"/>
      <c r="F773" s="295" t="str">
        <f t="shared" si="15"/>
        <v/>
      </c>
      <c r="G773" s="304" t="s">
        <v>2785</v>
      </c>
      <c r="H773" s="316" t="s">
        <v>2380</v>
      </c>
      <c r="I773" s="302"/>
      <c r="J773" s="348">
        <v>15000360</v>
      </c>
      <c r="K773" s="338"/>
    </row>
    <row r="774" spans="2:11" ht="15.75" customHeight="1">
      <c r="B774" s="293">
        <v>709</v>
      </c>
      <c r="C774" s="303"/>
      <c r="D774" s="303"/>
      <c r="E774" s="302"/>
      <c r="F774" s="295" t="str">
        <f t="shared" si="15"/>
        <v/>
      </c>
      <c r="G774" s="304" t="s">
        <v>1860</v>
      </c>
      <c r="H774" s="316" t="s">
        <v>2387</v>
      </c>
      <c r="I774" s="302"/>
      <c r="J774" s="348">
        <v>6002400</v>
      </c>
      <c r="K774" s="338"/>
    </row>
    <row r="775" spans="2:11" ht="15.75" customHeight="1">
      <c r="B775" s="293">
        <v>710</v>
      </c>
      <c r="C775" s="303"/>
      <c r="D775" s="303"/>
      <c r="E775" s="302"/>
      <c r="F775" s="295" t="str">
        <f t="shared" si="15"/>
        <v/>
      </c>
      <c r="G775" s="304" t="s">
        <v>2757</v>
      </c>
      <c r="H775" s="316" t="s">
        <v>2387</v>
      </c>
      <c r="I775" s="302"/>
      <c r="J775" s="348">
        <v>10002400</v>
      </c>
      <c r="K775" s="338"/>
    </row>
    <row r="776" spans="2:11" ht="15.75" customHeight="1">
      <c r="B776" s="293">
        <v>711</v>
      </c>
      <c r="C776" s="303"/>
      <c r="D776" s="303"/>
      <c r="E776" s="302"/>
      <c r="F776" s="295" t="str">
        <f t="shared" si="15"/>
        <v/>
      </c>
      <c r="G776" s="304" t="s">
        <v>1783</v>
      </c>
      <c r="H776" s="316" t="s">
        <v>2387</v>
      </c>
      <c r="I776" s="302"/>
      <c r="J776" s="348">
        <v>10002400</v>
      </c>
      <c r="K776" s="338"/>
    </row>
    <row r="777" spans="2:11" ht="15.75" customHeight="1">
      <c r="B777" s="293">
        <v>712</v>
      </c>
      <c r="C777" s="303"/>
      <c r="D777" s="303"/>
      <c r="E777" s="302"/>
      <c r="F777" s="295" t="str">
        <f t="shared" si="15"/>
        <v/>
      </c>
      <c r="G777" s="304" t="s">
        <v>2786</v>
      </c>
      <c r="H777" s="316" t="s">
        <v>2387</v>
      </c>
      <c r="I777" s="302"/>
      <c r="J777" s="348">
        <v>60006000</v>
      </c>
      <c r="K777" s="338"/>
    </row>
    <row r="778" spans="2:11" ht="15.75" customHeight="1">
      <c r="B778" s="293">
        <v>713</v>
      </c>
      <c r="C778" s="303"/>
      <c r="D778" s="303"/>
      <c r="E778" s="302"/>
      <c r="F778" s="295" t="str">
        <f t="shared" si="15"/>
        <v/>
      </c>
      <c r="G778" s="304" t="s">
        <v>2787</v>
      </c>
      <c r="H778" s="316" t="s">
        <v>2387</v>
      </c>
      <c r="I778" s="302"/>
      <c r="J778" s="348">
        <v>60006000</v>
      </c>
      <c r="K778" s="338"/>
    </row>
    <row r="779" spans="2:11" ht="15.75" customHeight="1">
      <c r="B779" s="293">
        <v>714</v>
      </c>
      <c r="C779" s="303"/>
      <c r="D779" s="303"/>
      <c r="E779" s="302"/>
      <c r="F779" s="295" t="str">
        <f t="shared" si="15"/>
        <v/>
      </c>
      <c r="G779" s="304" t="s">
        <v>2788</v>
      </c>
      <c r="H779" s="316" t="s">
        <v>2395</v>
      </c>
      <c r="I779" s="302"/>
      <c r="J779" s="348">
        <v>6902400</v>
      </c>
      <c r="K779" s="338"/>
    </row>
    <row r="780" spans="2:11" ht="15.75" customHeight="1">
      <c r="B780" s="293">
        <v>715</v>
      </c>
      <c r="C780" s="303"/>
      <c r="D780" s="303"/>
      <c r="E780" s="302"/>
      <c r="F780" s="295" t="str">
        <f t="shared" si="15"/>
        <v/>
      </c>
      <c r="G780" s="304" t="s">
        <v>2767</v>
      </c>
      <c r="H780" s="316" t="s">
        <v>2395</v>
      </c>
      <c r="I780" s="302"/>
      <c r="J780" s="348">
        <v>5702400</v>
      </c>
      <c r="K780" s="338"/>
    </row>
    <row r="781" spans="2:11" ht="15.75" customHeight="1">
      <c r="B781" s="293">
        <v>716</v>
      </c>
      <c r="C781" s="303"/>
      <c r="D781" s="303"/>
      <c r="E781" s="302"/>
      <c r="F781" s="295" t="str">
        <f t="shared" si="15"/>
        <v/>
      </c>
      <c r="G781" s="304" t="s">
        <v>2767</v>
      </c>
      <c r="H781" s="316" t="s">
        <v>2395</v>
      </c>
      <c r="I781" s="302"/>
      <c r="J781" s="348">
        <v>2702400</v>
      </c>
      <c r="K781" s="338"/>
    </row>
    <row r="782" spans="2:11" ht="15.75" customHeight="1">
      <c r="B782" s="293">
        <v>717</v>
      </c>
      <c r="C782" s="303"/>
      <c r="D782" s="303"/>
      <c r="E782" s="302"/>
      <c r="F782" s="295" t="str">
        <f t="shared" si="15"/>
        <v/>
      </c>
      <c r="G782" s="304" t="s">
        <v>2789</v>
      </c>
      <c r="H782" s="316" t="s">
        <v>2395</v>
      </c>
      <c r="I782" s="302"/>
      <c r="J782" s="348">
        <v>5002400</v>
      </c>
      <c r="K782" s="338"/>
    </row>
    <row r="783" spans="2:11" ht="15.75" customHeight="1">
      <c r="B783" s="293">
        <v>718</v>
      </c>
      <c r="C783" s="303"/>
      <c r="D783" s="303"/>
      <c r="E783" s="302"/>
      <c r="F783" s="295" t="str">
        <f t="shared" si="15"/>
        <v/>
      </c>
      <c r="G783" s="304" t="s">
        <v>2790</v>
      </c>
      <c r="H783" s="316" t="s">
        <v>2395</v>
      </c>
      <c r="I783" s="302"/>
      <c r="J783" s="348">
        <v>80008000</v>
      </c>
      <c r="K783" s="338"/>
    </row>
    <row r="784" spans="2:11" ht="15.75" customHeight="1">
      <c r="B784" s="293">
        <v>719</v>
      </c>
      <c r="C784" s="303"/>
      <c r="D784" s="303"/>
      <c r="E784" s="302"/>
      <c r="F784" s="295" t="str">
        <f t="shared" si="15"/>
        <v/>
      </c>
      <c r="G784" s="304" t="s">
        <v>2791</v>
      </c>
      <c r="H784" s="316" t="s">
        <v>2505</v>
      </c>
      <c r="I784" s="302"/>
      <c r="J784" s="348">
        <v>9002400</v>
      </c>
      <c r="K784" s="338"/>
    </row>
    <row r="785" spans="2:11" ht="15.75" customHeight="1">
      <c r="B785" s="293">
        <v>720</v>
      </c>
      <c r="C785" s="303"/>
      <c r="D785" s="303"/>
      <c r="E785" s="302"/>
      <c r="F785" s="295" t="str">
        <f t="shared" si="15"/>
        <v/>
      </c>
      <c r="G785" s="304" t="s">
        <v>2792</v>
      </c>
      <c r="H785" s="316" t="s">
        <v>2505</v>
      </c>
      <c r="I785" s="302"/>
      <c r="J785" s="348">
        <v>5002400</v>
      </c>
      <c r="K785" s="338"/>
    </row>
    <row r="786" spans="2:11" ht="15.75" customHeight="1">
      <c r="B786" s="293">
        <v>721</v>
      </c>
      <c r="C786" s="303"/>
      <c r="D786" s="303"/>
      <c r="E786" s="302"/>
      <c r="F786" s="295" t="str">
        <f t="shared" si="15"/>
        <v/>
      </c>
      <c r="G786" s="304" t="s">
        <v>2793</v>
      </c>
      <c r="H786" s="316" t="s">
        <v>2505</v>
      </c>
      <c r="I786" s="302"/>
      <c r="J786" s="348">
        <v>2002400</v>
      </c>
      <c r="K786" s="338"/>
    </row>
    <row r="787" spans="2:11" ht="15.75" customHeight="1">
      <c r="B787" s="293">
        <v>722</v>
      </c>
      <c r="C787" s="303"/>
      <c r="D787" s="303"/>
      <c r="E787" s="302"/>
      <c r="F787" s="295" t="str">
        <f t="shared" si="15"/>
        <v/>
      </c>
      <c r="G787" s="304" t="s">
        <v>2794</v>
      </c>
      <c r="H787" s="316" t="s">
        <v>2505</v>
      </c>
      <c r="I787" s="302"/>
      <c r="J787" s="348">
        <v>1202400</v>
      </c>
      <c r="K787" s="338"/>
    </row>
    <row r="788" spans="2:11" ht="15.75" customHeight="1">
      <c r="B788" s="293">
        <v>723</v>
      </c>
      <c r="C788" s="303"/>
      <c r="D788" s="303"/>
      <c r="E788" s="302"/>
      <c r="F788" s="295" t="str">
        <f t="shared" si="15"/>
        <v/>
      </c>
      <c r="G788" s="304" t="s">
        <v>2795</v>
      </c>
      <c r="H788" s="316" t="s">
        <v>2505</v>
      </c>
      <c r="I788" s="302"/>
      <c r="J788" s="348">
        <v>3002400</v>
      </c>
      <c r="K788" s="338"/>
    </row>
    <row r="789" spans="2:11" ht="15.75" customHeight="1">
      <c r="B789" s="293">
        <v>724</v>
      </c>
      <c r="C789" s="303"/>
      <c r="D789" s="303"/>
      <c r="E789" s="302"/>
      <c r="F789" s="295" t="str">
        <f t="shared" si="15"/>
        <v/>
      </c>
      <c r="G789" s="304" t="s">
        <v>2796</v>
      </c>
      <c r="H789" s="316" t="s">
        <v>2505</v>
      </c>
      <c r="I789" s="302"/>
      <c r="J789" s="348">
        <v>500030000</v>
      </c>
      <c r="K789" s="338"/>
    </row>
    <row r="790" spans="2:11" ht="15.75" customHeight="1">
      <c r="B790" s="293">
        <v>725</v>
      </c>
      <c r="C790" s="303"/>
      <c r="D790" s="303"/>
      <c r="E790" s="302"/>
      <c r="F790" s="295" t="str">
        <f t="shared" si="15"/>
        <v/>
      </c>
      <c r="G790" s="304" t="s">
        <v>2797</v>
      </c>
      <c r="H790" s="316" t="s">
        <v>2801</v>
      </c>
      <c r="I790" s="302"/>
      <c r="J790" s="348">
        <v>9252400</v>
      </c>
      <c r="K790" s="338"/>
    </row>
    <row r="791" spans="2:11" ht="15.75" customHeight="1">
      <c r="B791" s="293">
        <v>726</v>
      </c>
      <c r="C791" s="303"/>
      <c r="D791" s="303"/>
      <c r="E791" s="302"/>
      <c r="F791" s="295" t="str">
        <f t="shared" si="15"/>
        <v/>
      </c>
      <c r="G791" s="304" t="s">
        <v>2798</v>
      </c>
      <c r="H791" s="316" t="s">
        <v>2801</v>
      </c>
      <c r="I791" s="302"/>
      <c r="J791" s="348">
        <v>10002400</v>
      </c>
      <c r="K791" s="338"/>
    </row>
    <row r="792" spans="2:11" ht="15.75" customHeight="1">
      <c r="B792" s="293">
        <v>727</v>
      </c>
      <c r="C792" s="303"/>
      <c r="D792" s="303"/>
      <c r="E792" s="302"/>
      <c r="F792" s="295" t="str">
        <f t="shared" si="15"/>
        <v/>
      </c>
      <c r="G792" s="304" t="s">
        <v>2799</v>
      </c>
      <c r="H792" s="316" t="s">
        <v>2512</v>
      </c>
      <c r="I792" s="302"/>
      <c r="J792" s="348">
        <v>35003500</v>
      </c>
      <c r="K792" s="338"/>
    </row>
    <row r="793" spans="2:11" ht="15.75" customHeight="1">
      <c r="B793" s="293">
        <v>728</v>
      </c>
      <c r="C793" s="303"/>
      <c r="D793" s="303"/>
      <c r="E793" s="302"/>
      <c r="F793" s="295" t="str">
        <f t="shared" si="15"/>
        <v/>
      </c>
      <c r="G793" s="304" t="s">
        <v>2800</v>
      </c>
      <c r="H793" s="316" t="s">
        <v>2801</v>
      </c>
      <c r="I793" s="302"/>
      <c r="J793" s="348">
        <v>100010000</v>
      </c>
      <c r="K793" s="338"/>
    </row>
    <row r="794" spans="2:11" ht="15.75" customHeight="1">
      <c r="B794" s="293">
        <v>729</v>
      </c>
      <c r="C794" s="303"/>
      <c r="D794" s="303"/>
      <c r="E794" s="302"/>
      <c r="F794" s="295" t="str">
        <f t="shared" si="15"/>
        <v/>
      </c>
      <c r="G794" s="304" t="s">
        <v>2809</v>
      </c>
      <c r="H794" s="316" t="s">
        <v>2527</v>
      </c>
      <c r="I794" s="302"/>
      <c r="J794" s="348">
        <v>15000360</v>
      </c>
      <c r="K794" s="338"/>
    </row>
    <row r="795" spans="2:11" ht="15.75" customHeight="1">
      <c r="B795" s="293">
        <v>730</v>
      </c>
      <c r="C795" s="303"/>
      <c r="D795" s="303"/>
      <c r="E795" s="302"/>
      <c r="F795" s="295" t="str">
        <f t="shared" si="15"/>
        <v/>
      </c>
      <c r="G795" s="304" t="s">
        <v>2810</v>
      </c>
      <c r="H795" s="316" t="s">
        <v>2527</v>
      </c>
      <c r="I795" s="302"/>
      <c r="J795" s="348">
        <v>15000360</v>
      </c>
      <c r="K795" s="338"/>
    </row>
    <row r="796" spans="2:11" ht="15.75" customHeight="1">
      <c r="B796" s="293">
        <v>731</v>
      </c>
      <c r="C796" s="303"/>
      <c r="D796" s="303"/>
      <c r="E796" s="302"/>
      <c r="F796" s="295" t="str">
        <f t="shared" si="15"/>
        <v/>
      </c>
      <c r="G796" s="304" t="s">
        <v>2811</v>
      </c>
      <c r="H796" s="316" t="s">
        <v>2527</v>
      </c>
      <c r="I796" s="302"/>
      <c r="J796" s="348">
        <v>15000360</v>
      </c>
      <c r="K796" s="338"/>
    </row>
    <row r="797" spans="2:11" ht="15.75" customHeight="1">
      <c r="B797" s="293">
        <v>732</v>
      </c>
      <c r="C797" s="303"/>
      <c r="D797" s="303"/>
      <c r="E797" s="302"/>
      <c r="F797" s="295" t="str">
        <f t="shared" si="15"/>
        <v/>
      </c>
      <c r="G797" s="304" t="s">
        <v>2812</v>
      </c>
      <c r="H797" s="316" t="s">
        <v>2527</v>
      </c>
      <c r="I797" s="302"/>
      <c r="J797" s="348">
        <v>15000360</v>
      </c>
      <c r="K797" s="338"/>
    </row>
    <row r="798" spans="2:11" ht="15.75" customHeight="1">
      <c r="B798" s="293">
        <v>733</v>
      </c>
      <c r="C798" s="303"/>
      <c r="D798" s="303"/>
      <c r="E798" s="302"/>
      <c r="F798" s="295" t="str">
        <f t="shared" si="15"/>
        <v/>
      </c>
      <c r="G798" s="304" t="s">
        <v>2813</v>
      </c>
      <c r="H798" s="316" t="s">
        <v>2527</v>
      </c>
      <c r="I798" s="302"/>
      <c r="J798" s="348">
        <v>20000360</v>
      </c>
      <c r="K798" s="338"/>
    </row>
    <row r="799" spans="2:11" ht="15.75" customHeight="1">
      <c r="B799" s="293">
        <v>734</v>
      </c>
      <c r="C799" s="303"/>
      <c r="D799" s="303"/>
      <c r="E799" s="302"/>
      <c r="F799" s="295" t="str">
        <f t="shared" si="15"/>
        <v/>
      </c>
      <c r="G799" s="304" t="s">
        <v>2814</v>
      </c>
      <c r="H799" s="316" t="s">
        <v>2527</v>
      </c>
      <c r="I799" s="302"/>
      <c r="J799" s="348">
        <v>12500360</v>
      </c>
      <c r="K799" s="338"/>
    </row>
    <row r="800" spans="2:11" ht="15.75" customHeight="1">
      <c r="B800" s="293">
        <v>735</v>
      </c>
      <c r="C800" s="303"/>
      <c r="D800" s="303"/>
      <c r="E800" s="302"/>
      <c r="F800" s="295" t="str">
        <f t="shared" si="15"/>
        <v/>
      </c>
      <c r="G800" s="304" t="s">
        <v>2815</v>
      </c>
      <c r="H800" s="316" t="s">
        <v>2527</v>
      </c>
      <c r="I800" s="302"/>
      <c r="J800" s="348">
        <v>15000360</v>
      </c>
      <c r="K800" s="338"/>
    </row>
    <row r="801" spans="2:11" ht="15.75" customHeight="1">
      <c r="B801" s="293">
        <v>736</v>
      </c>
      <c r="C801" s="303"/>
      <c r="D801" s="303"/>
      <c r="E801" s="302"/>
      <c r="F801" s="295" t="str">
        <f t="shared" si="15"/>
        <v/>
      </c>
      <c r="G801" s="304" t="s">
        <v>2816</v>
      </c>
      <c r="H801" s="316" t="s">
        <v>2527</v>
      </c>
      <c r="I801" s="302"/>
      <c r="J801" s="348">
        <v>10000360</v>
      </c>
      <c r="K801" s="338"/>
    </row>
    <row r="802" spans="2:11" ht="15.75" customHeight="1">
      <c r="B802" s="293">
        <v>737</v>
      </c>
      <c r="C802" s="303"/>
      <c r="D802" s="303"/>
      <c r="E802" s="302"/>
      <c r="F802" s="295" t="str">
        <f t="shared" si="15"/>
        <v/>
      </c>
      <c r="G802" s="304" t="s">
        <v>2817</v>
      </c>
      <c r="H802" s="316" t="s">
        <v>2527</v>
      </c>
      <c r="I802" s="302"/>
      <c r="J802" s="348">
        <v>15000360</v>
      </c>
      <c r="K802" s="338"/>
    </row>
    <row r="803" spans="2:11" ht="15.75" customHeight="1">
      <c r="B803" s="293">
        <v>738</v>
      </c>
      <c r="C803" s="303"/>
      <c r="D803" s="303"/>
      <c r="E803" s="302"/>
      <c r="F803" s="295" t="str">
        <f t="shared" si="15"/>
        <v/>
      </c>
      <c r="G803" s="304" t="s">
        <v>2818</v>
      </c>
      <c r="H803" s="316" t="s">
        <v>2527</v>
      </c>
      <c r="I803" s="302"/>
      <c r="J803" s="348">
        <v>20000360</v>
      </c>
      <c r="K803" s="338"/>
    </row>
    <row r="804" spans="2:11" ht="15.75" customHeight="1">
      <c r="B804" s="293">
        <v>739</v>
      </c>
      <c r="C804" s="303"/>
      <c r="D804" s="303"/>
      <c r="E804" s="302"/>
      <c r="F804" s="295" t="str">
        <f t="shared" si="15"/>
        <v/>
      </c>
      <c r="G804" s="304" t="s">
        <v>2819</v>
      </c>
      <c r="H804" s="316" t="s">
        <v>2527</v>
      </c>
      <c r="I804" s="302"/>
      <c r="J804" s="348">
        <v>15000360</v>
      </c>
      <c r="K804" s="338"/>
    </row>
    <row r="805" spans="2:11" ht="15.75" customHeight="1">
      <c r="B805" s="293">
        <v>740</v>
      </c>
      <c r="C805" s="303"/>
      <c r="D805" s="303"/>
      <c r="E805" s="302"/>
      <c r="F805" s="295" t="str">
        <f t="shared" si="15"/>
        <v/>
      </c>
      <c r="G805" s="304" t="s">
        <v>2820</v>
      </c>
      <c r="H805" s="316" t="s">
        <v>2527</v>
      </c>
      <c r="I805" s="302"/>
      <c r="J805" s="348">
        <v>12500360</v>
      </c>
      <c r="K805" s="338"/>
    </row>
    <row r="806" spans="2:11" ht="15.75" customHeight="1">
      <c r="B806" s="293">
        <v>741</v>
      </c>
      <c r="C806" s="303"/>
      <c r="D806" s="303"/>
      <c r="E806" s="302"/>
      <c r="F806" s="295" t="str">
        <f t="shared" si="15"/>
        <v/>
      </c>
      <c r="G806" s="304" t="s">
        <v>2821</v>
      </c>
      <c r="H806" s="316" t="s">
        <v>2527</v>
      </c>
      <c r="I806" s="302"/>
      <c r="J806" s="348">
        <v>15000360</v>
      </c>
      <c r="K806" s="338"/>
    </row>
    <row r="807" spans="2:11" ht="15.75" customHeight="1">
      <c r="B807" s="293">
        <v>742</v>
      </c>
      <c r="C807" s="303"/>
      <c r="D807" s="303"/>
      <c r="E807" s="302"/>
      <c r="F807" s="295" t="str">
        <f t="shared" si="15"/>
        <v/>
      </c>
      <c r="G807" s="304" t="s">
        <v>2822</v>
      </c>
      <c r="H807" s="316" t="s">
        <v>2527</v>
      </c>
      <c r="I807" s="302"/>
      <c r="J807" s="348">
        <v>12500360</v>
      </c>
      <c r="K807" s="338"/>
    </row>
    <row r="808" spans="2:11" ht="15.75" customHeight="1">
      <c r="B808" s="293">
        <v>743</v>
      </c>
      <c r="C808" s="303"/>
      <c r="D808" s="303"/>
      <c r="E808" s="302"/>
      <c r="F808" s="295"/>
      <c r="G808" s="304" t="s">
        <v>2823</v>
      </c>
      <c r="H808" s="316" t="s">
        <v>2527</v>
      </c>
      <c r="I808" s="302"/>
      <c r="J808" s="348">
        <v>12500360</v>
      </c>
      <c r="K808" s="338"/>
    </row>
    <row r="809" spans="2:11" ht="15.75" customHeight="1">
      <c r="B809" s="293">
        <v>744</v>
      </c>
      <c r="C809" s="303"/>
      <c r="D809" s="303"/>
      <c r="E809" s="302"/>
      <c r="F809" s="295"/>
      <c r="G809" s="304" t="s">
        <v>2824</v>
      </c>
      <c r="H809" s="316" t="s">
        <v>2527</v>
      </c>
      <c r="I809" s="302"/>
      <c r="J809" s="348">
        <v>12500360</v>
      </c>
      <c r="K809" s="338"/>
    </row>
    <row r="810" spans="2:11" ht="15.75" customHeight="1">
      <c r="B810" s="293">
        <v>745</v>
      </c>
      <c r="C810" s="303"/>
      <c r="D810" s="303"/>
      <c r="E810" s="302"/>
      <c r="F810" s="295"/>
      <c r="G810" s="304" t="s">
        <v>2825</v>
      </c>
      <c r="H810" s="316" t="s">
        <v>2527</v>
      </c>
      <c r="I810" s="302"/>
      <c r="J810" s="348">
        <v>15000360</v>
      </c>
      <c r="K810" s="338"/>
    </row>
    <row r="811" spans="2:11" ht="15.75" customHeight="1">
      <c r="B811" s="293">
        <v>746</v>
      </c>
      <c r="C811" s="303"/>
      <c r="D811" s="303"/>
      <c r="E811" s="302"/>
      <c r="F811" s="295"/>
      <c r="G811" s="304" t="s">
        <v>2804</v>
      </c>
      <c r="H811" s="316" t="s">
        <v>2527</v>
      </c>
      <c r="I811" s="302"/>
      <c r="J811" s="348">
        <v>60006000</v>
      </c>
      <c r="K811" s="338"/>
    </row>
    <row r="812" spans="2:11" ht="15.75" customHeight="1">
      <c r="B812" s="293">
        <v>747</v>
      </c>
      <c r="C812" s="303"/>
      <c r="D812" s="303"/>
      <c r="E812" s="302"/>
      <c r="F812" s="295"/>
      <c r="G812" s="304" t="s">
        <v>2805</v>
      </c>
      <c r="H812" s="316" t="s">
        <v>2527</v>
      </c>
      <c r="I812" s="302"/>
      <c r="J812" s="348">
        <v>60006000</v>
      </c>
      <c r="K812" s="338"/>
    </row>
    <row r="813" spans="2:11" ht="15.75" customHeight="1">
      <c r="B813" s="293">
        <v>748</v>
      </c>
      <c r="C813" s="303"/>
      <c r="D813" s="303"/>
      <c r="E813" s="302"/>
      <c r="F813" s="295"/>
      <c r="G813" s="304" t="s">
        <v>1783</v>
      </c>
      <c r="H813" s="316" t="s">
        <v>2527</v>
      </c>
      <c r="I813" s="302"/>
      <c r="J813" s="348">
        <v>10002400</v>
      </c>
      <c r="K813" s="338"/>
    </row>
    <row r="814" spans="2:11" ht="15.75" customHeight="1">
      <c r="B814" s="293">
        <v>749</v>
      </c>
      <c r="C814" s="303"/>
      <c r="D814" s="303"/>
      <c r="E814" s="302"/>
      <c r="F814" s="295"/>
      <c r="G814" s="304" t="s">
        <v>1860</v>
      </c>
      <c r="H814" s="316" t="s">
        <v>2527</v>
      </c>
      <c r="I814" s="302"/>
      <c r="J814" s="348">
        <v>6002400</v>
      </c>
      <c r="K814" s="338"/>
    </row>
    <row r="815" spans="2:11" ht="15.75" customHeight="1">
      <c r="B815" s="293">
        <v>750</v>
      </c>
      <c r="C815" s="303"/>
      <c r="D815" s="303"/>
      <c r="E815" s="302"/>
      <c r="F815" s="295"/>
      <c r="G815" s="304" t="s">
        <v>2757</v>
      </c>
      <c r="H815" s="316" t="s">
        <v>2527</v>
      </c>
      <c r="I815" s="302"/>
      <c r="J815" s="348">
        <v>10002400</v>
      </c>
      <c r="K815" s="338"/>
    </row>
    <row r="816" spans="2:11" ht="15.75" customHeight="1">
      <c r="B816" s="293">
        <v>751</v>
      </c>
      <c r="C816" s="303"/>
      <c r="D816" s="303"/>
      <c r="E816" s="302"/>
      <c r="F816" s="295"/>
      <c r="G816" s="304" t="s">
        <v>2806</v>
      </c>
      <c r="H816" s="316" t="s">
        <v>2527</v>
      </c>
      <c r="I816" s="302"/>
      <c r="J816" s="348">
        <v>7002400</v>
      </c>
      <c r="K816" s="338"/>
    </row>
    <row r="817" spans="2:11" ht="15.75" customHeight="1">
      <c r="B817" s="293">
        <v>752</v>
      </c>
      <c r="C817" s="303"/>
      <c r="D817" s="303"/>
      <c r="E817" s="302"/>
      <c r="F817" s="295"/>
      <c r="G817" s="304" t="s">
        <v>2807</v>
      </c>
      <c r="H817" s="316" t="s">
        <v>2527</v>
      </c>
      <c r="I817" s="302"/>
      <c r="J817" s="348">
        <v>5002400</v>
      </c>
      <c r="K817" s="338"/>
    </row>
    <row r="818" spans="2:11" ht="15.75" customHeight="1">
      <c r="B818" s="293">
        <v>753</v>
      </c>
      <c r="C818" s="303"/>
      <c r="D818" s="303"/>
      <c r="E818" s="302"/>
      <c r="F818" s="295"/>
      <c r="G818" s="304" t="s">
        <v>2755</v>
      </c>
      <c r="H818" s="316" t="s">
        <v>2527</v>
      </c>
      <c r="I818" s="302"/>
      <c r="J818" s="348">
        <v>602400</v>
      </c>
      <c r="K818" s="338"/>
    </row>
    <row r="819" spans="2:11" ht="15.75" customHeight="1">
      <c r="B819" s="293">
        <v>754</v>
      </c>
      <c r="C819" s="303"/>
      <c r="D819" s="303"/>
      <c r="E819" s="302"/>
      <c r="F819" s="295"/>
      <c r="G819" s="304" t="s">
        <v>2808</v>
      </c>
      <c r="H819" s="316" t="s">
        <v>2527</v>
      </c>
      <c r="I819" s="302"/>
      <c r="J819" s="348">
        <v>20002400</v>
      </c>
      <c r="K819" s="338"/>
    </row>
    <row r="820" spans="2:11" ht="15.75" customHeight="1">
      <c r="B820" s="293">
        <v>755</v>
      </c>
      <c r="C820" s="303"/>
      <c r="D820" s="303"/>
      <c r="E820" s="302"/>
      <c r="F820" s="295"/>
      <c r="G820" s="304" t="s">
        <v>2271</v>
      </c>
      <c r="H820" s="316" t="s">
        <v>2803</v>
      </c>
      <c r="I820" s="302"/>
      <c r="J820" s="348">
        <v>1002400</v>
      </c>
      <c r="K820" s="338"/>
    </row>
    <row r="821" spans="2:11" ht="15.75" customHeight="1">
      <c r="B821" s="293">
        <v>756</v>
      </c>
      <c r="C821" s="303"/>
      <c r="D821" s="303"/>
      <c r="E821" s="302"/>
      <c r="F821" s="295"/>
      <c r="G821" s="304" t="s">
        <v>2826</v>
      </c>
      <c r="H821" s="316" t="s">
        <v>2528</v>
      </c>
      <c r="I821" s="302"/>
      <c r="J821" s="348">
        <v>15000360</v>
      </c>
      <c r="K821" s="338"/>
    </row>
    <row r="822" spans="2:11" ht="15.75" customHeight="1">
      <c r="B822" s="293">
        <v>757</v>
      </c>
      <c r="C822" s="303"/>
      <c r="D822" s="303"/>
      <c r="E822" s="302"/>
      <c r="F822" s="295"/>
      <c r="G822" s="304" t="s">
        <v>2827</v>
      </c>
      <c r="H822" s="316" t="s">
        <v>2528</v>
      </c>
      <c r="I822" s="302"/>
      <c r="J822" s="348">
        <v>15000360</v>
      </c>
      <c r="K822" s="338"/>
    </row>
    <row r="823" spans="2:11" ht="15.75" customHeight="1">
      <c r="B823" s="293">
        <v>758</v>
      </c>
      <c r="C823" s="303"/>
      <c r="D823" s="303"/>
      <c r="E823" s="302"/>
      <c r="F823" s="295"/>
      <c r="G823" s="304" t="s">
        <v>2828</v>
      </c>
      <c r="H823" s="316" t="s">
        <v>2528</v>
      </c>
      <c r="I823" s="302"/>
      <c r="J823" s="348">
        <v>15000360</v>
      </c>
      <c r="K823" s="338"/>
    </row>
    <row r="824" spans="2:11" ht="15.75" customHeight="1">
      <c r="B824" s="293">
        <v>759</v>
      </c>
      <c r="C824" s="303"/>
      <c r="D824" s="303"/>
      <c r="E824" s="302"/>
      <c r="F824" s="295"/>
      <c r="G824" s="304" t="s">
        <v>2829</v>
      </c>
      <c r="H824" s="316" t="s">
        <v>2528</v>
      </c>
      <c r="I824" s="302"/>
      <c r="J824" s="348">
        <v>15000360</v>
      </c>
      <c r="K824" s="338"/>
    </row>
    <row r="825" spans="2:11" ht="15.75" customHeight="1">
      <c r="B825" s="293">
        <v>760</v>
      </c>
      <c r="C825" s="303"/>
      <c r="D825" s="303"/>
      <c r="E825" s="302"/>
      <c r="F825" s="295"/>
      <c r="G825" s="304" t="s">
        <v>2832</v>
      </c>
      <c r="H825" s="316" t="s">
        <v>2528</v>
      </c>
      <c r="I825" s="302"/>
      <c r="J825" s="348">
        <v>15000360</v>
      </c>
      <c r="K825" s="338"/>
    </row>
    <row r="826" spans="2:11" ht="15.75" customHeight="1">
      <c r="B826" s="293">
        <v>761</v>
      </c>
      <c r="C826" s="303"/>
      <c r="D826" s="303"/>
      <c r="E826" s="302"/>
      <c r="F826" s="295"/>
      <c r="G826" s="304" t="s">
        <v>2833</v>
      </c>
      <c r="H826" s="316" t="s">
        <v>2528</v>
      </c>
      <c r="I826" s="302"/>
      <c r="J826" s="348">
        <v>15000360</v>
      </c>
      <c r="K826" s="338"/>
    </row>
    <row r="827" spans="2:11" ht="15.75" customHeight="1">
      <c r="B827" s="293">
        <v>762</v>
      </c>
      <c r="C827" s="303"/>
      <c r="D827" s="303"/>
      <c r="E827" s="302"/>
      <c r="F827" s="295"/>
      <c r="G827" s="304" t="s">
        <v>2834</v>
      </c>
      <c r="H827" s="316" t="s">
        <v>2528</v>
      </c>
      <c r="I827" s="302"/>
      <c r="J827" s="348">
        <v>20000360</v>
      </c>
      <c r="K827" s="338"/>
    </row>
    <row r="828" spans="2:11" ht="15.75" customHeight="1">
      <c r="B828" s="293">
        <v>763</v>
      </c>
      <c r="C828" s="303"/>
      <c r="D828" s="303"/>
      <c r="E828" s="302"/>
      <c r="F828" s="295"/>
      <c r="G828" s="304" t="s">
        <v>2835</v>
      </c>
      <c r="H828" s="316" t="s">
        <v>2528</v>
      </c>
      <c r="I828" s="302"/>
      <c r="J828" s="348">
        <v>12500360</v>
      </c>
      <c r="K828" s="338"/>
    </row>
    <row r="829" spans="2:11" ht="15.75" customHeight="1">
      <c r="B829" s="293">
        <v>764</v>
      </c>
      <c r="C829" s="303"/>
      <c r="D829" s="303"/>
      <c r="E829" s="302"/>
      <c r="F829" s="295"/>
      <c r="G829" s="304" t="s">
        <v>2836</v>
      </c>
      <c r="H829" s="316" t="s">
        <v>2528</v>
      </c>
      <c r="I829" s="302"/>
      <c r="J829" s="348">
        <v>15000360</v>
      </c>
      <c r="K829" s="338"/>
    </row>
    <row r="830" spans="2:11" ht="15.75" customHeight="1">
      <c r="B830" s="293">
        <v>765</v>
      </c>
      <c r="C830" s="303"/>
      <c r="D830" s="303"/>
      <c r="E830" s="302"/>
      <c r="F830" s="295"/>
      <c r="G830" s="304" t="s">
        <v>2837</v>
      </c>
      <c r="H830" s="316" t="s">
        <v>2528</v>
      </c>
      <c r="I830" s="302"/>
      <c r="J830" s="348">
        <v>15000360</v>
      </c>
      <c r="K830" s="338"/>
    </row>
    <row r="831" spans="2:11" ht="15.75" customHeight="1">
      <c r="B831" s="293">
        <v>766</v>
      </c>
      <c r="C831" s="303"/>
      <c r="D831" s="303"/>
      <c r="E831" s="302"/>
      <c r="F831" s="295"/>
      <c r="G831" s="304" t="s">
        <v>2838</v>
      </c>
      <c r="H831" s="316" t="s">
        <v>2528</v>
      </c>
      <c r="I831" s="302"/>
      <c r="J831" s="348">
        <v>15000360</v>
      </c>
      <c r="K831" s="338"/>
    </row>
    <row r="832" spans="2:11" ht="15.75" customHeight="1">
      <c r="B832" s="293">
        <v>767</v>
      </c>
      <c r="C832" s="303"/>
      <c r="D832" s="303"/>
      <c r="E832" s="302"/>
      <c r="F832" s="295"/>
      <c r="G832" s="304" t="s">
        <v>2839</v>
      </c>
      <c r="H832" s="316" t="s">
        <v>2528</v>
      </c>
      <c r="I832" s="302"/>
      <c r="J832" s="348">
        <v>12500360</v>
      </c>
      <c r="K832" s="338"/>
    </row>
    <row r="833" spans="2:11" ht="15.75" customHeight="1">
      <c r="B833" s="293">
        <v>768</v>
      </c>
      <c r="C833" s="303"/>
      <c r="D833" s="303"/>
      <c r="E833" s="302"/>
      <c r="F833" s="295"/>
      <c r="G833" s="304" t="s">
        <v>2840</v>
      </c>
      <c r="H833" s="316" t="s">
        <v>2528</v>
      </c>
      <c r="I833" s="302"/>
      <c r="J833" s="348">
        <v>15000360</v>
      </c>
      <c r="K833" s="338"/>
    </row>
    <row r="834" spans="2:11" ht="15.75" customHeight="1">
      <c r="B834" s="293">
        <v>769</v>
      </c>
      <c r="C834" s="303"/>
      <c r="D834" s="303"/>
      <c r="E834" s="302"/>
      <c r="F834" s="295"/>
      <c r="G834" s="304" t="s">
        <v>2841</v>
      </c>
      <c r="H834" s="316" t="s">
        <v>2529</v>
      </c>
      <c r="I834" s="302"/>
      <c r="J834" s="348">
        <v>15000360</v>
      </c>
      <c r="K834" s="338"/>
    </row>
    <row r="835" spans="2:11" ht="15.75" customHeight="1">
      <c r="B835" s="293">
        <v>770</v>
      </c>
      <c r="C835" s="303"/>
      <c r="D835" s="303"/>
      <c r="E835" s="302"/>
      <c r="F835" s="295"/>
      <c r="G835" s="304" t="s">
        <v>2842</v>
      </c>
      <c r="H835" s="316" t="s">
        <v>2529</v>
      </c>
      <c r="I835" s="302"/>
      <c r="J835" s="348">
        <v>15000360</v>
      </c>
      <c r="K835" s="338"/>
    </row>
    <row r="836" spans="2:11" ht="15.75" customHeight="1">
      <c r="B836" s="293">
        <v>771</v>
      </c>
      <c r="C836" s="303"/>
      <c r="D836" s="303"/>
      <c r="E836" s="302"/>
      <c r="F836" s="295"/>
      <c r="G836" s="304" t="s">
        <v>2843</v>
      </c>
      <c r="H836" s="316" t="s">
        <v>2529</v>
      </c>
      <c r="I836" s="302"/>
      <c r="J836" s="348">
        <v>15000360</v>
      </c>
      <c r="K836" s="338"/>
    </row>
    <row r="837" spans="2:11" ht="15.75" customHeight="1">
      <c r="B837" s="293">
        <v>772</v>
      </c>
      <c r="C837" s="303"/>
      <c r="D837" s="303"/>
      <c r="E837" s="302"/>
      <c r="F837" s="295"/>
      <c r="G837" s="304" t="s">
        <v>2844</v>
      </c>
      <c r="H837" s="316" t="s">
        <v>2529</v>
      </c>
      <c r="I837" s="302"/>
      <c r="J837" s="348">
        <v>12500360</v>
      </c>
      <c r="K837" s="338"/>
    </row>
    <row r="838" spans="2:11" ht="15.75" customHeight="1">
      <c r="B838" s="293">
        <v>773</v>
      </c>
      <c r="C838" s="303"/>
      <c r="D838" s="303"/>
      <c r="E838" s="302"/>
      <c r="F838" s="295"/>
      <c r="G838" s="304" t="s">
        <v>2845</v>
      </c>
      <c r="H838" s="316" t="s">
        <v>2529</v>
      </c>
      <c r="I838" s="302"/>
      <c r="J838" s="348">
        <v>15000360</v>
      </c>
      <c r="K838" s="338"/>
    </row>
    <row r="839" spans="2:11" ht="15.75" customHeight="1">
      <c r="B839" s="293">
        <v>774</v>
      </c>
      <c r="C839" s="303"/>
      <c r="D839" s="303"/>
      <c r="E839" s="302"/>
      <c r="F839" s="295"/>
      <c r="G839" s="304" t="s">
        <v>2846</v>
      </c>
      <c r="H839" s="316" t="s">
        <v>2529</v>
      </c>
      <c r="I839" s="302"/>
      <c r="J839" s="348">
        <v>15000360</v>
      </c>
      <c r="K839" s="338"/>
    </row>
    <row r="840" spans="2:11" ht="15.75" customHeight="1">
      <c r="B840" s="293">
        <v>775</v>
      </c>
      <c r="C840" s="303"/>
      <c r="D840" s="303"/>
      <c r="E840" s="302"/>
      <c r="F840" s="295"/>
      <c r="G840" s="304" t="s">
        <v>2847</v>
      </c>
      <c r="H840" s="316" t="s">
        <v>2529</v>
      </c>
      <c r="I840" s="302"/>
      <c r="J840" s="348">
        <v>15000360</v>
      </c>
      <c r="K840" s="338"/>
    </row>
    <row r="841" spans="2:11" ht="15.75" customHeight="1">
      <c r="B841" s="293">
        <v>776</v>
      </c>
      <c r="C841" s="303"/>
      <c r="D841" s="303"/>
      <c r="E841" s="302"/>
      <c r="F841" s="295"/>
      <c r="G841" s="304" t="s">
        <v>2848</v>
      </c>
      <c r="H841" s="316" t="s">
        <v>2529</v>
      </c>
      <c r="I841" s="302"/>
      <c r="J841" s="348">
        <v>15000360</v>
      </c>
      <c r="K841" s="338"/>
    </row>
    <row r="842" spans="2:11" ht="15.75" customHeight="1">
      <c r="B842" s="293">
        <v>777</v>
      </c>
      <c r="C842" s="303"/>
      <c r="D842" s="303"/>
      <c r="E842" s="302"/>
      <c r="F842" s="295"/>
      <c r="G842" s="304" t="s">
        <v>2849</v>
      </c>
      <c r="H842" s="316" t="s">
        <v>2529</v>
      </c>
      <c r="I842" s="302"/>
      <c r="J842" s="348">
        <v>15000360</v>
      </c>
      <c r="K842" s="338"/>
    </row>
    <row r="843" spans="2:11" ht="15.75" customHeight="1">
      <c r="B843" s="293">
        <v>778</v>
      </c>
      <c r="C843" s="303"/>
      <c r="D843" s="303"/>
      <c r="E843" s="302"/>
      <c r="F843" s="295"/>
      <c r="G843" s="304" t="s">
        <v>2850</v>
      </c>
      <c r="H843" s="316" t="s">
        <v>2529</v>
      </c>
      <c r="I843" s="302"/>
      <c r="J843" s="348">
        <v>15000360</v>
      </c>
      <c r="K843" s="338"/>
    </row>
    <row r="844" spans="2:11" ht="15.75" customHeight="1">
      <c r="B844" s="293">
        <v>779</v>
      </c>
      <c r="C844" s="303"/>
      <c r="D844" s="303"/>
      <c r="E844" s="302"/>
      <c r="F844" s="295"/>
      <c r="G844" s="304" t="s">
        <v>2851</v>
      </c>
      <c r="H844" s="316" t="s">
        <v>2529</v>
      </c>
      <c r="I844" s="302"/>
      <c r="J844" s="348">
        <v>15000360</v>
      </c>
      <c r="K844" s="338"/>
    </row>
    <row r="845" spans="2:11" ht="15.75" customHeight="1">
      <c r="B845" s="293">
        <v>780</v>
      </c>
      <c r="C845" s="303"/>
      <c r="D845" s="303"/>
      <c r="E845" s="302"/>
      <c r="F845" s="295"/>
      <c r="G845" s="304" t="s">
        <v>2852</v>
      </c>
      <c r="H845" s="316" t="s">
        <v>2529</v>
      </c>
      <c r="I845" s="302"/>
      <c r="J845" s="348">
        <v>20000360</v>
      </c>
      <c r="K845" s="338"/>
    </row>
    <row r="846" spans="2:11" ht="15.75" customHeight="1">
      <c r="B846" s="293">
        <v>781</v>
      </c>
      <c r="C846" s="303"/>
      <c r="D846" s="303"/>
      <c r="E846" s="302"/>
      <c r="F846" s="295"/>
      <c r="G846" s="304" t="s">
        <v>2853</v>
      </c>
      <c r="H846" s="316" t="s">
        <v>2531</v>
      </c>
      <c r="I846" s="302"/>
      <c r="J846" s="348">
        <v>35003500</v>
      </c>
      <c r="K846" s="338"/>
    </row>
    <row r="847" spans="2:11" ht="15.75" customHeight="1">
      <c r="B847" s="293">
        <v>782</v>
      </c>
      <c r="C847" s="303"/>
      <c r="D847" s="303"/>
      <c r="E847" s="302"/>
      <c r="F847" s="295"/>
      <c r="G847" s="304" t="s">
        <v>1858</v>
      </c>
      <c r="H847" s="316" t="s">
        <v>2531</v>
      </c>
      <c r="I847" s="302"/>
      <c r="J847" s="348">
        <v>3002400</v>
      </c>
      <c r="K847" s="338"/>
    </row>
    <row r="848" spans="2:11" ht="15.75" customHeight="1">
      <c r="B848" s="293">
        <v>783</v>
      </c>
      <c r="C848" s="303"/>
      <c r="D848" s="303"/>
      <c r="E848" s="302"/>
      <c r="F848" s="295"/>
      <c r="G848" s="304" t="s">
        <v>2762</v>
      </c>
      <c r="H848" s="316" t="s">
        <v>2531</v>
      </c>
      <c r="I848" s="302"/>
      <c r="J848" s="348">
        <v>23002400</v>
      </c>
      <c r="K848" s="338"/>
    </row>
    <row r="849" spans="1:11" ht="15.75" customHeight="1">
      <c r="B849" s="293">
        <v>784</v>
      </c>
      <c r="C849" s="303"/>
      <c r="D849" s="303"/>
      <c r="E849" s="302"/>
      <c r="F849" s="295"/>
      <c r="G849" s="304" t="s">
        <v>2854</v>
      </c>
      <c r="H849" s="316" t="s">
        <v>2531</v>
      </c>
      <c r="I849" s="302"/>
      <c r="J849" s="348">
        <v>12502400</v>
      </c>
      <c r="K849" s="338"/>
    </row>
    <row r="850" spans="1:11" ht="15.75" customHeight="1">
      <c r="B850" s="293">
        <v>785</v>
      </c>
      <c r="C850" s="303"/>
      <c r="D850" s="303"/>
      <c r="E850" s="302"/>
      <c r="F850" s="295"/>
      <c r="G850" s="304" t="s">
        <v>2855</v>
      </c>
      <c r="H850" s="316" t="s">
        <v>2531</v>
      </c>
      <c r="I850" s="302"/>
      <c r="J850" s="348">
        <v>15000360</v>
      </c>
      <c r="K850" s="338"/>
    </row>
    <row r="851" spans="1:11" ht="15.75" customHeight="1">
      <c r="B851" s="293">
        <v>786</v>
      </c>
      <c r="C851" s="303"/>
      <c r="D851" s="303"/>
      <c r="E851" s="302"/>
      <c r="F851" s="295"/>
      <c r="G851" s="304" t="s">
        <v>2856</v>
      </c>
      <c r="H851" s="316" t="s">
        <v>2531</v>
      </c>
      <c r="I851" s="302"/>
      <c r="J851" s="348">
        <v>15000360</v>
      </c>
      <c r="K851" s="338"/>
    </row>
    <row r="852" spans="1:11" ht="15.75" customHeight="1">
      <c r="B852" s="293">
        <v>787</v>
      </c>
      <c r="C852" s="303"/>
      <c r="D852" s="303"/>
      <c r="E852" s="302"/>
      <c r="F852" s="295"/>
      <c r="G852" s="304" t="s">
        <v>2857</v>
      </c>
      <c r="H852" s="316" t="s">
        <v>2531</v>
      </c>
      <c r="I852" s="302"/>
      <c r="J852" s="348">
        <v>15000360</v>
      </c>
      <c r="K852" s="338"/>
    </row>
    <row r="853" spans="1:11" ht="15.75" customHeight="1">
      <c r="B853" s="293">
        <v>788</v>
      </c>
      <c r="C853" s="303"/>
      <c r="D853" s="303"/>
      <c r="E853" s="302"/>
      <c r="F853" s="295"/>
      <c r="G853" s="304" t="s">
        <v>2858</v>
      </c>
      <c r="H853" s="316" t="s">
        <v>2531</v>
      </c>
      <c r="I853" s="302"/>
      <c r="J853" s="348">
        <v>12500360</v>
      </c>
      <c r="K853" s="338"/>
    </row>
    <row r="854" spans="1:11" ht="15.75" customHeight="1">
      <c r="B854" s="293">
        <v>789</v>
      </c>
      <c r="C854" s="303"/>
      <c r="D854" s="303"/>
      <c r="E854" s="302"/>
      <c r="F854" s="295"/>
      <c r="G854" s="304" t="s">
        <v>2859</v>
      </c>
      <c r="H854" s="316" t="s">
        <v>2531</v>
      </c>
      <c r="I854" s="302"/>
      <c r="J854" s="348">
        <v>20000360</v>
      </c>
      <c r="K854" s="338"/>
    </row>
    <row r="855" spans="1:11" ht="15.75" customHeight="1">
      <c r="B855" s="293">
        <v>790</v>
      </c>
      <c r="C855" s="303"/>
      <c r="D855" s="303"/>
      <c r="E855" s="302"/>
      <c r="F855" s="295"/>
      <c r="G855" s="304" t="s">
        <v>2860</v>
      </c>
      <c r="H855" s="316" t="s">
        <v>2531</v>
      </c>
      <c r="I855" s="302"/>
      <c r="J855" s="348">
        <v>15000360</v>
      </c>
      <c r="K855" s="338"/>
    </row>
    <row r="856" spans="1:11" ht="15.75" customHeight="1">
      <c r="B856" s="293">
        <v>791</v>
      </c>
      <c r="C856" s="303"/>
      <c r="D856" s="303"/>
      <c r="E856" s="302"/>
      <c r="F856" s="295"/>
      <c r="G856" s="304" t="s">
        <v>2861</v>
      </c>
      <c r="H856" s="316" t="s">
        <v>2531</v>
      </c>
      <c r="I856" s="302"/>
      <c r="J856" s="348">
        <v>15000360</v>
      </c>
      <c r="K856" s="338"/>
    </row>
    <row r="857" spans="1:11" ht="15.75" customHeight="1">
      <c r="B857" s="293">
        <v>792</v>
      </c>
      <c r="C857" s="303"/>
      <c r="D857" s="303"/>
      <c r="E857" s="302"/>
      <c r="F857" s="295"/>
      <c r="G857" s="304" t="s">
        <v>2862</v>
      </c>
      <c r="H857" s="316" t="s">
        <v>2531</v>
      </c>
      <c r="I857" s="302"/>
      <c r="J857" s="348">
        <v>15000360</v>
      </c>
      <c r="K857" s="338"/>
    </row>
    <row r="858" spans="1:11" ht="15.75" customHeight="1">
      <c r="B858" s="293">
        <v>793</v>
      </c>
      <c r="C858" s="303"/>
      <c r="D858" s="303"/>
      <c r="E858" s="302"/>
      <c r="F858" s="295"/>
      <c r="G858" s="304" t="s">
        <v>2863</v>
      </c>
      <c r="H858" s="316" t="s">
        <v>2531</v>
      </c>
      <c r="I858" s="302"/>
      <c r="J858" s="348">
        <v>15000360</v>
      </c>
      <c r="K858" s="338"/>
    </row>
    <row r="859" spans="1:11" ht="15.75" customHeight="1">
      <c r="B859" s="293">
        <v>794</v>
      </c>
      <c r="C859" s="303"/>
      <c r="D859" s="303"/>
      <c r="E859" s="302"/>
      <c r="F859" s="295"/>
      <c r="G859" s="304" t="s">
        <v>2864</v>
      </c>
      <c r="H859" s="316" t="s">
        <v>2531</v>
      </c>
      <c r="I859" s="302"/>
      <c r="J859" s="348">
        <v>15000360</v>
      </c>
      <c r="K859" s="338"/>
    </row>
    <row r="860" spans="1:11" ht="15.75" customHeight="1">
      <c r="B860" s="293">
        <v>795</v>
      </c>
      <c r="C860" s="303"/>
      <c r="D860" s="303"/>
      <c r="E860" s="302"/>
      <c r="F860" s="295"/>
      <c r="G860" s="304" t="s">
        <v>2865</v>
      </c>
      <c r="H860" s="316" t="s">
        <v>2531</v>
      </c>
      <c r="I860" s="302"/>
      <c r="J860" s="348">
        <v>12502400</v>
      </c>
      <c r="K860" s="338"/>
    </row>
    <row r="861" spans="1:11" ht="15.75" customHeight="1">
      <c r="B861" s="293">
        <v>796</v>
      </c>
      <c r="C861" s="303"/>
      <c r="D861" s="303"/>
      <c r="E861" s="302"/>
      <c r="F861" s="295"/>
      <c r="G861" s="304" t="s">
        <v>2866</v>
      </c>
      <c r="H861" s="316" t="s">
        <v>2531</v>
      </c>
      <c r="I861" s="302"/>
      <c r="J861" s="348">
        <v>12502400</v>
      </c>
      <c r="K861" s="338"/>
    </row>
    <row r="862" spans="1:11" ht="15.75" customHeight="1">
      <c r="B862" s="293">
        <v>797</v>
      </c>
      <c r="C862" s="303"/>
      <c r="D862" s="303"/>
      <c r="E862" s="302"/>
      <c r="F862" s="295"/>
      <c r="G862" s="304" t="s">
        <v>2867</v>
      </c>
      <c r="H862" s="316" t="s">
        <v>2537</v>
      </c>
      <c r="I862" s="302"/>
      <c r="J862" s="348">
        <v>500030000</v>
      </c>
      <c r="K862" s="338"/>
    </row>
    <row r="863" spans="1:11" ht="15.75" customHeight="1">
      <c r="B863" s="293">
        <v>798</v>
      </c>
      <c r="C863" s="303"/>
      <c r="D863" s="303"/>
      <c r="E863" s="302"/>
      <c r="F863" s="295"/>
      <c r="G863" s="304" t="s">
        <v>2868</v>
      </c>
      <c r="H863" s="316" t="s">
        <v>2830</v>
      </c>
      <c r="I863" s="302"/>
      <c r="J863" s="348">
        <v>15000360</v>
      </c>
      <c r="K863" s="338"/>
    </row>
    <row r="864" spans="1:11" ht="15.75" customHeight="1">
      <c r="A864" s="465"/>
      <c r="B864" s="293">
        <v>799</v>
      </c>
      <c r="C864" s="303"/>
      <c r="D864" s="303"/>
      <c r="E864" s="302"/>
      <c r="F864" s="295"/>
      <c r="G864" s="304" t="s">
        <v>2869</v>
      </c>
      <c r="H864" s="316" t="s">
        <v>2830</v>
      </c>
      <c r="I864" s="302"/>
      <c r="J864" s="348">
        <v>15000360</v>
      </c>
      <c r="K864" s="300"/>
    </row>
    <row r="865" spans="1:11" ht="15.75" customHeight="1">
      <c r="A865" s="465"/>
      <c r="B865" s="293">
        <v>800</v>
      </c>
      <c r="C865" s="303"/>
      <c r="D865" s="303"/>
      <c r="E865" s="302"/>
      <c r="F865" s="295"/>
      <c r="G865" s="304" t="s">
        <v>2870</v>
      </c>
      <c r="H865" s="316" t="s">
        <v>2830</v>
      </c>
      <c r="I865" s="302"/>
      <c r="J865" s="348">
        <v>15000360</v>
      </c>
      <c r="K865" s="300"/>
    </row>
    <row r="866" spans="1:11" ht="15.75" customHeight="1">
      <c r="A866" s="465"/>
      <c r="B866" s="293">
        <v>801</v>
      </c>
      <c r="C866" s="303"/>
      <c r="D866" s="303"/>
      <c r="E866" s="302"/>
      <c r="F866" s="295"/>
      <c r="G866" s="304" t="s">
        <v>2871</v>
      </c>
      <c r="H866" s="316" t="s">
        <v>2830</v>
      </c>
      <c r="I866" s="302"/>
      <c r="J866" s="348">
        <v>15000360</v>
      </c>
      <c r="K866" s="300"/>
    </row>
    <row r="867" spans="1:11" ht="15.75" customHeight="1">
      <c r="A867" s="465"/>
      <c r="B867" s="293">
        <v>802</v>
      </c>
      <c r="C867" s="303"/>
      <c r="D867" s="303"/>
      <c r="E867" s="302"/>
      <c r="F867" s="295"/>
      <c r="G867" s="304" t="s">
        <v>2872</v>
      </c>
      <c r="H867" s="316" t="s">
        <v>2830</v>
      </c>
      <c r="I867" s="302"/>
      <c r="J867" s="348">
        <v>20000360</v>
      </c>
      <c r="K867" s="300"/>
    </row>
    <row r="868" spans="1:11" ht="15.75" customHeight="1">
      <c r="A868" s="465"/>
      <c r="B868" s="293">
        <v>803</v>
      </c>
      <c r="C868" s="303"/>
      <c r="D868" s="303"/>
      <c r="E868" s="302"/>
      <c r="F868" s="295"/>
      <c r="G868" s="304" t="s">
        <v>2873</v>
      </c>
      <c r="H868" s="316" t="s">
        <v>2830</v>
      </c>
      <c r="I868" s="302"/>
      <c r="J868" s="348">
        <v>12500360</v>
      </c>
      <c r="K868" s="300"/>
    </row>
    <row r="869" spans="1:11" ht="15.75" customHeight="1">
      <c r="A869" s="465"/>
      <c r="B869" s="293">
        <v>804</v>
      </c>
      <c r="C869" s="303"/>
      <c r="D869" s="303"/>
      <c r="E869" s="302"/>
      <c r="F869" s="295"/>
      <c r="G869" s="304" t="s">
        <v>2874</v>
      </c>
      <c r="H869" s="316" t="s">
        <v>2830</v>
      </c>
      <c r="I869" s="302"/>
      <c r="J869" s="348">
        <v>15000360</v>
      </c>
      <c r="K869" s="300"/>
    </row>
    <row r="870" spans="1:11" ht="15.75" customHeight="1">
      <c r="A870" s="465"/>
      <c r="B870" s="293">
        <v>805</v>
      </c>
      <c r="C870" s="303"/>
      <c r="D870" s="303"/>
      <c r="E870" s="302"/>
      <c r="F870" s="295"/>
      <c r="G870" s="304" t="s">
        <v>2875</v>
      </c>
      <c r="H870" s="316" t="s">
        <v>2830</v>
      </c>
      <c r="I870" s="302"/>
      <c r="J870" s="348">
        <v>10000360</v>
      </c>
      <c r="K870" s="300"/>
    </row>
    <row r="871" spans="1:11" ht="15.75" customHeight="1">
      <c r="A871" s="465"/>
      <c r="B871" s="293">
        <v>806</v>
      </c>
      <c r="C871" s="303"/>
      <c r="D871" s="303"/>
      <c r="E871" s="302"/>
      <c r="F871" s="295"/>
      <c r="G871" s="304" t="s">
        <v>2876</v>
      </c>
      <c r="H871" s="316" t="s">
        <v>2830</v>
      </c>
      <c r="I871" s="302"/>
      <c r="J871" s="348">
        <v>15000360</v>
      </c>
      <c r="K871" s="300"/>
    </row>
    <row r="872" spans="1:11" ht="15.75" customHeight="1">
      <c r="A872" s="465"/>
      <c r="B872" s="293">
        <v>807</v>
      </c>
      <c r="C872" s="303"/>
      <c r="D872" s="303"/>
      <c r="E872" s="302"/>
      <c r="F872" s="295"/>
      <c r="G872" s="304" t="s">
        <v>2877</v>
      </c>
      <c r="H872" s="316" t="s">
        <v>2830</v>
      </c>
      <c r="I872" s="302"/>
      <c r="J872" s="348">
        <v>20000360</v>
      </c>
      <c r="K872" s="300"/>
    </row>
    <row r="873" spans="1:11" ht="15.75" customHeight="1">
      <c r="A873" s="465"/>
      <c r="B873" s="293">
        <v>808</v>
      </c>
      <c r="C873" s="303"/>
      <c r="D873" s="303"/>
      <c r="E873" s="302"/>
      <c r="F873" s="295"/>
      <c r="G873" s="304" t="s">
        <v>2878</v>
      </c>
      <c r="H873" s="316" t="s">
        <v>2830</v>
      </c>
      <c r="I873" s="302"/>
      <c r="J873" s="348">
        <v>15000360</v>
      </c>
      <c r="K873" s="300"/>
    </row>
    <row r="874" spans="1:11" ht="15.75" customHeight="1">
      <c r="A874" s="465"/>
      <c r="B874" s="293">
        <v>809</v>
      </c>
      <c r="C874" s="303"/>
      <c r="D874" s="303"/>
      <c r="E874" s="302"/>
      <c r="F874" s="295"/>
      <c r="G874" s="304" t="s">
        <v>2879</v>
      </c>
      <c r="H874" s="316" t="s">
        <v>2830</v>
      </c>
      <c r="I874" s="302"/>
      <c r="J874" s="348">
        <v>12500360</v>
      </c>
      <c r="K874" s="300"/>
    </row>
    <row r="875" spans="1:11" ht="15.75" customHeight="1">
      <c r="A875" s="465"/>
      <c r="B875" s="293">
        <v>810</v>
      </c>
      <c r="C875" s="303"/>
      <c r="D875" s="303"/>
      <c r="E875" s="302"/>
      <c r="F875" s="295"/>
      <c r="G875" s="304" t="s">
        <v>2880</v>
      </c>
      <c r="H875" s="316" t="s">
        <v>2830</v>
      </c>
      <c r="I875" s="302"/>
      <c r="J875" s="348">
        <v>15000360</v>
      </c>
      <c r="K875" s="300"/>
    </row>
    <row r="876" spans="1:11" ht="15.75" customHeight="1">
      <c r="A876" s="465"/>
      <c r="B876" s="293">
        <v>811</v>
      </c>
      <c r="C876" s="303"/>
      <c r="D876" s="303"/>
      <c r="E876" s="302"/>
      <c r="F876" s="295"/>
      <c r="G876" s="304" t="s">
        <v>2881</v>
      </c>
      <c r="H876" s="316" t="s">
        <v>2830</v>
      </c>
      <c r="I876" s="302"/>
      <c r="J876" s="348">
        <v>12500360</v>
      </c>
      <c r="K876" s="300"/>
    </row>
    <row r="877" spans="1:11" ht="15.75" customHeight="1">
      <c r="A877" s="465"/>
      <c r="B877" s="293">
        <v>812</v>
      </c>
      <c r="C877" s="303"/>
      <c r="D877" s="303"/>
      <c r="E877" s="302"/>
      <c r="F877" s="295"/>
      <c r="G877" s="304" t="s">
        <v>2882</v>
      </c>
      <c r="H877" s="316" t="s">
        <v>2830</v>
      </c>
      <c r="I877" s="302"/>
      <c r="J877" s="348">
        <v>12500360</v>
      </c>
      <c r="K877" s="300"/>
    </row>
    <row r="878" spans="1:11" ht="15.75" customHeight="1">
      <c r="A878" s="465"/>
      <c r="B878" s="293">
        <v>813</v>
      </c>
      <c r="C878" s="303"/>
      <c r="D878" s="303"/>
      <c r="E878" s="302"/>
      <c r="F878" s="295"/>
      <c r="G878" s="304" t="s">
        <v>2883</v>
      </c>
      <c r="H878" s="316" t="s">
        <v>2830</v>
      </c>
      <c r="I878" s="302"/>
      <c r="J878" s="348">
        <v>12500360</v>
      </c>
      <c r="K878" s="300"/>
    </row>
    <row r="879" spans="1:11" ht="15.75" customHeight="1">
      <c r="A879" s="465"/>
      <c r="B879" s="293">
        <v>814</v>
      </c>
      <c r="C879" s="303"/>
      <c r="D879" s="303"/>
      <c r="E879" s="302"/>
      <c r="F879" s="295"/>
      <c r="G879" s="304" t="s">
        <v>2884</v>
      </c>
      <c r="H879" s="316" t="s">
        <v>2830</v>
      </c>
      <c r="I879" s="302"/>
      <c r="J879" s="348">
        <v>15000360</v>
      </c>
      <c r="K879" s="300"/>
    </row>
    <row r="880" spans="1:11" ht="15.75" customHeight="1">
      <c r="A880" s="465"/>
      <c r="B880" s="293"/>
      <c r="C880" s="303"/>
      <c r="D880" s="303"/>
      <c r="E880" s="302"/>
      <c r="F880" s="295"/>
      <c r="G880" s="304" t="s">
        <v>2885</v>
      </c>
      <c r="H880" s="316" t="s">
        <v>2831</v>
      </c>
      <c r="I880" s="302"/>
      <c r="J880" s="466">
        <v>500030000</v>
      </c>
      <c r="K880" s="300"/>
    </row>
    <row r="881" spans="1:11" ht="15.75" customHeight="1">
      <c r="A881" s="465"/>
      <c r="B881" s="293"/>
      <c r="C881" s="303"/>
      <c r="D881" s="303"/>
      <c r="E881" s="302"/>
      <c r="F881" s="295"/>
      <c r="G881" s="304" t="s">
        <v>2902</v>
      </c>
      <c r="H881" s="316" t="s">
        <v>2548</v>
      </c>
      <c r="I881" s="302"/>
      <c r="J881" s="348">
        <v>15000360</v>
      </c>
      <c r="K881" s="300"/>
    </row>
    <row r="882" spans="1:11" ht="15.75" customHeight="1">
      <c r="A882" s="465"/>
      <c r="B882" s="293">
        <v>789</v>
      </c>
      <c r="C882" s="303"/>
      <c r="D882" s="303"/>
      <c r="E882" s="302"/>
      <c r="F882" s="295" t="str">
        <f t="shared" si="15"/>
        <v/>
      </c>
      <c r="G882" s="304" t="s">
        <v>2903</v>
      </c>
      <c r="H882" s="316" t="s">
        <v>2548</v>
      </c>
      <c r="I882" s="302"/>
      <c r="J882" s="348">
        <v>15000360</v>
      </c>
      <c r="K882" s="300"/>
    </row>
    <row r="883" spans="1:11" ht="15" customHeight="1">
      <c r="A883" s="465"/>
      <c r="B883" s="467"/>
      <c r="C883" s="465"/>
      <c r="D883" s="465"/>
      <c r="E883" s="468"/>
      <c r="F883" s="465"/>
      <c r="G883" s="304" t="s">
        <v>2904</v>
      </c>
      <c r="H883" s="316" t="s">
        <v>2548</v>
      </c>
      <c r="I883" s="302"/>
      <c r="J883" s="348">
        <v>15000360</v>
      </c>
      <c r="K883" s="468"/>
    </row>
    <row r="884" spans="1:11" ht="15.75" customHeight="1">
      <c r="A884" s="465"/>
      <c r="B884" s="467"/>
      <c r="C884" s="465"/>
      <c r="D884" s="465"/>
      <c r="E884" s="470"/>
      <c r="F884" s="471"/>
      <c r="G884" s="304" t="s">
        <v>2905</v>
      </c>
      <c r="H884" s="316" t="s">
        <v>2548</v>
      </c>
      <c r="I884" s="302"/>
      <c r="J884" s="348">
        <v>15000360</v>
      </c>
      <c r="K884" s="468"/>
    </row>
    <row r="885" spans="1:11" ht="15.75" customHeight="1">
      <c r="A885" s="465"/>
      <c r="B885" s="467"/>
      <c r="C885" s="465"/>
      <c r="D885" s="465"/>
      <c r="E885" s="470"/>
      <c r="F885" s="471"/>
      <c r="G885" s="304" t="s">
        <v>2906</v>
      </c>
      <c r="H885" s="316" t="s">
        <v>2548</v>
      </c>
      <c r="I885" s="302"/>
      <c r="J885" s="348">
        <v>15000360</v>
      </c>
      <c r="K885" s="468"/>
    </row>
    <row r="886" spans="1:11" ht="15.75" customHeight="1">
      <c r="A886" s="465"/>
      <c r="B886" s="467"/>
      <c r="C886" s="465"/>
      <c r="D886" s="465"/>
      <c r="E886" s="470"/>
      <c r="F886" s="471"/>
      <c r="G886" s="304" t="s">
        <v>2907</v>
      </c>
      <c r="H886" s="316" t="s">
        <v>2548</v>
      </c>
      <c r="I886" s="302"/>
      <c r="J886" s="348">
        <v>15000360</v>
      </c>
      <c r="K886" s="468"/>
    </row>
    <row r="887" spans="1:11" ht="15.75" customHeight="1">
      <c r="A887" s="465"/>
      <c r="B887" s="467"/>
      <c r="C887" s="465"/>
      <c r="D887" s="465"/>
      <c r="E887" s="470"/>
      <c r="F887" s="471"/>
      <c r="G887" s="304" t="s">
        <v>2908</v>
      </c>
      <c r="H887" s="316" t="s">
        <v>2548</v>
      </c>
      <c r="I887" s="302"/>
      <c r="J887" s="348">
        <v>20000360</v>
      </c>
      <c r="K887" s="468"/>
    </row>
    <row r="888" spans="1:11" ht="15.75" customHeight="1">
      <c r="A888" s="465"/>
      <c r="B888" s="467"/>
      <c r="C888" s="465"/>
      <c r="D888" s="465"/>
      <c r="E888" s="470"/>
      <c r="F888" s="471"/>
      <c r="G888" s="304" t="s">
        <v>2909</v>
      </c>
      <c r="H888" s="316" t="s">
        <v>2548</v>
      </c>
      <c r="I888" s="302"/>
      <c r="J888" s="348">
        <v>12500360</v>
      </c>
      <c r="K888" s="468"/>
    </row>
    <row r="889" spans="1:11" ht="15.75" customHeight="1">
      <c r="A889" s="465"/>
      <c r="B889" s="467"/>
      <c r="C889" s="465"/>
      <c r="D889" s="465"/>
      <c r="E889" s="470"/>
      <c r="F889" s="471"/>
      <c r="G889" s="304" t="s">
        <v>2910</v>
      </c>
      <c r="H889" s="316" t="s">
        <v>2548</v>
      </c>
      <c r="I889" s="302"/>
      <c r="J889" s="348">
        <v>15000360</v>
      </c>
      <c r="K889" s="468"/>
    </row>
    <row r="890" spans="1:11" ht="15.75" customHeight="1">
      <c r="A890" s="465"/>
      <c r="B890" s="467"/>
      <c r="C890" s="465"/>
      <c r="D890" s="465"/>
      <c r="E890" s="470"/>
      <c r="F890" s="471"/>
      <c r="G890" s="304" t="s">
        <v>2911</v>
      </c>
      <c r="H890" s="316" t="s">
        <v>2548</v>
      </c>
      <c r="I890" s="302"/>
      <c r="J890" s="348">
        <v>15000360</v>
      </c>
      <c r="K890" s="468"/>
    </row>
    <row r="891" spans="1:11" ht="15.75" customHeight="1">
      <c r="A891" s="465"/>
      <c r="B891" s="467"/>
      <c r="C891" s="465"/>
      <c r="D891" s="465"/>
      <c r="E891" s="470"/>
      <c r="F891" s="471"/>
      <c r="G891" s="304" t="s">
        <v>2912</v>
      </c>
      <c r="H891" s="316" t="s">
        <v>2548</v>
      </c>
      <c r="I891" s="302"/>
      <c r="J891" s="348">
        <v>15000360</v>
      </c>
      <c r="K891" s="468"/>
    </row>
    <row r="892" spans="1:11" ht="15.75" customHeight="1">
      <c r="A892" s="465"/>
      <c r="B892" s="467"/>
      <c r="C892" s="465"/>
      <c r="D892" s="465"/>
      <c r="E892" s="470"/>
      <c r="F892" s="471"/>
      <c r="G892" s="304" t="s">
        <v>2913</v>
      </c>
      <c r="H892" s="316" t="s">
        <v>2548</v>
      </c>
      <c r="I892" s="302"/>
      <c r="J892" s="348">
        <v>12500360</v>
      </c>
      <c r="K892" s="468"/>
    </row>
    <row r="893" spans="1:11" ht="15.75" customHeight="1">
      <c r="A893" s="465"/>
      <c r="B893" s="467"/>
      <c r="C893" s="465"/>
      <c r="D893" s="465"/>
      <c r="E893" s="470"/>
      <c r="F893" s="471"/>
      <c r="G893" s="304" t="s">
        <v>2914</v>
      </c>
      <c r="H893" s="316" t="s">
        <v>2548</v>
      </c>
      <c r="I893" s="302"/>
      <c r="J893" s="348">
        <v>15000360</v>
      </c>
      <c r="K893" s="468"/>
    </row>
    <row r="894" spans="1:11" ht="15.75" customHeight="1">
      <c r="A894" s="465"/>
      <c r="B894" s="467"/>
      <c r="C894" s="465"/>
      <c r="D894" s="465"/>
      <c r="E894" s="470"/>
      <c r="F894" s="471"/>
      <c r="G894" s="304" t="s">
        <v>2915</v>
      </c>
      <c r="H894" s="316" t="s">
        <v>2548</v>
      </c>
      <c r="I894" s="302"/>
      <c r="J894" s="348">
        <v>15000360</v>
      </c>
      <c r="K894" s="468"/>
    </row>
    <row r="895" spans="1:11" ht="15.75" customHeight="1">
      <c r="A895" s="465"/>
      <c r="B895" s="467"/>
      <c r="C895" s="465"/>
      <c r="D895" s="465"/>
      <c r="E895" s="470"/>
      <c r="F895" s="471"/>
      <c r="G895" s="304" t="s">
        <v>2916</v>
      </c>
      <c r="H895" s="316" t="s">
        <v>2548</v>
      </c>
      <c r="I895" s="302"/>
      <c r="J895" s="348">
        <v>15000360</v>
      </c>
      <c r="K895" s="468"/>
    </row>
    <row r="896" spans="1:11" ht="15.75" customHeight="1">
      <c r="A896" s="465"/>
      <c r="B896" s="467"/>
      <c r="C896" s="465"/>
      <c r="D896" s="465"/>
      <c r="E896" s="470"/>
      <c r="F896" s="471"/>
      <c r="G896" s="304" t="s">
        <v>2941</v>
      </c>
      <c r="H896" s="316" t="s">
        <v>2548</v>
      </c>
      <c r="I896" s="302"/>
      <c r="J896" s="348">
        <v>15000360</v>
      </c>
      <c r="K896" s="468"/>
    </row>
    <row r="897" spans="1:11" ht="15.75" customHeight="1">
      <c r="A897" s="465"/>
      <c r="B897" s="467"/>
      <c r="C897" s="465"/>
      <c r="D897" s="465"/>
      <c r="E897" s="470"/>
      <c r="F897" s="471"/>
      <c r="G897" s="304" t="s">
        <v>2940</v>
      </c>
      <c r="H897" s="316" t="s">
        <v>2548</v>
      </c>
      <c r="I897" s="302"/>
      <c r="J897" s="348">
        <v>12500360</v>
      </c>
      <c r="K897" s="468"/>
    </row>
    <row r="898" spans="1:11" ht="15.75" customHeight="1">
      <c r="A898" s="465"/>
      <c r="B898" s="467"/>
      <c r="C898" s="465"/>
      <c r="D898" s="465"/>
      <c r="E898" s="470"/>
      <c r="F898" s="471"/>
      <c r="G898" s="304" t="s">
        <v>2939</v>
      </c>
      <c r="H898" s="316" t="s">
        <v>2548</v>
      </c>
      <c r="I898" s="302"/>
      <c r="J898" s="348">
        <v>15000360</v>
      </c>
      <c r="K898" s="468"/>
    </row>
    <row r="899" spans="1:11" ht="15.75" customHeight="1">
      <c r="A899" s="465"/>
      <c r="B899" s="467"/>
      <c r="C899" s="465"/>
      <c r="D899" s="465"/>
      <c r="E899" s="470"/>
      <c r="F899" s="471"/>
      <c r="G899" s="304" t="s">
        <v>2938</v>
      </c>
      <c r="H899" s="316" t="s">
        <v>2548</v>
      </c>
      <c r="I899" s="302"/>
      <c r="J899" s="348">
        <v>15000360</v>
      </c>
      <c r="K899" s="468"/>
    </row>
    <row r="900" spans="1:11" ht="15.75" customHeight="1">
      <c r="A900" s="465"/>
      <c r="B900" s="467"/>
      <c r="C900" s="465"/>
      <c r="D900" s="465"/>
      <c r="E900" s="470"/>
      <c r="F900" s="471"/>
      <c r="G900" s="304" t="s">
        <v>2937</v>
      </c>
      <c r="H900" s="316" t="s">
        <v>2548</v>
      </c>
      <c r="I900" s="302"/>
      <c r="J900" s="348">
        <v>15000360</v>
      </c>
      <c r="K900" s="468"/>
    </row>
    <row r="901" spans="1:11" ht="15.75" customHeight="1">
      <c r="A901" s="465"/>
      <c r="B901" s="467"/>
      <c r="C901" s="465"/>
      <c r="D901" s="465"/>
      <c r="E901" s="470"/>
      <c r="F901" s="471"/>
      <c r="G901" s="304" t="s">
        <v>2936</v>
      </c>
      <c r="H901" s="316" t="s">
        <v>2548</v>
      </c>
      <c r="I901" s="302"/>
      <c r="J901" s="348">
        <v>15000360</v>
      </c>
      <c r="K901" s="468"/>
    </row>
    <row r="902" spans="1:11" ht="15.75" customHeight="1">
      <c r="A902" s="465"/>
      <c r="B902" s="467"/>
      <c r="C902" s="465"/>
      <c r="D902" s="465"/>
      <c r="E902" s="470"/>
      <c r="F902" s="471"/>
      <c r="G902" s="304" t="s">
        <v>2935</v>
      </c>
      <c r="H902" s="316" t="s">
        <v>2548</v>
      </c>
      <c r="I902" s="302"/>
      <c r="J902" s="348">
        <v>15000360</v>
      </c>
      <c r="K902" s="468"/>
    </row>
    <row r="903" spans="1:11" ht="15.75" customHeight="1">
      <c r="A903" s="465"/>
      <c r="B903" s="467"/>
      <c r="C903" s="465"/>
      <c r="D903" s="465"/>
      <c r="E903" s="470"/>
      <c r="F903" s="471"/>
      <c r="G903" s="304" t="s">
        <v>2934</v>
      </c>
      <c r="H903" s="316" t="s">
        <v>2548</v>
      </c>
      <c r="I903" s="302"/>
      <c r="J903" s="348">
        <v>15000360</v>
      </c>
      <c r="K903" s="468"/>
    </row>
    <row r="904" spans="1:11" ht="15.75" customHeight="1">
      <c r="A904" s="465"/>
      <c r="B904" s="467"/>
      <c r="C904" s="465"/>
      <c r="D904" s="465"/>
      <c r="E904" s="470"/>
      <c r="F904" s="471"/>
      <c r="G904" s="304" t="s">
        <v>2933</v>
      </c>
      <c r="H904" s="316" t="s">
        <v>2548</v>
      </c>
      <c r="I904" s="302"/>
      <c r="J904" s="348">
        <v>15000360</v>
      </c>
      <c r="K904" s="468"/>
    </row>
    <row r="905" spans="1:11" ht="15.75" customHeight="1">
      <c r="A905" s="465"/>
      <c r="B905" s="467"/>
      <c r="C905" s="465"/>
      <c r="D905" s="465"/>
      <c r="E905" s="470"/>
      <c r="F905" s="471"/>
      <c r="G905" s="304" t="s">
        <v>2932</v>
      </c>
      <c r="H905" s="316" t="s">
        <v>2548</v>
      </c>
      <c r="I905" s="302"/>
      <c r="J905" s="348">
        <v>20000360</v>
      </c>
      <c r="K905" s="468"/>
    </row>
    <row r="906" spans="1:11" ht="15.75" customHeight="1">
      <c r="A906" s="465"/>
      <c r="B906" s="467"/>
      <c r="C906" s="465"/>
      <c r="D906" s="465"/>
      <c r="E906" s="470"/>
      <c r="F906" s="471"/>
      <c r="G906" s="304" t="s">
        <v>2931</v>
      </c>
      <c r="H906" s="316" t="s">
        <v>2548</v>
      </c>
      <c r="I906" s="302"/>
      <c r="J906" s="348">
        <v>12502400</v>
      </c>
      <c r="K906" s="468"/>
    </row>
    <row r="907" spans="1:11" ht="15.75" customHeight="1">
      <c r="A907" s="465"/>
      <c r="B907" s="467"/>
      <c r="C907" s="465"/>
      <c r="D907" s="465"/>
      <c r="E907" s="470"/>
      <c r="F907" s="471"/>
      <c r="G907" s="304" t="s">
        <v>2930</v>
      </c>
      <c r="H907" s="316" t="s">
        <v>2548</v>
      </c>
      <c r="I907" s="302"/>
      <c r="J907" s="348">
        <v>15000360</v>
      </c>
      <c r="K907" s="468"/>
    </row>
    <row r="908" spans="1:11" ht="15.75" customHeight="1">
      <c r="A908" s="465"/>
      <c r="B908" s="467"/>
      <c r="C908" s="465"/>
      <c r="D908" s="465"/>
      <c r="E908" s="470"/>
      <c r="F908" s="471"/>
      <c r="G908" s="304" t="s">
        <v>2929</v>
      </c>
      <c r="H908" s="316" t="s">
        <v>2548</v>
      </c>
      <c r="I908" s="302"/>
      <c r="J908" s="348">
        <v>15000360</v>
      </c>
      <c r="K908" s="468"/>
    </row>
    <row r="909" spans="1:11" ht="15.75" customHeight="1">
      <c r="A909" s="465"/>
      <c r="B909" s="467"/>
      <c r="C909" s="465"/>
      <c r="D909" s="465"/>
      <c r="E909" s="470"/>
      <c r="F909" s="471"/>
      <c r="G909" s="304" t="s">
        <v>2928</v>
      </c>
      <c r="H909" s="316" t="s">
        <v>2548</v>
      </c>
      <c r="I909" s="302"/>
      <c r="J909" s="348">
        <v>15000360</v>
      </c>
      <c r="K909" s="468"/>
    </row>
    <row r="910" spans="1:11" ht="15.75" customHeight="1">
      <c r="A910" s="465"/>
      <c r="B910" s="467"/>
      <c r="C910" s="465"/>
      <c r="D910" s="465"/>
      <c r="E910" s="470"/>
      <c r="F910" s="471"/>
      <c r="G910" s="304" t="s">
        <v>2927</v>
      </c>
      <c r="H910" s="316" t="s">
        <v>2548</v>
      </c>
      <c r="I910" s="302"/>
      <c r="J910" s="348">
        <v>12500360</v>
      </c>
      <c r="K910" s="468"/>
    </row>
    <row r="911" spans="1:11" ht="15.75" customHeight="1">
      <c r="A911" s="465"/>
      <c r="B911" s="467"/>
      <c r="C911" s="465"/>
      <c r="D911" s="465"/>
      <c r="E911" s="470"/>
      <c r="F911" s="471"/>
      <c r="G911" s="304" t="s">
        <v>2926</v>
      </c>
      <c r="H911" s="316" t="s">
        <v>2548</v>
      </c>
      <c r="I911" s="302"/>
      <c r="J911" s="348">
        <v>20000360</v>
      </c>
      <c r="K911" s="468"/>
    </row>
    <row r="912" spans="1:11" ht="15.75" customHeight="1">
      <c r="A912" s="465"/>
      <c r="B912" s="467"/>
      <c r="C912" s="465"/>
      <c r="D912" s="465"/>
      <c r="E912" s="470"/>
      <c r="F912" s="471"/>
      <c r="G912" s="304" t="s">
        <v>2925</v>
      </c>
      <c r="H912" s="316" t="s">
        <v>2548</v>
      </c>
      <c r="I912" s="302"/>
      <c r="J912" s="348">
        <v>15000360</v>
      </c>
      <c r="K912" s="468"/>
    </row>
    <row r="913" spans="1:11" ht="15.75" customHeight="1">
      <c r="A913" s="465"/>
      <c r="B913" s="467"/>
      <c r="C913" s="465"/>
      <c r="D913" s="465"/>
      <c r="E913" s="470"/>
      <c r="F913" s="471"/>
      <c r="G913" s="304" t="s">
        <v>2924</v>
      </c>
      <c r="H913" s="316" t="s">
        <v>2548</v>
      </c>
      <c r="I913" s="302"/>
      <c r="J913" s="348">
        <v>15000360</v>
      </c>
      <c r="K913" s="468"/>
    </row>
    <row r="914" spans="1:11" ht="15.75" customHeight="1">
      <c r="A914" s="465"/>
      <c r="B914" s="467"/>
      <c r="C914" s="465"/>
      <c r="D914" s="465"/>
      <c r="E914" s="470"/>
      <c r="F914" s="471"/>
      <c r="G914" s="304" t="s">
        <v>2923</v>
      </c>
      <c r="H914" s="316" t="s">
        <v>2548</v>
      </c>
      <c r="I914" s="302"/>
      <c r="J914" s="348">
        <v>15000360</v>
      </c>
      <c r="K914" s="468"/>
    </row>
    <row r="915" spans="1:11" ht="15.75" customHeight="1">
      <c r="A915" s="465"/>
      <c r="B915" s="467"/>
      <c r="C915" s="465"/>
      <c r="D915" s="465"/>
      <c r="E915" s="470"/>
      <c r="F915" s="471"/>
      <c r="G915" s="304" t="s">
        <v>2922</v>
      </c>
      <c r="H915" s="316" t="s">
        <v>2548</v>
      </c>
      <c r="I915" s="302"/>
      <c r="J915" s="348">
        <v>15000360</v>
      </c>
      <c r="K915" s="468"/>
    </row>
    <row r="916" spans="1:11" ht="15.75" customHeight="1">
      <c r="A916" s="465"/>
      <c r="B916" s="467"/>
      <c r="C916" s="465"/>
      <c r="D916" s="465"/>
      <c r="E916" s="470"/>
      <c r="F916" s="471"/>
      <c r="G916" s="304" t="s">
        <v>2921</v>
      </c>
      <c r="H916" s="316" t="s">
        <v>2548</v>
      </c>
      <c r="I916" s="302"/>
      <c r="J916" s="348">
        <v>15000360</v>
      </c>
      <c r="K916" s="468"/>
    </row>
    <row r="917" spans="1:11" ht="15.75" customHeight="1">
      <c r="A917" s="465"/>
      <c r="B917" s="467"/>
      <c r="C917" s="465"/>
      <c r="D917" s="465"/>
      <c r="E917" s="470"/>
      <c r="F917" s="471"/>
      <c r="G917" s="304" t="s">
        <v>2920</v>
      </c>
      <c r="H917" s="316" t="s">
        <v>2548</v>
      </c>
      <c r="I917" s="302"/>
      <c r="J917" s="348">
        <v>12502400</v>
      </c>
      <c r="K917" s="468"/>
    </row>
    <row r="918" spans="1:11" ht="15.75" customHeight="1">
      <c r="A918" s="465"/>
      <c r="B918" s="467"/>
      <c r="C918" s="465"/>
      <c r="D918" s="465"/>
      <c r="E918" s="470"/>
      <c r="F918" s="471"/>
      <c r="G918" s="304" t="s">
        <v>2919</v>
      </c>
      <c r="H918" s="316" t="s">
        <v>2548</v>
      </c>
      <c r="I918" s="302"/>
      <c r="J918" s="348">
        <v>12502400</v>
      </c>
      <c r="K918" s="468"/>
    </row>
    <row r="919" spans="1:11" ht="15.75" customHeight="1">
      <c r="A919" s="465"/>
      <c r="B919" s="467"/>
      <c r="C919" s="465"/>
      <c r="D919" s="465"/>
      <c r="E919" s="470"/>
      <c r="F919" s="471"/>
      <c r="G919" s="304" t="s">
        <v>2918</v>
      </c>
      <c r="H919" s="316" t="s">
        <v>2549</v>
      </c>
      <c r="I919" s="468"/>
      <c r="J919" s="348">
        <v>15000360</v>
      </c>
      <c r="K919" s="468"/>
    </row>
    <row r="920" spans="1:11" ht="15.75" customHeight="1">
      <c r="A920" s="465"/>
      <c r="B920" s="467"/>
      <c r="C920" s="465"/>
      <c r="D920" s="465"/>
      <c r="E920" s="470"/>
      <c r="F920" s="471"/>
      <c r="G920" s="304" t="s">
        <v>2917</v>
      </c>
      <c r="H920" s="316" t="s">
        <v>2549</v>
      </c>
      <c r="I920" s="468"/>
      <c r="J920" s="348">
        <v>12500360</v>
      </c>
      <c r="K920" s="468"/>
    </row>
    <row r="921" spans="1:11" ht="15.75" customHeight="1">
      <c r="A921" s="465"/>
      <c r="B921" s="467"/>
      <c r="C921" s="465"/>
      <c r="D921" s="465"/>
      <c r="E921" s="470"/>
      <c r="F921" s="471"/>
      <c r="G921" s="304" t="s">
        <v>2887</v>
      </c>
      <c r="H921" s="316" t="s">
        <v>2886</v>
      </c>
      <c r="I921" s="468"/>
      <c r="J921" s="348">
        <v>60006000</v>
      </c>
      <c r="K921" s="468"/>
    </row>
    <row r="922" spans="1:11" ht="15.75" customHeight="1">
      <c r="A922" s="465"/>
      <c r="B922" s="467"/>
      <c r="C922" s="465"/>
      <c r="D922" s="465"/>
      <c r="E922" s="470"/>
      <c r="F922" s="471"/>
      <c r="G922" s="304" t="s">
        <v>2888</v>
      </c>
      <c r="H922" s="316" t="s">
        <v>2886</v>
      </c>
      <c r="I922" s="468"/>
      <c r="J922" s="348">
        <v>35003500</v>
      </c>
      <c r="K922" s="468"/>
    </row>
    <row r="923" spans="1:11" ht="15.75" customHeight="1">
      <c r="A923" s="465"/>
      <c r="B923" s="467"/>
      <c r="C923" s="465"/>
      <c r="D923" s="465"/>
      <c r="E923" s="470"/>
      <c r="F923" s="471"/>
      <c r="G923" s="304" t="s">
        <v>2271</v>
      </c>
      <c r="H923" s="316" t="s">
        <v>2886</v>
      </c>
      <c r="I923" s="468"/>
      <c r="J923" s="348">
        <v>1002400</v>
      </c>
      <c r="K923" s="468"/>
    </row>
    <row r="924" spans="1:11" ht="15.75" customHeight="1">
      <c r="A924" s="465"/>
      <c r="B924" s="467"/>
      <c r="C924" s="465"/>
      <c r="D924" s="465"/>
      <c r="E924" s="470"/>
      <c r="F924" s="471"/>
      <c r="G924" s="304" t="s">
        <v>2889</v>
      </c>
      <c r="H924" s="316" t="s">
        <v>2886</v>
      </c>
      <c r="I924" s="468"/>
      <c r="J924" s="348">
        <v>1602400</v>
      </c>
      <c r="K924" s="468"/>
    </row>
    <row r="925" spans="1:11" ht="15.75" customHeight="1">
      <c r="A925" s="465"/>
      <c r="B925" s="467"/>
      <c r="C925" s="465"/>
      <c r="D925" s="465"/>
      <c r="E925" s="470"/>
      <c r="F925" s="471"/>
      <c r="G925" s="304" t="s">
        <v>2890</v>
      </c>
      <c r="H925" s="316" t="s">
        <v>2886</v>
      </c>
      <c r="I925" s="468"/>
      <c r="J925" s="348">
        <v>60006000</v>
      </c>
      <c r="K925" s="468"/>
    </row>
    <row r="926" spans="1:11" ht="15.75" customHeight="1">
      <c r="A926" s="465"/>
      <c r="B926" s="467"/>
      <c r="C926" s="465"/>
      <c r="D926" s="465"/>
      <c r="E926" s="470"/>
      <c r="F926" s="471"/>
      <c r="G926" s="304" t="s">
        <v>2789</v>
      </c>
      <c r="H926" s="316" t="s">
        <v>2886</v>
      </c>
      <c r="I926" s="468"/>
      <c r="J926" s="348">
        <v>5002400</v>
      </c>
      <c r="K926" s="468"/>
    </row>
    <row r="927" spans="1:11" ht="15.75" customHeight="1">
      <c r="A927" s="465"/>
      <c r="B927" s="467"/>
      <c r="C927" s="465"/>
      <c r="D927" s="465"/>
      <c r="E927" s="470"/>
      <c r="F927" s="471"/>
      <c r="G927" s="304" t="s">
        <v>1860</v>
      </c>
      <c r="H927" s="316" t="s">
        <v>2886</v>
      </c>
      <c r="I927" s="468"/>
      <c r="J927" s="348">
        <v>6002400</v>
      </c>
      <c r="K927" s="468"/>
    </row>
    <row r="928" spans="1:11" ht="15.75" customHeight="1">
      <c r="A928" s="465"/>
      <c r="B928" s="467"/>
      <c r="C928" s="465"/>
      <c r="D928" s="465"/>
      <c r="E928" s="470"/>
      <c r="F928" s="471"/>
      <c r="G928" s="304" t="s">
        <v>2891</v>
      </c>
      <c r="H928" s="316" t="s">
        <v>2886</v>
      </c>
      <c r="I928" s="468"/>
      <c r="J928" s="348">
        <v>10002400</v>
      </c>
      <c r="K928" s="468"/>
    </row>
    <row r="929" spans="1:11" ht="15.75" customHeight="1">
      <c r="A929" s="465"/>
      <c r="B929" s="467"/>
      <c r="C929" s="465"/>
      <c r="D929" s="465"/>
      <c r="E929" s="470"/>
      <c r="F929" s="471"/>
      <c r="G929" s="304" t="s">
        <v>1783</v>
      </c>
      <c r="H929" s="316" t="s">
        <v>2886</v>
      </c>
      <c r="I929" s="468"/>
      <c r="J929" s="348">
        <v>10002400</v>
      </c>
      <c r="K929" s="468"/>
    </row>
    <row r="930" spans="1:11" ht="15.75" customHeight="1">
      <c r="A930" s="465"/>
      <c r="B930" s="467"/>
      <c r="C930" s="465"/>
      <c r="D930" s="465"/>
      <c r="E930" s="470"/>
      <c r="F930" s="471"/>
      <c r="G930" s="304" t="s">
        <v>2798</v>
      </c>
      <c r="H930" s="316" t="s">
        <v>2554</v>
      </c>
      <c r="I930" s="468"/>
      <c r="J930" s="348">
        <v>10002400</v>
      </c>
      <c r="K930" s="468"/>
    </row>
    <row r="931" spans="1:11" ht="15.75" customHeight="1">
      <c r="A931" s="465"/>
      <c r="B931" s="467"/>
      <c r="C931" s="465"/>
      <c r="D931" s="465"/>
      <c r="E931" s="470"/>
      <c r="F931" s="471"/>
      <c r="G931" s="304" t="s">
        <v>2797</v>
      </c>
      <c r="H931" s="316" t="s">
        <v>2554</v>
      </c>
      <c r="I931" s="468"/>
      <c r="J931" s="348">
        <v>12002400</v>
      </c>
      <c r="K931" s="468"/>
    </row>
    <row r="932" spans="1:11" ht="15.75" customHeight="1">
      <c r="A932" s="465"/>
      <c r="B932" s="467"/>
      <c r="C932" s="465"/>
      <c r="D932" s="465"/>
      <c r="E932" s="470"/>
      <c r="F932" s="471"/>
      <c r="G932" s="304" t="s">
        <v>2892</v>
      </c>
      <c r="H932" s="316" t="s">
        <v>2554</v>
      </c>
      <c r="I932" s="468"/>
      <c r="J932" s="348">
        <v>652400</v>
      </c>
      <c r="K932" s="468"/>
    </row>
    <row r="933" spans="1:11" ht="15.75" customHeight="1">
      <c r="A933" s="465"/>
      <c r="B933" s="467"/>
      <c r="C933" s="465"/>
      <c r="D933" s="465"/>
      <c r="E933" s="470"/>
      <c r="F933" s="471"/>
      <c r="G933" s="304" t="s">
        <v>2893</v>
      </c>
      <c r="H933" s="316" t="s">
        <v>2554</v>
      </c>
      <c r="I933" s="468"/>
      <c r="J933" s="348">
        <v>9402400</v>
      </c>
      <c r="K933" s="468"/>
    </row>
    <row r="934" spans="1:11" ht="15.75" customHeight="1">
      <c r="A934" s="465"/>
      <c r="B934" s="467"/>
      <c r="C934" s="465"/>
      <c r="D934" s="465"/>
      <c r="E934" s="470"/>
      <c r="F934" s="471"/>
      <c r="G934" s="304" t="s">
        <v>2894</v>
      </c>
      <c r="H934" s="316" t="s">
        <v>2554</v>
      </c>
      <c r="I934" s="468"/>
      <c r="J934" s="348">
        <v>7002400</v>
      </c>
      <c r="K934" s="468"/>
    </row>
    <row r="935" spans="1:11" ht="15.75" customHeight="1">
      <c r="A935" s="465"/>
      <c r="B935" s="467"/>
      <c r="C935" s="465"/>
      <c r="D935" s="465"/>
      <c r="E935" s="470"/>
      <c r="F935" s="471"/>
      <c r="G935" s="304" t="s">
        <v>2895</v>
      </c>
      <c r="H935" s="316" t="s">
        <v>2557</v>
      </c>
      <c r="I935" s="468"/>
      <c r="J935" s="348">
        <v>2502400</v>
      </c>
      <c r="K935" s="468"/>
    </row>
    <row r="936" spans="1:11" ht="15.75" customHeight="1">
      <c r="A936" s="465"/>
      <c r="B936" s="467"/>
      <c r="C936" s="465"/>
      <c r="D936" s="465"/>
      <c r="E936" s="470"/>
      <c r="F936" s="471"/>
      <c r="G936" s="304" t="s">
        <v>2272</v>
      </c>
      <c r="H936" s="316" t="s">
        <v>2557</v>
      </c>
      <c r="I936" s="468"/>
      <c r="J936" s="348">
        <v>1042400</v>
      </c>
      <c r="K936" s="468"/>
    </row>
    <row r="937" spans="1:11" ht="15.75" customHeight="1">
      <c r="A937" s="465"/>
      <c r="B937" s="467"/>
      <c r="C937" s="465"/>
      <c r="D937" s="465"/>
      <c r="E937" s="470"/>
      <c r="F937" s="471"/>
      <c r="G937" s="304" t="s">
        <v>2896</v>
      </c>
      <c r="H937" s="316" t="s">
        <v>2557</v>
      </c>
      <c r="I937" s="468"/>
      <c r="J937" s="348">
        <v>12002400</v>
      </c>
      <c r="K937" s="468"/>
    </row>
    <row r="938" spans="1:11" ht="15.75" customHeight="1">
      <c r="A938" s="465"/>
      <c r="B938" s="467"/>
      <c r="C938" s="465"/>
      <c r="D938" s="465"/>
      <c r="E938" s="470"/>
      <c r="F938" s="471"/>
      <c r="G938" s="304" t="s">
        <v>2897</v>
      </c>
      <c r="H938" s="316" t="s">
        <v>2557</v>
      </c>
      <c r="I938" s="468"/>
      <c r="J938" s="348">
        <v>652400</v>
      </c>
      <c r="K938" s="468"/>
    </row>
    <row r="939" spans="1:11" ht="15.75" customHeight="1">
      <c r="A939" s="465"/>
      <c r="B939" s="467"/>
      <c r="C939" s="465"/>
      <c r="D939" s="465"/>
      <c r="E939" s="470"/>
      <c r="F939" s="471"/>
      <c r="G939" s="304" t="s">
        <v>2898</v>
      </c>
      <c r="H939" s="316" t="s">
        <v>2557</v>
      </c>
      <c r="I939" s="468"/>
      <c r="J939" s="348">
        <v>502400</v>
      </c>
      <c r="K939" s="468"/>
    </row>
    <row r="940" spans="1:11" ht="15.75" customHeight="1">
      <c r="A940" s="465"/>
      <c r="B940" s="467"/>
      <c r="C940" s="465"/>
      <c r="D940" s="465"/>
      <c r="E940" s="470"/>
      <c r="F940" s="471"/>
      <c r="G940" s="304" t="s">
        <v>2899</v>
      </c>
      <c r="H940" s="316" t="s">
        <v>2557</v>
      </c>
      <c r="I940" s="468"/>
      <c r="J940" s="348">
        <v>4662400</v>
      </c>
      <c r="K940" s="468"/>
    </row>
    <row r="941" spans="1:11" ht="15.75" customHeight="1">
      <c r="A941" s="465"/>
      <c r="B941" s="467"/>
      <c r="C941" s="465"/>
      <c r="D941" s="465"/>
      <c r="E941" s="470"/>
      <c r="F941" s="471"/>
      <c r="G941" s="304" t="s">
        <v>2900</v>
      </c>
      <c r="H941" s="316" t="s">
        <v>2561</v>
      </c>
      <c r="I941" s="304"/>
      <c r="J941" s="348">
        <v>14400</v>
      </c>
      <c r="K941" s="468"/>
    </row>
    <row r="942" spans="1:11" ht="15.75" customHeight="1">
      <c r="A942" s="465"/>
      <c r="B942" s="467"/>
      <c r="C942" s="465"/>
      <c r="D942" s="465"/>
      <c r="E942" s="470"/>
      <c r="F942" s="471"/>
      <c r="G942" s="304" t="s">
        <v>2900</v>
      </c>
      <c r="H942" s="316" t="s">
        <v>2561</v>
      </c>
      <c r="I942" s="304"/>
      <c r="J942" s="348">
        <v>14400</v>
      </c>
      <c r="K942" s="468"/>
    </row>
    <row r="943" spans="1:11" ht="15.75" customHeight="1">
      <c r="A943" s="465"/>
      <c r="B943" s="467"/>
      <c r="C943" s="465"/>
      <c r="D943" s="465"/>
      <c r="E943" s="470"/>
      <c r="F943" s="471"/>
      <c r="G943" s="304" t="s">
        <v>2901</v>
      </c>
      <c r="H943" s="316" t="s">
        <v>2564</v>
      </c>
      <c r="I943" s="304"/>
      <c r="J943" s="348">
        <v>565030000</v>
      </c>
      <c r="K943" s="468"/>
    </row>
    <row r="944" spans="1:11" ht="15.75" customHeight="1">
      <c r="A944" s="465"/>
      <c r="B944" s="467"/>
      <c r="C944" s="465"/>
      <c r="D944" s="465"/>
      <c r="E944" s="470"/>
      <c r="F944" s="471"/>
      <c r="G944" s="304" t="s">
        <v>2998</v>
      </c>
      <c r="H944" s="316" t="s">
        <v>2564</v>
      </c>
      <c r="I944" s="304"/>
      <c r="J944" s="348">
        <v>15000360</v>
      </c>
      <c r="K944" s="468"/>
    </row>
    <row r="945" spans="1:11" ht="15.75" customHeight="1">
      <c r="A945" s="465"/>
      <c r="B945" s="467"/>
      <c r="C945" s="465"/>
      <c r="D945" s="465"/>
      <c r="E945" s="470"/>
      <c r="F945" s="471"/>
      <c r="G945" s="304" t="s">
        <v>2997</v>
      </c>
      <c r="H945" s="316" t="s">
        <v>2564</v>
      </c>
      <c r="I945" s="304"/>
      <c r="J945" s="348">
        <v>15000360</v>
      </c>
      <c r="K945" s="468"/>
    </row>
    <row r="946" spans="1:11" ht="15.75" customHeight="1">
      <c r="A946" s="465"/>
      <c r="B946" s="467"/>
      <c r="C946" s="465"/>
      <c r="D946" s="465"/>
      <c r="E946" s="470"/>
      <c r="F946" s="471"/>
      <c r="G946" s="304" t="s">
        <v>2996</v>
      </c>
      <c r="H946" s="316" t="s">
        <v>2564</v>
      </c>
      <c r="I946" s="304"/>
      <c r="J946" s="348">
        <v>15000360</v>
      </c>
      <c r="K946" s="468"/>
    </row>
    <row r="947" spans="1:11" ht="15.75" customHeight="1">
      <c r="A947" s="465"/>
      <c r="B947" s="467"/>
      <c r="C947" s="465"/>
      <c r="D947" s="465"/>
      <c r="E947" s="470"/>
      <c r="F947" s="471"/>
      <c r="G947" s="304" t="s">
        <v>2995</v>
      </c>
      <c r="H947" s="316" t="s">
        <v>2564</v>
      </c>
      <c r="I947" s="304"/>
      <c r="J947" s="348">
        <v>15000360</v>
      </c>
      <c r="K947" s="468"/>
    </row>
    <row r="948" spans="1:11" ht="15.75" customHeight="1">
      <c r="A948" s="465"/>
      <c r="B948" s="467"/>
      <c r="C948" s="465"/>
      <c r="D948" s="465"/>
      <c r="E948" s="470"/>
      <c r="F948" s="471"/>
      <c r="G948" s="304" t="s">
        <v>2994</v>
      </c>
      <c r="H948" s="316" t="s">
        <v>2564</v>
      </c>
      <c r="I948" s="304"/>
      <c r="J948" s="348">
        <v>20000360</v>
      </c>
      <c r="K948" s="468"/>
    </row>
    <row r="949" spans="1:11" ht="15.75" customHeight="1">
      <c r="A949" s="465"/>
      <c r="B949" s="467"/>
      <c r="C949" s="465"/>
      <c r="D949" s="465"/>
      <c r="E949" s="470"/>
      <c r="F949" s="471"/>
      <c r="G949" s="304" t="s">
        <v>2993</v>
      </c>
      <c r="H949" s="316" t="s">
        <v>2564</v>
      </c>
      <c r="I949" s="304"/>
      <c r="J949" s="348">
        <v>12500360</v>
      </c>
      <c r="K949" s="468"/>
    </row>
    <row r="950" spans="1:11" ht="15" customHeight="1">
      <c r="A950" s="465"/>
      <c r="B950" s="467"/>
      <c r="C950" s="465"/>
      <c r="D950" s="465"/>
      <c r="E950" s="468"/>
      <c r="F950" s="465"/>
      <c r="G950" s="304" t="s">
        <v>2992</v>
      </c>
      <c r="H950" s="316" t="s">
        <v>2564</v>
      </c>
      <c r="I950" s="304"/>
      <c r="J950" s="348">
        <v>15000360</v>
      </c>
      <c r="K950" s="468"/>
    </row>
    <row r="951" spans="1:11" ht="15.75" customHeight="1">
      <c r="A951" s="465"/>
      <c r="B951" s="467"/>
      <c r="C951" s="465"/>
      <c r="D951" s="465"/>
      <c r="E951" s="470"/>
      <c r="F951" s="471"/>
      <c r="G951" s="304" t="s">
        <v>2991</v>
      </c>
      <c r="H951" s="316" t="s">
        <v>2564</v>
      </c>
      <c r="I951" s="304"/>
      <c r="J951" s="348">
        <v>10000360</v>
      </c>
      <c r="K951" s="468"/>
    </row>
    <row r="952" spans="1:11" ht="15.75" customHeight="1">
      <c r="A952" s="465"/>
      <c r="B952" s="467"/>
      <c r="C952" s="465"/>
      <c r="D952" s="465"/>
      <c r="E952" s="470"/>
      <c r="F952" s="471"/>
      <c r="G952" s="304" t="s">
        <v>2990</v>
      </c>
      <c r="H952" s="316" t="s">
        <v>2564</v>
      </c>
      <c r="I952" s="304"/>
      <c r="J952" s="348">
        <v>15000360</v>
      </c>
      <c r="K952" s="468"/>
    </row>
    <row r="953" spans="1:11" ht="15.75" customHeight="1">
      <c r="A953" s="465"/>
      <c r="B953" s="467"/>
      <c r="C953" s="465"/>
      <c r="D953" s="465"/>
      <c r="E953" s="470"/>
      <c r="F953" s="471"/>
      <c r="G953" s="304" t="s">
        <v>2989</v>
      </c>
      <c r="H953" s="316" t="s">
        <v>2564</v>
      </c>
      <c r="I953" s="304"/>
      <c r="J953" s="348">
        <v>20000360</v>
      </c>
      <c r="K953" s="468"/>
    </row>
    <row r="954" spans="1:11" ht="15.75" customHeight="1">
      <c r="A954" s="465"/>
      <c r="B954" s="467"/>
      <c r="C954" s="465"/>
      <c r="D954" s="465"/>
      <c r="E954" s="470"/>
      <c r="F954" s="471"/>
      <c r="G954" s="304" t="s">
        <v>2988</v>
      </c>
      <c r="H954" s="316" t="s">
        <v>2564</v>
      </c>
      <c r="I954" s="304"/>
      <c r="J954" s="348">
        <v>15000360</v>
      </c>
      <c r="K954" s="468"/>
    </row>
    <row r="955" spans="1:11" ht="15.75" customHeight="1">
      <c r="A955" s="465"/>
      <c r="B955" s="467"/>
      <c r="C955" s="465"/>
      <c r="D955" s="465"/>
      <c r="E955" s="470"/>
      <c r="F955" s="471"/>
      <c r="G955" s="304" t="s">
        <v>2987</v>
      </c>
      <c r="H955" s="316" t="s">
        <v>2564</v>
      </c>
      <c r="I955" s="304"/>
      <c r="J955" s="348">
        <v>12500360</v>
      </c>
      <c r="K955" s="468"/>
    </row>
    <row r="956" spans="1:11" ht="15.75" customHeight="1">
      <c r="A956" s="465"/>
      <c r="B956" s="467"/>
      <c r="C956" s="465"/>
      <c r="D956" s="465"/>
      <c r="E956" s="470"/>
      <c r="F956" s="471"/>
      <c r="G956" s="304" t="s">
        <v>2986</v>
      </c>
      <c r="H956" s="316" t="s">
        <v>2564</v>
      </c>
      <c r="I956" s="304"/>
      <c r="J956" s="348">
        <v>15000360</v>
      </c>
      <c r="K956" s="468"/>
    </row>
    <row r="957" spans="1:11" ht="15.75" customHeight="1">
      <c r="A957" s="465"/>
      <c r="B957" s="467"/>
      <c r="C957" s="465"/>
      <c r="D957" s="465"/>
      <c r="E957" s="470"/>
      <c r="F957" s="471"/>
      <c r="G957" s="304" t="s">
        <v>2985</v>
      </c>
      <c r="H957" s="316" t="s">
        <v>2564</v>
      </c>
      <c r="I957" s="304"/>
      <c r="J957" s="348">
        <v>12500360</v>
      </c>
      <c r="K957" s="468"/>
    </row>
    <row r="958" spans="1:11" ht="15.75" customHeight="1">
      <c r="A958" s="465"/>
      <c r="B958" s="467"/>
      <c r="C958" s="465"/>
      <c r="D958" s="465"/>
      <c r="E958" s="470"/>
      <c r="F958" s="471"/>
      <c r="G958" s="304" t="s">
        <v>2984</v>
      </c>
      <c r="H958" s="316" t="s">
        <v>2564</v>
      </c>
      <c r="I958" s="304"/>
      <c r="J958" s="348">
        <v>12500360</v>
      </c>
      <c r="K958" s="468"/>
    </row>
    <row r="959" spans="1:11" ht="15.75" customHeight="1">
      <c r="A959" s="465"/>
      <c r="B959" s="467"/>
      <c r="C959" s="465"/>
      <c r="D959" s="465"/>
      <c r="E959" s="470"/>
      <c r="F959" s="471"/>
      <c r="G959" s="304" t="s">
        <v>2983</v>
      </c>
      <c r="H959" s="316" t="s">
        <v>2564</v>
      </c>
      <c r="I959" s="304"/>
      <c r="J959" s="348">
        <v>12500360</v>
      </c>
      <c r="K959" s="468"/>
    </row>
    <row r="960" spans="1:11" ht="15.75" customHeight="1">
      <c r="A960" s="465"/>
      <c r="B960" s="467"/>
      <c r="C960" s="465"/>
      <c r="D960" s="465"/>
      <c r="E960" s="470"/>
      <c r="F960" s="471"/>
      <c r="G960" s="304" t="s">
        <v>2982</v>
      </c>
      <c r="H960" s="316" t="s">
        <v>2564</v>
      </c>
      <c r="I960" s="304"/>
      <c r="J960" s="348">
        <v>15000360</v>
      </c>
      <c r="K960" s="468"/>
    </row>
    <row r="961" spans="1:11" ht="15.75" customHeight="1">
      <c r="A961" s="465"/>
      <c r="B961" s="467"/>
      <c r="C961" s="465"/>
      <c r="D961" s="465"/>
      <c r="E961" s="470"/>
      <c r="F961" s="471"/>
      <c r="G961" s="304" t="s">
        <v>2981</v>
      </c>
      <c r="H961" s="316" t="s">
        <v>2564</v>
      </c>
      <c r="I961" s="304"/>
      <c r="J961" s="348">
        <v>15000360</v>
      </c>
      <c r="K961" s="468"/>
    </row>
    <row r="962" spans="1:11" ht="15.75" customHeight="1">
      <c r="A962" s="465"/>
      <c r="B962" s="467"/>
      <c r="C962" s="465"/>
      <c r="D962" s="465"/>
      <c r="E962" s="470"/>
      <c r="F962" s="471"/>
      <c r="G962" s="304" t="s">
        <v>2980</v>
      </c>
      <c r="H962" s="316" t="s">
        <v>2564</v>
      </c>
      <c r="I962" s="304"/>
      <c r="J962" s="348">
        <v>15000360</v>
      </c>
      <c r="K962" s="468"/>
    </row>
    <row r="963" spans="1:11" ht="15.75" customHeight="1">
      <c r="A963" s="465"/>
      <c r="B963" s="467"/>
      <c r="C963" s="465"/>
      <c r="D963" s="465"/>
      <c r="E963" s="470"/>
      <c r="F963" s="471"/>
      <c r="G963" s="304" t="s">
        <v>2979</v>
      </c>
      <c r="H963" s="316" t="s">
        <v>2564</v>
      </c>
      <c r="I963" s="304"/>
      <c r="J963" s="348">
        <v>15000360</v>
      </c>
      <c r="K963" s="468"/>
    </row>
    <row r="964" spans="1:11" ht="15.75" customHeight="1">
      <c r="A964" s="465"/>
      <c r="B964" s="467"/>
      <c r="C964" s="465"/>
      <c r="D964" s="465"/>
      <c r="E964" s="470"/>
      <c r="F964" s="471"/>
      <c r="G964" s="304" t="s">
        <v>2978</v>
      </c>
      <c r="H964" s="316" t="s">
        <v>2564</v>
      </c>
      <c r="I964" s="304"/>
      <c r="J964" s="348">
        <v>15000360</v>
      </c>
      <c r="K964" s="468"/>
    </row>
    <row r="965" spans="1:11" ht="15.75" customHeight="1">
      <c r="A965" s="465"/>
      <c r="B965" s="467"/>
      <c r="C965" s="465"/>
      <c r="D965" s="465"/>
      <c r="E965" s="470"/>
      <c r="F965" s="471"/>
      <c r="G965" s="304" t="s">
        <v>2977</v>
      </c>
      <c r="H965" s="316" t="s">
        <v>2564</v>
      </c>
      <c r="I965" s="304"/>
      <c r="J965" s="348">
        <v>15000360</v>
      </c>
      <c r="K965" s="468"/>
    </row>
    <row r="966" spans="1:11" ht="15.75" customHeight="1">
      <c r="A966" s="465"/>
      <c r="B966" s="467"/>
      <c r="C966" s="465"/>
      <c r="D966" s="465"/>
      <c r="E966" s="470"/>
      <c r="F966" s="471"/>
      <c r="G966" s="304" t="s">
        <v>2976</v>
      </c>
      <c r="H966" s="316" t="s">
        <v>2564</v>
      </c>
      <c r="I966" s="304"/>
      <c r="J966" s="348">
        <v>15000360</v>
      </c>
      <c r="K966" s="468"/>
    </row>
    <row r="967" spans="1:11" ht="15.75" customHeight="1">
      <c r="A967" s="465"/>
      <c r="B967" s="467"/>
      <c r="C967" s="465"/>
      <c r="D967" s="465"/>
      <c r="E967" s="470"/>
      <c r="F967" s="471"/>
      <c r="G967" s="304" t="s">
        <v>2975</v>
      </c>
      <c r="H967" s="316" t="s">
        <v>2564</v>
      </c>
      <c r="I967" s="304"/>
      <c r="J967" s="348">
        <v>20000360</v>
      </c>
      <c r="K967" s="468"/>
    </row>
    <row r="968" spans="1:11" ht="15.75" customHeight="1">
      <c r="A968" s="465"/>
      <c r="B968" s="467"/>
      <c r="C968" s="465"/>
      <c r="D968" s="465"/>
      <c r="E968" s="470"/>
      <c r="F968" s="471"/>
      <c r="G968" s="304" t="s">
        <v>2974</v>
      </c>
      <c r="H968" s="316" t="s">
        <v>2564</v>
      </c>
      <c r="I968" s="304"/>
      <c r="J968" s="348">
        <v>12500360</v>
      </c>
      <c r="K968" s="468"/>
    </row>
    <row r="969" spans="1:11" ht="15.75" customHeight="1">
      <c r="A969" s="465"/>
      <c r="B969" s="467"/>
      <c r="C969" s="465"/>
      <c r="D969" s="465"/>
      <c r="E969" s="470"/>
      <c r="F969" s="471"/>
      <c r="G969" s="304" t="s">
        <v>2973</v>
      </c>
      <c r="H969" s="316" t="s">
        <v>2564</v>
      </c>
      <c r="I969" s="304"/>
      <c r="J969" s="348">
        <v>15000360</v>
      </c>
      <c r="K969" s="468"/>
    </row>
    <row r="970" spans="1:11" ht="15.75" customHeight="1">
      <c r="A970" s="465"/>
      <c r="B970" s="467"/>
      <c r="C970" s="465"/>
      <c r="D970" s="465"/>
      <c r="E970" s="470"/>
      <c r="F970" s="471"/>
      <c r="G970" s="304" t="s">
        <v>2972</v>
      </c>
      <c r="H970" s="316" t="s">
        <v>2564</v>
      </c>
      <c r="I970" s="304"/>
      <c r="J970" s="348">
        <v>15000360</v>
      </c>
      <c r="K970" s="468"/>
    </row>
    <row r="971" spans="1:11" ht="15.75" customHeight="1">
      <c r="A971" s="465"/>
      <c r="B971" s="467"/>
      <c r="C971" s="465"/>
      <c r="D971" s="465"/>
      <c r="E971" s="470"/>
      <c r="F971" s="471"/>
      <c r="G971" s="304" t="s">
        <v>2971</v>
      </c>
      <c r="H971" s="316" t="s">
        <v>2564</v>
      </c>
      <c r="I971" s="304"/>
      <c r="J971" s="348">
        <v>15000360</v>
      </c>
      <c r="K971" s="468"/>
    </row>
    <row r="972" spans="1:11" ht="15.75" customHeight="1">
      <c r="A972" s="465"/>
      <c r="B972" s="467"/>
      <c r="C972" s="465"/>
      <c r="D972" s="465"/>
      <c r="E972" s="470"/>
      <c r="F972" s="471"/>
      <c r="G972" s="304" t="s">
        <v>2970</v>
      </c>
      <c r="H972" s="316" t="s">
        <v>2564</v>
      </c>
      <c r="I972" s="304"/>
      <c r="J972" s="348">
        <v>12500360</v>
      </c>
      <c r="K972" s="468"/>
    </row>
    <row r="973" spans="1:11" ht="15.75" customHeight="1">
      <c r="A973" s="465"/>
      <c r="B973" s="467"/>
      <c r="C973" s="465"/>
      <c r="D973" s="465"/>
      <c r="E973" s="470"/>
      <c r="F973" s="471"/>
      <c r="G973" s="304" t="s">
        <v>2969</v>
      </c>
      <c r="H973" s="316" t="s">
        <v>2564</v>
      </c>
      <c r="I973" s="304"/>
      <c r="J973" s="348">
        <v>15000360</v>
      </c>
      <c r="K973" s="468"/>
    </row>
    <row r="974" spans="1:11" ht="15.75" customHeight="1">
      <c r="A974" s="465"/>
      <c r="B974" s="467"/>
      <c r="C974" s="465"/>
      <c r="D974" s="465"/>
      <c r="E974" s="470"/>
      <c r="F974" s="471"/>
      <c r="G974" s="304" t="s">
        <v>2968</v>
      </c>
      <c r="H974" s="316" t="s">
        <v>2564</v>
      </c>
      <c r="I974" s="304"/>
      <c r="J974" s="348">
        <v>15000360</v>
      </c>
      <c r="K974" s="468"/>
    </row>
    <row r="975" spans="1:11" ht="15.75" customHeight="1">
      <c r="A975" s="465"/>
      <c r="B975" s="467"/>
      <c r="C975" s="465"/>
      <c r="D975" s="465"/>
      <c r="E975" s="470"/>
      <c r="F975" s="471"/>
      <c r="G975" s="304" t="s">
        <v>2967</v>
      </c>
      <c r="H975" s="316" t="s">
        <v>2564</v>
      </c>
      <c r="I975" s="304"/>
      <c r="J975" s="348">
        <v>15000360</v>
      </c>
      <c r="K975" s="468"/>
    </row>
    <row r="976" spans="1:11" ht="15.75" customHeight="1">
      <c r="A976" s="465"/>
      <c r="B976" s="467"/>
      <c r="C976" s="465"/>
      <c r="D976" s="465"/>
      <c r="E976" s="470"/>
      <c r="F976" s="471"/>
      <c r="G976" s="304" t="s">
        <v>2966</v>
      </c>
      <c r="H976" s="316" t="s">
        <v>2564</v>
      </c>
      <c r="I976" s="304"/>
      <c r="J976" s="348">
        <v>15000360</v>
      </c>
      <c r="K976" s="468"/>
    </row>
    <row r="977" spans="1:11" ht="15.75" customHeight="1">
      <c r="A977" s="465"/>
      <c r="B977" s="467"/>
      <c r="C977" s="465"/>
      <c r="D977" s="465"/>
      <c r="E977" s="470"/>
      <c r="F977" s="471"/>
      <c r="G977" s="304" t="s">
        <v>2965</v>
      </c>
      <c r="H977" s="316" t="s">
        <v>2564</v>
      </c>
      <c r="I977" s="304"/>
      <c r="J977" s="348">
        <v>12500360</v>
      </c>
      <c r="K977" s="468"/>
    </row>
    <row r="978" spans="1:11" ht="15.75" customHeight="1">
      <c r="A978" s="465"/>
      <c r="B978" s="467"/>
      <c r="C978" s="465"/>
      <c r="D978" s="465"/>
      <c r="E978" s="470"/>
      <c r="F978" s="471"/>
      <c r="G978" s="304" t="s">
        <v>2964</v>
      </c>
      <c r="H978" s="316" t="s">
        <v>2564</v>
      </c>
      <c r="I978" s="304"/>
      <c r="J978" s="348">
        <v>15000360</v>
      </c>
      <c r="K978" s="468"/>
    </row>
    <row r="979" spans="1:11" ht="15.75" customHeight="1">
      <c r="A979" s="465"/>
      <c r="B979" s="467"/>
      <c r="C979" s="465"/>
      <c r="D979" s="465"/>
      <c r="E979" s="470"/>
      <c r="F979" s="471"/>
      <c r="G979" s="304" t="s">
        <v>2963</v>
      </c>
      <c r="H979" s="316" t="s">
        <v>2564</v>
      </c>
      <c r="I979" s="304"/>
      <c r="J979" s="348">
        <v>15000360</v>
      </c>
      <c r="K979" s="468"/>
    </row>
    <row r="980" spans="1:11" ht="15.75" customHeight="1">
      <c r="A980" s="465"/>
      <c r="B980" s="467"/>
      <c r="C980" s="465"/>
      <c r="D980" s="465"/>
      <c r="E980" s="470"/>
      <c r="F980" s="471"/>
      <c r="G980" s="304" t="s">
        <v>2962</v>
      </c>
      <c r="H980" s="316" t="s">
        <v>2564</v>
      </c>
      <c r="I980" s="304"/>
      <c r="J980" s="348">
        <v>15000360</v>
      </c>
      <c r="K980" s="468"/>
    </row>
    <row r="981" spans="1:11" ht="15.75" customHeight="1">
      <c r="A981" s="465"/>
      <c r="B981" s="467"/>
      <c r="C981" s="465"/>
      <c r="D981" s="465"/>
      <c r="E981" s="470"/>
      <c r="F981" s="471"/>
      <c r="G981" s="304" t="s">
        <v>2961</v>
      </c>
      <c r="H981" s="316" t="s">
        <v>2564</v>
      </c>
      <c r="I981" s="304"/>
      <c r="J981" s="348">
        <v>15000360</v>
      </c>
      <c r="K981" s="468"/>
    </row>
    <row r="982" spans="1:11" ht="15.75" customHeight="1">
      <c r="A982" s="465"/>
      <c r="B982" s="467"/>
      <c r="C982" s="465"/>
      <c r="D982" s="465"/>
      <c r="E982" s="470"/>
      <c r="F982" s="471"/>
      <c r="G982" s="304" t="s">
        <v>2960</v>
      </c>
      <c r="H982" s="316" t="s">
        <v>2564</v>
      </c>
      <c r="I982" s="304"/>
      <c r="J982" s="348">
        <v>15000360</v>
      </c>
      <c r="K982" s="468"/>
    </row>
    <row r="983" spans="1:11" ht="15.75" customHeight="1">
      <c r="A983" s="465"/>
      <c r="B983" s="467"/>
      <c r="C983" s="465"/>
      <c r="D983" s="465"/>
      <c r="E983" s="470"/>
      <c r="F983" s="471"/>
      <c r="G983" s="304" t="s">
        <v>2959</v>
      </c>
      <c r="H983" s="316" t="s">
        <v>2564</v>
      </c>
      <c r="I983" s="304"/>
      <c r="J983" s="348">
        <v>15000360</v>
      </c>
      <c r="K983" s="468"/>
    </row>
    <row r="984" spans="1:11" ht="15.75" customHeight="1">
      <c r="A984" s="465"/>
      <c r="B984" s="467"/>
      <c r="C984" s="465"/>
      <c r="D984" s="465"/>
      <c r="E984" s="470"/>
      <c r="F984" s="471"/>
      <c r="G984" s="304" t="s">
        <v>2958</v>
      </c>
      <c r="H984" s="316" t="s">
        <v>2564</v>
      </c>
      <c r="I984" s="304"/>
      <c r="J984" s="348">
        <v>15000360</v>
      </c>
      <c r="K984" s="468"/>
    </row>
    <row r="985" spans="1:11" ht="15.75" customHeight="1">
      <c r="A985" s="465"/>
      <c r="B985" s="467"/>
      <c r="C985" s="465"/>
      <c r="D985" s="465"/>
      <c r="E985" s="470"/>
      <c r="F985" s="471"/>
      <c r="G985" s="304" t="s">
        <v>2957</v>
      </c>
      <c r="H985" s="316" t="s">
        <v>2564</v>
      </c>
      <c r="I985" s="304"/>
      <c r="J985" s="348">
        <v>20000360</v>
      </c>
      <c r="K985" s="468"/>
    </row>
    <row r="986" spans="1:11" ht="15.75" customHeight="1">
      <c r="A986" s="465"/>
      <c r="B986" s="467"/>
      <c r="C986" s="465"/>
      <c r="D986" s="465"/>
      <c r="E986" s="470"/>
      <c r="F986" s="471"/>
      <c r="G986" s="304" t="s">
        <v>2956</v>
      </c>
      <c r="H986" s="316" t="s">
        <v>2564</v>
      </c>
      <c r="I986" s="304"/>
      <c r="J986" s="348">
        <v>12502400</v>
      </c>
      <c r="K986" s="468"/>
    </row>
    <row r="987" spans="1:11" ht="15.75" customHeight="1">
      <c r="A987" s="465"/>
      <c r="B987" s="467"/>
      <c r="C987" s="465"/>
      <c r="D987" s="465"/>
      <c r="E987" s="470"/>
      <c r="F987" s="471"/>
      <c r="G987" s="304" t="s">
        <v>2955</v>
      </c>
      <c r="H987" s="316" t="s">
        <v>2564</v>
      </c>
      <c r="I987" s="304"/>
      <c r="J987" s="348">
        <v>15000360</v>
      </c>
      <c r="K987" s="468"/>
    </row>
    <row r="988" spans="1:11" ht="15.75" customHeight="1">
      <c r="A988" s="465"/>
      <c r="B988" s="467"/>
      <c r="C988" s="465"/>
      <c r="D988" s="465"/>
      <c r="E988" s="470"/>
      <c r="F988" s="471"/>
      <c r="G988" s="304" t="s">
        <v>2954</v>
      </c>
      <c r="H988" s="316" t="s">
        <v>2564</v>
      </c>
      <c r="I988" s="304"/>
      <c r="J988" s="348">
        <v>15000360</v>
      </c>
      <c r="K988" s="468"/>
    </row>
    <row r="989" spans="1:11" ht="15.75" customHeight="1">
      <c r="A989" s="465"/>
      <c r="B989" s="467"/>
      <c r="C989" s="465"/>
      <c r="D989" s="465"/>
      <c r="E989" s="470"/>
      <c r="F989" s="471"/>
      <c r="G989" s="304" t="s">
        <v>2953</v>
      </c>
      <c r="H989" s="316" t="s">
        <v>2564</v>
      </c>
      <c r="I989" s="304"/>
      <c r="J989" s="348">
        <v>15000360</v>
      </c>
      <c r="K989" s="468"/>
    </row>
    <row r="990" spans="1:11" ht="15.75" customHeight="1">
      <c r="A990" s="465"/>
      <c r="B990" s="467"/>
      <c r="C990" s="465"/>
      <c r="D990" s="465"/>
      <c r="E990" s="470"/>
      <c r="F990" s="471"/>
      <c r="G990" s="304" t="s">
        <v>2952</v>
      </c>
      <c r="H990" s="316" t="s">
        <v>2564</v>
      </c>
      <c r="I990" s="304"/>
      <c r="J990" s="348">
        <v>12500360</v>
      </c>
      <c r="K990" s="468"/>
    </row>
    <row r="991" spans="1:11" ht="15.75" customHeight="1">
      <c r="A991" s="465"/>
      <c r="B991" s="467"/>
      <c r="C991" s="465"/>
      <c r="D991" s="465"/>
      <c r="E991" s="470"/>
      <c r="F991" s="471"/>
      <c r="G991" s="304" t="s">
        <v>2951</v>
      </c>
      <c r="H991" s="316" t="s">
        <v>2564</v>
      </c>
      <c r="I991" s="304"/>
      <c r="J991" s="348">
        <v>20000360</v>
      </c>
      <c r="K991" s="468"/>
    </row>
    <row r="992" spans="1:11" ht="15.75" customHeight="1">
      <c r="A992" s="465"/>
      <c r="B992" s="467"/>
      <c r="C992" s="465"/>
      <c r="D992" s="465"/>
      <c r="E992" s="470"/>
      <c r="F992" s="471"/>
      <c r="G992" s="304" t="s">
        <v>2950</v>
      </c>
      <c r="H992" s="316" t="s">
        <v>2564</v>
      </c>
      <c r="I992" s="304"/>
      <c r="J992" s="348">
        <v>15000360</v>
      </c>
      <c r="K992" s="468"/>
    </row>
    <row r="993" spans="1:11" ht="15.75" customHeight="1">
      <c r="A993" s="465"/>
      <c r="B993" s="467"/>
      <c r="C993" s="465"/>
      <c r="D993" s="465"/>
      <c r="E993" s="470"/>
      <c r="F993" s="471"/>
      <c r="G993" s="304" t="s">
        <v>2949</v>
      </c>
      <c r="H993" s="316" t="s">
        <v>2564</v>
      </c>
      <c r="I993" s="304"/>
      <c r="J993" s="348">
        <v>15000360</v>
      </c>
      <c r="K993" s="468"/>
    </row>
    <row r="994" spans="1:11" ht="15.75" customHeight="1">
      <c r="A994" s="465"/>
      <c r="B994" s="467"/>
      <c r="C994" s="465"/>
      <c r="D994" s="465"/>
      <c r="E994" s="470"/>
      <c r="F994" s="471"/>
      <c r="G994" s="304" t="s">
        <v>2948</v>
      </c>
      <c r="H994" s="316" t="s">
        <v>2564</v>
      </c>
      <c r="I994" s="304"/>
      <c r="J994" s="348">
        <v>15000360</v>
      </c>
      <c r="K994" s="468"/>
    </row>
    <row r="995" spans="1:11" ht="15.75" customHeight="1">
      <c r="A995" s="465"/>
      <c r="B995" s="467"/>
      <c r="C995" s="465"/>
      <c r="D995" s="465"/>
      <c r="E995" s="470"/>
      <c r="F995" s="471"/>
      <c r="G995" s="304" t="s">
        <v>2947</v>
      </c>
      <c r="H995" s="316" t="s">
        <v>2564</v>
      </c>
      <c r="I995" s="304"/>
      <c r="J995" s="348">
        <v>15000360</v>
      </c>
      <c r="K995" s="468"/>
    </row>
    <row r="996" spans="1:11" ht="15.75" customHeight="1">
      <c r="A996" s="465"/>
      <c r="B996" s="467"/>
      <c r="C996" s="465"/>
      <c r="D996" s="465"/>
      <c r="E996" s="470"/>
      <c r="F996" s="471"/>
      <c r="G996" s="304" t="s">
        <v>2946</v>
      </c>
      <c r="H996" s="316" t="s">
        <v>2564</v>
      </c>
      <c r="I996" s="304"/>
      <c r="J996" s="348">
        <v>15000360</v>
      </c>
      <c r="K996" s="468"/>
    </row>
    <row r="997" spans="1:11" ht="15.75" customHeight="1">
      <c r="A997" s="465"/>
      <c r="B997" s="467"/>
      <c r="C997" s="465"/>
      <c r="D997" s="465"/>
      <c r="E997" s="470"/>
      <c r="F997" s="471"/>
      <c r="G997" s="304" t="s">
        <v>2945</v>
      </c>
      <c r="H997" s="316" t="s">
        <v>2564</v>
      </c>
      <c r="I997" s="304"/>
      <c r="J997" s="348">
        <v>12502400</v>
      </c>
      <c r="K997" s="468"/>
    </row>
    <row r="998" spans="1:11" ht="15.75" customHeight="1">
      <c r="A998" s="465"/>
      <c r="B998" s="467"/>
      <c r="C998" s="465"/>
      <c r="D998" s="465"/>
      <c r="E998" s="470"/>
      <c r="F998" s="471"/>
      <c r="G998" s="304" t="s">
        <v>2944</v>
      </c>
      <c r="H998" s="316" t="s">
        <v>2564</v>
      </c>
      <c r="I998" s="304"/>
      <c r="J998" s="348">
        <v>12502400</v>
      </c>
      <c r="K998" s="468"/>
    </row>
    <row r="999" spans="1:11" ht="15" customHeight="1">
      <c r="A999" s="465"/>
      <c r="B999" s="467"/>
      <c r="C999" s="465"/>
      <c r="D999" s="465"/>
      <c r="E999" s="468"/>
      <c r="F999" s="465"/>
      <c r="G999" s="304" t="s">
        <v>2943</v>
      </c>
      <c r="H999" s="316" t="s">
        <v>2564</v>
      </c>
      <c r="I999" s="468"/>
      <c r="J999" s="348">
        <v>15000360</v>
      </c>
      <c r="K999" s="468"/>
    </row>
    <row r="1000" spans="1:11" ht="15.75" customHeight="1">
      <c r="A1000" s="465"/>
      <c r="B1000" s="467"/>
      <c r="C1000" s="465"/>
      <c r="D1000" s="465"/>
      <c r="E1000" s="470"/>
      <c r="F1000" s="471"/>
      <c r="G1000" s="304" t="s">
        <v>2942</v>
      </c>
      <c r="H1000" s="316" t="s">
        <v>2564</v>
      </c>
      <c r="I1000" s="468"/>
      <c r="J1000" s="348">
        <v>12500360</v>
      </c>
      <c r="K1000" s="468"/>
    </row>
    <row r="1001" spans="1:11" ht="15.75" customHeight="1">
      <c r="A1001" s="465"/>
      <c r="B1001" s="467"/>
      <c r="C1001" s="465"/>
      <c r="D1001" s="465"/>
      <c r="E1001" s="470"/>
      <c r="F1001" s="471"/>
      <c r="G1001" s="304" t="s">
        <v>1860</v>
      </c>
      <c r="H1001" s="316" t="s">
        <v>2565</v>
      </c>
      <c r="I1001" s="468"/>
      <c r="J1001" s="348">
        <v>6002400</v>
      </c>
      <c r="K1001" s="468"/>
    </row>
    <row r="1002" spans="1:11" ht="15.75" customHeight="1">
      <c r="A1002" s="465"/>
      <c r="B1002" s="467"/>
      <c r="C1002" s="465"/>
      <c r="D1002" s="465"/>
      <c r="E1002" s="470"/>
      <c r="F1002" s="471"/>
      <c r="G1002" s="304" t="s">
        <v>2999</v>
      </c>
      <c r="H1002" s="316" t="s">
        <v>2565</v>
      </c>
      <c r="I1002" s="468"/>
      <c r="J1002" s="348">
        <v>10002400</v>
      </c>
      <c r="K1002" s="468"/>
    </row>
    <row r="1003" spans="1:11" ht="15.75" customHeight="1">
      <c r="A1003" s="465"/>
      <c r="B1003" s="467"/>
      <c r="C1003" s="465"/>
      <c r="D1003" s="465"/>
      <c r="E1003" s="470"/>
      <c r="F1003" s="471"/>
      <c r="G1003" s="304" t="s">
        <v>2807</v>
      </c>
      <c r="H1003" s="316" t="s">
        <v>2565</v>
      </c>
      <c r="I1003" s="468"/>
      <c r="J1003" s="348">
        <v>5002400</v>
      </c>
      <c r="K1003" s="468"/>
    </row>
    <row r="1004" spans="1:11" ht="15.75" customHeight="1">
      <c r="A1004" s="465"/>
      <c r="B1004" s="467"/>
      <c r="C1004" s="465"/>
      <c r="D1004" s="465"/>
      <c r="E1004" s="470"/>
      <c r="F1004" s="471"/>
      <c r="G1004" s="304" t="s">
        <v>3000</v>
      </c>
      <c r="H1004" s="316" t="s">
        <v>2565</v>
      </c>
      <c r="I1004" s="468"/>
      <c r="J1004" s="348">
        <v>802400</v>
      </c>
      <c r="K1004" s="468"/>
    </row>
    <row r="1005" spans="1:11" ht="15.75" customHeight="1">
      <c r="A1005" s="465"/>
      <c r="B1005" s="467"/>
      <c r="C1005" s="465"/>
      <c r="D1005" s="465"/>
      <c r="E1005" s="470"/>
      <c r="F1005" s="471"/>
      <c r="G1005" s="304" t="s">
        <v>1858</v>
      </c>
      <c r="H1005" s="316" t="s">
        <v>2565</v>
      </c>
      <c r="I1005" s="468"/>
      <c r="J1005" s="348">
        <v>2002400</v>
      </c>
      <c r="K1005" s="468"/>
    </row>
    <row r="1006" spans="1:11" ht="15.75" customHeight="1">
      <c r="A1006" s="465"/>
      <c r="B1006" s="467"/>
      <c r="C1006" s="465"/>
      <c r="D1006" s="465"/>
      <c r="E1006" s="470"/>
      <c r="F1006" s="471"/>
      <c r="G1006" s="304" t="s">
        <v>2271</v>
      </c>
      <c r="H1006" s="316" t="s">
        <v>2565</v>
      </c>
      <c r="I1006" s="468"/>
      <c r="J1006" s="348">
        <v>602400</v>
      </c>
      <c r="K1006" s="468"/>
    </row>
    <row r="1007" spans="1:11" ht="15.75" customHeight="1">
      <c r="A1007" s="465"/>
      <c r="B1007" s="467"/>
      <c r="C1007" s="465"/>
      <c r="D1007" s="465"/>
      <c r="E1007" s="470"/>
      <c r="F1007" s="471"/>
      <c r="G1007" s="304" t="s">
        <v>3001</v>
      </c>
      <c r="H1007" s="316" t="s">
        <v>2565</v>
      </c>
      <c r="I1007" s="468"/>
      <c r="J1007" s="348">
        <v>35003500</v>
      </c>
      <c r="K1007" s="468"/>
    </row>
    <row r="1008" spans="1:11" ht="15.75" customHeight="1">
      <c r="A1008" s="465"/>
      <c r="B1008" s="467"/>
      <c r="C1008" s="465"/>
      <c r="D1008" s="465"/>
      <c r="E1008" s="470"/>
      <c r="F1008" s="471"/>
      <c r="G1008" s="304" t="s">
        <v>3002</v>
      </c>
      <c r="H1008" s="316" t="s">
        <v>2565</v>
      </c>
      <c r="I1008" s="468"/>
      <c r="J1008" s="348">
        <v>10002400</v>
      </c>
      <c r="K1008" s="468"/>
    </row>
    <row r="1009" spans="1:11" ht="15.75" customHeight="1">
      <c r="A1009" s="465"/>
      <c r="B1009" s="467"/>
      <c r="C1009" s="465"/>
      <c r="D1009" s="465"/>
      <c r="E1009" s="470"/>
      <c r="F1009" s="471"/>
      <c r="G1009" s="304" t="s">
        <v>3003</v>
      </c>
      <c r="H1009" s="316" t="s">
        <v>2565</v>
      </c>
      <c r="I1009" s="468"/>
      <c r="J1009" s="348">
        <v>60006000</v>
      </c>
      <c r="K1009" s="468"/>
    </row>
    <row r="1010" spans="1:11" ht="15.75" customHeight="1">
      <c r="A1010" s="465"/>
      <c r="B1010" s="467"/>
      <c r="C1010" s="465"/>
      <c r="D1010" s="465"/>
      <c r="E1010" s="470"/>
      <c r="F1010" s="471"/>
      <c r="G1010" s="304" t="s">
        <v>3004</v>
      </c>
      <c r="H1010" s="316" t="s">
        <v>2565</v>
      </c>
      <c r="I1010" s="468"/>
      <c r="J1010" s="348">
        <v>60006000</v>
      </c>
      <c r="K1010" s="468"/>
    </row>
    <row r="1011" spans="1:11" ht="15.75" customHeight="1">
      <c r="A1011" s="465"/>
      <c r="B1011" s="467"/>
      <c r="C1011" s="465"/>
      <c r="D1011" s="465"/>
      <c r="E1011" s="470"/>
      <c r="F1011" s="471"/>
      <c r="G1011" s="304" t="s">
        <v>3005</v>
      </c>
      <c r="H1011" s="316" t="s">
        <v>2565</v>
      </c>
      <c r="I1011" s="468"/>
      <c r="J1011" s="348">
        <v>80008000</v>
      </c>
      <c r="K1011" s="468"/>
    </row>
    <row r="1012" spans="1:11" ht="15.75" customHeight="1">
      <c r="A1012" s="465"/>
      <c r="B1012" s="467"/>
      <c r="C1012" s="465"/>
      <c r="D1012" s="465"/>
      <c r="E1012" s="470"/>
      <c r="F1012" s="471"/>
      <c r="G1012" s="304" t="s">
        <v>3006</v>
      </c>
      <c r="H1012" s="316" t="s">
        <v>2565</v>
      </c>
      <c r="I1012" s="468"/>
      <c r="J1012" s="348">
        <v>12002400</v>
      </c>
      <c r="K1012" s="468"/>
    </row>
    <row r="1013" spans="1:11" ht="15.75" customHeight="1">
      <c r="A1013" s="465"/>
      <c r="B1013" s="467"/>
      <c r="C1013" s="465"/>
      <c r="D1013" s="465"/>
      <c r="E1013" s="470"/>
      <c r="F1013" s="471"/>
      <c r="G1013" s="304" t="s">
        <v>2265</v>
      </c>
      <c r="H1013" s="316" t="s">
        <v>2565</v>
      </c>
      <c r="I1013" s="468"/>
      <c r="J1013" s="348">
        <v>9002400</v>
      </c>
      <c r="K1013" s="468"/>
    </row>
    <row r="1014" spans="1:11" ht="15.75" customHeight="1">
      <c r="A1014" s="465"/>
      <c r="B1014" s="467"/>
      <c r="C1014" s="465"/>
      <c r="D1014" s="465"/>
      <c r="E1014" s="470"/>
      <c r="F1014" s="471"/>
      <c r="G1014" s="304" t="s">
        <v>2797</v>
      </c>
      <c r="H1014" s="316" t="s">
        <v>3007</v>
      </c>
      <c r="I1014" s="468"/>
      <c r="J1014" s="348">
        <v>15002400</v>
      </c>
      <c r="K1014" s="468"/>
    </row>
    <row r="1015" spans="1:11" ht="15.75" customHeight="1">
      <c r="A1015" s="465"/>
      <c r="B1015" s="467"/>
      <c r="C1015" s="465"/>
      <c r="D1015" s="465"/>
      <c r="E1015" s="470"/>
      <c r="F1015" s="471"/>
      <c r="G1015" s="304" t="s">
        <v>2798</v>
      </c>
      <c r="H1015" s="316" t="s">
        <v>3007</v>
      </c>
      <c r="I1015" s="468"/>
      <c r="J1015" s="348">
        <v>10502400</v>
      </c>
      <c r="K1015" s="468"/>
    </row>
    <row r="1016" spans="1:11" ht="15.75" customHeight="1">
      <c r="A1016" s="465"/>
      <c r="B1016" s="467"/>
      <c r="C1016" s="465"/>
      <c r="D1016" s="465"/>
      <c r="E1016" s="470"/>
      <c r="F1016" s="471"/>
      <c r="G1016" s="304" t="s">
        <v>3008</v>
      </c>
      <c r="H1016" s="316" t="s">
        <v>3007</v>
      </c>
      <c r="I1016" s="468"/>
      <c r="J1016" s="348">
        <v>2742400</v>
      </c>
      <c r="K1016" s="468"/>
    </row>
    <row r="1017" spans="1:11" ht="15.75" customHeight="1">
      <c r="A1017" s="465"/>
      <c r="B1017" s="467"/>
      <c r="C1017" s="465"/>
      <c r="D1017" s="465"/>
      <c r="E1017" s="470"/>
      <c r="F1017" s="471"/>
      <c r="G1017" s="304" t="s">
        <v>2272</v>
      </c>
      <c r="H1017" s="316" t="s">
        <v>3007</v>
      </c>
      <c r="I1017" s="468"/>
      <c r="J1017" s="348">
        <v>902400</v>
      </c>
      <c r="K1017" s="468"/>
    </row>
    <row r="1018" spans="1:11" ht="15.75" customHeight="1">
      <c r="A1018" s="465"/>
      <c r="B1018" s="467"/>
      <c r="C1018" s="465"/>
      <c r="D1018" s="465"/>
      <c r="E1018" s="470"/>
      <c r="F1018" s="471"/>
      <c r="G1018" s="304" t="s">
        <v>3009</v>
      </c>
      <c r="H1018" s="316" t="s">
        <v>3007</v>
      </c>
      <c r="I1018" s="468"/>
      <c r="J1018" s="348">
        <v>3302400</v>
      </c>
      <c r="K1018" s="468"/>
    </row>
    <row r="1019" spans="1:11" ht="15.75" customHeight="1">
      <c r="A1019" s="465"/>
      <c r="B1019" s="467"/>
      <c r="C1019" s="465"/>
      <c r="D1019" s="465"/>
      <c r="E1019" s="470"/>
      <c r="F1019" s="471"/>
      <c r="G1019" s="304" t="s">
        <v>3010</v>
      </c>
      <c r="H1019" s="316" t="s">
        <v>3011</v>
      </c>
      <c r="I1019" s="468"/>
      <c r="J1019" s="348">
        <v>100010000</v>
      </c>
      <c r="K1019" s="468"/>
    </row>
    <row r="1020" spans="1:11" ht="15.75" customHeight="1">
      <c r="A1020" s="465"/>
      <c r="B1020" s="467"/>
      <c r="C1020" s="465"/>
      <c r="D1020" s="465"/>
      <c r="E1020" s="470"/>
      <c r="F1020" s="471"/>
      <c r="G1020" s="304" t="s">
        <v>3012</v>
      </c>
      <c r="H1020" s="316" t="s">
        <v>2613</v>
      </c>
      <c r="I1020" s="468"/>
      <c r="J1020" s="348">
        <v>15000360</v>
      </c>
      <c r="K1020" s="468"/>
    </row>
    <row r="1021" spans="1:11" ht="15.75" customHeight="1">
      <c r="A1021" s="465"/>
      <c r="B1021" s="467"/>
      <c r="C1021" s="465"/>
      <c r="D1021" s="465"/>
      <c r="E1021" s="470"/>
      <c r="F1021" s="471"/>
      <c r="G1021" s="304" t="s">
        <v>3013</v>
      </c>
      <c r="H1021" s="316" t="s">
        <v>2613</v>
      </c>
      <c r="I1021" s="468"/>
      <c r="J1021" s="348">
        <v>15000360</v>
      </c>
      <c r="K1021" s="468"/>
    </row>
    <row r="1022" spans="1:11" ht="15.75" customHeight="1">
      <c r="A1022" s="465"/>
      <c r="B1022" s="467"/>
      <c r="C1022" s="465"/>
      <c r="D1022" s="465"/>
      <c r="E1022" s="470"/>
      <c r="F1022" s="471"/>
      <c r="G1022" s="304" t="s">
        <v>3014</v>
      </c>
      <c r="H1022" s="316" t="s">
        <v>2613</v>
      </c>
      <c r="I1022" s="468"/>
      <c r="J1022" s="348">
        <v>15000360</v>
      </c>
      <c r="K1022" s="468"/>
    </row>
    <row r="1023" spans="1:11" ht="15.75" customHeight="1">
      <c r="A1023" s="465"/>
      <c r="B1023" s="467"/>
      <c r="C1023" s="465"/>
      <c r="D1023" s="465"/>
      <c r="E1023" s="470"/>
      <c r="F1023" s="471"/>
      <c r="G1023" s="304" t="s">
        <v>3015</v>
      </c>
      <c r="H1023" s="316" t="s">
        <v>2613</v>
      </c>
      <c r="I1023" s="468"/>
      <c r="J1023" s="348">
        <v>15000360</v>
      </c>
      <c r="K1023" s="468"/>
    </row>
    <row r="1024" spans="1:11" ht="15.75" customHeight="1">
      <c r="A1024" s="465"/>
      <c r="B1024" s="467"/>
      <c r="C1024" s="465"/>
      <c r="D1024" s="465"/>
      <c r="E1024" s="470"/>
      <c r="F1024" s="471"/>
      <c r="G1024" s="304" t="s">
        <v>3016</v>
      </c>
      <c r="H1024" s="316" t="s">
        <v>2613</v>
      </c>
      <c r="I1024" s="468"/>
      <c r="J1024" s="348">
        <v>20000360</v>
      </c>
      <c r="K1024" s="468"/>
    </row>
    <row r="1025" spans="1:11" ht="15.75" customHeight="1">
      <c r="A1025" s="465"/>
      <c r="B1025" s="467"/>
      <c r="C1025" s="465"/>
      <c r="D1025" s="465"/>
      <c r="E1025" s="470"/>
      <c r="F1025" s="471"/>
      <c r="G1025" s="304" t="s">
        <v>3017</v>
      </c>
      <c r="H1025" s="316" t="s">
        <v>2613</v>
      </c>
      <c r="I1025" s="468"/>
      <c r="J1025" s="348">
        <v>12500360</v>
      </c>
      <c r="K1025" s="468"/>
    </row>
    <row r="1026" spans="1:11" ht="15.75" customHeight="1">
      <c r="A1026" s="465"/>
      <c r="B1026" s="467"/>
      <c r="C1026" s="465"/>
      <c r="D1026" s="465"/>
      <c r="E1026" s="470"/>
      <c r="F1026" s="471"/>
      <c r="G1026" s="304" t="s">
        <v>3018</v>
      </c>
      <c r="H1026" s="316" t="s">
        <v>2613</v>
      </c>
      <c r="I1026" s="468"/>
      <c r="J1026" s="348">
        <v>15000360</v>
      </c>
      <c r="K1026" s="468"/>
    </row>
    <row r="1027" spans="1:11" ht="15.75" customHeight="1">
      <c r="A1027" s="465"/>
      <c r="B1027" s="467"/>
      <c r="C1027" s="465"/>
      <c r="D1027" s="465"/>
      <c r="E1027" s="470"/>
      <c r="F1027" s="471"/>
      <c r="G1027" s="304" t="s">
        <v>3019</v>
      </c>
      <c r="H1027" s="316" t="s">
        <v>2613</v>
      </c>
      <c r="I1027" s="468"/>
      <c r="J1027" s="348">
        <v>10000360</v>
      </c>
      <c r="K1027" s="468"/>
    </row>
    <row r="1028" spans="1:11" ht="15.75" customHeight="1">
      <c r="A1028" s="465"/>
      <c r="B1028" s="467"/>
      <c r="C1028" s="465"/>
      <c r="D1028" s="465"/>
      <c r="E1028" s="470"/>
      <c r="F1028" s="471"/>
      <c r="G1028" s="304" t="s">
        <v>3020</v>
      </c>
      <c r="H1028" s="316" t="s">
        <v>2613</v>
      </c>
      <c r="I1028" s="468"/>
      <c r="J1028" s="348">
        <v>15000360</v>
      </c>
      <c r="K1028" s="468"/>
    </row>
    <row r="1029" spans="1:11" ht="15.75" customHeight="1">
      <c r="A1029" s="465"/>
      <c r="B1029" s="467"/>
      <c r="C1029" s="465"/>
      <c r="D1029" s="465"/>
      <c r="E1029" s="470"/>
      <c r="F1029" s="471"/>
      <c r="G1029" s="304" t="s">
        <v>3021</v>
      </c>
      <c r="H1029" s="316" t="s">
        <v>2613</v>
      </c>
      <c r="I1029" s="468"/>
      <c r="J1029" s="348">
        <v>20000360</v>
      </c>
      <c r="K1029" s="468"/>
    </row>
    <row r="1030" spans="1:11" ht="15.75" customHeight="1">
      <c r="A1030" s="465"/>
      <c r="B1030" s="467"/>
      <c r="C1030" s="465"/>
      <c r="D1030" s="465"/>
      <c r="E1030" s="470"/>
      <c r="F1030" s="471"/>
      <c r="G1030" s="304" t="s">
        <v>3022</v>
      </c>
      <c r="H1030" s="316" t="s">
        <v>2613</v>
      </c>
      <c r="I1030" s="468"/>
      <c r="J1030" s="348">
        <v>15000360</v>
      </c>
      <c r="K1030" s="468"/>
    </row>
    <row r="1031" spans="1:11" ht="15.75" customHeight="1">
      <c r="A1031" s="465"/>
      <c r="B1031" s="467"/>
      <c r="C1031" s="465"/>
      <c r="D1031" s="465"/>
      <c r="E1031" s="470"/>
      <c r="F1031" s="471"/>
      <c r="G1031" s="304" t="s">
        <v>3023</v>
      </c>
      <c r="H1031" s="316" t="s">
        <v>2613</v>
      </c>
      <c r="I1031" s="468"/>
      <c r="J1031" s="348">
        <v>12500360</v>
      </c>
      <c r="K1031" s="468"/>
    </row>
    <row r="1032" spans="1:11" ht="15.75" customHeight="1">
      <c r="A1032" s="465"/>
      <c r="B1032" s="467"/>
      <c r="C1032" s="465"/>
      <c r="D1032" s="465"/>
      <c r="E1032" s="470"/>
      <c r="F1032" s="471"/>
      <c r="G1032" s="304" t="s">
        <v>3024</v>
      </c>
      <c r="H1032" s="316" t="s">
        <v>2613</v>
      </c>
      <c r="I1032" s="468"/>
      <c r="J1032" s="348">
        <v>15000360</v>
      </c>
      <c r="K1032" s="468"/>
    </row>
    <row r="1033" spans="1:11" ht="15.75" customHeight="1">
      <c r="A1033" s="465"/>
      <c r="B1033" s="467"/>
      <c r="C1033" s="465"/>
      <c r="D1033" s="465"/>
      <c r="E1033" s="470"/>
      <c r="F1033" s="471"/>
      <c r="G1033" s="304" t="s">
        <v>3025</v>
      </c>
      <c r="H1033" s="316" t="s">
        <v>2613</v>
      </c>
      <c r="I1033" s="468"/>
      <c r="J1033" s="348">
        <v>12500360</v>
      </c>
      <c r="K1033" s="468"/>
    </row>
    <row r="1034" spans="1:11" ht="15.75" customHeight="1">
      <c r="A1034" s="465"/>
      <c r="B1034" s="467"/>
      <c r="C1034" s="465"/>
      <c r="D1034" s="465"/>
      <c r="E1034" s="470"/>
      <c r="F1034" s="471"/>
      <c r="G1034" s="304" t="s">
        <v>3026</v>
      </c>
      <c r="H1034" s="316" t="s">
        <v>2613</v>
      </c>
      <c r="I1034" s="468"/>
      <c r="J1034" s="348">
        <v>12500360</v>
      </c>
      <c r="K1034" s="468"/>
    </row>
    <row r="1035" spans="1:11" ht="15.75" customHeight="1">
      <c r="A1035" s="465"/>
      <c r="B1035" s="467"/>
      <c r="C1035" s="465"/>
      <c r="D1035" s="465"/>
      <c r="E1035" s="470"/>
      <c r="F1035" s="471"/>
      <c r="G1035" s="304" t="s">
        <v>3027</v>
      </c>
      <c r="H1035" s="316" t="s">
        <v>2613</v>
      </c>
      <c r="I1035" s="468"/>
      <c r="J1035" s="348">
        <v>12500360</v>
      </c>
      <c r="K1035" s="468"/>
    </row>
    <row r="1036" spans="1:11" ht="15.75" customHeight="1">
      <c r="A1036" s="465"/>
      <c r="B1036" s="467"/>
      <c r="C1036" s="465"/>
      <c r="D1036" s="465"/>
      <c r="E1036" s="470"/>
      <c r="F1036" s="471"/>
      <c r="G1036" s="304" t="s">
        <v>3028</v>
      </c>
      <c r="H1036" s="316" t="s">
        <v>2613</v>
      </c>
      <c r="I1036" s="468"/>
      <c r="J1036" s="348">
        <v>15000360</v>
      </c>
      <c r="K1036" s="468"/>
    </row>
    <row r="1037" spans="1:11" ht="15.75" customHeight="1">
      <c r="A1037" s="465"/>
      <c r="B1037" s="467"/>
      <c r="C1037" s="465"/>
      <c r="D1037" s="465"/>
      <c r="E1037" s="470"/>
      <c r="F1037" s="471"/>
      <c r="G1037" s="304" t="s">
        <v>3029</v>
      </c>
      <c r="H1037" s="316" t="s">
        <v>2613</v>
      </c>
      <c r="I1037" s="468"/>
      <c r="J1037" s="348">
        <v>15000360</v>
      </c>
      <c r="K1037" s="468"/>
    </row>
    <row r="1038" spans="1:11" ht="15.75" customHeight="1">
      <c r="A1038" s="465"/>
      <c r="B1038" s="467"/>
      <c r="C1038" s="465"/>
      <c r="D1038" s="465"/>
      <c r="E1038" s="470"/>
      <c r="F1038" s="471"/>
      <c r="G1038" s="304" t="s">
        <v>3030</v>
      </c>
      <c r="H1038" s="316" t="s">
        <v>2613</v>
      </c>
      <c r="I1038" s="468"/>
      <c r="J1038" s="348">
        <v>15000360</v>
      </c>
      <c r="K1038" s="468"/>
    </row>
    <row r="1039" spans="1:11" ht="15.75" customHeight="1">
      <c r="A1039" s="465"/>
      <c r="B1039" s="467"/>
      <c r="C1039" s="465"/>
      <c r="D1039" s="465"/>
      <c r="E1039" s="470"/>
      <c r="F1039" s="471"/>
      <c r="G1039" s="304" t="s">
        <v>3031</v>
      </c>
      <c r="H1039" s="316" t="s">
        <v>2613</v>
      </c>
      <c r="I1039" s="468"/>
      <c r="J1039" s="348">
        <v>15000360</v>
      </c>
      <c r="K1039" s="468"/>
    </row>
    <row r="1040" spans="1:11" ht="15.75" customHeight="1">
      <c r="A1040" s="465"/>
      <c r="B1040" s="467"/>
      <c r="C1040" s="465"/>
      <c r="D1040" s="465"/>
      <c r="E1040" s="470"/>
      <c r="F1040" s="471"/>
      <c r="G1040" s="304" t="s">
        <v>3032</v>
      </c>
      <c r="H1040" s="316" t="s">
        <v>2613</v>
      </c>
      <c r="I1040" s="468"/>
      <c r="J1040" s="348">
        <v>15000360</v>
      </c>
      <c r="K1040" s="468"/>
    </row>
    <row r="1041" spans="1:11" ht="15.75" customHeight="1">
      <c r="A1041" s="465"/>
      <c r="B1041" s="467"/>
      <c r="C1041" s="465"/>
      <c r="D1041" s="465"/>
      <c r="E1041" s="470"/>
      <c r="F1041" s="471"/>
      <c r="G1041" s="304" t="s">
        <v>3033</v>
      </c>
      <c r="H1041" s="316" t="s">
        <v>2613</v>
      </c>
      <c r="I1041" s="468"/>
      <c r="J1041" s="348">
        <v>15000360</v>
      </c>
      <c r="K1041" s="468"/>
    </row>
    <row r="1042" spans="1:11" ht="15.75" customHeight="1">
      <c r="A1042" s="465"/>
      <c r="B1042" s="467"/>
      <c r="C1042" s="465"/>
      <c r="D1042" s="465"/>
      <c r="E1042" s="470"/>
      <c r="F1042" s="471"/>
      <c r="G1042" s="304" t="s">
        <v>3034</v>
      </c>
      <c r="H1042" s="316" t="s">
        <v>2613</v>
      </c>
      <c r="I1042" s="468"/>
      <c r="J1042" s="348">
        <v>15000360</v>
      </c>
      <c r="K1042" s="468"/>
    </row>
    <row r="1043" spans="1:11" ht="15.75" customHeight="1">
      <c r="A1043" s="465"/>
      <c r="B1043" s="467"/>
      <c r="C1043" s="465"/>
      <c r="D1043" s="465"/>
      <c r="E1043" s="470"/>
      <c r="F1043" s="471"/>
      <c r="G1043" s="304" t="s">
        <v>3035</v>
      </c>
      <c r="H1043" s="316" t="s">
        <v>2613</v>
      </c>
      <c r="I1043" s="468"/>
      <c r="J1043" s="348">
        <v>20000360</v>
      </c>
      <c r="K1043" s="468"/>
    </row>
    <row r="1044" spans="1:11" ht="15.75" customHeight="1">
      <c r="A1044" s="465"/>
      <c r="B1044" s="467"/>
      <c r="C1044" s="465"/>
      <c r="D1044" s="465"/>
      <c r="E1044" s="470"/>
      <c r="F1044" s="471"/>
      <c r="G1044" s="304" t="s">
        <v>3036</v>
      </c>
      <c r="H1044" s="316" t="s">
        <v>2613</v>
      </c>
      <c r="I1044" s="468"/>
      <c r="J1044" s="348">
        <v>12500360</v>
      </c>
      <c r="K1044" s="468"/>
    </row>
    <row r="1045" spans="1:11" ht="15.75" customHeight="1">
      <c r="A1045" s="465"/>
      <c r="B1045" s="467"/>
      <c r="C1045" s="465"/>
      <c r="D1045" s="465"/>
      <c r="E1045" s="470"/>
      <c r="F1045" s="471"/>
      <c r="G1045" s="304" t="s">
        <v>3037</v>
      </c>
      <c r="H1045" s="316" t="s">
        <v>2613</v>
      </c>
      <c r="I1045" s="468"/>
      <c r="J1045" s="348">
        <v>15000360</v>
      </c>
      <c r="K1045" s="468"/>
    </row>
    <row r="1046" spans="1:11" ht="15.75" customHeight="1">
      <c r="A1046" s="465"/>
      <c r="B1046" s="467"/>
      <c r="C1046" s="465"/>
      <c r="D1046" s="465"/>
      <c r="E1046" s="470"/>
      <c r="F1046" s="471"/>
      <c r="G1046" s="304" t="s">
        <v>3038</v>
      </c>
      <c r="H1046" s="316" t="s">
        <v>2613</v>
      </c>
      <c r="I1046" s="468"/>
      <c r="J1046" s="348">
        <v>15000360</v>
      </c>
      <c r="K1046" s="468"/>
    </row>
    <row r="1047" spans="1:11" ht="15.75" customHeight="1">
      <c r="A1047" s="465"/>
      <c r="B1047" s="467"/>
      <c r="C1047" s="465"/>
      <c r="D1047" s="465"/>
      <c r="E1047" s="470"/>
      <c r="F1047" s="471"/>
      <c r="G1047" s="304" t="s">
        <v>3039</v>
      </c>
      <c r="H1047" s="316" t="s">
        <v>2613</v>
      </c>
      <c r="I1047" s="468"/>
      <c r="J1047" s="348">
        <v>15000360</v>
      </c>
      <c r="K1047" s="468"/>
    </row>
    <row r="1048" spans="1:11" ht="15.75" customHeight="1">
      <c r="A1048" s="465"/>
      <c r="B1048" s="467"/>
      <c r="C1048" s="465"/>
      <c r="D1048" s="465"/>
      <c r="E1048" s="470"/>
      <c r="F1048" s="471"/>
      <c r="G1048" s="304" t="s">
        <v>3040</v>
      </c>
      <c r="H1048" s="316" t="s">
        <v>2613</v>
      </c>
      <c r="I1048" s="468"/>
      <c r="J1048" s="348">
        <v>12500360</v>
      </c>
      <c r="K1048" s="468"/>
    </row>
    <row r="1049" spans="1:11" ht="15.75" customHeight="1">
      <c r="A1049" s="465"/>
      <c r="B1049" s="467"/>
      <c r="C1049" s="465"/>
      <c r="D1049" s="465"/>
      <c r="E1049" s="470"/>
      <c r="F1049" s="471"/>
      <c r="G1049" s="304" t="s">
        <v>3041</v>
      </c>
      <c r="H1049" s="316" t="s">
        <v>2613</v>
      </c>
      <c r="I1049" s="468"/>
      <c r="J1049" s="348">
        <v>15000360</v>
      </c>
      <c r="K1049" s="468"/>
    </row>
    <row r="1050" spans="1:11" ht="15.75" customHeight="1">
      <c r="A1050" s="465"/>
      <c r="B1050" s="467"/>
      <c r="C1050" s="465"/>
      <c r="D1050" s="465"/>
      <c r="E1050" s="470"/>
      <c r="F1050" s="471"/>
      <c r="G1050" s="304" t="s">
        <v>3042</v>
      </c>
      <c r="H1050" s="316" t="s">
        <v>2613</v>
      </c>
      <c r="I1050" s="468"/>
      <c r="J1050" s="348">
        <v>15000360</v>
      </c>
      <c r="K1050" s="468"/>
    </row>
    <row r="1051" spans="1:11" ht="15.75" customHeight="1">
      <c r="A1051" s="465"/>
      <c r="B1051" s="467"/>
      <c r="C1051" s="465"/>
      <c r="D1051" s="465"/>
      <c r="E1051" s="470"/>
      <c r="F1051" s="471"/>
      <c r="G1051" s="304" t="s">
        <v>3043</v>
      </c>
      <c r="H1051" s="316" t="s">
        <v>2613</v>
      </c>
      <c r="I1051" s="468"/>
      <c r="J1051" s="348">
        <v>15000360</v>
      </c>
      <c r="K1051" s="468"/>
    </row>
    <row r="1052" spans="1:11" ht="15.75" customHeight="1">
      <c r="A1052" s="465"/>
      <c r="B1052" s="467"/>
      <c r="C1052" s="465"/>
      <c r="D1052" s="465"/>
      <c r="E1052" s="470"/>
      <c r="F1052" s="471"/>
      <c r="G1052" s="304" t="s">
        <v>3044</v>
      </c>
      <c r="H1052" s="316" t="s">
        <v>2613</v>
      </c>
      <c r="I1052" s="468"/>
      <c r="J1052" s="348">
        <v>15000360</v>
      </c>
      <c r="K1052" s="468"/>
    </row>
    <row r="1053" spans="1:11" ht="15.75" customHeight="1">
      <c r="A1053" s="465"/>
      <c r="B1053" s="467"/>
      <c r="C1053" s="465"/>
      <c r="D1053" s="465"/>
      <c r="E1053" s="470"/>
      <c r="F1053" s="471"/>
      <c r="G1053" s="304" t="s">
        <v>3045</v>
      </c>
      <c r="H1053" s="316" t="s">
        <v>2613</v>
      </c>
      <c r="I1053" s="468"/>
      <c r="J1053" s="348">
        <v>12500360</v>
      </c>
      <c r="K1053" s="468"/>
    </row>
    <row r="1054" spans="1:11" ht="15.75" customHeight="1">
      <c r="A1054" s="465"/>
      <c r="B1054" s="467"/>
      <c r="C1054" s="465"/>
      <c r="D1054" s="465"/>
      <c r="E1054" s="470"/>
      <c r="F1054" s="471"/>
      <c r="G1054" s="304" t="s">
        <v>3046</v>
      </c>
      <c r="H1054" s="316" t="s">
        <v>2613</v>
      </c>
      <c r="I1054" s="468"/>
      <c r="J1054" s="348">
        <v>15000360</v>
      </c>
      <c r="K1054" s="468"/>
    </row>
    <row r="1055" spans="1:11" ht="15.75" customHeight="1">
      <c r="A1055" s="465"/>
      <c r="B1055" s="467"/>
      <c r="C1055" s="465"/>
      <c r="D1055" s="465"/>
      <c r="E1055" s="470"/>
      <c r="F1055" s="471"/>
      <c r="G1055" s="304" t="s">
        <v>3047</v>
      </c>
      <c r="H1055" s="316" t="s">
        <v>2613</v>
      </c>
      <c r="I1055" s="468"/>
      <c r="J1055" s="348">
        <v>15000360</v>
      </c>
      <c r="K1055" s="468"/>
    </row>
    <row r="1056" spans="1:11" ht="15.75" customHeight="1">
      <c r="A1056" s="465"/>
      <c r="B1056" s="467"/>
      <c r="C1056" s="465"/>
      <c r="D1056" s="465"/>
      <c r="E1056" s="470"/>
      <c r="F1056" s="471"/>
      <c r="G1056" s="304" t="s">
        <v>3048</v>
      </c>
      <c r="H1056" s="316" t="s">
        <v>2613</v>
      </c>
      <c r="I1056" s="468"/>
      <c r="J1056" s="348">
        <v>15000360</v>
      </c>
      <c r="K1056" s="468"/>
    </row>
    <row r="1057" spans="1:11" ht="15.75" customHeight="1">
      <c r="A1057" s="465"/>
      <c r="B1057" s="467"/>
      <c r="C1057" s="465"/>
      <c r="D1057" s="465"/>
      <c r="E1057" s="470"/>
      <c r="F1057" s="471"/>
      <c r="G1057" s="304" t="s">
        <v>3049</v>
      </c>
      <c r="H1057" s="316" t="s">
        <v>2613</v>
      </c>
      <c r="I1057" s="468"/>
      <c r="J1057" s="348">
        <v>15000360</v>
      </c>
      <c r="K1057" s="468"/>
    </row>
    <row r="1058" spans="1:11" ht="15.75" customHeight="1">
      <c r="A1058" s="465"/>
      <c r="B1058" s="467"/>
      <c r="C1058" s="465"/>
      <c r="D1058" s="465"/>
      <c r="E1058" s="470"/>
      <c r="F1058" s="471"/>
      <c r="G1058" s="304" t="s">
        <v>3050</v>
      </c>
      <c r="H1058" s="316" t="s">
        <v>2613</v>
      </c>
      <c r="I1058" s="468"/>
      <c r="J1058" s="348">
        <v>15000360</v>
      </c>
      <c r="K1058" s="468"/>
    </row>
    <row r="1059" spans="1:11" ht="15.75" customHeight="1">
      <c r="A1059" s="465"/>
      <c r="B1059" s="467"/>
      <c r="C1059" s="465"/>
      <c r="D1059" s="465"/>
      <c r="E1059" s="470"/>
      <c r="F1059" s="471"/>
      <c r="G1059" s="304" t="s">
        <v>3051</v>
      </c>
      <c r="H1059" s="316" t="s">
        <v>2613</v>
      </c>
      <c r="I1059" s="468"/>
      <c r="J1059" s="348">
        <v>15000360</v>
      </c>
      <c r="K1059" s="468"/>
    </row>
    <row r="1060" spans="1:11" ht="15.75" customHeight="1">
      <c r="A1060" s="465"/>
      <c r="B1060" s="467"/>
      <c r="C1060" s="465"/>
      <c r="D1060" s="465"/>
      <c r="E1060" s="470"/>
      <c r="F1060" s="471"/>
      <c r="G1060" s="304" t="s">
        <v>3052</v>
      </c>
      <c r="H1060" s="316" t="s">
        <v>2613</v>
      </c>
      <c r="I1060" s="468"/>
      <c r="J1060" s="348">
        <v>15000360</v>
      </c>
      <c r="K1060" s="468"/>
    </row>
    <row r="1061" spans="1:11" ht="15.75" customHeight="1">
      <c r="A1061" s="465"/>
      <c r="B1061" s="467"/>
      <c r="C1061" s="465"/>
      <c r="D1061" s="465"/>
      <c r="E1061" s="470"/>
      <c r="F1061" s="471"/>
      <c r="G1061" s="304" t="s">
        <v>3053</v>
      </c>
      <c r="H1061" s="316" t="s">
        <v>2613</v>
      </c>
      <c r="I1061" s="468"/>
      <c r="J1061" s="348">
        <v>20000360</v>
      </c>
      <c r="K1061" s="468"/>
    </row>
    <row r="1062" spans="1:11" ht="15.75" customHeight="1">
      <c r="A1062" s="465"/>
      <c r="B1062" s="467"/>
      <c r="C1062" s="465"/>
      <c r="D1062" s="465"/>
      <c r="E1062" s="470"/>
      <c r="F1062" s="471"/>
      <c r="G1062" s="304" t="s">
        <v>3054</v>
      </c>
      <c r="H1062" s="316" t="s">
        <v>2613</v>
      </c>
      <c r="I1062" s="468"/>
      <c r="J1062" s="348">
        <v>12502400</v>
      </c>
      <c r="K1062" s="468"/>
    </row>
    <row r="1063" spans="1:11" ht="15.75" customHeight="1">
      <c r="A1063" s="465"/>
      <c r="B1063" s="467"/>
      <c r="C1063" s="465"/>
      <c r="D1063" s="465"/>
      <c r="E1063" s="470"/>
      <c r="F1063" s="471"/>
      <c r="G1063" s="304" t="s">
        <v>3055</v>
      </c>
      <c r="H1063" s="316" t="s">
        <v>2613</v>
      </c>
      <c r="I1063" s="468"/>
      <c r="J1063" s="348">
        <v>15000360</v>
      </c>
      <c r="K1063" s="468"/>
    </row>
    <row r="1064" spans="1:11" ht="15.75" customHeight="1">
      <c r="A1064" s="465"/>
      <c r="B1064" s="467"/>
      <c r="C1064" s="465"/>
      <c r="D1064" s="465"/>
      <c r="E1064" s="470"/>
      <c r="F1064" s="471"/>
      <c r="G1064" s="304" t="s">
        <v>3056</v>
      </c>
      <c r="H1064" s="316" t="s">
        <v>2613</v>
      </c>
      <c r="I1064" s="468"/>
      <c r="J1064" s="348">
        <v>15000360</v>
      </c>
      <c r="K1064" s="468"/>
    </row>
    <row r="1065" spans="1:11" ht="15.75" customHeight="1">
      <c r="A1065" s="465"/>
      <c r="B1065" s="467"/>
      <c r="C1065" s="465"/>
      <c r="D1065" s="465"/>
      <c r="E1065" s="470"/>
      <c r="F1065" s="471"/>
      <c r="G1065" s="304" t="s">
        <v>3057</v>
      </c>
      <c r="H1065" s="316" t="s">
        <v>2613</v>
      </c>
      <c r="I1065" s="468"/>
      <c r="J1065" s="348">
        <v>15000360</v>
      </c>
      <c r="K1065" s="468"/>
    </row>
    <row r="1066" spans="1:11" ht="15.75" customHeight="1">
      <c r="A1066" s="465"/>
      <c r="B1066" s="467"/>
      <c r="C1066" s="465"/>
      <c r="D1066" s="465"/>
      <c r="E1066" s="470"/>
      <c r="F1066" s="471"/>
      <c r="G1066" s="304" t="s">
        <v>3058</v>
      </c>
      <c r="H1066" s="316" t="s">
        <v>2613</v>
      </c>
      <c r="I1066" s="468"/>
      <c r="J1066" s="348">
        <v>12500360</v>
      </c>
      <c r="K1066" s="468"/>
    </row>
    <row r="1067" spans="1:11" ht="15.75" customHeight="1">
      <c r="A1067" s="465"/>
      <c r="B1067" s="467"/>
      <c r="C1067" s="465"/>
      <c r="D1067" s="465"/>
      <c r="E1067" s="470"/>
      <c r="F1067" s="471"/>
      <c r="G1067" s="304" t="s">
        <v>3059</v>
      </c>
      <c r="H1067" s="316" t="s">
        <v>2613</v>
      </c>
      <c r="I1067" s="468"/>
      <c r="J1067" s="348">
        <v>20000360</v>
      </c>
      <c r="K1067" s="468"/>
    </row>
    <row r="1068" spans="1:11" ht="15.75" customHeight="1">
      <c r="A1068" s="465"/>
      <c r="B1068" s="467"/>
      <c r="C1068" s="465"/>
      <c r="D1068" s="465"/>
      <c r="E1068" s="470"/>
      <c r="F1068" s="471"/>
      <c r="G1068" s="304" t="s">
        <v>3060</v>
      </c>
      <c r="H1068" s="316" t="s">
        <v>2613</v>
      </c>
      <c r="I1068" s="468"/>
      <c r="J1068" s="348">
        <v>15000360</v>
      </c>
      <c r="K1068" s="468"/>
    </row>
    <row r="1069" spans="1:11" ht="15.75" customHeight="1">
      <c r="A1069" s="465"/>
      <c r="B1069" s="467"/>
      <c r="C1069" s="465"/>
      <c r="D1069" s="465"/>
      <c r="E1069" s="470"/>
      <c r="F1069" s="471"/>
      <c r="G1069" s="304" t="s">
        <v>3061</v>
      </c>
      <c r="H1069" s="316" t="s">
        <v>2613</v>
      </c>
      <c r="I1069" s="468"/>
      <c r="J1069" s="348">
        <v>15000360</v>
      </c>
      <c r="K1069" s="468"/>
    </row>
    <row r="1070" spans="1:11" ht="15.75" customHeight="1">
      <c r="A1070" s="465"/>
      <c r="B1070" s="467"/>
      <c r="C1070" s="465"/>
      <c r="D1070" s="465"/>
      <c r="E1070" s="470"/>
      <c r="F1070" s="471"/>
      <c r="G1070" s="304" t="s">
        <v>3062</v>
      </c>
      <c r="H1070" s="316" t="s">
        <v>2613</v>
      </c>
      <c r="I1070" s="468"/>
      <c r="J1070" s="348">
        <v>15000360</v>
      </c>
      <c r="K1070" s="468"/>
    </row>
    <row r="1071" spans="1:11" ht="15.75" customHeight="1">
      <c r="A1071" s="465"/>
      <c r="B1071" s="467"/>
      <c r="C1071" s="465"/>
      <c r="D1071" s="465"/>
      <c r="E1071" s="470"/>
      <c r="F1071" s="471"/>
      <c r="G1071" s="304" t="s">
        <v>3063</v>
      </c>
      <c r="H1071" s="316" t="s">
        <v>2613</v>
      </c>
      <c r="I1071" s="468"/>
      <c r="J1071" s="348">
        <v>15000360</v>
      </c>
      <c r="K1071" s="468"/>
    </row>
    <row r="1072" spans="1:11" ht="15.75" customHeight="1">
      <c r="A1072" s="465"/>
      <c r="B1072" s="467"/>
      <c r="C1072" s="465"/>
      <c r="D1072" s="465"/>
      <c r="E1072" s="470"/>
      <c r="F1072" s="471"/>
      <c r="G1072" s="304" t="s">
        <v>3064</v>
      </c>
      <c r="H1072" s="316" t="s">
        <v>2613</v>
      </c>
      <c r="I1072" s="468"/>
      <c r="J1072" s="348">
        <v>15000360</v>
      </c>
      <c r="K1072" s="468"/>
    </row>
    <row r="1073" spans="1:11" ht="15.75" customHeight="1">
      <c r="A1073" s="465"/>
      <c r="B1073" s="467"/>
      <c r="C1073" s="465"/>
      <c r="D1073" s="465"/>
      <c r="E1073" s="470"/>
      <c r="F1073" s="471"/>
      <c r="G1073" s="304" t="s">
        <v>3065</v>
      </c>
      <c r="H1073" s="316" t="s">
        <v>2613</v>
      </c>
      <c r="I1073" s="468"/>
      <c r="J1073" s="348">
        <v>12502400</v>
      </c>
      <c r="K1073" s="468"/>
    </row>
    <row r="1074" spans="1:11" ht="15.75" customHeight="1">
      <c r="A1074" s="465"/>
      <c r="B1074" s="467"/>
      <c r="C1074" s="465"/>
      <c r="D1074" s="465"/>
      <c r="E1074" s="470"/>
      <c r="F1074" s="471"/>
      <c r="G1074" s="304" t="s">
        <v>3066</v>
      </c>
      <c r="H1074" s="316" t="s">
        <v>2613</v>
      </c>
      <c r="I1074" s="468"/>
      <c r="J1074" s="348">
        <v>12502400</v>
      </c>
      <c r="K1074" s="468"/>
    </row>
    <row r="1075" spans="1:11" ht="15.75" customHeight="1">
      <c r="A1075" s="465"/>
      <c r="B1075" s="467"/>
      <c r="C1075" s="465"/>
      <c r="D1075" s="465"/>
      <c r="E1075" s="470"/>
      <c r="F1075" s="471"/>
      <c r="G1075" s="304" t="s">
        <v>3067</v>
      </c>
      <c r="H1075" s="316" t="s">
        <v>2613</v>
      </c>
      <c r="I1075" s="468"/>
      <c r="J1075" s="348">
        <v>15000360</v>
      </c>
      <c r="K1075" s="468"/>
    </row>
    <row r="1076" spans="1:11" ht="15" customHeight="1">
      <c r="A1076" s="465"/>
      <c r="B1076" s="467"/>
      <c r="C1076" s="465"/>
      <c r="D1076" s="465"/>
      <c r="E1076" s="468"/>
      <c r="F1076" s="465"/>
      <c r="G1076" s="304" t="s">
        <v>3068</v>
      </c>
      <c r="H1076" s="316" t="s">
        <v>2613</v>
      </c>
      <c r="I1076" s="468"/>
      <c r="J1076" s="348">
        <v>12500360</v>
      </c>
      <c r="K1076" s="468"/>
    </row>
    <row r="1077" spans="1:11" ht="15.75" customHeight="1">
      <c r="A1077" s="465"/>
      <c r="B1077" s="467"/>
      <c r="C1077" s="465"/>
      <c r="D1077" s="465"/>
      <c r="E1077" s="470"/>
      <c r="F1077" s="471"/>
      <c r="G1077" s="304" t="s">
        <v>3306</v>
      </c>
      <c r="H1077" s="316" t="s">
        <v>3086</v>
      </c>
      <c r="I1077" s="468"/>
      <c r="J1077" s="348">
        <v>15002400</v>
      </c>
      <c r="K1077" s="468"/>
    </row>
    <row r="1078" spans="1:11" ht="15.75" customHeight="1">
      <c r="A1078" s="465"/>
      <c r="B1078" s="467"/>
      <c r="C1078" s="465"/>
      <c r="D1078" s="465"/>
      <c r="E1078" s="470"/>
      <c r="F1078" s="471"/>
      <c r="G1078" s="304" t="s">
        <v>2797</v>
      </c>
      <c r="H1078" s="316" t="s">
        <v>3072</v>
      </c>
      <c r="I1078" s="468"/>
      <c r="J1078" s="348">
        <v>16252400</v>
      </c>
      <c r="K1078" s="468"/>
    </row>
    <row r="1079" spans="1:11" ht="15.75" customHeight="1">
      <c r="A1079" s="465"/>
      <c r="B1079" s="467"/>
      <c r="C1079" s="465"/>
      <c r="D1079" s="465"/>
      <c r="E1079" s="470"/>
      <c r="F1079" s="471"/>
      <c r="G1079" s="304" t="s">
        <v>2798</v>
      </c>
      <c r="H1079" s="316" t="s">
        <v>3072</v>
      </c>
      <c r="I1079" s="468"/>
      <c r="J1079" s="348">
        <v>14252400</v>
      </c>
      <c r="K1079" s="468"/>
    </row>
    <row r="1080" spans="1:11" ht="15.75" customHeight="1">
      <c r="A1080" s="465"/>
      <c r="B1080" s="467"/>
      <c r="C1080" s="465"/>
      <c r="D1080" s="465"/>
      <c r="E1080" s="470"/>
      <c r="F1080" s="471"/>
      <c r="G1080" s="304" t="s">
        <v>1858</v>
      </c>
      <c r="H1080" s="316" t="s">
        <v>3072</v>
      </c>
      <c r="I1080" s="468"/>
      <c r="J1080" s="348">
        <v>3002400</v>
      </c>
      <c r="K1080" s="468"/>
    </row>
    <row r="1081" spans="1:11" ht="15.75" customHeight="1">
      <c r="A1081" s="465"/>
      <c r="B1081" s="467"/>
      <c r="C1081" s="465"/>
      <c r="D1081" s="465"/>
      <c r="E1081" s="470"/>
      <c r="F1081" s="471"/>
      <c r="G1081" s="304" t="s">
        <v>2898</v>
      </c>
      <c r="H1081" s="316" t="s">
        <v>3072</v>
      </c>
      <c r="I1081" s="468"/>
      <c r="J1081" s="348">
        <v>1002400</v>
      </c>
      <c r="K1081" s="468"/>
    </row>
    <row r="1082" spans="1:11" ht="15.75" customHeight="1">
      <c r="A1082" s="465"/>
      <c r="B1082" s="467"/>
      <c r="C1082" s="465"/>
      <c r="D1082" s="465"/>
      <c r="E1082" s="470"/>
      <c r="F1082" s="471"/>
      <c r="G1082" s="304" t="s">
        <v>3307</v>
      </c>
      <c r="H1082" s="316" t="s">
        <v>3072</v>
      </c>
      <c r="I1082" s="468"/>
      <c r="J1082" s="348">
        <v>22502400</v>
      </c>
      <c r="K1082" s="468"/>
    </row>
    <row r="1083" spans="1:11" ht="15.75" customHeight="1">
      <c r="A1083" s="465"/>
      <c r="B1083" s="467"/>
      <c r="C1083" s="465"/>
      <c r="D1083" s="465"/>
      <c r="E1083" s="470"/>
      <c r="F1083" s="471"/>
      <c r="G1083" s="304" t="s">
        <v>2789</v>
      </c>
      <c r="H1083" s="316" t="s">
        <v>3072</v>
      </c>
      <c r="I1083" s="468"/>
      <c r="J1083" s="348">
        <v>5002400</v>
      </c>
      <c r="K1083" s="468"/>
    </row>
    <row r="1084" spans="1:11" ht="15.75" customHeight="1">
      <c r="A1084" s="465"/>
      <c r="B1084" s="467"/>
      <c r="C1084" s="465"/>
      <c r="D1084" s="465"/>
      <c r="E1084" s="470"/>
      <c r="F1084" s="471"/>
      <c r="G1084" s="304" t="s">
        <v>3308</v>
      </c>
      <c r="H1084" s="316" t="s">
        <v>3318</v>
      </c>
      <c r="I1084" s="468"/>
      <c r="J1084" s="348">
        <v>15000360</v>
      </c>
      <c r="K1084" s="468"/>
    </row>
    <row r="1085" spans="1:11" ht="15.75" customHeight="1">
      <c r="A1085" s="465"/>
      <c r="B1085" s="467"/>
      <c r="C1085" s="465"/>
      <c r="D1085" s="465"/>
      <c r="E1085" s="470"/>
      <c r="F1085" s="471"/>
      <c r="G1085" s="304" t="s">
        <v>3309</v>
      </c>
      <c r="H1085" s="316" t="s">
        <v>3318</v>
      </c>
      <c r="I1085" s="468"/>
      <c r="J1085" s="348">
        <v>20000360</v>
      </c>
      <c r="K1085" s="468"/>
    </row>
    <row r="1086" spans="1:11" ht="15.75" customHeight="1">
      <c r="A1086" s="465"/>
      <c r="B1086" s="467"/>
      <c r="C1086" s="465"/>
      <c r="D1086" s="465"/>
      <c r="E1086" s="470"/>
      <c r="F1086" s="471"/>
      <c r="G1086" s="304" t="s">
        <v>3310</v>
      </c>
      <c r="H1086" s="316" t="s">
        <v>3318</v>
      </c>
      <c r="I1086" s="468"/>
      <c r="J1086" s="348">
        <v>15000360</v>
      </c>
      <c r="K1086" s="468"/>
    </row>
    <row r="1087" spans="1:11" ht="15.75" customHeight="1">
      <c r="A1087" s="465"/>
      <c r="B1087" s="467"/>
      <c r="C1087" s="465"/>
      <c r="D1087" s="465"/>
      <c r="E1087" s="470"/>
      <c r="F1087" s="471"/>
      <c r="G1087" s="304" t="s">
        <v>3311</v>
      </c>
      <c r="H1087" s="316" t="s">
        <v>3318</v>
      </c>
      <c r="I1087" s="468"/>
      <c r="J1087" s="348">
        <v>15000360</v>
      </c>
      <c r="K1087" s="468"/>
    </row>
    <row r="1088" spans="1:11" ht="15.75" customHeight="1">
      <c r="A1088" s="465"/>
      <c r="B1088" s="467"/>
      <c r="C1088" s="465"/>
      <c r="D1088" s="465"/>
      <c r="E1088" s="470"/>
      <c r="F1088" s="471"/>
      <c r="G1088" s="304" t="s">
        <v>3312</v>
      </c>
      <c r="H1088" s="316" t="s">
        <v>3318</v>
      </c>
      <c r="I1088" s="468"/>
      <c r="J1088" s="348">
        <v>12500360</v>
      </c>
      <c r="K1088" s="468"/>
    </row>
    <row r="1089" spans="1:11" ht="15.75" customHeight="1">
      <c r="A1089" s="465"/>
      <c r="B1089" s="467"/>
      <c r="C1089" s="465"/>
      <c r="D1089" s="465"/>
      <c r="E1089" s="470"/>
      <c r="F1089" s="471"/>
      <c r="G1089" s="304" t="s">
        <v>3313</v>
      </c>
      <c r="H1089" s="316" t="s">
        <v>3318</v>
      </c>
      <c r="I1089" s="468"/>
      <c r="J1089" s="348">
        <v>12500360</v>
      </c>
      <c r="K1089" s="468"/>
    </row>
    <row r="1090" spans="1:11" ht="15.75" customHeight="1">
      <c r="A1090" s="465"/>
      <c r="B1090" s="467"/>
      <c r="C1090" s="465"/>
      <c r="D1090" s="465"/>
      <c r="E1090" s="470"/>
      <c r="F1090" s="471"/>
      <c r="G1090" s="304" t="s">
        <v>3314</v>
      </c>
      <c r="H1090" s="316" t="s">
        <v>3318</v>
      </c>
      <c r="I1090" s="468"/>
      <c r="J1090" s="348">
        <v>15000360</v>
      </c>
      <c r="K1090" s="468"/>
    </row>
    <row r="1091" spans="1:11" ht="15.75" customHeight="1">
      <c r="A1091" s="465"/>
      <c r="B1091" s="467"/>
      <c r="C1091" s="465"/>
      <c r="D1091" s="465"/>
      <c r="E1091" s="470"/>
      <c r="F1091" s="471"/>
      <c r="G1091" s="304" t="s">
        <v>3315</v>
      </c>
      <c r="H1091" s="316" t="s">
        <v>3318</v>
      </c>
      <c r="I1091" s="468"/>
      <c r="J1091" s="348">
        <v>15000360</v>
      </c>
      <c r="K1091" s="468"/>
    </row>
    <row r="1092" spans="1:11" ht="15.75" customHeight="1">
      <c r="A1092" s="465"/>
      <c r="B1092" s="467"/>
      <c r="C1092" s="465"/>
      <c r="D1092" s="465"/>
      <c r="E1092" s="470"/>
      <c r="F1092" s="471"/>
      <c r="G1092" s="304" t="s">
        <v>3316</v>
      </c>
      <c r="H1092" s="316" t="s">
        <v>3318</v>
      </c>
      <c r="I1092" s="468"/>
      <c r="J1092" s="348">
        <v>12500360</v>
      </c>
      <c r="K1092" s="468"/>
    </row>
    <row r="1093" spans="1:11" ht="15.75" customHeight="1">
      <c r="A1093" s="465"/>
      <c r="B1093" s="467"/>
      <c r="C1093" s="465"/>
      <c r="D1093" s="465"/>
      <c r="E1093" s="470"/>
      <c r="F1093" s="471"/>
      <c r="G1093" s="304" t="s">
        <v>3317</v>
      </c>
      <c r="H1093" s="316" t="s">
        <v>3318</v>
      </c>
      <c r="I1093" s="468"/>
      <c r="J1093" s="348">
        <v>15000360</v>
      </c>
      <c r="K1093" s="468"/>
    </row>
    <row r="1094" spans="1:11" ht="15.75" customHeight="1">
      <c r="A1094" s="465"/>
      <c r="B1094" s="467"/>
      <c r="C1094" s="465"/>
      <c r="D1094" s="465"/>
      <c r="E1094" s="470"/>
      <c r="F1094" s="471"/>
      <c r="G1094" s="304" t="s">
        <v>3319</v>
      </c>
      <c r="H1094" s="316" t="s">
        <v>3318</v>
      </c>
      <c r="I1094" s="468"/>
      <c r="J1094" s="348">
        <v>12500360</v>
      </c>
      <c r="K1094" s="468"/>
    </row>
    <row r="1095" spans="1:11" ht="15.75" customHeight="1">
      <c r="A1095" s="465"/>
      <c r="B1095" s="467"/>
      <c r="C1095" s="465"/>
      <c r="D1095" s="465"/>
      <c r="E1095" s="470"/>
      <c r="F1095" s="471"/>
      <c r="G1095" s="304" t="s">
        <v>3320</v>
      </c>
      <c r="H1095" s="316" t="s">
        <v>3318</v>
      </c>
      <c r="I1095" s="468"/>
      <c r="J1095" s="348">
        <v>20000360</v>
      </c>
      <c r="K1095" s="468"/>
    </row>
    <row r="1096" spans="1:11" ht="15.75" customHeight="1">
      <c r="A1096" s="465"/>
      <c r="B1096" s="467"/>
      <c r="C1096" s="465"/>
      <c r="D1096" s="465"/>
      <c r="E1096" s="470"/>
      <c r="F1096" s="471"/>
      <c r="G1096" s="304" t="s">
        <v>3321</v>
      </c>
      <c r="H1096" s="316" t="s">
        <v>3318</v>
      </c>
      <c r="I1096" s="468"/>
      <c r="J1096" s="348">
        <v>15000360</v>
      </c>
      <c r="K1096" s="468"/>
    </row>
    <row r="1097" spans="1:11" ht="15.75" customHeight="1">
      <c r="A1097" s="465"/>
      <c r="B1097" s="467"/>
      <c r="C1097" s="465"/>
      <c r="D1097" s="465"/>
      <c r="E1097" s="470"/>
      <c r="F1097" s="471"/>
      <c r="G1097" s="304" t="s">
        <v>3322</v>
      </c>
      <c r="H1097" s="316" t="s">
        <v>3318</v>
      </c>
      <c r="I1097" s="468"/>
      <c r="J1097" s="348">
        <v>15000360</v>
      </c>
      <c r="K1097" s="468"/>
    </row>
    <row r="1098" spans="1:11" ht="15.75" customHeight="1">
      <c r="A1098" s="465"/>
      <c r="B1098" s="467"/>
      <c r="C1098" s="465"/>
      <c r="D1098" s="465"/>
      <c r="E1098" s="470"/>
      <c r="F1098" s="471"/>
      <c r="G1098" s="304" t="s">
        <v>3323</v>
      </c>
      <c r="H1098" s="316" t="s">
        <v>3318</v>
      </c>
      <c r="I1098" s="468"/>
      <c r="J1098" s="348">
        <v>15000360</v>
      </c>
      <c r="K1098" s="468"/>
    </row>
    <row r="1099" spans="1:11" ht="15.75" customHeight="1">
      <c r="A1099" s="465"/>
      <c r="B1099" s="467"/>
      <c r="C1099" s="465"/>
      <c r="D1099" s="465"/>
      <c r="E1099" s="470"/>
      <c r="F1099" s="471"/>
      <c r="G1099" s="304" t="s">
        <v>3324</v>
      </c>
      <c r="H1099" s="316" t="s">
        <v>3318</v>
      </c>
      <c r="I1099" s="468"/>
      <c r="J1099" s="348">
        <v>15000360</v>
      </c>
      <c r="K1099" s="468"/>
    </row>
    <row r="1100" spans="1:11" ht="15.75" customHeight="1">
      <c r="A1100" s="465"/>
      <c r="B1100" s="467"/>
      <c r="C1100" s="465"/>
      <c r="D1100" s="465"/>
      <c r="E1100" s="470"/>
      <c r="F1100" s="471"/>
      <c r="G1100" s="304" t="s">
        <v>3325</v>
      </c>
      <c r="H1100" s="316" t="s">
        <v>3318</v>
      </c>
      <c r="I1100" s="468"/>
      <c r="J1100" s="348">
        <v>12500360</v>
      </c>
      <c r="K1100" s="468"/>
    </row>
    <row r="1101" spans="1:11" ht="15.75" customHeight="1">
      <c r="A1101" s="465"/>
      <c r="B1101" s="467"/>
      <c r="C1101" s="465"/>
      <c r="D1101" s="465"/>
      <c r="E1101" s="470"/>
      <c r="F1101" s="471"/>
      <c r="G1101" s="304" t="s">
        <v>3326</v>
      </c>
      <c r="H1101" s="316" t="s">
        <v>3318</v>
      </c>
      <c r="I1101" s="468"/>
      <c r="J1101" s="348">
        <v>20000360</v>
      </c>
      <c r="K1101" s="468"/>
    </row>
    <row r="1102" spans="1:11" ht="15.75" customHeight="1">
      <c r="A1102" s="465"/>
      <c r="B1102" s="467"/>
      <c r="C1102" s="465"/>
      <c r="D1102" s="465"/>
      <c r="E1102" s="470"/>
      <c r="F1102" s="471"/>
      <c r="G1102" s="304" t="s">
        <v>3327</v>
      </c>
      <c r="H1102" s="316" t="s">
        <v>3318</v>
      </c>
      <c r="I1102" s="468"/>
      <c r="J1102" s="348">
        <v>15000360</v>
      </c>
      <c r="K1102" s="468"/>
    </row>
    <row r="1103" spans="1:11" ht="15.75" customHeight="1">
      <c r="A1103" s="465"/>
      <c r="B1103" s="467"/>
      <c r="C1103" s="465"/>
      <c r="D1103" s="465"/>
      <c r="E1103" s="470"/>
      <c r="F1103" s="471"/>
      <c r="G1103" s="304" t="s">
        <v>3328</v>
      </c>
      <c r="H1103" s="316" t="s">
        <v>3318</v>
      </c>
      <c r="I1103" s="468"/>
      <c r="J1103" s="348">
        <v>15000360</v>
      </c>
      <c r="K1103" s="468"/>
    </row>
    <row r="1104" spans="1:11" ht="15.75" customHeight="1">
      <c r="A1104" s="465"/>
      <c r="B1104" s="467"/>
      <c r="C1104" s="465"/>
      <c r="D1104" s="465"/>
      <c r="E1104" s="470"/>
      <c r="F1104" s="471"/>
      <c r="G1104" s="304" t="s">
        <v>3329</v>
      </c>
      <c r="H1104" s="316" t="s">
        <v>3318</v>
      </c>
      <c r="I1104" s="468"/>
      <c r="J1104" s="348">
        <v>15000360</v>
      </c>
      <c r="K1104" s="468"/>
    </row>
    <row r="1105" spans="1:11" ht="15.75" customHeight="1">
      <c r="A1105" s="465"/>
      <c r="B1105" s="467"/>
      <c r="C1105" s="465"/>
      <c r="D1105" s="465"/>
      <c r="E1105" s="470"/>
      <c r="F1105" s="471"/>
      <c r="G1105" s="304" t="s">
        <v>3330</v>
      </c>
      <c r="H1105" s="316" t="s">
        <v>3318</v>
      </c>
      <c r="I1105" s="468"/>
      <c r="J1105" s="348">
        <v>15000360</v>
      </c>
      <c r="K1105" s="468"/>
    </row>
    <row r="1106" spans="1:11" ht="15.75" customHeight="1">
      <c r="A1106" s="465"/>
      <c r="B1106" s="467"/>
      <c r="C1106" s="465"/>
      <c r="D1106" s="465"/>
      <c r="E1106" s="470"/>
      <c r="F1106" s="471"/>
      <c r="G1106" s="304" t="s">
        <v>3331</v>
      </c>
      <c r="H1106" s="316" t="s">
        <v>3318</v>
      </c>
      <c r="I1106" s="468"/>
      <c r="J1106" s="348">
        <v>15000360</v>
      </c>
      <c r="K1106" s="468"/>
    </row>
    <row r="1107" spans="1:11" ht="15.75" customHeight="1">
      <c r="A1107" s="465"/>
      <c r="B1107" s="467"/>
      <c r="C1107" s="465"/>
      <c r="D1107" s="465"/>
      <c r="E1107" s="470"/>
      <c r="F1107" s="471"/>
      <c r="G1107" s="304" t="s">
        <v>3332</v>
      </c>
      <c r="H1107" s="316" t="s">
        <v>3318</v>
      </c>
      <c r="I1107" s="468"/>
      <c r="J1107" s="348">
        <v>15000360</v>
      </c>
      <c r="K1107" s="468"/>
    </row>
    <row r="1108" spans="1:11" ht="15.75" customHeight="1">
      <c r="A1108" s="465"/>
      <c r="B1108" s="467"/>
      <c r="C1108" s="465"/>
      <c r="D1108" s="465"/>
      <c r="E1108" s="470"/>
      <c r="F1108" s="471"/>
      <c r="G1108" s="304" t="s">
        <v>3333</v>
      </c>
      <c r="H1108" s="316" t="s">
        <v>3318</v>
      </c>
      <c r="I1108" s="468"/>
      <c r="J1108" s="348">
        <v>15000360</v>
      </c>
      <c r="K1108" s="468"/>
    </row>
    <row r="1109" spans="1:11" ht="15.75" customHeight="1">
      <c r="A1109" s="465"/>
      <c r="B1109" s="467"/>
      <c r="C1109" s="465"/>
      <c r="D1109" s="465"/>
      <c r="E1109" s="470"/>
      <c r="F1109" s="471"/>
      <c r="G1109" s="304" t="s">
        <v>3334</v>
      </c>
      <c r="H1109" s="316" t="s">
        <v>3318</v>
      </c>
      <c r="I1109" s="468"/>
      <c r="J1109" s="348">
        <v>20000360</v>
      </c>
      <c r="K1109" s="468"/>
    </row>
    <row r="1110" spans="1:11" ht="15.75" customHeight="1">
      <c r="A1110" s="465"/>
      <c r="B1110" s="467"/>
      <c r="C1110" s="465"/>
      <c r="D1110" s="465"/>
      <c r="E1110" s="470"/>
      <c r="F1110" s="471"/>
      <c r="G1110" s="304" t="s">
        <v>3335</v>
      </c>
      <c r="H1110" s="316" t="s">
        <v>3318</v>
      </c>
      <c r="I1110" s="468"/>
      <c r="J1110" s="348">
        <v>15000360</v>
      </c>
      <c r="K1110" s="468"/>
    </row>
    <row r="1111" spans="1:11" ht="15.75" customHeight="1">
      <c r="A1111" s="465"/>
      <c r="B1111" s="467"/>
      <c r="C1111" s="465"/>
      <c r="D1111" s="465"/>
      <c r="E1111" s="470"/>
      <c r="F1111" s="471"/>
      <c r="G1111" s="304" t="s">
        <v>3336</v>
      </c>
      <c r="H1111" s="316" t="s">
        <v>3318</v>
      </c>
      <c r="I1111" s="468"/>
      <c r="J1111" s="348">
        <v>15000360</v>
      </c>
      <c r="K1111" s="468"/>
    </row>
    <row r="1112" spans="1:11" ht="15.75" customHeight="1">
      <c r="A1112" s="465"/>
      <c r="B1112" s="467"/>
      <c r="C1112" s="465"/>
      <c r="D1112" s="465"/>
      <c r="E1112" s="470"/>
      <c r="F1112" s="471"/>
      <c r="G1112" s="304" t="s">
        <v>3337</v>
      </c>
      <c r="H1112" s="316" t="s">
        <v>3318</v>
      </c>
      <c r="I1112" s="468"/>
      <c r="J1112" s="348">
        <v>15000360</v>
      </c>
      <c r="K1112" s="468"/>
    </row>
    <row r="1113" spans="1:11" ht="15.75" customHeight="1">
      <c r="A1113" s="465"/>
      <c r="B1113" s="467"/>
      <c r="C1113" s="465"/>
      <c r="D1113" s="465"/>
      <c r="E1113" s="470"/>
      <c r="F1113" s="471"/>
      <c r="G1113" s="304" t="s">
        <v>3338</v>
      </c>
      <c r="H1113" s="316" t="s">
        <v>3318</v>
      </c>
      <c r="I1113" s="468"/>
      <c r="J1113" s="348">
        <v>15000360</v>
      </c>
      <c r="K1113" s="468"/>
    </row>
    <row r="1114" spans="1:11" ht="15.75" customHeight="1">
      <c r="A1114" s="465"/>
      <c r="B1114" s="467"/>
      <c r="C1114" s="465"/>
      <c r="D1114" s="465"/>
      <c r="E1114" s="470"/>
      <c r="F1114" s="471"/>
      <c r="G1114" s="304" t="s">
        <v>3339</v>
      </c>
      <c r="H1114" s="316" t="s">
        <v>3108</v>
      </c>
      <c r="I1114" s="468"/>
      <c r="J1114" s="348">
        <v>15000360</v>
      </c>
      <c r="K1114" s="468"/>
    </row>
    <row r="1115" spans="1:11" ht="15.75" customHeight="1">
      <c r="A1115" s="465"/>
      <c r="B1115" s="467"/>
      <c r="C1115" s="465"/>
      <c r="D1115" s="465"/>
      <c r="E1115" s="470"/>
      <c r="F1115" s="471"/>
      <c r="G1115" s="304" t="s">
        <v>3340</v>
      </c>
      <c r="H1115" s="316" t="s">
        <v>3108</v>
      </c>
      <c r="I1115" s="468"/>
      <c r="J1115" s="348">
        <v>12500360</v>
      </c>
      <c r="K1115" s="468"/>
    </row>
    <row r="1116" spans="1:11" ht="15.75" customHeight="1">
      <c r="A1116" s="465"/>
      <c r="B1116" s="467"/>
      <c r="C1116" s="465"/>
      <c r="D1116" s="465"/>
      <c r="E1116" s="470"/>
      <c r="F1116" s="471"/>
      <c r="G1116" s="304" t="s">
        <v>3342</v>
      </c>
      <c r="H1116" s="316" t="s">
        <v>3108</v>
      </c>
      <c r="I1116" s="468"/>
      <c r="J1116" s="348">
        <v>12500360</v>
      </c>
      <c r="K1116" s="468"/>
    </row>
    <row r="1117" spans="1:11" ht="15.75" customHeight="1">
      <c r="A1117" s="465"/>
      <c r="B1117" s="467"/>
      <c r="C1117" s="465"/>
      <c r="D1117" s="465"/>
      <c r="E1117" s="470"/>
      <c r="F1117" s="471"/>
      <c r="G1117" s="304" t="s">
        <v>3343</v>
      </c>
      <c r="H1117" s="316" t="s">
        <v>3108</v>
      </c>
      <c r="I1117" s="468"/>
      <c r="J1117" s="348">
        <v>12500360</v>
      </c>
      <c r="K1117" s="468"/>
    </row>
    <row r="1118" spans="1:11" ht="15.75" customHeight="1">
      <c r="A1118" s="465"/>
      <c r="B1118" s="467"/>
      <c r="C1118" s="465"/>
      <c r="D1118" s="465"/>
      <c r="E1118" s="470"/>
      <c r="F1118" s="471"/>
      <c r="G1118" s="304" t="s">
        <v>3344</v>
      </c>
      <c r="H1118" s="316" t="s">
        <v>3108</v>
      </c>
      <c r="I1118" s="468"/>
      <c r="J1118" s="348">
        <v>15000360</v>
      </c>
      <c r="K1118" s="468"/>
    </row>
    <row r="1119" spans="1:11" ht="15.75" customHeight="1">
      <c r="A1119" s="465"/>
      <c r="B1119" s="467"/>
      <c r="C1119" s="465"/>
      <c r="D1119" s="465"/>
      <c r="E1119" s="470"/>
      <c r="F1119" s="471"/>
      <c r="G1119" s="304" t="s">
        <v>3345</v>
      </c>
      <c r="H1119" s="316" t="s">
        <v>3108</v>
      </c>
      <c r="I1119" s="468"/>
      <c r="J1119" s="348">
        <v>15000360</v>
      </c>
      <c r="K1119" s="468"/>
    </row>
    <row r="1120" spans="1:11" ht="15.75" customHeight="1">
      <c r="A1120" s="465"/>
      <c r="B1120" s="467"/>
      <c r="C1120" s="465"/>
      <c r="D1120" s="465"/>
      <c r="E1120" s="470"/>
      <c r="F1120" s="471"/>
      <c r="G1120" s="304" t="s">
        <v>3346</v>
      </c>
      <c r="H1120" s="316" t="s">
        <v>3108</v>
      </c>
      <c r="I1120" s="468"/>
      <c r="J1120" s="348">
        <v>12500360</v>
      </c>
      <c r="K1120" s="468"/>
    </row>
    <row r="1121" spans="1:11" ht="15.75" customHeight="1">
      <c r="A1121" s="465"/>
      <c r="B1121" s="467"/>
      <c r="C1121" s="465"/>
      <c r="D1121" s="465"/>
      <c r="E1121" s="470"/>
      <c r="F1121" s="471"/>
      <c r="G1121" s="304" t="s">
        <v>3347</v>
      </c>
      <c r="H1121" s="316" t="s">
        <v>3108</v>
      </c>
      <c r="I1121" s="468"/>
      <c r="J1121" s="348">
        <v>15000360</v>
      </c>
      <c r="K1121" s="468"/>
    </row>
    <row r="1122" spans="1:11" ht="15.75" customHeight="1">
      <c r="A1122" s="465"/>
      <c r="B1122" s="467"/>
      <c r="C1122" s="465"/>
      <c r="D1122" s="465"/>
      <c r="E1122" s="470"/>
      <c r="F1122" s="471"/>
      <c r="G1122" s="304" t="s">
        <v>3348</v>
      </c>
      <c r="H1122" s="316" t="s">
        <v>3108</v>
      </c>
      <c r="I1122" s="468"/>
      <c r="J1122" s="348">
        <v>15000360</v>
      </c>
      <c r="K1122" s="468"/>
    </row>
    <row r="1123" spans="1:11" ht="15.75" customHeight="1">
      <c r="A1123" s="465"/>
      <c r="B1123" s="467"/>
      <c r="C1123" s="465"/>
      <c r="D1123" s="465"/>
      <c r="E1123" s="470"/>
      <c r="F1123" s="471"/>
      <c r="G1123" s="304" t="s">
        <v>3349</v>
      </c>
      <c r="H1123" s="316" t="s">
        <v>3108</v>
      </c>
      <c r="I1123" s="468"/>
      <c r="J1123" s="348">
        <v>15000360</v>
      </c>
      <c r="K1123" s="468"/>
    </row>
    <row r="1124" spans="1:11" ht="15.75" customHeight="1">
      <c r="A1124" s="465"/>
      <c r="B1124" s="467"/>
      <c r="C1124" s="465"/>
      <c r="D1124" s="465"/>
      <c r="E1124" s="470"/>
      <c r="F1124" s="471"/>
      <c r="G1124" s="304" t="s">
        <v>3350</v>
      </c>
      <c r="H1124" s="316" t="s">
        <v>3108</v>
      </c>
      <c r="I1124" s="468"/>
      <c r="J1124" s="348">
        <v>12500360</v>
      </c>
      <c r="K1124" s="468"/>
    </row>
    <row r="1125" spans="1:11" ht="15.75" customHeight="1">
      <c r="A1125" s="465"/>
      <c r="B1125" s="467"/>
      <c r="C1125" s="465"/>
      <c r="D1125" s="465"/>
      <c r="E1125" s="470"/>
      <c r="F1125" s="471"/>
      <c r="G1125" s="304" t="s">
        <v>3351</v>
      </c>
      <c r="H1125" s="316" t="s">
        <v>3104</v>
      </c>
      <c r="I1125" s="468"/>
      <c r="J1125" s="348">
        <v>15000360</v>
      </c>
      <c r="K1125" s="468"/>
    </row>
    <row r="1126" spans="1:11" ht="15.75" customHeight="1">
      <c r="A1126" s="465"/>
      <c r="B1126" s="467"/>
      <c r="C1126" s="465"/>
      <c r="D1126" s="465"/>
      <c r="E1126" s="470"/>
      <c r="F1126" s="471"/>
      <c r="G1126" s="304" t="s">
        <v>3352</v>
      </c>
      <c r="H1126" s="316" t="s">
        <v>3104</v>
      </c>
      <c r="I1126" s="468"/>
      <c r="J1126" s="348">
        <v>15000360</v>
      </c>
      <c r="K1126" s="468"/>
    </row>
    <row r="1127" spans="1:11" ht="15.75" customHeight="1">
      <c r="A1127" s="465"/>
      <c r="B1127" s="467"/>
      <c r="C1127" s="465"/>
      <c r="D1127" s="465"/>
      <c r="E1127" s="470"/>
      <c r="F1127" s="471"/>
      <c r="G1127" s="304" t="s">
        <v>3353</v>
      </c>
      <c r="H1127" s="316" t="s">
        <v>3104</v>
      </c>
      <c r="I1127" s="468"/>
      <c r="J1127" s="348">
        <v>15000360</v>
      </c>
      <c r="K1127" s="468"/>
    </row>
    <row r="1128" spans="1:11" ht="15.75" customHeight="1">
      <c r="A1128" s="465"/>
      <c r="B1128" s="467"/>
      <c r="C1128" s="465"/>
      <c r="D1128" s="465"/>
      <c r="E1128" s="470"/>
      <c r="F1128" s="471"/>
      <c r="G1128" s="304" t="s">
        <v>3354</v>
      </c>
      <c r="H1128" s="316" t="s">
        <v>3104</v>
      </c>
      <c r="I1128" s="468"/>
      <c r="J1128" s="348">
        <v>15000360</v>
      </c>
      <c r="K1128" s="468"/>
    </row>
    <row r="1129" spans="1:11" ht="15.75" customHeight="1">
      <c r="A1129" s="465"/>
      <c r="B1129" s="467"/>
      <c r="C1129" s="465"/>
      <c r="D1129" s="465"/>
      <c r="E1129" s="470"/>
      <c r="F1129" s="471"/>
      <c r="G1129" s="304" t="s">
        <v>3355</v>
      </c>
      <c r="H1129" s="316" t="s">
        <v>3104</v>
      </c>
      <c r="I1129" s="468"/>
      <c r="J1129" s="348">
        <v>20000360</v>
      </c>
      <c r="K1129" s="468"/>
    </row>
    <row r="1130" spans="1:11" ht="15.75" customHeight="1">
      <c r="A1130" s="465"/>
      <c r="B1130" s="467"/>
      <c r="C1130" s="465"/>
      <c r="D1130" s="465"/>
      <c r="E1130" s="470"/>
      <c r="F1130" s="471"/>
      <c r="G1130" s="304" t="s">
        <v>3356</v>
      </c>
      <c r="H1130" s="316" t="s">
        <v>3104</v>
      </c>
      <c r="I1130" s="468"/>
      <c r="J1130" s="348">
        <v>15000360</v>
      </c>
      <c r="K1130" s="468"/>
    </row>
    <row r="1131" spans="1:11" ht="15.75" customHeight="1">
      <c r="A1131" s="465"/>
      <c r="B1131" s="467"/>
      <c r="C1131" s="465"/>
      <c r="D1131" s="465"/>
      <c r="E1131" s="470"/>
      <c r="F1131" s="471"/>
      <c r="G1131" s="304" t="s">
        <v>3357</v>
      </c>
      <c r="H1131" s="316" t="s">
        <v>3104</v>
      </c>
      <c r="I1131" s="468"/>
      <c r="J1131" s="348">
        <v>15000360</v>
      </c>
      <c r="K1131" s="468"/>
    </row>
    <row r="1132" spans="1:11" ht="15.75" customHeight="1">
      <c r="A1132" s="465"/>
      <c r="B1132" s="467"/>
      <c r="C1132" s="465"/>
      <c r="D1132" s="465"/>
      <c r="E1132" s="470"/>
      <c r="F1132" s="471"/>
      <c r="G1132" s="304" t="s">
        <v>3358</v>
      </c>
      <c r="H1132" s="316" t="s">
        <v>3104</v>
      </c>
      <c r="I1132" s="468"/>
      <c r="J1132" s="348">
        <v>15000360</v>
      </c>
      <c r="K1132" s="468"/>
    </row>
    <row r="1133" spans="1:11" ht="15.75" customHeight="1">
      <c r="A1133" s="465"/>
      <c r="B1133" s="467"/>
      <c r="C1133" s="465"/>
      <c r="D1133" s="465"/>
      <c r="E1133" s="470"/>
      <c r="F1133" s="471"/>
      <c r="G1133" s="304" t="s">
        <v>3359</v>
      </c>
      <c r="H1133" s="316" t="s">
        <v>3104</v>
      </c>
      <c r="I1133" s="468"/>
      <c r="J1133" s="348">
        <v>20000360</v>
      </c>
      <c r="K1133" s="468"/>
    </row>
    <row r="1134" spans="1:11" ht="15.75" customHeight="1">
      <c r="A1134" s="465"/>
      <c r="B1134" s="467"/>
      <c r="C1134" s="465"/>
      <c r="D1134" s="465"/>
      <c r="E1134" s="470"/>
      <c r="F1134" s="471"/>
      <c r="G1134" s="304" t="s">
        <v>3360</v>
      </c>
      <c r="H1134" s="316" t="s">
        <v>3104</v>
      </c>
      <c r="I1134" s="468"/>
      <c r="J1134" s="348">
        <v>17500360</v>
      </c>
      <c r="K1134" s="468"/>
    </row>
    <row r="1135" spans="1:11" ht="15.75" customHeight="1">
      <c r="A1135" s="465"/>
      <c r="B1135" s="467"/>
      <c r="C1135" s="465"/>
      <c r="D1135" s="465"/>
      <c r="E1135" s="470"/>
      <c r="F1135" s="471"/>
      <c r="G1135" s="304" t="s">
        <v>3361</v>
      </c>
      <c r="H1135" s="316" t="s">
        <v>3104</v>
      </c>
      <c r="I1135" s="468"/>
      <c r="J1135" s="348">
        <v>12500360</v>
      </c>
      <c r="K1135" s="468"/>
    </row>
    <row r="1136" spans="1:11" ht="15.75" customHeight="1">
      <c r="A1136" s="465"/>
      <c r="B1136" s="467"/>
      <c r="C1136" s="465"/>
      <c r="D1136" s="465"/>
      <c r="E1136" s="470"/>
      <c r="F1136" s="471"/>
      <c r="G1136" s="304" t="s">
        <v>3362</v>
      </c>
      <c r="H1136" s="316" t="s">
        <v>3102</v>
      </c>
      <c r="I1136" s="468"/>
      <c r="J1136" s="348">
        <v>422400</v>
      </c>
      <c r="K1136" s="468"/>
    </row>
    <row r="1137" spans="1:11" ht="15.75" customHeight="1">
      <c r="A1137" s="465"/>
      <c r="B1137" s="467"/>
      <c r="C1137" s="465"/>
      <c r="D1137" s="465"/>
      <c r="E1137" s="470"/>
      <c r="F1137" s="471"/>
      <c r="G1137" s="304" t="s">
        <v>3363</v>
      </c>
      <c r="H1137" s="316" t="s">
        <v>3102</v>
      </c>
      <c r="I1137" s="468"/>
      <c r="J1137" s="348">
        <v>60006000</v>
      </c>
      <c r="K1137" s="468"/>
    </row>
    <row r="1138" spans="1:11" ht="15.75" customHeight="1">
      <c r="A1138" s="465"/>
      <c r="B1138" s="467"/>
      <c r="C1138" s="465"/>
      <c r="D1138" s="465"/>
      <c r="E1138" s="470"/>
      <c r="F1138" s="471"/>
      <c r="G1138" s="304" t="s">
        <v>3364</v>
      </c>
      <c r="H1138" s="316" t="s">
        <v>3102</v>
      </c>
      <c r="I1138" s="468"/>
      <c r="J1138" s="348">
        <v>60006000</v>
      </c>
      <c r="K1138" s="468"/>
    </row>
    <row r="1139" spans="1:11" ht="15.75" customHeight="1">
      <c r="A1139" s="465"/>
      <c r="B1139" s="467"/>
      <c r="C1139" s="465"/>
      <c r="D1139" s="465"/>
      <c r="E1139" s="470"/>
      <c r="F1139" s="471"/>
      <c r="G1139" s="304" t="s">
        <v>2894</v>
      </c>
      <c r="H1139" s="316" t="s">
        <v>3102</v>
      </c>
      <c r="I1139" s="468"/>
      <c r="J1139" s="348">
        <v>10002400</v>
      </c>
      <c r="K1139" s="468"/>
    </row>
    <row r="1140" spans="1:11" ht="15.75" customHeight="1">
      <c r="A1140" s="465"/>
      <c r="B1140" s="467"/>
      <c r="C1140" s="465"/>
      <c r="D1140" s="465"/>
      <c r="E1140" s="470"/>
      <c r="F1140" s="471"/>
      <c r="G1140" s="304" t="s">
        <v>3365</v>
      </c>
      <c r="H1140" s="316" t="s">
        <v>3102</v>
      </c>
      <c r="I1140" s="468"/>
      <c r="J1140" s="348">
        <v>35003500</v>
      </c>
      <c r="K1140" s="468"/>
    </row>
    <row r="1141" spans="1:11" ht="15.75" customHeight="1">
      <c r="A1141" s="465"/>
      <c r="B1141" s="467"/>
      <c r="C1141" s="465"/>
      <c r="D1141" s="465"/>
      <c r="E1141" s="470"/>
      <c r="F1141" s="471"/>
      <c r="G1141" s="304" t="s">
        <v>2999</v>
      </c>
      <c r="H1141" s="316" t="s">
        <v>3102</v>
      </c>
      <c r="I1141" s="468"/>
      <c r="J1141" s="348">
        <v>15002400</v>
      </c>
      <c r="K1141" s="468"/>
    </row>
    <row r="1142" spans="1:11" ht="15.75" customHeight="1">
      <c r="A1142" s="465"/>
      <c r="B1142" s="467"/>
      <c r="C1142" s="465"/>
      <c r="D1142" s="465"/>
      <c r="E1142" s="470"/>
      <c r="F1142" s="471"/>
      <c r="G1142" s="304" t="s">
        <v>3366</v>
      </c>
      <c r="H1142" s="316" t="s">
        <v>3102</v>
      </c>
      <c r="I1142" s="468"/>
      <c r="J1142" s="348">
        <v>15002400</v>
      </c>
      <c r="K1142" s="468"/>
    </row>
    <row r="1143" spans="1:11" ht="15.75" customHeight="1">
      <c r="A1143" s="465"/>
      <c r="B1143" s="467"/>
      <c r="C1143" s="465"/>
      <c r="D1143" s="465"/>
      <c r="E1143" s="470"/>
      <c r="F1143" s="471"/>
      <c r="G1143" s="304" t="s">
        <v>2271</v>
      </c>
      <c r="H1143" s="316" t="s">
        <v>3102</v>
      </c>
      <c r="I1143" s="468"/>
      <c r="J1143" s="348">
        <v>1002400</v>
      </c>
      <c r="K1143" s="468"/>
    </row>
    <row r="1144" spans="1:11" ht="15.75" customHeight="1">
      <c r="A1144" s="465"/>
      <c r="B1144" s="467"/>
      <c r="C1144" s="465"/>
      <c r="D1144" s="465"/>
      <c r="E1144" s="470"/>
      <c r="F1144" s="471"/>
      <c r="G1144" s="304" t="s">
        <v>3367</v>
      </c>
      <c r="H1144" s="316" t="s">
        <v>3102</v>
      </c>
      <c r="I1144" s="468"/>
      <c r="J1144" s="348">
        <v>962400</v>
      </c>
      <c r="K1144" s="468"/>
    </row>
    <row r="1145" spans="1:11" ht="15.75" customHeight="1">
      <c r="A1145" s="465"/>
      <c r="B1145" s="467"/>
      <c r="C1145" s="465"/>
      <c r="D1145" s="465"/>
      <c r="E1145" s="470"/>
      <c r="F1145" s="471"/>
      <c r="G1145" s="304" t="s">
        <v>3368</v>
      </c>
      <c r="H1145" s="316" t="s">
        <v>3102</v>
      </c>
      <c r="I1145" s="468"/>
      <c r="J1145" s="348">
        <v>4002400</v>
      </c>
      <c r="K1145" s="468"/>
    </row>
    <row r="1146" spans="1:11" ht="15.75" customHeight="1">
      <c r="A1146" s="465"/>
      <c r="B1146" s="467"/>
      <c r="C1146" s="465"/>
      <c r="D1146" s="465"/>
      <c r="E1146" s="470"/>
      <c r="F1146" s="471"/>
      <c r="G1146" s="304" t="s">
        <v>3369</v>
      </c>
      <c r="H1146" s="316" t="s">
        <v>3102</v>
      </c>
      <c r="I1146" s="468"/>
      <c r="J1146" s="348">
        <v>10000360</v>
      </c>
      <c r="K1146" s="468"/>
    </row>
    <row r="1147" spans="1:11" ht="15.75" customHeight="1">
      <c r="A1147" s="465"/>
      <c r="B1147" s="467"/>
      <c r="C1147" s="465"/>
      <c r="D1147" s="465"/>
      <c r="E1147" s="470"/>
      <c r="F1147" s="471"/>
      <c r="G1147" s="304" t="s">
        <v>3370</v>
      </c>
      <c r="H1147" s="316" t="s">
        <v>3102</v>
      </c>
      <c r="I1147" s="468"/>
      <c r="J1147" s="348">
        <v>10000360</v>
      </c>
      <c r="K1147" s="468"/>
    </row>
    <row r="1148" spans="1:11" ht="15.75" customHeight="1">
      <c r="A1148" s="465"/>
      <c r="B1148" s="467"/>
      <c r="C1148" s="465"/>
      <c r="D1148" s="465"/>
      <c r="E1148" s="470"/>
      <c r="F1148" s="471"/>
      <c r="G1148" s="304" t="s">
        <v>3371</v>
      </c>
      <c r="H1148" s="316" t="s">
        <v>3100</v>
      </c>
      <c r="I1148" s="468"/>
      <c r="J1148" s="348">
        <v>12500360</v>
      </c>
      <c r="K1148" s="468"/>
    </row>
    <row r="1149" spans="1:11" ht="15.75" customHeight="1">
      <c r="A1149" s="465"/>
      <c r="B1149" s="467"/>
      <c r="C1149" s="465"/>
      <c r="D1149" s="465"/>
      <c r="E1149" s="470"/>
      <c r="F1149" s="471"/>
      <c r="G1149" s="304" t="s">
        <v>3372</v>
      </c>
      <c r="H1149" s="316" t="s">
        <v>3100</v>
      </c>
      <c r="I1149" s="468"/>
      <c r="J1149" s="348">
        <v>15000360</v>
      </c>
      <c r="K1149" s="468"/>
    </row>
    <row r="1150" spans="1:11" ht="15.75" customHeight="1">
      <c r="A1150" s="465"/>
      <c r="B1150" s="467"/>
      <c r="C1150" s="465"/>
      <c r="D1150" s="465"/>
      <c r="E1150" s="470"/>
      <c r="F1150" s="471"/>
      <c r="G1150" s="304" t="s">
        <v>3373</v>
      </c>
      <c r="H1150" s="316" t="s">
        <v>3100</v>
      </c>
      <c r="I1150" s="468"/>
      <c r="J1150" s="348">
        <v>15000360</v>
      </c>
      <c r="K1150" s="468"/>
    </row>
    <row r="1151" spans="1:11" ht="15.75" customHeight="1">
      <c r="A1151" s="465"/>
      <c r="B1151" s="467"/>
      <c r="C1151" s="465"/>
      <c r="D1151" s="465"/>
      <c r="E1151" s="470"/>
      <c r="F1151" s="471"/>
      <c r="G1151" s="304" t="s">
        <v>3374</v>
      </c>
      <c r="H1151" s="316" t="s">
        <v>3100</v>
      </c>
      <c r="I1151" s="468"/>
      <c r="J1151" s="348">
        <v>20000360</v>
      </c>
      <c r="K1151" s="468"/>
    </row>
    <row r="1152" spans="1:11" ht="15.75" customHeight="1">
      <c r="A1152" s="465"/>
      <c r="B1152" s="467"/>
      <c r="C1152" s="465"/>
      <c r="D1152" s="465"/>
      <c r="E1152" s="470"/>
      <c r="F1152" s="471"/>
      <c r="G1152" s="304" t="s">
        <v>3375</v>
      </c>
      <c r="H1152" s="316" t="s">
        <v>3341</v>
      </c>
      <c r="I1152" s="468"/>
      <c r="J1152" s="348">
        <v>1452400</v>
      </c>
      <c r="K1152" s="468"/>
    </row>
    <row r="1153" spans="1:11" ht="15.75" customHeight="1">
      <c r="A1153" s="465"/>
      <c r="B1153" s="467"/>
      <c r="C1153" s="465"/>
      <c r="D1153" s="465"/>
      <c r="E1153" s="470"/>
      <c r="F1153" s="471"/>
      <c r="G1153" s="304" t="s">
        <v>3376</v>
      </c>
      <c r="H1153" s="316" t="s">
        <v>3341</v>
      </c>
      <c r="I1153" s="468"/>
      <c r="J1153" s="348">
        <v>1702400</v>
      </c>
      <c r="K1153" s="468"/>
    </row>
    <row r="1154" spans="1:11" ht="15.75" customHeight="1">
      <c r="A1154" s="465"/>
      <c r="B1154" s="467"/>
      <c r="C1154" s="465"/>
      <c r="D1154" s="465"/>
      <c r="E1154" s="470"/>
      <c r="F1154" s="471"/>
      <c r="G1154" s="304" t="s">
        <v>3377</v>
      </c>
      <c r="H1154" s="316" t="s">
        <v>3341</v>
      </c>
      <c r="I1154" s="468"/>
      <c r="J1154" s="348">
        <v>7802400</v>
      </c>
      <c r="K1154" s="468"/>
    </row>
    <row r="1155" spans="1:11" ht="15.75" customHeight="1">
      <c r="A1155" s="465"/>
      <c r="B1155" s="467"/>
      <c r="C1155" s="465"/>
      <c r="D1155" s="465"/>
      <c r="E1155" s="470"/>
      <c r="F1155" s="471"/>
      <c r="G1155" s="304" t="s">
        <v>3378</v>
      </c>
      <c r="H1155" s="316" t="s">
        <v>3341</v>
      </c>
      <c r="I1155" s="468"/>
      <c r="J1155" s="348">
        <v>602400</v>
      </c>
      <c r="K1155" s="468"/>
    </row>
    <row r="1156" spans="1:11" ht="15.75" customHeight="1">
      <c r="A1156" s="465"/>
      <c r="B1156" s="467"/>
      <c r="C1156" s="465"/>
      <c r="D1156" s="465"/>
      <c r="E1156" s="470"/>
      <c r="F1156" s="471"/>
      <c r="G1156" s="304" t="s">
        <v>3379</v>
      </c>
      <c r="H1156" s="316" t="s">
        <v>3341</v>
      </c>
      <c r="I1156" s="468"/>
      <c r="J1156" s="348">
        <v>752400</v>
      </c>
      <c r="K1156" s="468"/>
    </row>
    <row r="1157" spans="1:11" ht="15.75" customHeight="1">
      <c r="A1157" s="465"/>
      <c r="B1157" s="467"/>
      <c r="C1157" s="465"/>
      <c r="D1157" s="465"/>
      <c r="E1157" s="470"/>
      <c r="F1157" s="471"/>
      <c r="G1157" s="304" t="s">
        <v>3380</v>
      </c>
      <c r="H1157" s="316" t="s">
        <v>3341</v>
      </c>
      <c r="I1157" s="468"/>
      <c r="J1157" s="348">
        <v>16252400</v>
      </c>
      <c r="K1157" s="468"/>
    </row>
    <row r="1158" spans="1:11" ht="15.75" customHeight="1">
      <c r="A1158" s="465"/>
      <c r="B1158" s="467"/>
      <c r="C1158" s="465"/>
      <c r="D1158" s="465"/>
      <c r="E1158" s="470"/>
      <c r="F1158" s="471"/>
      <c r="G1158" s="304" t="s">
        <v>3381</v>
      </c>
      <c r="H1158" s="316" t="s">
        <v>3341</v>
      </c>
      <c r="I1158" s="468"/>
      <c r="J1158" s="348">
        <v>14252400</v>
      </c>
      <c r="K1158" s="468"/>
    </row>
    <row r="1159" spans="1:11" ht="15.75" customHeight="1">
      <c r="A1159" s="465"/>
      <c r="B1159" s="467"/>
      <c r="C1159" s="465"/>
      <c r="D1159" s="465"/>
      <c r="E1159" s="470"/>
      <c r="F1159" s="471"/>
      <c r="G1159" s="304" t="s">
        <v>3382</v>
      </c>
      <c r="H1159" s="316" t="s">
        <v>3341</v>
      </c>
      <c r="I1159" s="468"/>
      <c r="J1159" s="348">
        <v>902400</v>
      </c>
      <c r="K1159" s="468"/>
    </row>
    <row r="1160" spans="1:11" ht="15.75" customHeight="1">
      <c r="A1160" s="465"/>
      <c r="B1160" s="467"/>
      <c r="C1160" s="465"/>
      <c r="D1160" s="465"/>
      <c r="E1160" s="470"/>
      <c r="F1160" s="471"/>
      <c r="G1160" s="304" t="s">
        <v>3383</v>
      </c>
      <c r="H1160" s="316" t="s">
        <v>3341</v>
      </c>
      <c r="I1160" s="468"/>
      <c r="J1160" s="348">
        <v>802400</v>
      </c>
      <c r="K1160" s="468"/>
    </row>
    <row r="1161" spans="1:11" ht="15.75" customHeight="1">
      <c r="A1161" s="465"/>
      <c r="B1161" s="467"/>
      <c r="C1161" s="465"/>
      <c r="D1161" s="465"/>
      <c r="E1161" s="470"/>
      <c r="F1161" s="471"/>
      <c r="G1161" s="304" t="s">
        <v>3384</v>
      </c>
      <c r="H1161" s="316" t="s">
        <v>3341</v>
      </c>
      <c r="I1161" s="468"/>
      <c r="J1161" s="348">
        <v>4002400</v>
      </c>
      <c r="K1161" s="468"/>
    </row>
    <row r="1162" spans="1:11" ht="15.75" customHeight="1">
      <c r="A1162" s="465"/>
      <c r="B1162" s="467"/>
      <c r="C1162" s="465"/>
      <c r="D1162" s="465"/>
      <c r="E1162" s="470"/>
      <c r="F1162" s="471"/>
      <c r="G1162" s="304" t="s">
        <v>3362</v>
      </c>
      <c r="H1162" s="316" t="s">
        <v>3341</v>
      </c>
      <c r="I1162" s="468"/>
      <c r="J1162" s="348">
        <v>362400</v>
      </c>
      <c r="K1162" s="468"/>
    </row>
    <row r="1163" spans="1:11" ht="15.75" customHeight="1">
      <c r="A1163" s="465"/>
      <c r="B1163" s="467"/>
      <c r="C1163" s="465"/>
      <c r="D1163" s="465"/>
      <c r="E1163" s="470"/>
      <c r="F1163" s="471"/>
      <c r="G1163" s="304" t="s">
        <v>3386</v>
      </c>
      <c r="H1163" s="316" t="s">
        <v>3385</v>
      </c>
      <c r="I1163" s="468"/>
      <c r="J1163" s="348">
        <v>15000360</v>
      </c>
      <c r="K1163" s="468"/>
    </row>
    <row r="1164" spans="1:11" ht="15.75" customHeight="1">
      <c r="A1164" s="465"/>
      <c r="B1164" s="467"/>
      <c r="C1164" s="465"/>
      <c r="D1164" s="465"/>
      <c r="E1164" s="470"/>
      <c r="F1164" s="471"/>
      <c r="G1164" s="304" t="s">
        <v>3387</v>
      </c>
      <c r="H1164" s="316" t="s">
        <v>3385</v>
      </c>
      <c r="I1164" s="468"/>
      <c r="J1164" s="348">
        <v>20000360</v>
      </c>
      <c r="K1164" s="468"/>
    </row>
    <row r="1165" spans="1:11" ht="15.75" customHeight="1">
      <c r="A1165" s="465"/>
      <c r="B1165" s="467"/>
      <c r="C1165" s="465"/>
      <c r="D1165" s="465"/>
      <c r="E1165" s="470"/>
      <c r="F1165" s="471"/>
      <c r="G1165" s="304" t="s">
        <v>3388</v>
      </c>
      <c r="H1165" s="316" t="s">
        <v>3385</v>
      </c>
      <c r="I1165" s="468"/>
      <c r="J1165" s="348">
        <v>15000360</v>
      </c>
      <c r="K1165" s="468"/>
    </row>
    <row r="1166" spans="1:11" ht="15.75" customHeight="1">
      <c r="A1166" s="465"/>
      <c r="B1166" s="467"/>
      <c r="C1166" s="465"/>
      <c r="D1166" s="465"/>
      <c r="E1166" s="470"/>
      <c r="F1166" s="471"/>
      <c r="G1166" s="304" t="s">
        <v>3389</v>
      </c>
      <c r="H1166" s="316" t="s">
        <v>3385</v>
      </c>
      <c r="I1166" s="468"/>
      <c r="J1166" s="348">
        <v>15000360</v>
      </c>
      <c r="K1166" s="468"/>
    </row>
    <row r="1167" spans="1:11" ht="15.75" customHeight="1">
      <c r="A1167" s="465"/>
      <c r="B1167" s="467"/>
      <c r="C1167" s="465"/>
      <c r="D1167" s="465"/>
      <c r="E1167" s="470"/>
      <c r="F1167" s="471"/>
      <c r="G1167" s="304" t="s">
        <v>3390</v>
      </c>
      <c r="H1167" s="316" t="s">
        <v>3385</v>
      </c>
      <c r="I1167" s="468"/>
      <c r="J1167" s="348">
        <v>12500360</v>
      </c>
      <c r="K1167" s="468"/>
    </row>
    <row r="1168" spans="1:11" ht="15.75" customHeight="1">
      <c r="A1168" s="465"/>
      <c r="B1168" s="467"/>
      <c r="C1168" s="465"/>
      <c r="D1168" s="465"/>
      <c r="E1168" s="470"/>
      <c r="F1168" s="471"/>
      <c r="G1168" s="304" t="s">
        <v>3391</v>
      </c>
      <c r="H1168" s="316" t="s">
        <v>3385</v>
      </c>
      <c r="I1168" s="468"/>
      <c r="J1168" s="348">
        <v>12500360</v>
      </c>
      <c r="K1168" s="468"/>
    </row>
    <row r="1169" spans="1:11" ht="15.75" customHeight="1">
      <c r="A1169" s="465"/>
      <c r="B1169" s="467"/>
      <c r="C1169" s="465"/>
      <c r="D1169" s="465"/>
      <c r="E1169" s="470"/>
      <c r="F1169" s="471"/>
      <c r="G1169" s="304" t="s">
        <v>3392</v>
      </c>
      <c r="H1169" s="316" t="s">
        <v>3385</v>
      </c>
      <c r="I1169" s="468"/>
      <c r="J1169" s="348">
        <v>15000360</v>
      </c>
      <c r="K1169" s="468"/>
    </row>
    <row r="1170" spans="1:11" ht="15.75" customHeight="1">
      <c r="A1170" s="465"/>
      <c r="B1170" s="467"/>
      <c r="C1170" s="465"/>
      <c r="D1170" s="465"/>
      <c r="E1170" s="470"/>
      <c r="F1170" s="471"/>
      <c r="G1170" s="304" t="s">
        <v>3393</v>
      </c>
      <c r="H1170" s="316" t="s">
        <v>3385</v>
      </c>
      <c r="I1170" s="468"/>
      <c r="J1170" s="348">
        <v>15000360</v>
      </c>
      <c r="K1170" s="468"/>
    </row>
    <row r="1171" spans="1:11" ht="15.75" customHeight="1">
      <c r="A1171" s="465"/>
      <c r="B1171" s="467"/>
      <c r="C1171" s="465"/>
      <c r="D1171" s="465"/>
      <c r="E1171" s="470"/>
      <c r="F1171" s="471"/>
      <c r="G1171" s="304" t="s">
        <v>3394</v>
      </c>
      <c r="H1171" s="316" t="s">
        <v>3385</v>
      </c>
      <c r="I1171" s="468"/>
      <c r="J1171" s="348">
        <v>12500360</v>
      </c>
      <c r="K1171" s="468"/>
    </row>
    <row r="1172" spans="1:11" ht="15.75" customHeight="1">
      <c r="A1172" s="465"/>
      <c r="B1172" s="467"/>
      <c r="C1172" s="465"/>
      <c r="D1172" s="465"/>
      <c r="E1172" s="470"/>
      <c r="F1172" s="471"/>
      <c r="G1172" s="304" t="s">
        <v>3395</v>
      </c>
      <c r="H1172" s="316" t="s">
        <v>3385</v>
      </c>
      <c r="I1172" s="468"/>
      <c r="J1172" s="348">
        <v>15000360</v>
      </c>
      <c r="K1172" s="468"/>
    </row>
    <row r="1173" spans="1:11" ht="15.75" customHeight="1">
      <c r="A1173" s="465"/>
      <c r="B1173" s="467"/>
      <c r="C1173" s="465"/>
      <c r="D1173" s="465"/>
      <c r="E1173" s="470"/>
      <c r="F1173" s="471"/>
      <c r="G1173" s="304" t="s">
        <v>3396</v>
      </c>
      <c r="H1173" s="316" t="s">
        <v>3385</v>
      </c>
      <c r="I1173" s="468"/>
      <c r="J1173" s="348">
        <v>12500360</v>
      </c>
      <c r="K1173" s="468"/>
    </row>
    <row r="1174" spans="1:11" ht="15.75" customHeight="1">
      <c r="A1174" s="465"/>
      <c r="B1174" s="467"/>
      <c r="C1174" s="465"/>
      <c r="D1174" s="465"/>
      <c r="E1174" s="470"/>
      <c r="F1174" s="471"/>
      <c r="G1174" s="304" t="s">
        <v>3397</v>
      </c>
      <c r="H1174" s="316" t="s">
        <v>3385</v>
      </c>
      <c r="I1174" s="468"/>
      <c r="J1174" s="348">
        <v>20000360</v>
      </c>
      <c r="K1174" s="468"/>
    </row>
    <row r="1175" spans="1:11" ht="15.75" customHeight="1">
      <c r="A1175" s="465"/>
      <c r="B1175" s="467"/>
      <c r="C1175" s="465"/>
      <c r="D1175" s="465"/>
      <c r="E1175" s="470"/>
      <c r="F1175" s="471"/>
      <c r="G1175" s="304" t="s">
        <v>3398</v>
      </c>
      <c r="H1175" s="316" t="s">
        <v>3385</v>
      </c>
      <c r="I1175" s="468"/>
      <c r="J1175" s="348">
        <v>15000360</v>
      </c>
      <c r="K1175" s="468"/>
    </row>
    <row r="1176" spans="1:11" ht="15.75" customHeight="1">
      <c r="A1176" s="465"/>
      <c r="B1176" s="467"/>
      <c r="C1176" s="465"/>
      <c r="D1176" s="465"/>
      <c r="E1176" s="470"/>
      <c r="F1176" s="471"/>
      <c r="G1176" s="304" t="s">
        <v>3399</v>
      </c>
      <c r="H1176" s="316" t="s">
        <v>3385</v>
      </c>
      <c r="I1176" s="468"/>
      <c r="J1176" s="348">
        <v>15000360</v>
      </c>
      <c r="K1176" s="468"/>
    </row>
    <row r="1177" spans="1:11" ht="15.75" customHeight="1">
      <c r="A1177" s="465"/>
      <c r="B1177" s="467"/>
      <c r="C1177" s="465"/>
      <c r="D1177" s="465"/>
      <c r="E1177" s="470"/>
      <c r="F1177" s="471"/>
      <c r="G1177" s="304" t="s">
        <v>3400</v>
      </c>
      <c r="H1177" s="316" t="s">
        <v>3385</v>
      </c>
      <c r="I1177" s="468"/>
      <c r="J1177" s="348">
        <v>15000360</v>
      </c>
      <c r="K1177" s="468"/>
    </row>
    <row r="1178" spans="1:11" ht="15.75" customHeight="1">
      <c r="A1178" s="465"/>
      <c r="B1178" s="467"/>
      <c r="C1178" s="465"/>
      <c r="D1178" s="465"/>
      <c r="E1178" s="470"/>
      <c r="F1178" s="471"/>
      <c r="G1178" s="304" t="s">
        <v>3401</v>
      </c>
      <c r="H1178" s="316" t="s">
        <v>3385</v>
      </c>
      <c r="I1178" s="468"/>
      <c r="J1178" s="348">
        <v>15000360</v>
      </c>
      <c r="K1178" s="468"/>
    </row>
    <row r="1179" spans="1:11" ht="15.75" customHeight="1">
      <c r="A1179" s="465"/>
      <c r="B1179" s="467"/>
      <c r="C1179" s="465"/>
      <c r="D1179" s="465"/>
      <c r="E1179" s="470"/>
      <c r="F1179" s="471"/>
      <c r="G1179" s="304" t="s">
        <v>3402</v>
      </c>
      <c r="H1179" s="316" t="s">
        <v>3385</v>
      </c>
      <c r="I1179" s="468"/>
      <c r="J1179" s="348">
        <v>12500360</v>
      </c>
      <c r="K1179" s="468"/>
    </row>
    <row r="1180" spans="1:11" ht="15.75" customHeight="1">
      <c r="A1180" s="465"/>
      <c r="B1180" s="467"/>
      <c r="C1180" s="465"/>
      <c r="D1180" s="465"/>
      <c r="E1180" s="470"/>
      <c r="F1180" s="471"/>
      <c r="G1180" s="304" t="s">
        <v>3403</v>
      </c>
      <c r="H1180" s="316" t="s">
        <v>3385</v>
      </c>
      <c r="I1180" s="468"/>
      <c r="J1180" s="348">
        <v>20000360</v>
      </c>
      <c r="K1180" s="468"/>
    </row>
    <row r="1181" spans="1:11" ht="15.75" customHeight="1">
      <c r="A1181" s="465"/>
      <c r="B1181" s="467"/>
      <c r="C1181" s="465"/>
      <c r="D1181" s="465"/>
      <c r="E1181" s="470"/>
      <c r="F1181" s="471"/>
      <c r="G1181" s="304" t="s">
        <v>3404</v>
      </c>
      <c r="H1181" s="316" t="s">
        <v>3385</v>
      </c>
      <c r="I1181" s="468"/>
      <c r="J1181" s="348">
        <v>15000360</v>
      </c>
      <c r="K1181" s="468"/>
    </row>
    <row r="1182" spans="1:11" ht="15.75" customHeight="1">
      <c r="A1182" s="465"/>
      <c r="B1182" s="467"/>
      <c r="C1182" s="465"/>
      <c r="D1182" s="465"/>
      <c r="E1182" s="470"/>
      <c r="F1182" s="471"/>
      <c r="G1182" s="304" t="s">
        <v>3405</v>
      </c>
      <c r="H1182" s="316" t="s">
        <v>3385</v>
      </c>
      <c r="I1182" s="468"/>
      <c r="J1182" s="348">
        <v>15000360</v>
      </c>
      <c r="K1182" s="468"/>
    </row>
    <row r="1183" spans="1:11" ht="15.75" customHeight="1">
      <c r="A1183" s="465"/>
      <c r="B1183" s="467"/>
      <c r="C1183" s="465"/>
      <c r="D1183" s="465"/>
      <c r="E1183" s="470"/>
      <c r="F1183" s="471"/>
      <c r="G1183" s="304" t="s">
        <v>3406</v>
      </c>
      <c r="H1183" s="316" t="s">
        <v>3385</v>
      </c>
      <c r="I1183" s="468"/>
      <c r="J1183" s="348">
        <v>15000360</v>
      </c>
      <c r="K1183" s="468"/>
    </row>
    <row r="1184" spans="1:11" ht="15.75" customHeight="1">
      <c r="A1184" s="465"/>
      <c r="B1184" s="467"/>
      <c r="C1184" s="465"/>
      <c r="D1184" s="465"/>
      <c r="E1184" s="470"/>
      <c r="F1184" s="471"/>
      <c r="G1184" s="304" t="s">
        <v>3407</v>
      </c>
      <c r="H1184" s="316" t="s">
        <v>3385</v>
      </c>
      <c r="I1184" s="468"/>
      <c r="J1184" s="348">
        <v>15000360</v>
      </c>
      <c r="K1184" s="468"/>
    </row>
    <row r="1185" spans="1:11" ht="15.75" customHeight="1">
      <c r="A1185" s="465"/>
      <c r="B1185" s="467"/>
      <c r="C1185" s="465"/>
      <c r="D1185" s="465"/>
      <c r="E1185" s="470"/>
      <c r="F1185" s="471"/>
      <c r="G1185" s="304" t="s">
        <v>3408</v>
      </c>
      <c r="H1185" s="316" t="s">
        <v>3385</v>
      </c>
      <c r="I1185" s="468"/>
      <c r="J1185" s="348">
        <v>15000360</v>
      </c>
      <c r="K1185" s="468"/>
    </row>
    <row r="1186" spans="1:11" ht="15.75" customHeight="1">
      <c r="A1186" s="465"/>
      <c r="B1186" s="467"/>
      <c r="C1186" s="465"/>
      <c r="D1186" s="465"/>
      <c r="E1186" s="470"/>
      <c r="F1186" s="471"/>
      <c r="G1186" s="304" t="s">
        <v>3409</v>
      </c>
      <c r="H1186" s="316" t="s">
        <v>3385</v>
      </c>
      <c r="I1186" s="468"/>
      <c r="J1186" s="348">
        <v>15000360</v>
      </c>
      <c r="K1186" s="468"/>
    </row>
    <row r="1187" spans="1:11" ht="15.75" customHeight="1">
      <c r="A1187" s="465"/>
      <c r="B1187" s="467"/>
      <c r="C1187" s="465"/>
      <c r="D1187" s="465"/>
      <c r="E1187" s="470"/>
      <c r="F1187" s="471"/>
      <c r="G1187" s="304" t="s">
        <v>3410</v>
      </c>
      <c r="H1187" s="316" t="s">
        <v>3385</v>
      </c>
      <c r="I1187" s="468"/>
      <c r="J1187" s="348">
        <v>15000360</v>
      </c>
      <c r="K1187" s="468"/>
    </row>
    <row r="1188" spans="1:11" ht="15.75" customHeight="1">
      <c r="A1188" s="465"/>
      <c r="B1188" s="467"/>
      <c r="C1188" s="465"/>
      <c r="D1188" s="465"/>
      <c r="E1188" s="470"/>
      <c r="F1188" s="471"/>
      <c r="G1188" s="304" t="s">
        <v>3411</v>
      </c>
      <c r="H1188" s="316" t="s">
        <v>3385</v>
      </c>
      <c r="I1188" s="468"/>
      <c r="J1188" s="348">
        <v>20000360</v>
      </c>
      <c r="K1188" s="468"/>
    </row>
    <row r="1189" spans="1:11" ht="15.75" customHeight="1">
      <c r="A1189" s="465"/>
      <c r="B1189" s="467"/>
      <c r="C1189" s="465"/>
      <c r="D1189" s="465"/>
      <c r="E1189" s="470"/>
      <c r="F1189" s="471"/>
      <c r="G1189" s="304" t="s">
        <v>3412</v>
      </c>
      <c r="H1189" s="316" t="s">
        <v>3385</v>
      </c>
      <c r="I1189" s="468"/>
      <c r="J1189" s="348">
        <v>15000360</v>
      </c>
      <c r="K1189" s="468"/>
    </row>
    <row r="1190" spans="1:11" ht="15.75" customHeight="1">
      <c r="A1190" s="465"/>
      <c r="B1190" s="467"/>
      <c r="C1190" s="465"/>
      <c r="D1190" s="465"/>
      <c r="E1190" s="470"/>
      <c r="F1190" s="471"/>
      <c r="G1190" s="304" t="s">
        <v>3413</v>
      </c>
      <c r="H1190" s="316" t="s">
        <v>3385</v>
      </c>
      <c r="I1190" s="468"/>
      <c r="J1190" s="348">
        <v>15000360</v>
      </c>
      <c r="K1190" s="468"/>
    </row>
    <row r="1191" spans="1:11" ht="15.75" customHeight="1">
      <c r="A1191" s="465"/>
      <c r="B1191" s="467"/>
      <c r="C1191" s="465"/>
      <c r="D1191" s="465"/>
      <c r="E1191" s="470"/>
      <c r="F1191" s="471"/>
      <c r="G1191" s="304" t="s">
        <v>3414</v>
      </c>
      <c r="H1191" s="316" t="s">
        <v>3385</v>
      </c>
      <c r="I1191" s="468"/>
      <c r="J1191" s="348">
        <v>15000360</v>
      </c>
      <c r="K1191" s="468"/>
    </row>
    <row r="1192" spans="1:11" ht="15.75" customHeight="1">
      <c r="A1192" s="465"/>
      <c r="B1192" s="467"/>
      <c r="C1192" s="465"/>
      <c r="D1192" s="465"/>
      <c r="E1192" s="470"/>
      <c r="F1192" s="471"/>
      <c r="G1192" s="304" t="s">
        <v>3415</v>
      </c>
      <c r="H1192" s="316" t="s">
        <v>3385</v>
      </c>
      <c r="I1192" s="468"/>
      <c r="J1192" s="348">
        <v>15000360</v>
      </c>
      <c r="K1192" s="468"/>
    </row>
    <row r="1193" spans="1:11" ht="15.75" customHeight="1">
      <c r="A1193" s="465"/>
      <c r="B1193" s="467"/>
      <c r="C1193" s="465"/>
      <c r="D1193" s="465"/>
      <c r="E1193" s="470"/>
      <c r="F1193" s="471"/>
      <c r="G1193" s="304" t="s">
        <v>3416</v>
      </c>
      <c r="H1193" s="316" t="s">
        <v>3385</v>
      </c>
      <c r="I1193" s="468"/>
      <c r="J1193" s="348">
        <v>15000360</v>
      </c>
      <c r="K1193" s="468"/>
    </row>
    <row r="1194" spans="1:11" ht="15.75" customHeight="1">
      <c r="A1194" s="465"/>
      <c r="B1194" s="467"/>
      <c r="C1194" s="465"/>
      <c r="D1194" s="465"/>
      <c r="E1194" s="470"/>
      <c r="F1194" s="471"/>
      <c r="G1194" s="304" t="s">
        <v>3417</v>
      </c>
      <c r="H1194" s="316" t="s">
        <v>3385</v>
      </c>
      <c r="I1194" s="468"/>
      <c r="J1194" s="348">
        <v>12500360</v>
      </c>
      <c r="K1194" s="468"/>
    </row>
    <row r="1195" spans="1:11" ht="15.75" customHeight="1">
      <c r="A1195" s="465"/>
      <c r="B1195" s="467"/>
      <c r="C1195" s="465"/>
      <c r="D1195" s="465"/>
      <c r="E1195" s="470"/>
      <c r="F1195" s="471"/>
      <c r="G1195" s="304" t="s">
        <v>3418</v>
      </c>
      <c r="H1195" s="316" t="s">
        <v>3385</v>
      </c>
      <c r="I1195" s="468"/>
      <c r="J1195" s="348">
        <v>12500360</v>
      </c>
      <c r="K1195" s="468"/>
    </row>
    <row r="1196" spans="1:11" ht="15.75" customHeight="1">
      <c r="A1196" s="465"/>
      <c r="B1196" s="467"/>
      <c r="C1196" s="465"/>
      <c r="D1196" s="465"/>
      <c r="E1196" s="470"/>
      <c r="F1196" s="471"/>
      <c r="G1196" s="304" t="s">
        <v>3419</v>
      </c>
      <c r="H1196" s="316" t="s">
        <v>3385</v>
      </c>
      <c r="I1196" s="468"/>
      <c r="J1196" s="348">
        <v>12500360</v>
      </c>
      <c r="K1196" s="468"/>
    </row>
    <row r="1197" spans="1:11" ht="15.75" customHeight="1">
      <c r="A1197" s="465"/>
      <c r="B1197" s="467"/>
      <c r="C1197" s="465"/>
      <c r="D1197" s="465"/>
      <c r="E1197" s="470"/>
      <c r="F1197" s="471"/>
      <c r="G1197" s="304" t="s">
        <v>3420</v>
      </c>
      <c r="H1197" s="316" t="s">
        <v>3385</v>
      </c>
      <c r="I1197" s="468"/>
      <c r="J1197" s="348">
        <v>15000360</v>
      </c>
      <c r="K1197" s="468"/>
    </row>
    <row r="1198" spans="1:11" ht="15.75" customHeight="1">
      <c r="A1198" s="465"/>
      <c r="B1198" s="467"/>
      <c r="C1198" s="465"/>
      <c r="D1198" s="465"/>
      <c r="E1198" s="470"/>
      <c r="F1198" s="471"/>
      <c r="G1198" s="304" t="s">
        <v>3421</v>
      </c>
      <c r="H1198" s="316" t="s">
        <v>3385</v>
      </c>
      <c r="I1198" s="468"/>
      <c r="J1198" s="348">
        <v>15000360</v>
      </c>
      <c r="K1198" s="468"/>
    </row>
    <row r="1199" spans="1:11" ht="15.75" customHeight="1">
      <c r="A1199" s="465"/>
      <c r="B1199" s="467"/>
      <c r="C1199" s="465"/>
      <c r="D1199" s="465"/>
      <c r="E1199" s="470"/>
      <c r="F1199" s="471"/>
      <c r="G1199" s="304" t="s">
        <v>3422</v>
      </c>
      <c r="H1199" s="316" t="s">
        <v>3385</v>
      </c>
      <c r="I1199" s="468"/>
      <c r="J1199" s="348">
        <v>12500360</v>
      </c>
      <c r="K1199" s="468"/>
    </row>
    <row r="1200" spans="1:11" ht="15.75" customHeight="1">
      <c r="A1200" s="465"/>
      <c r="B1200" s="467"/>
      <c r="C1200" s="465"/>
      <c r="D1200" s="465"/>
      <c r="E1200" s="470"/>
      <c r="F1200" s="471"/>
      <c r="G1200" s="304" t="s">
        <v>3423</v>
      </c>
      <c r="H1200" s="316" t="s">
        <v>3385</v>
      </c>
      <c r="I1200" s="468"/>
      <c r="J1200" s="348">
        <v>15000360</v>
      </c>
      <c r="K1200" s="468"/>
    </row>
    <row r="1201" spans="1:11" ht="15.75" customHeight="1">
      <c r="A1201" s="465"/>
      <c r="B1201" s="467"/>
      <c r="C1201" s="465"/>
      <c r="D1201" s="465"/>
      <c r="E1201" s="470"/>
      <c r="F1201" s="471"/>
      <c r="G1201" s="304" t="s">
        <v>3424</v>
      </c>
      <c r="H1201" s="316" t="s">
        <v>3385</v>
      </c>
      <c r="I1201" s="468"/>
      <c r="J1201" s="348">
        <v>15000360</v>
      </c>
      <c r="K1201" s="468"/>
    </row>
    <row r="1202" spans="1:11" ht="15.75" customHeight="1">
      <c r="A1202" s="465"/>
      <c r="B1202" s="467"/>
      <c r="C1202" s="465"/>
      <c r="D1202" s="465"/>
      <c r="E1202" s="470"/>
      <c r="F1202" s="471"/>
      <c r="G1202" s="304" t="s">
        <v>3425</v>
      </c>
      <c r="H1202" s="316" t="s">
        <v>3385</v>
      </c>
      <c r="I1202" s="468"/>
      <c r="J1202" s="348">
        <v>15000360</v>
      </c>
      <c r="K1202" s="468"/>
    </row>
    <row r="1203" spans="1:11" ht="15.75" customHeight="1">
      <c r="A1203" s="465"/>
      <c r="B1203" s="467"/>
      <c r="C1203" s="465"/>
      <c r="D1203" s="465"/>
      <c r="E1203" s="470"/>
      <c r="F1203" s="471"/>
      <c r="G1203" s="304" t="s">
        <v>3426</v>
      </c>
      <c r="H1203" s="316" t="s">
        <v>3385</v>
      </c>
      <c r="I1203" s="468"/>
      <c r="J1203" s="348">
        <v>12500360</v>
      </c>
      <c r="K1203" s="468"/>
    </row>
    <row r="1204" spans="1:11" ht="15.75" customHeight="1">
      <c r="A1204" s="465"/>
      <c r="B1204" s="467"/>
      <c r="C1204" s="465"/>
      <c r="D1204" s="465"/>
      <c r="E1204" s="470"/>
      <c r="F1204" s="471"/>
      <c r="G1204" s="304" t="s">
        <v>3427</v>
      </c>
      <c r="H1204" s="316" t="s">
        <v>3385</v>
      </c>
      <c r="I1204" s="468"/>
      <c r="J1204" s="348">
        <v>15000360</v>
      </c>
      <c r="K1204" s="468"/>
    </row>
    <row r="1205" spans="1:11" ht="15.75" customHeight="1">
      <c r="A1205" s="465"/>
      <c r="B1205" s="467"/>
      <c r="C1205" s="465"/>
      <c r="D1205" s="465"/>
      <c r="E1205" s="470"/>
      <c r="F1205" s="471"/>
      <c r="G1205" s="304" t="s">
        <v>3428</v>
      </c>
      <c r="H1205" s="316" t="s">
        <v>3385</v>
      </c>
      <c r="I1205" s="468"/>
      <c r="J1205" s="348">
        <v>15000360</v>
      </c>
      <c r="K1205" s="468"/>
    </row>
    <row r="1206" spans="1:11" ht="15.75" customHeight="1">
      <c r="A1206" s="465"/>
      <c r="B1206" s="467"/>
      <c r="C1206" s="465"/>
      <c r="D1206" s="465"/>
      <c r="E1206" s="470"/>
      <c r="F1206" s="471"/>
      <c r="G1206" s="304" t="s">
        <v>3429</v>
      </c>
      <c r="H1206" s="316" t="s">
        <v>3385</v>
      </c>
      <c r="I1206" s="468"/>
      <c r="J1206" s="348">
        <v>15000360</v>
      </c>
      <c r="K1206" s="468"/>
    </row>
    <row r="1207" spans="1:11" ht="15.75" customHeight="1">
      <c r="A1207" s="465"/>
      <c r="B1207" s="467"/>
      <c r="C1207" s="465"/>
      <c r="D1207" s="465"/>
      <c r="E1207" s="470"/>
      <c r="F1207" s="471"/>
      <c r="G1207" s="304" t="s">
        <v>3430</v>
      </c>
      <c r="H1207" s="316" t="s">
        <v>3385</v>
      </c>
      <c r="I1207" s="468"/>
      <c r="J1207" s="348">
        <v>15000360</v>
      </c>
      <c r="K1207" s="468"/>
    </row>
    <row r="1208" spans="1:11" ht="15.75" customHeight="1">
      <c r="A1208" s="465"/>
      <c r="B1208" s="467"/>
      <c r="C1208" s="465"/>
      <c r="D1208" s="465"/>
      <c r="E1208" s="470"/>
      <c r="F1208" s="471"/>
      <c r="G1208" s="304" t="s">
        <v>3431</v>
      </c>
      <c r="H1208" s="316" t="s">
        <v>3385</v>
      </c>
      <c r="I1208" s="468"/>
      <c r="J1208" s="348">
        <v>20000360</v>
      </c>
      <c r="K1208" s="468"/>
    </row>
    <row r="1209" spans="1:11" ht="15.75" customHeight="1">
      <c r="A1209" s="465"/>
      <c r="B1209" s="467"/>
      <c r="C1209" s="465"/>
      <c r="D1209" s="465"/>
      <c r="E1209" s="470"/>
      <c r="F1209" s="471"/>
      <c r="G1209" s="304" t="s">
        <v>3432</v>
      </c>
      <c r="H1209" s="316" t="s">
        <v>3385</v>
      </c>
      <c r="I1209" s="468"/>
      <c r="J1209" s="348">
        <v>15000360</v>
      </c>
      <c r="K1209" s="468"/>
    </row>
    <row r="1210" spans="1:11" ht="15.75" customHeight="1">
      <c r="A1210" s="465"/>
      <c r="B1210" s="467"/>
      <c r="C1210" s="465"/>
      <c r="D1210" s="465"/>
      <c r="E1210" s="470"/>
      <c r="F1210" s="471"/>
      <c r="G1210" s="304" t="s">
        <v>3433</v>
      </c>
      <c r="H1210" s="316" t="s">
        <v>3385</v>
      </c>
      <c r="I1210" s="468"/>
      <c r="J1210" s="348">
        <v>15000360</v>
      </c>
      <c r="K1210" s="468"/>
    </row>
    <row r="1211" spans="1:11" ht="15.75" customHeight="1">
      <c r="A1211" s="465"/>
      <c r="B1211" s="467"/>
      <c r="C1211" s="465"/>
      <c r="D1211" s="465"/>
      <c r="E1211" s="470"/>
      <c r="F1211" s="471"/>
      <c r="G1211" s="304" t="s">
        <v>3434</v>
      </c>
      <c r="H1211" s="316" t="s">
        <v>3385</v>
      </c>
      <c r="I1211" s="468"/>
      <c r="J1211" s="348">
        <v>15000360</v>
      </c>
      <c r="K1211" s="468"/>
    </row>
    <row r="1212" spans="1:11" ht="15.75" customHeight="1">
      <c r="A1212" s="465"/>
      <c r="B1212" s="467"/>
      <c r="C1212" s="465"/>
      <c r="D1212" s="465"/>
      <c r="E1212" s="470"/>
      <c r="F1212" s="471"/>
      <c r="G1212" s="304" t="s">
        <v>3435</v>
      </c>
      <c r="H1212" s="316" t="s">
        <v>3385</v>
      </c>
      <c r="I1212" s="468"/>
      <c r="J1212" s="348">
        <v>20000360</v>
      </c>
      <c r="K1212" s="468"/>
    </row>
    <row r="1213" spans="1:11" ht="15.75" customHeight="1">
      <c r="A1213" s="465"/>
      <c r="B1213" s="467"/>
      <c r="C1213" s="465"/>
      <c r="D1213" s="465"/>
      <c r="E1213" s="470"/>
      <c r="F1213" s="471"/>
      <c r="G1213" s="304" t="s">
        <v>3436</v>
      </c>
      <c r="H1213" s="316" t="s">
        <v>3385</v>
      </c>
      <c r="I1213" s="468"/>
      <c r="J1213" s="348">
        <v>17500360</v>
      </c>
      <c r="K1213" s="468"/>
    </row>
    <row r="1214" spans="1:11" ht="15.75" customHeight="1">
      <c r="A1214" s="465"/>
      <c r="B1214" s="467"/>
      <c r="C1214" s="465"/>
      <c r="D1214" s="465"/>
      <c r="E1214" s="470"/>
      <c r="F1214" s="471"/>
      <c r="G1214" s="304" t="s">
        <v>3437</v>
      </c>
      <c r="H1214" s="316" t="s">
        <v>3385</v>
      </c>
      <c r="I1214" s="468"/>
      <c r="J1214" s="348">
        <v>12500360</v>
      </c>
      <c r="K1214" s="468"/>
    </row>
    <row r="1215" spans="1:11" ht="15.75" customHeight="1">
      <c r="A1215" s="465"/>
      <c r="B1215" s="467"/>
      <c r="C1215" s="465"/>
      <c r="D1215" s="465"/>
      <c r="E1215" s="470"/>
      <c r="F1215" s="471"/>
      <c r="G1215" s="304" t="s">
        <v>3438</v>
      </c>
      <c r="H1215" s="316" t="s">
        <v>3385</v>
      </c>
      <c r="I1215" s="468"/>
      <c r="J1215" s="348">
        <v>10000360</v>
      </c>
      <c r="K1215" s="468"/>
    </row>
    <row r="1216" spans="1:11" ht="15.75" customHeight="1">
      <c r="A1216" s="465"/>
      <c r="B1216" s="467"/>
      <c r="C1216" s="465"/>
      <c r="D1216" s="465"/>
      <c r="E1216" s="470"/>
      <c r="F1216" s="471"/>
      <c r="G1216" s="304" t="s">
        <v>3439</v>
      </c>
      <c r="H1216" s="316" t="s">
        <v>3385</v>
      </c>
      <c r="I1216" s="468"/>
      <c r="J1216" s="348">
        <v>10000360</v>
      </c>
      <c r="K1216" s="468"/>
    </row>
    <row r="1217" spans="1:11" ht="15.75" customHeight="1">
      <c r="A1217" s="465"/>
      <c r="B1217" s="467"/>
      <c r="C1217" s="465"/>
      <c r="D1217" s="465"/>
      <c r="E1217" s="470"/>
      <c r="F1217" s="471"/>
      <c r="G1217" s="304" t="s">
        <v>3440</v>
      </c>
      <c r="H1217" s="316" t="s">
        <v>3385</v>
      </c>
      <c r="I1217" s="468"/>
      <c r="J1217" s="348">
        <v>12500360</v>
      </c>
      <c r="K1217" s="468"/>
    </row>
    <row r="1218" spans="1:11" ht="15.75" customHeight="1">
      <c r="A1218" s="465"/>
      <c r="B1218" s="467"/>
      <c r="C1218" s="465"/>
      <c r="D1218" s="465"/>
      <c r="E1218" s="470"/>
      <c r="F1218" s="471"/>
      <c r="G1218" s="304" t="s">
        <v>3441</v>
      </c>
      <c r="H1218" s="316" t="s">
        <v>3385</v>
      </c>
      <c r="I1218" s="468"/>
      <c r="J1218" s="348">
        <v>15000360</v>
      </c>
      <c r="K1218" s="468"/>
    </row>
    <row r="1219" spans="1:11" ht="15.75" customHeight="1">
      <c r="A1219" s="465"/>
      <c r="B1219" s="467"/>
      <c r="C1219" s="465"/>
      <c r="D1219" s="465"/>
      <c r="E1219" s="470"/>
      <c r="F1219" s="471"/>
      <c r="G1219" s="304" t="s">
        <v>3442</v>
      </c>
      <c r="H1219" s="316" t="s">
        <v>3385</v>
      </c>
      <c r="I1219" s="468"/>
      <c r="J1219" s="348">
        <v>15000360</v>
      </c>
      <c r="K1219" s="468"/>
    </row>
    <row r="1220" spans="1:11" ht="15.75" customHeight="1">
      <c r="A1220" s="465"/>
      <c r="B1220" s="467"/>
      <c r="C1220" s="465"/>
      <c r="D1220" s="465"/>
      <c r="E1220" s="470"/>
      <c r="F1220" s="471"/>
      <c r="G1220" s="304" t="s">
        <v>3443</v>
      </c>
      <c r="H1220" s="316" t="s">
        <v>3385</v>
      </c>
      <c r="I1220" s="468"/>
      <c r="J1220" s="348">
        <v>20000360</v>
      </c>
      <c r="K1220" s="468"/>
    </row>
    <row r="1221" spans="1:11" ht="15.75" customHeight="1">
      <c r="A1221" s="465"/>
      <c r="B1221" s="467"/>
      <c r="C1221" s="465"/>
      <c r="D1221" s="465"/>
      <c r="E1221" s="470"/>
      <c r="F1221" s="471"/>
      <c r="G1221" s="304" t="s">
        <v>3444</v>
      </c>
      <c r="H1221" s="316" t="s">
        <v>3445</v>
      </c>
      <c r="I1221" s="468"/>
      <c r="J1221" s="348">
        <v>3003000</v>
      </c>
      <c r="K1221" s="468"/>
    </row>
    <row r="1222" spans="1:11" ht="15.75" customHeight="1">
      <c r="A1222" s="465"/>
      <c r="B1222" s="467"/>
      <c r="C1222" s="465"/>
      <c r="D1222" s="465"/>
      <c r="E1222" s="470"/>
      <c r="F1222" s="471"/>
      <c r="G1222" s="304" t="s">
        <v>3446</v>
      </c>
      <c r="H1222" s="316" t="s">
        <v>3445</v>
      </c>
      <c r="I1222" s="468"/>
      <c r="J1222" s="348">
        <v>1003000</v>
      </c>
      <c r="K1222" s="468"/>
    </row>
    <row r="1223" spans="1:11" ht="15.75" customHeight="1">
      <c r="A1223" s="465"/>
      <c r="B1223" s="467"/>
      <c r="C1223" s="465"/>
      <c r="D1223" s="465"/>
      <c r="E1223" s="470"/>
      <c r="F1223" s="471"/>
      <c r="G1223" s="304" t="s">
        <v>3447</v>
      </c>
      <c r="H1223" s="316" t="s">
        <v>3445</v>
      </c>
      <c r="I1223" s="468"/>
      <c r="J1223" s="348">
        <v>15603000</v>
      </c>
      <c r="K1223" s="468"/>
    </row>
    <row r="1224" spans="1:11" ht="15.75" customHeight="1">
      <c r="A1224" s="465"/>
      <c r="B1224" s="467"/>
      <c r="C1224" s="465"/>
      <c r="D1224" s="465"/>
      <c r="E1224" s="470"/>
      <c r="F1224" s="471"/>
      <c r="G1224" s="304" t="s">
        <v>3448</v>
      </c>
      <c r="H1224" s="316" t="s">
        <v>3445</v>
      </c>
      <c r="I1224" s="468"/>
      <c r="J1224" s="348">
        <v>3003000</v>
      </c>
      <c r="K1224" s="468"/>
    </row>
    <row r="1225" spans="1:11" ht="15.75" customHeight="1">
      <c r="A1225" s="465"/>
      <c r="B1225" s="467"/>
      <c r="C1225" s="465"/>
      <c r="D1225" s="465"/>
      <c r="E1225" s="470"/>
      <c r="F1225" s="471"/>
      <c r="G1225" s="304" t="s">
        <v>3449</v>
      </c>
      <c r="H1225" s="316" t="s">
        <v>3445</v>
      </c>
      <c r="I1225" s="468"/>
      <c r="J1225" s="348">
        <v>1903000</v>
      </c>
      <c r="K1225" s="468"/>
    </row>
    <row r="1226" spans="1:11" ht="15.75" customHeight="1">
      <c r="A1226" s="465"/>
      <c r="B1226" s="467"/>
      <c r="C1226" s="465"/>
      <c r="D1226" s="465"/>
      <c r="E1226" s="470"/>
      <c r="F1226" s="471"/>
      <c r="G1226" s="304" t="s">
        <v>3450</v>
      </c>
      <c r="H1226" s="316" t="s">
        <v>3445</v>
      </c>
      <c r="I1226" s="468"/>
      <c r="J1226" s="348">
        <v>3303000</v>
      </c>
      <c r="K1226" s="468"/>
    </row>
    <row r="1227" spans="1:11" ht="15.75" customHeight="1">
      <c r="A1227" s="465"/>
      <c r="B1227" s="467"/>
      <c r="C1227" s="465"/>
      <c r="D1227" s="465"/>
      <c r="E1227" s="470"/>
      <c r="F1227" s="471"/>
      <c r="G1227" s="304" t="s">
        <v>3451</v>
      </c>
      <c r="H1227" s="316" t="s">
        <v>3445</v>
      </c>
      <c r="I1227" s="468"/>
      <c r="J1227" s="348">
        <v>1003000</v>
      </c>
      <c r="K1227" s="468"/>
    </row>
    <row r="1228" spans="1:11" ht="15.75" customHeight="1">
      <c r="A1228" s="465"/>
      <c r="B1228" s="467"/>
      <c r="C1228" s="465"/>
      <c r="D1228" s="465"/>
      <c r="E1228" s="470"/>
      <c r="F1228" s="471"/>
      <c r="G1228" s="304" t="s">
        <v>3452</v>
      </c>
      <c r="H1228" s="316" t="s">
        <v>3445</v>
      </c>
      <c r="I1228" s="468"/>
      <c r="J1228" s="348">
        <v>60006000</v>
      </c>
      <c r="K1228" s="468"/>
    </row>
    <row r="1229" spans="1:11" ht="15.75" customHeight="1">
      <c r="A1229" s="465"/>
      <c r="B1229" s="467"/>
      <c r="C1229" s="465"/>
      <c r="D1229" s="465"/>
      <c r="E1229" s="470"/>
      <c r="F1229" s="471"/>
      <c r="G1229" s="304" t="s">
        <v>3453</v>
      </c>
      <c r="H1229" s="316" t="s">
        <v>3445</v>
      </c>
      <c r="I1229" s="468"/>
      <c r="J1229" s="348">
        <v>60006000</v>
      </c>
      <c r="K1229" s="468"/>
    </row>
    <row r="1230" spans="1:11" ht="15.75" customHeight="1">
      <c r="A1230" s="465"/>
      <c r="B1230" s="467"/>
      <c r="C1230" s="465"/>
      <c r="D1230" s="465"/>
      <c r="E1230" s="470"/>
      <c r="F1230" s="471"/>
      <c r="G1230" s="304" t="s">
        <v>3365</v>
      </c>
      <c r="H1230" s="316" t="s">
        <v>3445</v>
      </c>
      <c r="I1230" s="468"/>
      <c r="J1230" s="348">
        <v>35003500</v>
      </c>
      <c r="K1230" s="468"/>
    </row>
    <row r="1231" spans="1:11" ht="15.75" customHeight="1">
      <c r="A1231" s="465"/>
      <c r="B1231" s="467"/>
      <c r="C1231" s="465"/>
      <c r="D1231" s="465"/>
      <c r="E1231" s="470"/>
      <c r="F1231" s="471"/>
      <c r="G1231" s="304" t="s">
        <v>1860</v>
      </c>
      <c r="H1231" s="316" t="s">
        <v>3445</v>
      </c>
      <c r="I1231" s="468"/>
      <c r="J1231" s="348">
        <v>6003000</v>
      </c>
      <c r="K1231" s="468"/>
    </row>
    <row r="1232" spans="1:11" ht="15.75" customHeight="1">
      <c r="A1232" s="465"/>
      <c r="B1232" s="467"/>
      <c r="C1232" s="465"/>
      <c r="D1232" s="465"/>
      <c r="E1232" s="470"/>
      <c r="F1232" s="471"/>
      <c r="G1232" s="304" t="s">
        <v>2894</v>
      </c>
      <c r="H1232" s="316" t="s">
        <v>3445</v>
      </c>
      <c r="I1232" s="468"/>
      <c r="J1232" s="348">
        <v>10003000</v>
      </c>
      <c r="K1232" s="468"/>
    </row>
    <row r="1233" spans="1:11" ht="15.75" customHeight="1">
      <c r="A1233" s="465"/>
      <c r="B1233" s="467"/>
      <c r="C1233" s="465"/>
      <c r="D1233" s="465"/>
      <c r="E1233" s="470"/>
      <c r="F1233" s="471"/>
      <c r="G1233" s="304" t="s">
        <v>1783</v>
      </c>
      <c r="H1233" s="316" t="s">
        <v>3445</v>
      </c>
      <c r="I1233" s="468"/>
      <c r="J1233" s="348">
        <v>15003000</v>
      </c>
      <c r="K1233" s="468"/>
    </row>
    <row r="1234" spans="1:11" ht="15.75" customHeight="1">
      <c r="A1234" s="465"/>
      <c r="B1234" s="467"/>
      <c r="C1234" s="465"/>
      <c r="D1234" s="465"/>
      <c r="E1234" s="470"/>
      <c r="F1234" s="471"/>
      <c r="G1234" s="304" t="s">
        <v>3454</v>
      </c>
      <c r="H1234" s="316" t="s">
        <v>3445</v>
      </c>
      <c r="I1234" s="468"/>
      <c r="J1234" s="348">
        <v>10003000</v>
      </c>
      <c r="K1234" s="468"/>
    </row>
    <row r="1235" spans="1:11" ht="15.75" customHeight="1">
      <c r="A1235" s="465"/>
      <c r="B1235" s="467"/>
      <c r="C1235" s="465"/>
      <c r="D1235" s="465"/>
      <c r="E1235" s="470"/>
      <c r="F1235" s="471"/>
      <c r="G1235" s="304" t="s">
        <v>3455</v>
      </c>
      <c r="H1235" s="316" t="s">
        <v>3155</v>
      </c>
      <c r="I1235" s="468"/>
      <c r="J1235" s="348">
        <v>165016500</v>
      </c>
      <c r="K1235" s="468"/>
    </row>
    <row r="1236" spans="1:11" ht="15.75" customHeight="1">
      <c r="A1236" s="465"/>
      <c r="B1236" s="467"/>
      <c r="C1236" s="465"/>
      <c r="D1236" s="465"/>
      <c r="E1236" s="470"/>
      <c r="F1236" s="471"/>
      <c r="G1236" s="304" t="s">
        <v>3456</v>
      </c>
      <c r="H1236" s="316" t="s">
        <v>3155</v>
      </c>
      <c r="I1236" s="468"/>
      <c r="J1236" s="348">
        <v>1003000</v>
      </c>
      <c r="K1236" s="468"/>
    </row>
    <row r="1237" spans="1:11" ht="15.75" customHeight="1">
      <c r="A1237" s="465"/>
      <c r="B1237" s="467"/>
      <c r="C1237" s="465"/>
      <c r="D1237" s="465"/>
      <c r="E1237" s="470"/>
      <c r="F1237" s="471"/>
      <c r="G1237" s="304" t="s">
        <v>3457</v>
      </c>
      <c r="H1237" s="316" t="s">
        <v>3155</v>
      </c>
      <c r="I1237" s="468"/>
      <c r="J1237" s="348">
        <v>7003000</v>
      </c>
      <c r="K1237" s="468"/>
    </row>
    <row r="1238" spans="1:11" ht="15.75" customHeight="1">
      <c r="A1238" s="465"/>
      <c r="B1238" s="467"/>
      <c r="C1238" s="465"/>
      <c r="D1238" s="465"/>
      <c r="E1238" s="470"/>
      <c r="F1238" s="471"/>
      <c r="G1238" s="304" t="s">
        <v>3458</v>
      </c>
      <c r="H1238" s="316" t="s">
        <v>3155</v>
      </c>
      <c r="I1238" s="468"/>
      <c r="J1238" s="348">
        <v>146000450</v>
      </c>
      <c r="K1238" s="468"/>
    </row>
    <row r="1239" spans="1:11" ht="15.75" customHeight="1">
      <c r="A1239" s="465"/>
      <c r="B1239" s="467"/>
      <c r="C1239" s="465"/>
      <c r="D1239" s="465"/>
      <c r="E1239" s="470"/>
      <c r="F1239" s="471"/>
      <c r="G1239" s="304" t="s">
        <v>2212</v>
      </c>
      <c r="H1239" s="316" t="s">
        <v>3169</v>
      </c>
      <c r="I1239" s="468"/>
      <c r="J1239" s="348">
        <v>60006000</v>
      </c>
      <c r="K1239" s="468"/>
    </row>
    <row r="1240" spans="1:11" ht="15.75" customHeight="1">
      <c r="A1240" s="465"/>
      <c r="B1240" s="467"/>
      <c r="C1240" s="465"/>
      <c r="D1240" s="465"/>
      <c r="E1240" s="470"/>
      <c r="F1240" s="471"/>
      <c r="G1240" s="304" t="s">
        <v>3459</v>
      </c>
      <c r="H1240" s="316" t="s">
        <v>3169</v>
      </c>
      <c r="I1240" s="468"/>
      <c r="J1240" s="348">
        <v>60006000</v>
      </c>
      <c r="K1240" s="468"/>
    </row>
    <row r="1241" spans="1:11" ht="15.75" customHeight="1">
      <c r="A1241" s="465"/>
      <c r="B1241" s="467"/>
      <c r="C1241" s="465"/>
      <c r="D1241" s="465"/>
      <c r="E1241" s="470"/>
      <c r="F1241" s="471"/>
      <c r="G1241" s="304" t="s">
        <v>3460</v>
      </c>
      <c r="H1241" s="316" t="s">
        <v>3169</v>
      </c>
      <c r="I1241" s="468"/>
      <c r="J1241" s="348">
        <v>16253000</v>
      </c>
      <c r="K1241" s="468"/>
    </row>
    <row r="1242" spans="1:11" ht="15.75" customHeight="1">
      <c r="A1242" s="465"/>
      <c r="B1242" s="467"/>
      <c r="C1242" s="465"/>
      <c r="D1242" s="465"/>
      <c r="E1242" s="470"/>
      <c r="F1242" s="471"/>
      <c r="G1242" s="304" t="s">
        <v>3461</v>
      </c>
      <c r="H1242" s="316" t="s">
        <v>3169</v>
      </c>
      <c r="I1242" s="468"/>
      <c r="J1242" s="348">
        <v>14753000</v>
      </c>
      <c r="K1242" s="468"/>
    </row>
    <row r="1243" spans="1:11" ht="15.75" customHeight="1">
      <c r="A1243" s="465"/>
      <c r="B1243" s="467"/>
      <c r="C1243" s="465"/>
      <c r="D1243" s="465"/>
      <c r="E1243" s="470"/>
      <c r="F1243" s="471"/>
      <c r="G1243" s="304" t="s">
        <v>3365</v>
      </c>
      <c r="H1243" s="316" t="s">
        <v>3169</v>
      </c>
      <c r="I1243" s="468"/>
      <c r="J1243" s="348">
        <v>35003500</v>
      </c>
      <c r="K1243" s="468"/>
    </row>
    <row r="1244" spans="1:11" ht="15.75" customHeight="1">
      <c r="A1244" s="465"/>
      <c r="B1244" s="467"/>
      <c r="C1244" s="465"/>
      <c r="D1244" s="465"/>
      <c r="E1244" s="470"/>
      <c r="F1244" s="471"/>
      <c r="G1244" s="304" t="s">
        <v>2999</v>
      </c>
      <c r="H1244" s="316" t="s">
        <v>3169</v>
      </c>
      <c r="I1244" s="468"/>
      <c r="J1244" s="348">
        <v>16003000</v>
      </c>
      <c r="K1244" s="468"/>
    </row>
    <row r="1245" spans="1:11" ht="15.75" customHeight="1">
      <c r="A1245" s="465"/>
      <c r="B1245" s="467"/>
      <c r="C1245" s="465"/>
      <c r="D1245" s="465"/>
      <c r="E1245" s="470"/>
      <c r="F1245" s="471"/>
      <c r="G1245" s="304" t="s">
        <v>2894</v>
      </c>
      <c r="H1245" s="316" t="s">
        <v>3169</v>
      </c>
      <c r="I1245" s="468"/>
      <c r="J1245" s="348">
        <v>10003000</v>
      </c>
      <c r="K1245" s="468"/>
    </row>
    <row r="1246" spans="1:11" ht="15.75" customHeight="1">
      <c r="A1246" s="465"/>
      <c r="B1246" s="467"/>
      <c r="C1246" s="465"/>
      <c r="D1246" s="465"/>
      <c r="E1246" s="470"/>
      <c r="F1246" s="471"/>
      <c r="G1246" s="304" t="s">
        <v>3462</v>
      </c>
      <c r="H1246" s="316" t="s">
        <v>3169</v>
      </c>
      <c r="I1246" s="468"/>
      <c r="J1246" s="348">
        <v>15003000</v>
      </c>
      <c r="K1246" s="468"/>
    </row>
    <row r="1247" spans="1:11" ht="15.75" customHeight="1">
      <c r="A1247" s="465"/>
      <c r="B1247" s="467"/>
      <c r="C1247" s="465"/>
      <c r="D1247" s="465"/>
      <c r="E1247" s="470"/>
      <c r="F1247" s="471"/>
      <c r="G1247" s="304" t="s">
        <v>3465</v>
      </c>
      <c r="H1247" s="316" t="s">
        <v>3170</v>
      </c>
      <c r="I1247" s="468"/>
      <c r="J1247" s="348">
        <v>15000360</v>
      </c>
      <c r="K1247" s="468"/>
    </row>
    <row r="1248" spans="1:11" ht="15.75" customHeight="1">
      <c r="A1248" s="465"/>
      <c r="B1248" s="467"/>
      <c r="C1248" s="465"/>
      <c r="D1248" s="465"/>
      <c r="E1248" s="470"/>
      <c r="F1248" s="471"/>
      <c r="G1248" s="304" t="s">
        <v>3466</v>
      </c>
      <c r="H1248" s="316" t="s">
        <v>3170</v>
      </c>
      <c r="I1248" s="468"/>
      <c r="J1248" s="348">
        <v>20000360</v>
      </c>
      <c r="K1248" s="468"/>
    </row>
    <row r="1249" spans="1:11" ht="15.75" customHeight="1">
      <c r="A1249" s="465"/>
      <c r="B1249" s="467"/>
      <c r="C1249" s="465"/>
      <c r="D1249" s="465"/>
      <c r="E1249" s="470"/>
      <c r="F1249" s="471"/>
      <c r="G1249" s="304" t="s">
        <v>3467</v>
      </c>
      <c r="H1249" s="316" t="s">
        <v>3170</v>
      </c>
      <c r="I1249" s="468"/>
      <c r="J1249" s="348">
        <v>15000360</v>
      </c>
      <c r="K1249" s="468"/>
    </row>
    <row r="1250" spans="1:11" ht="15.75" customHeight="1">
      <c r="A1250" s="465"/>
      <c r="B1250" s="467"/>
      <c r="C1250" s="465"/>
      <c r="D1250" s="465"/>
      <c r="E1250" s="470"/>
      <c r="F1250" s="471"/>
      <c r="G1250" s="304" t="s">
        <v>3468</v>
      </c>
      <c r="H1250" s="316" t="s">
        <v>3170</v>
      </c>
      <c r="I1250" s="468"/>
      <c r="J1250" s="348">
        <v>15000360</v>
      </c>
      <c r="K1250" s="468"/>
    </row>
    <row r="1251" spans="1:11" ht="15.75" customHeight="1">
      <c r="A1251" s="465"/>
      <c r="B1251" s="467"/>
      <c r="C1251" s="465"/>
      <c r="D1251" s="465"/>
      <c r="E1251" s="470"/>
      <c r="F1251" s="471"/>
      <c r="G1251" s="304" t="s">
        <v>3469</v>
      </c>
      <c r="H1251" s="316" t="s">
        <v>3170</v>
      </c>
      <c r="I1251" s="468"/>
      <c r="J1251" s="348">
        <v>12500360</v>
      </c>
      <c r="K1251" s="468"/>
    </row>
    <row r="1252" spans="1:11" ht="15.75" customHeight="1">
      <c r="A1252" s="465"/>
      <c r="B1252" s="467"/>
      <c r="C1252" s="465"/>
      <c r="D1252" s="465"/>
      <c r="E1252" s="470"/>
      <c r="F1252" s="471"/>
      <c r="G1252" s="304" t="s">
        <v>3470</v>
      </c>
      <c r="H1252" s="316" t="s">
        <v>3170</v>
      </c>
      <c r="I1252" s="468"/>
      <c r="J1252" s="348">
        <v>12500360</v>
      </c>
      <c r="K1252" s="468"/>
    </row>
    <row r="1253" spans="1:11" ht="15.75" customHeight="1">
      <c r="A1253" s="465"/>
      <c r="B1253" s="467"/>
      <c r="C1253" s="465"/>
      <c r="D1253" s="465"/>
      <c r="E1253" s="470"/>
      <c r="F1253" s="471"/>
      <c r="G1253" s="304" t="s">
        <v>3471</v>
      </c>
      <c r="H1253" s="316" t="s">
        <v>3170</v>
      </c>
      <c r="I1253" s="468"/>
      <c r="J1253" s="348">
        <v>15000360</v>
      </c>
      <c r="K1253" s="468"/>
    </row>
    <row r="1254" spans="1:11" ht="15.75" customHeight="1">
      <c r="A1254" s="465"/>
      <c r="B1254" s="467"/>
      <c r="C1254" s="465"/>
      <c r="D1254" s="465"/>
      <c r="E1254" s="470"/>
      <c r="F1254" s="471"/>
      <c r="G1254" s="304" t="s">
        <v>3472</v>
      </c>
      <c r="H1254" s="316" t="s">
        <v>3170</v>
      </c>
      <c r="I1254" s="468"/>
      <c r="J1254" s="348">
        <v>15000360</v>
      </c>
      <c r="K1254" s="468"/>
    </row>
    <row r="1255" spans="1:11" ht="15.75" customHeight="1">
      <c r="A1255" s="465"/>
      <c r="B1255" s="467"/>
      <c r="C1255" s="465"/>
      <c r="D1255" s="465"/>
      <c r="E1255" s="470"/>
      <c r="F1255" s="471"/>
      <c r="G1255" s="304" t="s">
        <v>3473</v>
      </c>
      <c r="H1255" s="316" t="s">
        <v>3170</v>
      </c>
      <c r="I1255" s="468"/>
      <c r="J1255" s="348">
        <v>12500360</v>
      </c>
      <c r="K1255" s="468"/>
    </row>
    <row r="1256" spans="1:11" ht="15.75" customHeight="1">
      <c r="A1256" s="465"/>
      <c r="B1256" s="467"/>
      <c r="C1256" s="465"/>
      <c r="D1256" s="465"/>
      <c r="E1256" s="470"/>
      <c r="F1256" s="471"/>
      <c r="G1256" s="304" t="s">
        <v>3474</v>
      </c>
      <c r="H1256" s="316" t="s">
        <v>3170</v>
      </c>
      <c r="I1256" s="468"/>
      <c r="J1256" s="348">
        <v>15000360</v>
      </c>
      <c r="K1256" s="468"/>
    </row>
    <row r="1257" spans="1:11" ht="15.75" customHeight="1">
      <c r="A1257" s="465"/>
      <c r="B1257" s="467"/>
      <c r="C1257" s="465"/>
      <c r="D1257" s="465"/>
      <c r="E1257" s="470"/>
      <c r="F1257" s="471"/>
      <c r="G1257" s="304" t="s">
        <v>3475</v>
      </c>
      <c r="H1257" s="316" t="s">
        <v>3170</v>
      </c>
      <c r="I1257" s="468"/>
      <c r="J1257" s="348">
        <v>12500360</v>
      </c>
      <c r="K1257" s="468"/>
    </row>
    <row r="1258" spans="1:11" ht="15.75" customHeight="1">
      <c r="A1258" s="465"/>
      <c r="B1258" s="467"/>
      <c r="C1258" s="465"/>
      <c r="D1258" s="465"/>
      <c r="E1258" s="470"/>
      <c r="F1258" s="471"/>
      <c r="G1258" s="304" t="s">
        <v>3476</v>
      </c>
      <c r="H1258" s="316" t="s">
        <v>3170</v>
      </c>
      <c r="I1258" s="468"/>
      <c r="J1258" s="348">
        <v>20000360</v>
      </c>
      <c r="K1258" s="468"/>
    </row>
    <row r="1259" spans="1:11" ht="15.75" customHeight="1">
      <c r="A1259" s="465"/>
      <c r="B1259" s="467"/>
      <c r="C1259" s="465"/>
      <c r="D1259" s="465"/>
      <c r="E1259" s="470"/>
      <c r="F1259" s="471"/>
      <c r="G1259" s="304" t="s">
        <v>3477</v>
      </c>
      <c r="H1259" s="316" t="s">
        <v>3170</v>
      </c>
      <c r="I1259" s="468"/>
      <c r="J1259" s="348">
        <v>15000360</v>
      </c>
      <c r="K1259" s="468"/>
    </row>
    <row r="1260" spans="1:11" ht="15.75" customHeight="1">
      <c r="A1260" s="465"/>
      <c r="B1260" s="467"/>
      <c r="C1260" s="465"/>
      <c r="D1260" s="465"/>
      <c r="E1260" s="470"/>
      <c r="F1260" s="471"/>
      <c r="G1260" s="304" t="s">
        <v>3478</v>
      </c>
      <c r="H1260" s="316" t="s">
        <v>3170</v>
      </c>
      <c r="I1260" s="468"/>
      <c r="J1260" s="348">
        <v>15000360</v>
      </c>
      <c r="K1260" s="468"/>
    </row>
    <row r="1261" spans="1:11" ht="15.75" customHeight="1">
      <c r="A1261" s="465"/>
      <c r="B1261" s="467"/>
      <c r="C1261" s="465"/>
      <c r="D1261" s="465"/>
      <c r="E1261" s="470"/>
      <c r="F1261" s="471"/>
      <c r="G1261" s="304" t="s">
        <v>3479</v>
      </c>
      <c r="H1261" s="316" t="s">
        <v>3170</v>
      </c>
      <c r="I1261" s="468"/>
      <c r="J1261" s="348">
        <v>15000360</v>
      </c>
      <c r="K1261" s="468"/>
    </row>
    <row r="1262" spans="1:11" ht="15.75" customHeight="1">
      <c r="A1262" s="465"/>
      <c r="B1262" s="467"/>
      <c r="C1262" s="465"/>
      <c r="D1262" s="465"/>
      <c r="E1262" s="470"/>
      <c r="F1262" s="471"/>
      <c r="G1262" s="304" t="s">
        <v>3480</v>
      </c>
      <c r="H1262" s="316" t="s">
        <v>3170</v>
      </c>
      <c r="I1262" s="468"/>
      <c r="J1262" s="348">
        <v>15000360</v>
      </c>
      <c r="K1262" s="468"/>
    </row>
    <row r="1263" spans="1:11" ht="15.75" customHeight="1">
      <c r="A1263" s="465"/>
      <c r="B1263" s="467"/>
      <c r="C1263" s="465"/>
      <c r="D1263" s="465"/>
      <c r="E1263" s="470"/>
      <c r="F1263" s="471"/>
      <c r="G1263" s="304" t="s">
        <v>3481</v>
      </c>
      <c r="H1263" s="316" t="s">
        <v>3170</v>
      </c>
      <c r="I1263" s="468"/>
      <c r="J1263" s="348">
        <v>12500360</v>
      </c>
      <c r="K1263" s="468"/>
    </row>
    <row r="1264" spans="1:11" ht="15.75" customHeight="1">
      <c r="A1264" s="465"/>
      <c r="B1264" s="467"/>
      <c r="C1264" s="465"/>
      <c r="D1264" s="465"/>
      <c r="E1264" s="470"/>
      <c r="F1264" s="471"/>
      <c r="G1264" s="304" t="s">
        <v>3482</v>
      </c>
      <c r="H1264" s="316" t="s">
        <v>3170</v>
      </c>
      <c r="I1264" s="468"/>
      <c r="J1264" s="348">
        <v>20000360</v>
      </c>
      <c r="K1264" s="468"/>
    </row>
    <row r="1265" spans="1:11" ht="15.75" customHeight="1">
      <c r="A1265" s="465"/>
      <c r="B1265" s="467"/>
      <c r="C1265" s="465"/>
      <c r="D1265" s="465"/>
      <c r="E1265" s="470"/>
      <c r="F1265" s="471"/>
      <c r="G1265" s="304" t="s">
        <v>3483</v>
      </c>
      <c r="H1265" s="316" t="s">
        <v>3170</v>
      </c>
      <c r="I1265" s="468"/>
      <c r="J1265" s="348">
        <v>15000360</v>
      </c>
      <c r="K1265" s="468"/>
    </row>
    <row r="1266" spans="1:11" ht="15.75" customHeight="1">
      <c r="A1266" s="465"/>
      <c r="B1266" s="467"/>
      <c r="C1266" s="465"/>
      <c r="D1266" s="465"/>
      <c r="E1266" s="470"/>
      <c r="F1266" s="471"/>
      <c r="G1266" s="304" t="s">
        <v>3484</v>
      </c>
      <c r="H1266" s="316" t="s">
        <v>3170</v>
      </c>
      <c r="I1266" s="468"/>
      <c r="J1266" s="348">
        <v>15000360</v>
      </c>
      <c r="K1266" s="468"/>
    </row>
    <row r="1267" spans="1:11" ht="15.75" customHeight="1">
      <c r="A1267" s="465"/>
      <c r="B1267" s="467"/>
      <c r="C1267" s="465"/>
      <c r="D1267" s="465"/>
      <c r="E1267" s="470"/>
      <c r="F1267" s="471"/>
      <c r="G1267" s="304" t="s">
        <v>3485</v>
      </c>
      <c r="H1267" s="316" t="s">
        <v>3170</v>
      </c>
      <c r="I1267" s="468"/>
      <c r="J1267" s="348">
        <v>15000360</v>
      </c>
      <c r="K1267" s="468"/>
    </row>
    <row r="1268" spans="1:11" ht="15.75" customHeight="1">
      <c r="A1268" s="465"/>
      <c r="B1268" s="467"/>
      <c r="C1268" s="465"/>
      <c r="D1268" s="465"/>
      <c r="E1268" s="470"/>
      <c r="F1268" s="471"/>
      <c r="G1268" s="304" t="s">
        <v>3486</v>
      </c>
      <c r="H1268" s="316" t="s">
        <v>3170</v>
      </c>
      <c r="I1268" s="468"/>
      <c r="J1268" s="348">
        <v>15000360</v>
      </c>
      <c r="K1268" s="468"/>
    </row>
    <row r="1269" spans="1:11" ht="15.75" customHeight="1">
      <c r="A1269" s="465"/>
      <c r="B1269" s="467"/>
      <c r="C1269" s="465"/>
      <c r="D1269" s="465"/>
      <c r="E1269" s="470"/>
      <c r="F1269" s="471"/>
      <c r="G1269" s="304" t="s">
        <v>3487</v>
      </c>
      <c r="H1269" s="316" t="s">
        <v>3170</v>
      </c>
      <c r="I1269" s="468"/>
      <c r="J1269" s="348">
        <v>15000360</v>
      </c>
      <c r="K1269" s="468"/>
    </row>
    <row r="1270" spans="1:11" ht="15.75" customHeight="1">
      <c r="A1270" s="465"/>
      <c r="B1270" s="467"/>
      <c r="C1270" s="465"/>
      <c r="D1270" s="465"/>
      <c r="E1270" s="470"/>
      <c r="F1270" s="471"/>
      <c r="G1270" s="304" t="s">
        <v>3488</v>
      </c>
      <c r="H1270" s="316" t="s">
        <v>3170</v>
      </c>
      <c r="I1270" s="468"/>
      <c r="J1270" s="348">
        <v>15000360</v>
      </c>
      <c r="K1270" s="468"/>
    </row>
    <row r="1271" spans="1:11" ht="15.75" customHeight="1">
      <c r="A1271" s="465"/>
      <c r="B1271" s="467"/>
      <c r="C1271" s="465"/>
      <c r="D1271" s="465"/>
      <c r="E1271" s="470"/>
      <c r="F1271" s="471"/>
      <c r="G1271" s="304" t="s">
        <v>3489</v>
      </c>
      <c r="H1271" s="316" t="s">
        <v>3170</v>
      </c>
      <c r="I1271" s="468"/>
      <c r="J1271" s="348">
        <v>15000360</v>
      </c>
      <c r="K1271" s="468"/>
    </row>
    <row r="1272" spans="1:11" ht="15.75" customHeight="1">
      <c r="A1272" s="465"/>
      <c r="B1272" s="467"/>
      <c r="C1272" s="465"/>
      <c r="D1272" s="465"/>
      <c r="E1272" s="470"/>
      <c r="F1272" s="471"/>
      <c r="G1272" s="304" t="s">
        <v>3490</v>
      </c>
      <c r="H1272" s="316" t="s">
        <v>3170</v>
      </c>
      <c r="I1272" s="468"/>
      <c r="J1272" s="348">
        <v>20000360</v>
      </c>
      <c r="K1272" s="468"/>
    </row>
    <row r="1273" spans="1:11" ht="15.75" customHeight="1">
      <c r="A1273" s="465"/>
      <c r="B1273" s="467"/>
      <c r="C1273" s="465"/>
      <c r="D1273" s="465"/>
      <c r="E1273" s="470"/>
      <c r="F1273" s="471"/>
      <c r="G1273" s="304" t="s">
        <v>3491</v>
      </c>
      <c r="H1273" s="316" t="s">
        <v>3170</v>
      </c>
      <c r="I1273" s="468"/>
      <c r="J1273" s="348">
        <v>15000360</v>
      </c>
      <c r="K1273" s="468"/>
    </row>
    <row r="1274" spans="1:11" ht="15.75" customHeight="1">
      <c r="A1274" s="465"/>
      <c r="B1274" s="467"/>
      <c r="C1274" s="465"/>
      <c r="D1274" s="465"/>
      <c r="E1274" s="470"/>
      <c r="F1274" s="471"/>
      <c r="G1274" s="304" t="s">
        <v>3492</v>
      </c>
      <c r="H1274" s="316" t="s">
        <v>3170</v>
      </c>
      <c r="I1274" s="468"/>
      <c r="J1274" s="348">
        <v>15000360</v>
      </c>
      <c r="K1274" s="468"/>
    </row>
    <row r="1275" spans="1:11" ht="15.75" customHeight="1">
      <c r="A1275" s="465"/>
      <c r="B1275" s="467"/>
      <c r="C1275" s="465"/>
      <c r="D1275" s="465"/>
      <c r="E1275" s="470"/>
      <c r="F1275" s="471"/>
      <c r="G1275" s="304" t="s">
        <v>3493</v>
      </c>
      <c r="H1275" s="316" t="s">
        <v>3170</v>
      </c>
      <c r="I1275" s="468"/>
      <c r="J1275" s="348">
        <v>15000360</v>
      </c>
      <c r="K1275" s="468"/>
    </row>
    <row r="1276" spans="1:11" ht="15.75" customHeight="1">
      <c r="A1276" s="465"/>
      <c r="B1276" s="467"/>
      <c r="C1276" s="465"/>
      <c r="D1276" s="465"/>
      <c r="E1276" s="470"/>
      <c r="F1276" s="471"/>
      <c r="G1276" s="304" t="s">
        <v>3494</v>
      </c>
      <c r="H1276" s="316" t="s">
        <v>3170</v>
      </c>
      <c r="I1276" s="468"/>
      <c r="J1276" s="348">
        <v>15000360</v>
      </c>
      <c r="K1276" s="468"/>
    </row>
    <row r="1277" spans="1:11" ht="15.75" customHeight="1">
      <c r="A1277" s="465"/>
      <c r="B1277" s="467"/>
      <c r="C1277" s="465"/>
      <c r="D1277" s="465"/>
      <c r="E1277" s="470"/>
      <c r="F1277" s="471"/>
      <c r="G1277" s="304" t="s">
        <v>3495</v>
      </c>
      <c r="H1277" s="316" t="s">
        <v>3170</v>
      </c>
      <c r="I1277" s="468"/>
      <c r="J1277" s="348">
        <v>15000360</v>
      </c>
      <c r="K1277" s="468"/>
    </row>
    <row r="1278" spans="1:11" ht="15.75" customHeight="1">
      <c r="A1278" s="465"/>
      <c r="B1278" s="467"/>
      <c r="C1278" s="465"/>
      <c r="D1278" s="465"/>
      <c r="E1278" s="470"/>
      <c r="F1278" s="471"/>
      <c r="G1278" s="304" t="s">
        <v>3496</v>
      </c>
      <c r="H1278" s="316" t="s">
        <v>3170</v>
      </c>
      <c r="I1278" s="468"/>
      <c r="J1278" s="348">
        <v>12500360</v>
      </c>
      <c r="K1278" s="468"/>
    </row>
    <row r="1279" spans="1:11" ht="15.75" customHeight="1">
      <c r="A1279" s="465"/>
      <c r="B1279" s="467"/>
      <c r="C1279" s="465"/>
      <c r="D1279" s="465"/>
      <c r="E1279" s="470"/>
      <c r="F1279" s="471"/>
      <c r="G1279" s="304" t="s">
        <v>3497</v>
      </c>
      <c r="H1279" s="316" t="s">
        <v>3170</v>
      </c>
      <c r="I1279" s="468"/>
      <c r="J1279" s="348">
        <v>12500360</v>
      </c>
      <c r="K1279" s="468"/>
    </row>
    <row r="1280" spans="1:11" ht="15.75" customHeight="1">
      <c r="A1280" s="465"/>
      <c r="B1280" s="467"/>
      <c r="C1280" s="465"/>
      <c r="D1280" s="465"/>
      <c r="E1280" s="470"/>
      <c r="F1280" s="471"/>
      <c r="G1280" s="304" t="s">
        <v>3498</v>
      </c>
      <c r="H1280" s="316" t="s">
        <v>3170</v>
      </c>
      <c r="I1280" s="468"/>
      <c r="J1280" s="348">
        <v>12500360</v>
      </c>
      <c r="K1280" s="468"/>
    </row>
    <row r="1281" spans="1:11" ht="15.75" customHeight="1">
      <c r="A1281" s="465"/>
      <c r="B1281" s="467"/>
      <c r="C1281" s="465"/>
      <c r="D1281" s="465"/>
      <c r="E1281" s="470"/>
      <c r="F1281" s="471"/>
      <c r="G1281" s="304" t="s">
        <v>3499</v>
      </c>
      <c r="H1281" s="316" t="s">
        <v>3170</v>
      </c>
      <c r="I1281" s="468"/>
      <c r="J1281" s="348">
        <v>15000360</v>
      </c>
      <c r="K1281" s="468"/>
    </row>
    <row r="1282" spans="1:11" ht="15.75" customHeight="1">
      <c r="A1282" s="465"/>
      <c r="B1282" s="467"/>
      <c r="C1282" s="465"/>
      <c r="D1282" s="465"/>
      <c r="E1282" s="470"/>
      <c r="F1282" s="471"/>
      <c r="G1282" s="304" t="s">
        <v>3500</v>
      </c>
      <c r="H1282" s="316" t="s">
        <v>3170</v>
      </c>
      <c r="I1282" s="468"/>
      <c r="J1282" s="348">
        <v>15000360</v>
      </c>
      <c r="K1282" s="468"/>
    </row>
    <row r="1283" spans="1:11" ht="15.75" customHeight="1">
      <c r="A1283" s="465"/>
      <c r="B1283" s="467"/>
      <c r="C1283" s="465"/>
      <c r="D1283" s="465"/>
      <c r="E1283" s="470"/>
      <c r="F1283" s="471"/>
      <c r="G1283" s="304" t="s">
        <v>3501</v>
      </c>
      <c r="H1283" s="316" t="s">
        <v>3170</v>
      </c>
      <c r="I1283" s="468"/>
      <c r="J1283" s="348">
        <v>12500360</v>
      </c>
      <c r="K1283" s="468"/>
    </row>
    <row r="1284" spans="1:11" ht="15.75" customHeight="1">
      <c r="A1284" s="465"/>
      <c r="B1284" s="467"/>
      <c r="C1284" s="465"/>
      <c r="D1284" s="465"/>
      <c r="E1284" s="470"/>
      <c r="F1284" s="471"/>
      <c r="G1284" s="304" t="s">
        <v>3502</v>
      </c>
      <c r="H1284" s="316" t="s">
        <v>3170</v>
      </c>
      <c r="I1284" s="468"/>
      <c r="J1284" s="348">
        <v>15000360</v>
      </c>
      <c r="K1284" s="468"/>
    </row>
    <row r="1285" spans="1:11" ht="15.75" customHeight="1">
      <c r="A1285" s="465"/>
      <c r="B1285" s="467"/>
      <c r="C1285" s="465"/>
      <c r="D1285" s="465"/>
      <c r="E1285" s="470"/>
      <c r="F1285" s="471"/>
      <c r="G1285" s="304" t="s">
        <v>3503</v>
      </c>
      <c r="H1285" s="316" t="s">
        <v>3170</v>
      </c>
      <c r="I1285" s="468"/>
      <c r="J1285" s="348">
        <v>15000360</v>
      </c>
      <c r="K1285" s="468"/>
    </row>
    <row r="1286" spans="1:11" ht="15.75" customHeight="1">
      <c r="A1286" s="465"/>
      <c r="B1286" s="467"/>
      <c r="C1286" s="465"/>
      <c r="D1286" s="465"/>
      <c r="E1286" s="470"/>
      <c r="F1286" s="471"/>
      <c r="G1286" s="304" t="s">
        <v>3504</v>
      </c>
      <c r="H1286" s="316" t="s">
        <v>3170</v>
      </c>
      <c r="I1286" s="468"/>
      <c r="J1286" s="348">
        <v>15000360</v>
      </c>
      <c r="K1286" s="468"/>
    </row>
    <row r="1287" spans="1:11" ht="15.75" customHeight="1">
      <c r="A1287" s="465"/>
      <c r="B1287" s="467"/>
      <c r="C1287" s="465"/>
      <c r="D1287" s="465"/>
      <c r="E1287" s="470"/>
      <c r="F1287" s="471"/>
      <c r="G1287" s="304" t="s">
        <v>3505</v>
      </c>
      <c r="H1287" s="316" t="s">
        <v>3170</v>
      </c>
      <c r="I1287" s="468"/>
      <c r="J1287" s="348">
        <v>12500360</v>
      </c>
      <c r="K1287" s="468"/>
    </row>
    <row r="1288" spans="1:11" ht="15.75" customHeight="1">
      <c r="A1288" s="465"/>
      <c r="B1288" s="467"/>
      <c r="C1288" s="465"/>
      <c r="D1288" s="465"/>
      <c r="E1288" s="470"/>
      <c r="F1288" s="471"/>
      <c r="G1288" s="304" t="s">
        <v>3506</v>
      </c>
      <c r="H1288" s="316" t="s">
        <v>3170</v>
      </c>
      <c r="I1288" s="468"/>
      <c r="J1288" s="348">
        <v>15000360</v>
      </c>
      <c r="K1288" s="468"/>
    </row>
    <row r="1289" spans="1:11" ht="15.75" customHeight="1">
      <c r="A1289" s="465"/>
      <c r="B1289" s="467"/>
      <c r="C1289" s="465"/>
      <c r="D1289" s="465"/>
      <c r="E1289" s="470"/>
      <c r="F1289" s="471"/>
      <c r="G1289" s="304" t="s">
        <v>3507</v>
      </c>
      <c r="H1289" s="316" t="s">
        <v>3170</v>
      </c>
      <c r="I1289" s="468"/>
      <c r="J1289" s="348">
        <v>15000360</v>
      </c>
      <c r="K1289" s="468"/>
    </row>
    <row r="1290" spans="1:11" ht="15.75" customHeight="1">
      <c r="A1290" s="465"/>
      <c r="B1290" s="467"/>
      <c r="C1290" s="465"/>
      <c r="D1290" s="465"/>
      <c r="E1290" s="470"/>
      <c r="F1290" s="471"/>
      <c r="G1290" s="304" t="s">
        <v>3508</v>
      </c>
      <c r="H1290" s="316" t="s">
        <v>3170</v>
      </c>
      <c r="I1290" s="468"/>
      <c r="J1290" s="348">
        <v>15000360</v>
      </c>
      <c r="K1290" s="468"/>
    </row>
    <row r="1291" spans="1:11" ht="15.75" customHeight="1">
      <c r="A1291" s="465"/>
      <c r="B1291" s="467"/>
      <c r="C1291" s="465"/>
      <c r="D1291" s="465"/>
      <c r="E1291" s="470"/>
      <c r="F1291" s="471"/>
      <c r="G1291" s="304" t="s">
        <v>3509</v>
      </c>
      <c r="H1291" s="316" t="s">
        <v>3170</v>
      </c>
      <c r="I1291" s="468"/>
      <c r="J1291" s="348">
        <v>15000360</v>
      </c>
      <c r="K1291" s="468"/>
    </row>
    <row r="1292" spans="1:11" ht="15.75" customHeight="1">
      <c r="A1292" s="465"/>
      <c r="B1292" s="467"/>
      <c r="C1292" s="465"/>
      <c r="D1292" s="465"/>
      <c r="E1292" s="470"/>
      <c r="F1292" s="471"/>
      <c r="G1292" s="304" t="s">
        <v>3510</v>
      </c>
      <c r="H1292" s="316" t="s">
        <v>3170</v>
      </c>
      <c r="I1292" s="468"/>
      <c r="J1292" s="348">
        <v>20000360</v>
      </c>
      <c r="K1292" s="468"/>
    </row>
    <row r="1293" spans="1:11" ht="15.75" customHeight="1">
      <c r="A1293" s="465"/>
      <c r="B1293" s="467"/>
      <c r="C1293" s="465"/>
      <c r="D1293" s="465"/>
      <c r="E1293" s="470"/>
      <c r="F1293" s="471"/>
      <c r="G1293" s="304" t="s">
        <v>3511</v>
      </c>
      <c r="H1293" s="316" t="s">
        <v>3170</v>
      </c>
      <c r="I1293" s="468"/>
      <c r="J1293" s="348">
        <v>15000360</v>
      </c>
      <c r="K1293" s="468"/>
    </row>
    <row r="1294" spans="1:11" ht="15.75" customHeight="1">
      <c r="A1294" s="465"/>
      <c r="B1294" s="467"/>
      <c r="C1294" s="465"/>
      <c r="D1294" s="465"/>
      <c r="E1294" s="470"/>
      <c r="F1294" s="471"/>
      <c r="G1294" s="304" t="s">
        <v>3512</v>
      </c>
      <c r="H1294" s="316" t="s">
        <v>3170</v>
      </c>
      <c r="I1294" s="468"/>
      <c r="J1294" s="348">
        <v>15000360</v>
      </c>
      <c r="K1294" s="468"/>
    </row>
    <row r="1295" spans="1:11" ht="15.75" customHeight="1">
      <c r="A1295" s="465"/>
      <c r="B1295" s="467"/>
      <c r="C1295" s="465"/>
      <c r="D1295" s="465"/>
      <c r="E1295" s="470"/>
      <c r="F1295" s="471"/>
      <c r="G1295" s="304" t="s">
        <v>3513</v>
      </c>
      <c r="H1295" s="316" t="s">
        <v>3170</v>
      </c>
      <c r="I1295" s="468"/>
      <c r="J1295" s="348">
        <v>15000360</v>
      </c>
      <c r="K1295" s="468"/>
    </row>
    <row r="1296" spans="1:11" ht="15.75" customHeight="1">
      <c r="A1296" s="465"/>
      <c r="B1296" s="467"/>
      <c r="C1296" s="465"/>
      <c r="D1296" s="465"/>
      <c r="E1296" s="470"/>
      <c r="F1296" s="471"/>
      <c r="G1296" s="304" t="s">
        <v>3514</v>
      </c>
      <c r="H1296" s="316" t="s">
        <v>3170</v>
      </c>
      <c r="I1296" s="468"/>
      <c r="J1296" s="348">
        <v>20000360</v>
      </c>
      <c r="K1296" s="468"/>
    </row>
    <row r="1297" spans="1:11" ht="15.75" customHeight="1">
      <c r="A1297" s="465"/>
      <c r="B1297" s="467"/>
      <c r="C1297" s="465"/>
      <c r="D1297" s="465"/>
      <c r="E1297" s="470"/>
      <c r="F1297" s="471"/>
      <c r="G1297" s="304" t="s">
        <v>3515</v>
      </c>
      <c r="H1297" s="316" t="s">
        <v>3170</v>
      </c>
      <c r="I1297" s="468"/>
      <c r="J1297" s="348">
        <v>17500360</v>
      </c>
      <c r="K1297" s="468"/>
    </row>
    <row r="1298" spans="1:11" ht="15.75" customHeight="1">
      <c r="A1298" s="465"/>
      <c r="B1298" s="467"/>
      <c r="C1298" s="465"/>
      <c r="D1298" s="465"/>
      <c r="E1298" s="470"/>
      <c r="F1298" s="471"/>
      <c r="G1298" s="304" t="s">
        <v>3516</v>
      </c>
      <c r="H1298" s="316" t="s">
        <v>3170</v>
      </c>
      <c r="I1298" s="468"/>
      <c r="J1298" s="348">
        <v>12500360</v>
      </c>
      <c r="K1298" s="468"/>
    </row>
    <row r="1299" spans="1:11" ht="15.75" customHeight="1">
      <c r="A1299" s="465"/>
      <c r="B1299" s="467"/>
      <c r="C1299" s="465"/>
      <c r="D1299" s="465"/>
      <c r="E1299" s="470"/>
      <c r="F1299" s="471"/>
      <c r="G1299" s="304" t="s">
        <v>3517</v>
      </c>
      <c r="H1299" s="316" t="s">
        <v>3170</v>
      </c>
      <c r="I1299" s="468"/>
      <c r="J1299" s="348">
        <v>10000360</v>
      </c>
      <c r="K1299" s="468"/>
    </row>
    <row r="1300" spans="1:11" ht="15.75" customHeight="1">
      <c r="A1300" s="465"/>
      <c r="B1300" s="467"/>
      <c r="C1300" s="465"/>
      <c r="D1300" s="465"/>
      <c r="E1300" s="470"/>
      <c r="F1300" s="471"/>
      <c r="G1300" s="304" t="s">
        <v>3518</v>
      </c>
      <c r="H1300" s="316" t="s">
        <v>3170</v>
      </c>
      <c r="I1300" s="468"/>
      <c r="J1300" s="348">
        <v>10000360</v>
      </c>
      <c r="K1300" s="468"/>
    </row>
    <row r="1301" spans="1:11" ht="15.75" customHeight="1">
      <c r="A1301" s="465"/>
      <c r="B1301" s="467"/>
      <c r="C1301" s="465"/>
      <c r="D1301" s="465"/>
      <c r="E1301" s="470"/>
      <c r="F1301" s="471"/>
      <c r="G1301" s="304" t="s">
        <v>3519</v>
      </c>
      <c r="H1301" s="316" t="s">
        <v>3170</v>
      </c>
      <c r="I1301" s="468"/>
      <c r="J1301" s="348">
        <v>12500360</v>
      </c>
      <c r="K1301" s="468"/>
    </row>
    <row r="1302" spans="1:11" ht="15.75" customHeight="1">
      <c r="A1302" s="465"/>
      <c r="B1302" s="467"/>
      <c r="C1302" s="465"/>
      <c r="D1302" s="465"/>
      <c r="E1302" s="470"/>
      <c r="F1302" s="471"/>
      <c r="G1302" s="304" t="s">
        <v>3520</v>
      </c>
      <c r="H1302" s="316" t="s">
        <v>3170</v>
      </c>
      <c r="I1302" s="468"/>
      <c r="J1302" s="348">
        <v>15000360</v>
      </c>
      <c r="K1302" s="468"/>
    </row>
    <row r="1303" spans="1:11" ht="15.75" customHeight="1">
      <c r="A1303" s="465"/>
      <c r="B1303" s="467"/>
      <c r="C1303" s="465"/>
      <c r="D1303" s="465"/>
      <c r="E1303" s="470"/>
      <c r="F1303" s="471"/>
      <c r="G1303" s="304" t="s">
        <v>3521</v>
      </c>
      <c r="H1303" s="316" t="s">
        <v>3170</v>
      </c>
      <c r="I1303" s="468"/>
      <c r="J1303" s="348">
        <v>15000360</v>
      </c>
      <c r="K1303" s="468"/>
    </row>
    <row r="1304" spans="1:11" ht="15.75" customHeight="1">
      <c r="A1304" s="465"/>
      <c r="B1304" s="467"/>
      <c r="C1304" s="465"/>
      <c r="D1304" s="465"/>
      <c r="E1304" s="470"/>
      <c r="F1304" s="471"/>
      <c r="G1304" s="304" t="s">
        <v>3522</v>
      </c>
      <c r="H1304" s="316" t="s">
        <v>3170</v>
      </c>
      <c r="I1304" s="468"/>
      <c r="J1304" s="348">
        <v>20000360</v>
      </c>
      <c r="K1304" s="468"/>
    </row>
    <row r="1305" spans="1:11" ht="15.75" customHeight="1">
      <c r="A1305" s="465"/>
      <c r="B1305" s="467"/>
      <c r="C1305" s="465"/>
      <c r="D1305" s="465"/>
      <c r="E1305" s="470"/>
      <c r="F1305" s="471"/>
      <c r="G1305" s="304" t="s">
        <v>3523</v>
      </c>
      <c r="H1305" s="316" t="s">
        <v>3463</v>
      </c>
      <c r="I1305" s="468"/>
      <c r="J1305" s="348">
        <v>90009000</v>
      </c>
      <c r="K1305" s="468"/>
    </row>
    <row r="1306" spans="1:11" ht="15.75" customHeight="1">
      <c r="A1306" s="465"/>
      <c r="B1306" s="467"/>
      <c r="C1306" s="465"/>
      <c r="D1306" s="465"/>
      <c r="E1306" s="470"/>
      <c r="F1306" s="471"/>
      <c r="G1306" s="304" t="s">
        <v>3524</v>
      </c>
      <c r="H1306" s="316" t="s">
        <v>3464</v>
      </c>
      <c r="I1306" s="468"/>
      <c r="J1306" s="348">
        <v>4003000</v>
      </c>
      <c r="K1306" s="468"/>
    </row>
    <row r="1307" spans="1:11" ht="15.75" customHeight="1">
      <c r="A1307" s="465"/>
      <c r="B1307" s="467"/>
      <c r="C1307" s="465"/>
      <c r="D1307" s="465"/>
      <c r="E1307" s="470"/>
      <c r="F1307" s="471"/>
      <c r="G1307" s="304" t="s">
        <v>1858</v>
      </c>
      <c r="H1307" s="316" t="s">
        <v>3464</v>
      </c>
      <c r="I1307" s="468"/>
      <c r="J1307" s="348">
        <v>2003000</v>
      </c>
      <c r="K1307" s="468"/>
    </row>
    <row r="1308" spans="1:11" ht="15.75" customHeight="1">
      <c r="A1308" s="465"/>
      <c r="B1308" s="467"/>
      <c r="C1308" s="465"/>
      <c r="D1308" s="465"/>
      <c r="E1308" s="470"/>
      <c r="F1308" s="471"/>
      <c r="G1308" s="304" t="s">
        <v>2271</v>
      </c>
      <c r="H1308" s="316" t="s">
        <v>3464</v>
      </c>
      <c r="I1308" s="468"/>
      <c r="J1308" s="348">
        <v>1003000</v>
      </c>
      <c r="K1308" s="468"/>
    </row>
    <row r="1309" spans="1:11" ht="15.75" customHeight="1">
      <c r="A1309" s="465"/>
      <c r="B1309" s="467"/>
      <c r="C1309" s="465"/>
      <c r="D1309" s="465"/>
      <c r="E1309" s="470"/>
      <c r="F1309" s="471"/>
      <c r="G1309" s="304" t="s">
        <v>3525</v>
      </c>
      <c r="H1309" s="316" t="s">
        <v>3464</v>
      </c>
      <c r="I1309" s="468"/>
      <c r="J1309" s="348">
        <v>280028000</v>
      </c>
      <c r="K1309" s="468"/>
    </row>
    <row r="1310" spans="1:11" ht="15.75" customHeight="1">
      <c r="A1310" s="465"/>
      <c r="B1310" s="467"/>
      <c r="C1310" s="465"/>
      <c r="D1310" s="465"/>
      <c r="E1310" s="470"/>
      <c r="F1310" s="471"/>
      <c r="G1310" s="304" t="s">
        <v>3525</v>
      </c>
      <c r="H1310" s="316" t="s">
        <v>3464</v>
      </c>
      <c r="I1310" s="468"/>
      <c r="J1310" s="348">
        <v>720072000</v>
      </c>
      <c r="K1310" s="468"/>
    </row>
    <row r="1311" spans="1:11" ht="15.75" customHeight="1">
      <c r="A1311" s="465"/>
      <c r="B1311" s="467"/>
      <c r="C1311" s="465"/>
      <c r="D1311" s="465"/>
      <c r="E1311" s="470"/>
      <c r="F1311" s="471"/>
      <c r="G1311" s="304" t="s">
        <v>3526</v>
      </c>
      <c r="H1311" s="316" t="s">
        <v>3464</v>
      </c>
      <c r="I1311" s="468"/>
      <c r="J1311" s="348">
        <v>903000</v>
      </c>
      <c r="K1311" s="468"/>
    </row>
    <row r="1312" spans="1:11" ht="15.75" customHeight="1">
      <c r="A1312" s="465"/>
      <c r="B1312" s="467"/>
      <c r="C1312" s="465"/>
      <c r="D1312" s="465"/>
      <c r="E1312" s="470"/>
      <c r="F1312" s="471"/>
      <c r="G1312" s="304" t="s">
        <v>3527</v>
      </c>
      <c r="H1312" s="316" t="s">
        <v>3464</v>
      </c>
      <c r="I1312" s="468"/>
      <c r="J1312" s="348">
        <v>7803000</v>
      </c>
      <c r="K1312" s="468"/>
    </row>
    <row r="1313" spans="1:11" ht="15.75" customHeight="1">
      <c r="A1313" s="465"/>
      <c r="B1313" s="467"/>
      <c r="C1313" s="465"/>
      <c r="D1313" s="465"/>
      <c r="E1313" s="470"/>
      <c r="F1313" s="471"/>
      <c r="G1313" s="304" t="s">
        <v>3380</v>
      </c>
      <c r="H1313" s="316" t="s">
        <v>3191</v>
      </c>
      <c r="I1313" s="468"/>
      <c r="J1313" s="348">
        <v>16253000</v>
      </c>
      <c r="K1313" s="468"/>
    </row>
    <row r="1314" spans="1:11" ht="15.75" customHeight="1">
      <c r="A1314" s="465"/>
      <c r="B1314" s="467"/>
      <c r="C1314" s="465"/>
      <c r="D1314" s="465"/>
      <c r="E1314" s="470"/>
      <c r="F1314" s="471"/>
      <c r="G1314" s="304" t="s">
        <v>3381</v>
      </c>
      <c r="H1314" s="316" t="s">
        <v>3191</v>
      </c>
      <c r="I1314" s="468"/>
      <c r="J1314" s="348">
        <v>15003000</v>
      </c>
      <c r="K1314" s="468"/>
    </row>
    <row r="1315" spans="1:11" ht="15.75" customHeight="1">
      <c r="A1315" s="465"/>
      <c r="B1315" s="467"/>
      <c r="C1315" s="465"/>
      <c r="D1315" s="465"/>
      <c r="E1315" s="470"/>
      <c r="F1315" s="471"/>
      <c r="G1315" s="304" t="s">
        <v>3365</v>
      </c>
      <c r="H1315" s="316" t="s">
        <v>3191</v>
      </c>
      <c r="I1315" s="468"/>
      <c r="J1315" s="348">
        <v>35003500</v>
      </c>
      <c r="K1315" s="468"/>
    </row>
    <row r="1316" spans="1:11" ht="15.75" customHeight="1">
      <c r="A1316" s="465"/>
      <c r="B1316" s="467"/>
      <c r="C1316" s="465"/>
      <c r="D1316" s="465"/>
      <c r="E1316" s="470"/>
      <c r="F1316" s="471"/>
      <c r="G1316" s="304" t="s">
        <v>1362</v>
      </c>
      <c r="H1316" s="316" t="s">
        <v>3191</v>
      </c>
      <c r="I1316" s="468"/>
      <c r="J1316" s="348">
        <v>5003000</v>
      </c>
      <c r="K1316" s="468"/>
    </row>
    <row r="1317" spans="1:11" ht="15.75" customHeight="1">
      <c r="A1317" s="465"/>
      <c r="B1317" s="467"/>
      <c r="C1317" s="465"/>
      <c r="D1317" s="465"/>
      <c r="E1317" s="470"/>
      <c r="F1317" s="471"/>
      <c r="G1317" s="304" t="s">
        <v>2263</v>
      </c>
      <c r="H1317" s="316" t="s">
        <v>3191</v>
      </c>
      <c r="I1317" s="468"/>
      <c r="J1317" s="348">
        <v>60006000</v>
      </c>
      <c r="K1317" s="468"/>
    </row>
    <row r="1318" spans="1:11" ht="15.75" customHeight="1">
      <c r="A1318" s="465"/>
      <c r="B1318" s="467"/>
      <c r="C1318" s="465"/>
      <c r="D1318" s="465"/>
      <c r="E1318" s="470"/>
      <c r="F1318" s="471"/>
      <c r="G1318" s="304" t="s">
        <v>3528</v>
      </c>
      <c r="H1318" s="316" t="s">
        <v>3191</v>
      </c>
      <c r="I1318" s="468"/>
      <c r="J1318" s="348">
        <v>60006000</v>
      </c>
      <c r="K1318" s="468"/>
    </row>
    <row r="1319" spans="1:11" ht="15.75" customHeight="1">
      <c r="A1319" s="465"/>
      <c r="B1319" s="467"/>
      <c r="C1319" s="465"/>
      <c r="D1319" s="465"/>
      <c r="E1319" s="470"/>
      <c r="F1319" s="471"/>
      <c r="G1319" s="304" t="s">
        <v>1783</v>
      </c>
      <c r="H1319" s="316" t="s">
        <v>3191</v>
      </c>
      <c r="I1319" s="468"/>
      <c r="J1319" s="348">
        <v>15003000</v>
      </c>
      <c r="K1319" s="468"/>
    </row>
    <row r="1320" spans="1:11" ht="15.75" customHeight="1">
      <c r="A1320" s="465"/>
      <c r="B1320" s="467"/>
      <c r="C1320" s="465"/>
      <c r="D1320" s="465"/>
      <c r="E1320" s="470"/>
      <c r="F1320" s="471"/>
      <c r="G1320" s="304" t="s">
        <v>3454</v>
      </c>
      <c r="H1320" s="316" t="s">
        <v>3191</v>
      </c>
      <c r="I1320" s="468"/>
      <c r="J1320" s="348">
        <v>10003000</v>
      </c>
      <c r="K1320" s="468"/>
    </row>
    <row r="1321" spans="1:11" ht="15.75" customHeight="1">
      <c r="A1321" s="465"/>
      <c r="B1321" s="467"/>
      <c r="C1321" s="465"/>
      <c r="D1321" s="465"/>
      <c r="E1321" s="470"/>
      <c r="F1321" s="471"/>
      <c r="G1321" s="304" t="s">
        <v>2894</v>
      </c>
      <c r="H1321" s="316" t="s">
        <v>3191</v>
      </c>
      <c r="I1321" s="468"/>
      <c r="J1321" s="348">
        <v>10003000</v>
      </c>
      <c r="K1321" s="468"/>
    </row>
    <row r="1322" spans="1:11" ht="15.75" customHeight="1">
      <c r="A1322" s="465"/>
      <c r="B1322" s="467"/>
      <c r="C1322" s="465"/>
      <c r="D1322" s="465"/>
      <c r="E1322" s="470"/>
      <c r="F1322" s="471"/>
      <c r="G1322" s="304" t="s">
        <v>2272</v>
      </c>
      <c r="H1322" s="316" t="s">
        <v>3191</v>
      </c>
      <c r="I1322" s="468"/>
      <c r="J1322" s="348">
        <v>2733000</v>
      </c>
      <c r="K1322" s="468"/>
    </row>
    <row r="1323" spans="1:11" ht="15.75" customHeight="1">
      <c r="A1323" s="465"/>
      <c r="B1323" s="467"/>
      <c r="C1323" s="465"/>
      <c r="D1323" s="465"/>
      <c r="E1323" s="470"/>
      <c r="F1323" s="471"/>
      <c r="G1323" s="304" t="s">
        <v>3529</v>
      </c>
      <c r="H1323" s="316" t="s">
        <v>3199</v>
      </c>
      <c r="I1323" s="468"/>
      <c r="J1323" s="348">
        <v>263000</v>
      </c>
      <c r="K1323" s="468"/>
    </row>
    <row r="1324" spans="1:11" ht="15.75" customHeight="1">
      <c r="A1324" s="465"/>
      <c r="B1324" s="467"/>
      <c r="C1324" s="465"/>
      <c r="D1324" s="465"/>
      <c r="E1324" s="470"/>
      <c r="F1324" s="471"/>
      <c r="G1324" s="304" t="s">
        <v>3530</v>
      </c>
      <c r="H1324" s="316" t="s">
        <v>3199</v>
      </c>
      <c r="I1324" s="468"/>
      <c r="J1324" s="348">
        <v>1653000</v>
      </c>
      <c r="K1324" s="468"/>
    </row>
    <row r="1325" spans="1:11" ht="15.75" customHeight="1">
      <c r="A1325" s="465"/>
      <c r="B1325" s="467"/>
      <c r="C1325" s="465"/>
      <c r="D1325" s="465"/>
      <c r="E1325" s="470"/>
      <c r="F1325" s="471"/>
      <c r="G1325" s="304" t="s">
        <v>3531</v>
      </c>
      <c r="H1325" s="316" t="s">
        <v>3199</v>
      </c>
      <c r="I1325" s="468"/>
      <c r="J1325" s="348">
        <v>3403000</v>
      </c>
      <c r="K1325" s="468"/>
    </row>
    <row r="1326" spans="1:11" ht="15.75" customHeight="1">
      <c r="A1326" s="465"/>
      <c r="B1326" s="467"/>
      <c r="C1326" s="465"/>
      <c r="D1326" s="465"/>
      <c r="E1326" s="470"/>
      <c r="F1326" s="471"/>
      <c r="G1326" s="304" t="s">
        <v>3532</v>
      </c>
      <c r="H1326" s="316" t="s">
        <v>3199</v>
      </c>
      <c r="I1326" s="468"/>
      <c r="J1326" s="348">
        <v>4903000</v>
      </c>
      <c r="K1326" s="468"/>
    </row>
    <row r="1327" spans="1:11" ht="15.75" customHeight="1">
      <c r="A1327" s="465"/>
      <c r="B1327" s="467"/>
      <c r="C1327" s="465"/>
      <c r="D1327" s="465"/>
      <c r="E1327" s="470"/>
      <c r="F1327" s="471"/>
      <c r="G1327" s="304" t="s">
        <v>3533</v>
      </c>
      <c r="H1327" s="316" t="s">
        <v>3199</v>
      </c>
      <c r="I1327" s="468"/>
      <c r="J1327" s="348">
        <v>88408840</v>
      </c>
      <c r="K1327" s="468"/>
    </row>
    <row r="1328" spans="1:11" ht="15.75" customHeight="1">
      <c r="A1328" s="465"/>
      <c r="B1328" s="467"/>
      <c r="C1328" s="465"/>
      <c r="D1328" s="465"/>
      <c r="E1328" s="470"/>
      <c r="F1328" s="471"/>
      <c r="G1328" s="304" t="s">
        <v>3534</v>
      </c>
      <c r="H1328" s="316" t="s">
        <v>3207</v>
      </c>
      <c r="I1328" s="468"/>
      <c r="J1328" s="348">
        <v>6603000</v>
      </c>
      <c r="K1328" s="468"/>
    </row>
    <row r="1329" spans="1:11" ht="15.75" customHeight="1">
      <c r="A1329" s="465"/>
      <c r="B1329" s="467"/>
      <c r="C1329" s="465"/>
      <c r="D1329" s="465"/>
      <c r="E1329" s="470"/>
      <c r="F1329" s="471"/>
      <c r="G1329" s="304" t="s">
        <v>3535</v>
      </c>
      <c r="H1329" s="316" t="s">
        <v>3207</v>
      </c>
      <c r="I1329" s="468"/>
      <c r="J1329" s="348">
        <v>12603000</v>
      </c>
      <c r="K1329" s="468"/>
    </row>
    <row r="1330" spans="1:11" ht="15.75" customHeight="1">
      <c r="A1330" s="465"/>
      <c r="B1330" s="467"/>
      <c r="C1330" s="465"/>
      <c r="D1330" s="465"/>
      <c r="E1330" s="470"/>
      <c r="F1330" s="471"/>
      <c r="G1330" s="304" t="s">
        <v>2272</v>
      </c>
      <c r="H1330" s="316" t="s">
        <v>3207</v>
      </c>
      <c r="I1330" s="468"/>
      <c r="J1330" s="348">
        <v>1663000</v>
      </c>
      <c r="K1330" s="468"/>
    </row>
    <row r="1331" spans="1:11" ht="15.75" customHeight="1">
      <c r="A1331" s="465"/>
      <c r="B1331" s="467"/>
      <c r="C1331" s="465"/>
      <c r="D1331" s="465"/>
      <c r="E1331" s="470"/>
      <c r="F1331" s="471"/>
      <c r="G1331" s="304" t="s">
        <v>3460</v>
      </c>
      <c r="H1331" s="316" t="s">
        <v>3207</v>
      </c>
      <c r="I1331" s="468"/>
      <c r="J1331" s="348">
        <v>15003000</v>
      </c>
      <c r="K1331" s="468"/>
    </row>
    <row r="1332" spans="1:11" ht="15.75" customHeight="1">
      <c r="A1332" s="465"/>
      <c r="B1332" s="467"/>
      <c r="C1332" s="465"/>
      <c r="D1332" s="465"/>
      <c r="E1332" s="470"/>
      <c r="F1332" s="471"/>
      <c r="G1332" s="304" t="s">
        <v>3461</v>
      </c>
      <c r="H1332" s="316" t="s">
        <v>3207</v>
      </c>
      <c r="I1332" s="468"/>
      <c r="J1332" s="348">
        <v>15003000</v>
      </c>
      <c r="K1332" s="468"/>
    </row>
    <row r="1333" spans="1:11" ht="15.75" customHeight="1">
      <c r="A1333" s="465"/>
      <c r="B1333" s="467"/>
      <c r="C1333" s="465"/>
      <c r="D1333" s="465"/>
      <c r="E1333" s="470"/>
      <c r="F1333" s="471"/>
      <c r="G1333" s="304" t="s">
        <v>1688</v>
      </c>
      <c r="H1333" s="316" t="s">
        <v>3207</v>
      </c>
      <c r="I1333" s="468"/>
      <c r="J1333" s="348">
        <v>80008000</v>
      </c>
      <c r="K1333" s="468"/>
    </row>
    <row r="1334" spans="1:11" ht="15.75" customHeight="1">
      <c r="A1334" s="465"/>
      <c r="B1334" s="467"/>
      <c r="C1334" s="465"/>
      <c r="D1334" s="465"/>
      <c r="E1334" s="470"/>
      <c r="F1334" s="471"/>
      <c r="G1334" s="304" t="s">
        <v>2727</v>
      </c>
      <c r="H1334" s="316" t="s">
        <v>3207</v>
      </c>
      <c r="I1334" s="468"/>
      <c r="J1334" s="348">
        <v>60006000</v>
      </c>
      <c r="K1334" s="468"/>
    </row>
    <row r="1335" spans="1:11" ht="15.75" customHeight="1">
      <c r="A1335" s="465"/>
      <c r="B1335" s="467"/>
      <c r="C1335" s="465"/>
      <c r="D1335" s="465"/>
      <c r="E1335" s="470"/>
      <c r="F1335" s="471"/>
      <c r="G1335" s="304" t="s">
        <v>1783</v>
      </c>
      <c r="H1335" s="316" t="s">
        <v>3207</v>
      </c>
      <c r="I1335" s="468"/>
      <c r="J1335" s="348">
        <v>15003000</v>
      </c>
      <c r="K1335" s="468"/>
    </row>
    <row r="1336" spans="1:11" ht="15.75" customHeight="1">
      <c r="A1336" s="465"/>
      <c r="B1336" s="467"/>
      <c r="C1336" s="465"/>
      <c r="D1336" s="465"/>
      <c r="E1336" s="470"/>
      <c r="F1336" s="471"/>
      <c r="G1336" s="304" t="s">
        <v>3537</v>
      </c>
      <c r="H1336" s="316" t="s">
        <v>3536</v>
      </c>
      <c r="I1336" s="468"/>
      <c r="J1336" s="348">
        <v>8853000</v>
      </c>
      <c r="K1336" s="468"/>
    </row>
    <row r="1337" spans="1:11" ht="15.75" customHeight="1">
      <c r="A1337" s="465"/>
      <c r="B1337" s="467"/>
      <c r="C1337" s="465"/>
      <c r="D1337" s="465"/>
      <c r="E1337" s="470"/>
      <c r="F1337" s="471"/>
      <c r="G1337" s="304" t="s">
        <v>1858</v>
      </c>
      <c r="H1337" s="316" t="s">
        <v>3536</v>
      </c>
      <c r="I1337" s="468"/>
      <c r="J1337" s="348">
        <v>3003000</v>
      </c>
      <c r="K1337" s="468"/>
    </row>
    <row r="1338" spans="1:11" ht="15.75" customHeight="1">
      <c r="A1338" s="465"/>
      <c r="B1338" s="467"/>
      <c r="C1338" s="465"/>
      <c r="D1338" s="465"/>
      <c r="E1338" s="470"/>
      <c r="F1338" s="471"/>
      <c r="G1338" s="304" t="s">
        <v>3538</v>
      </c>
      <c r="H1338" s="316" t="s">
        <v>3536</v>
      </c>
      <c r="I1338" s="468"/>
      <c r="J1338" s="348">
        <v>603000</v>
      </c>
      <c r="K1338" s="468"/>
    </row>
    <row r="1339" spans="1:11" ht="15.75" customHeight="1">
      <c r="A1339" s="465"/>
      <c r="B1339" s="467"/>
      <c r="C1339" s="465"/>
      <c r="D1339" s="465"/>
      <c r="E1339" s="470"/>
      <c r="F1339" s="471"/>
      <c r="G1339" s="304" t="s">
        <v>3539</v>
      </c>
      <c r="H1339" s="316" t="s">
        <v>3536</v>
      </c>
      <c r="I1339" s="468"/>
      <c r="J1339" s="348">
        <v>1223000</v>
      </c>
      <c r="K1339" s="468"/>
    </row>
    <row r="1340" spans="1:11" ht="15.75" customHeight="1">
      <c r="A1340" s="465"/>
      <c r="B1340" s="467"/>
      <c r="C1340" s="465"/>
      <c r="D1340" s="465"/>
      <c r="E1340" s="470"/>
      <c r="F1340" s="471"/>
      <c r="G1340" s="304" t="s">
        <v>3540</v>
      </c>
      <c r="H1340" s="316" t="s">
        <v>3536</v>
      </c>
      <c r="I1340" s="468"/>
      <c r="J1340" s="348">
        <v>773000</v>
      </c>
      <c r="K1340" s="468"/>
    </row>
    <row r="1341" spans="1:11" ht="15.75" customHeight="1">
      <c r="A1341" s="465"/>
      <c r="B1341" s="467"/>
      <c r="C1341" s="465"/>
      <c r="D1341" s="465"/>
      <c r="E1341" s="470"/>
      <c r="F1341" s="471"/>
      <c r="G1341" s="304" t="s">
        <v>3542</v>
      </c>
      <c r="H1341" s="316" t="s">
        <v>3536</v>
      </c>
      <c r="I1341" s="468"/>
      <c r="J1341" s="348">
        <v>2933000</v>
      </c>
      <c r="K1341" s="468"/>
    </row>
    <row r="1342" spans="1:11" ht="15.75" customHeight="1">
      <c r="A1342" s="465"/>
      <c r="B1342" s="467"/>
      <c r="C1342" s="465"/>
      <c r="D1342" s="465"/>
      <c r="E1342" s="470"/>
      <c r="F1342" s="471"/>
      <c r="G1342" s="304" t="s">
        <v>2271</v>
      </c>
      <c r="H1342" s="316" t="s">
        <v>3536</v>
      </c>
      <c r="I1342" s="468"/>
      <c r="J1342" s="348">
        <v>1003000</v>
      </c>
      <c r="K1342" s="468"/>
    </row>
    <row r="1343" spans="1:11" ht="15.75" customHeight="1">
      <c r="A1343" s="465"/>
      <c r="B1343" s="467"/>
      <c r="C1343" s="465"/>
      <c r="D1343" s="465"/>
      <c r="E1343" s="470"/>
      <c r="F1343" s="471"/>
      <c r="G1343" s="304" t="s">
        <v>2272</v>
      </c>
      <c r="H1343" s="316" t="s">
        <v>3536</v>
      </c>
      <c r="I1343" s="468"/>
      <c r="J1343" s="348">
        <v>1893000</v>
      </c>
      <c r="K1343" s="468"/>
    </row>
    <row r="1344" spans="1:11" ht="15.75" customHeight="1">
      <c r="A1344" s="465"/>
      <c r="B1344" s="467"/>
      <c r="C1344" s="465"/>
      <c r="D1344" s="465"/>
      <c r="E1344" s="470"/>
      <c r="F1344" s="471"/>
      <c r="G1344" s="304" t="s">
        <v>3543</v>
      </c>
      <c r="H1344" s="316" t="s">
        <v>3536</v>
      </c>
      <c r="I1344" s="468"/>
      <c r="J1344" s="348">
        <v>2403000</v>
      </c>
      <c r="K1344" s="468"/>
    </row>
    <row r="1345" spans="1:11" ht="15.75" customHeight="1">
      <c r="A1345" s="465"/>
      <c r="B1345" s="467"/>
      <c r="C1345" s="465"/>
      <c r="D1345" s="465"/>
      <c r="E1345" s="470"/>
      <c r="F1345" s="471"/>
      <c r="G1345" s="304" t="s">
        <v>3544</v>
      </c>
      <c r="H1345" s="316" t="s">
        <v>3541</v>
      </c>
      <c r="I1345" s="468"/>
      <c r="J1345" s="348">
        <v>15000450</v>
      </c>
      <c r="K1345" s="468"/>
    </row>
    <row r="1346" spans="1:11" ht="15.75" customHeight="1">
      <c r="A1346" s="465"/>
      <c r="B1346" s="467"/>
      <c r="C1346" s="465"/>
      <c r="D1346" s="465"/>
      <c r="E1346" s="470"/>
      <c r="F1346" s="471"/>
      <c r="G1346" s="304" t="s">
        <v>3545</v>
      </c>
      <c r="H1346" s="316" t="s">
        <v>3541</v>
      </c>
      <c r="I1346" s="468"/>
      <c r="J1346" s="348">
        <v>15000450</v>
      </c>
      <c r="K1346" s="468"/>
    </row>
    <row r="1347" spans="1:11" ht="15.75" customHeight="1">
      <c r="A1347" s="465"/>
      <c r="B1347" s="467"/>
      <c r="C1347" s="465"/>
      <c r="D1347" s="465"/>
      <c r="E1347" s="470"/>
      <c r="F1347" s="471"/>
      <c r="G1347" s="304" t="s">
        <v>3547</v>
      </c>
      <c r="H1347" s="316" t="s">
        <v>3541</v>
      </c>
      <c r="I1347" s="468"/>
      <c r="J1347" s="348">
        <v>15000450</v>
      </c>
      <c r="K1347" s="468"/>
    </row>
    <row r="1348" spans="1:11" ht="15.75" customHeight="1">
      <c r="A1348" s="465"/>
      <c r="B1348" s="467"/>
      <c r="C1348" s="465"/>
      <c r="D1348" s="465"/>
      <c r="E1348" s="470"/>
      <c r="F1348" s="471"/>
      <c r="G1348" s="304" t="s">
        <v>3548</v>
      </c>
      <c r="H1348" s="316" t="s">
        <v>3541</v>
      </c>
      <c r="I1348" s="468"/>
      <c r="J1348" s="348">
        <v>15000450</v>
      </c>
      <c r="K1348" s="468"/>
    </row>
    <row r="1349" spans="1:11" ht="15.75" customHeight="1">
      <c r="A1349" s="465"/>
      <c r="B1349" s="467"/>
      <c r="C1349" s="465"/>
      <c r="D1349" s="465"/>
      <c r="E1349" s="470"/>
      <c r="F1349" s="471"/>
      <c r="G1349" s="304" t="s">
        <v>3549</v>
      </c>
      <c r="H1349" s="316" t="s">
        <v>3541</v>
      </c>
      <c r="I1349" s="468"/>
      <c r="J1349" s="348">
        <v>15003000</v>
      </c>
      <c r="K1349" s="468"/>
    </row>
    <row r="1350" spans="1:11" ht="15.75" customHeight="1">
      <c r="A1350" s="465"/>
      <c r="B1350" s="467"/>
      <c r="C1350" s="465"/>
      <c r="D1350" s="465"/>
      <c r="E1350" s="470"/>
      <c r="F1350" s="471"/>
      <c r="G1350" s="304" t="s">
        <v>3550</v>
      </c>
      <c r="H1350" s="316" t="s">
        <v>3541</v>
      </c>
      <c r="I1350" s="468"/>
      <c r="J1350" s="348">
        <v>10000450</v>
      </c>
      <c r="K1350" s="468"/>
    </row>
    <row r="1351" spans="1:11" ht="15.75" customHeight="1">
      <c r="A1351" s="465"/>
      <c r="B1351" s="467"/>
      <c r="C1351" s="465"/>
      <c r="D1351" s="465"/>
      <c r="E1351" s="470"/>
      <c r="F1351" s="471"/>
      <c r="G1351" s="304" t="s">
        <v>3551</v>
      </c>
      <c r="H1351" s="316" t="s">
        <v>3541</v>
      </c>
      <c r="I1351" s="468"/>
      <c r="J1351" s="348">
        <v>10003000</v>
      </c>
      <c r="K1351" s="468"/>
    </row>
    <row r="1352" spans="1:11" ht="15.75" customHeight="1">
      <c r="A1352" s="465"/>
      <c r="B1352" s="467"/>
      <c r="C1352" s="465"/>
      <c r="D1352" s="465"/>
      <c r="E1352" s="470"/>
      <c r="F1352" s="471"/>
      <c r="G1352" s="304" t="s">
        <v>3552</v>
      </c>
      <c r="H1352" s="316" t="s">
        <v>3541</v>
      </c>
      <c r="I1352" s="468"/>
      <c r="J1352" s="348">
        <v>10000450</v>
      </c>
      <c r="K1352" s="468"/>
    </row>
    <row r="1353" spans="1:11" ht="15.75" customHeight="1">
      <c r="A1353" s="465"/>
      <c r="B1353" s="467"/>
      <c r="C1353" s="465"/>
      <c r="D1353" s="465"/>
      <c r="E1353" s="470"/>
      <c r="F1353" s="471"/>
      <c r="G1353" s="304" t="s">
        <v>3553</v>
      </c>
      <c r="H1353" s="316" t="s">
        <v>3541</v>
      </c>
      <c r="I1353" s="468"/>
      <c r="J1353" s="348">
        <v>10000450</v>
      </c>
      <c r="K1353" s="468"/>
    </row>
    <row r="1354" spans="1:11" ht="15.75" customHeight="1">
      <c r="A1354" s="465"/>
      <c r="B1354" s="467"/>
      <c r="C1354" s="465"/>
      <c r="D1354" s="465"/>
      <c r="E1354" s="470"/>
      <c r="F1354" s="471"/>
      <c r="G1354" s="304" t="s">
        <v>3554</v>
      </c>
      <c r="H1354" s="316" t="s">
        <v>3541</v>
      </c>
      <c r="I1354" s="468"/>
      <c r="J1354" s="348">
        <v>15000450</v>
      </c>
      <c r="K1354" s="468"/>
    </row>
    <row r="1355" spans="1:11" ht="15.75" customHeight="1">
      <c r="A1355" s="465"/>
      <c r="B1355" s="467"/>
      <c r="C1355" s="465"/>
      <c r="D1355" s="465"/>
      <c r="E1355" s="470"/>
      <c r="F1355" s="471"/>
      <c r="G1355" s="304" t="s">
        <v>3555</v>
      </c>
      <c r="H1355" s="316" t="s">
        <v>3541</v>
      </c>
      <c r="I1355" s="468"/>
      <c r="J1355" s="348">
        <v>15000450</v>
      </c>
      <c r="K1355" s="468"/>
    </row>
    <row r="1356" spans="1:11" ht="15.75" customHeight="1">
      <c r="A1356" s="465"/>
      <c r="B1356" s="467"/>
      <c r="C1356" s="465"/>
      <c r="D1356" s="465"/>
      <c r="E1356" s="470"/>
      <c r="F1356" s="471"/>
      <c r="G1356" s="304" t="s">
        <v>3556</v>
      </c>
      <c r="H1356" s="316" t="s">
        <v>3541</v>
      </c>
      <c r="I1356" s="468"/>
      <c r="J1356" s="348">
        <v>17500450</v>
      </c>
      <c r="K1356" s="468"/>
    </row>
    <row r="1357" spans="1:11" ht="15.75" customHeight="1">
      <c r="A1357" s="465"/>
      <c r="B1357" s="467"/>
      <c r="C1357" s="465"/>
      <c r="D1357" s="465"/>
      <c r="E1357" s="470"/>
      <c r="F1357" s="471"/>
      <c r="G1357" s="304" t="s">
        <v>3557</v>
      </c>
      <c r="H1357" s="316" t="s">
        <v>3541</v>
      </c>
      <c r="I1357" s="468"/>
      <c r="J1357" s="348">
        <v>12500450</v>
      </c>
      <c r="K1357" s="468"/>
    </row>
    <row r="1358" spans="1:11" ht="15.75" customHeight="1">
      <c r="A1358" s="465"/>
      <c r="B1358" s="467"/>
      <c r="C1358" s="465"/>
      <c r="D1358" s="465"/>
      <c r="E1358" s="470"/>
      <c r="F1358" s="471"/>
      <c r="G1358" s="304" t="s">
        <v>3558</v>
      </c>
      <c r="H1358" s="316" t="s">
        <v>3541</v>
      </c>
      <c r="I1358" s="468"/>
      <c r="J1358" s="348">
        <v>15000450</v>
      </c>
      <c r="K1358" s="468"/>
    </row>
    <row r="1359" spans="1:11" ht="15.75" customHeight="1">
      <c r="A1359" s="465"/>
      <c r="B1359" s="467"/>
      <c r="C1359" s="465"/>
      <c r="D1359" s="465"/>
      <c r="E1359" s="470"/>
      <c r="F1359" s="471"/>
      <c r="G1359" s="304" t="s">
        <v>3559</v>
      </c>
      <c r="H1359" s="316" t="s">
        <v>3541</v>
      </c>
      <c r="I1359" s="468"/>
      <c r="J1359" s="348">
        <v>15000450</v>
      </c>
      <c r="K1359" s="468"/>
    </row>
    <row r="1360" spans="1:11" ht="15.75" customHeight="1">
      <c r="A1360" s="465"/>
      <c r="B1360" s="467"/>
      <c r="C1360" s="465"/>
      <c r="D1360" s="465"/>
      <c r="E1360" s="470"/>
      <c r="F1360" s="471"/>
      <c r="G1360" s="304" t="s">
        <v>3560</v>
      </c>
      <c r="H1360" s="316" t="s">
        <v>3541</v>
      </c>
      <c r="I1360" s="468"/>
      <c r="J1360" s="348">
        <v>12500450</v>
      </c>
      <c r="K1360" s="468"/>
    </row>
    <row r="1361" spans="1:11" ht="15.75" customHeight="1">
      <c r="A1361" s="465"/>
      <c r="B1361" s="467"/>
      <c r="C1361" s="465"/>
      <c r="D1361" s="465"/>
      <c r="E1361" s="470"/>
      <c r="F1361" s="471"/>
      <c r="G1361" s="304" t="s">
        <v>3561</v>
      </c>
      <c r="H1361" s="316" t="s">
        <v>3541</v>
      </c>
      <c r="I1361" s="468"/>
      <c r="J1361" s="348">
        <v>5000450</v>
      </c>
      <c r="K1361" s="468"/>
    </row>
    <row r="1362" spans="1:11" ht="15.75" customHeight="1">
      <c r="A1362" s="465"/>
      <c r="B1362" s="467"/>
      <c r="C1362" s="465"/>
      <c r="D1362" s="465"/>
      <c r="E1362" s="470"/>
      <c r="F1362" s="471"/>
      <c r="G1362" s="304" t="s">
        <v>3562</v>
      </c>
      <c r="H1362" s="316" t="s">
        <v>3541</v>
      </c>
      <c r="I1362" s="468"/>
      <c r="J1362" s="348">
        <v>5000450</v>
      </c>
      <c r="K1362" s="468"/>
    </row>
    <row r="1363" spans="1:11" ht="15.75" customHeight="1">
      <c r="A1363" s="465"/>
      <c r="B1363" s="467"/>
      <c r="C1363" s="465"/>
      <c r="D1363" s="465"/>
      <c r="E1363" s="470"/>
      <c r="F1363" s="471"/>
      <c r="G1363" s="304" t="s">
        <v>3563</v>
      </c>
      <c r="H1363" s="316" t="s">
        <v>3541</v>
      </c>
      <c r="I1363" s="468"/>
      <c r="J1363" s="348">
        <v>15000450</v>
      </c>
      <c r="K1363" s="468"/>
    </row>
    <row r="1364" spans="1:11" ht="15.75" customHeight="1">
      <c r="A1364" s="465"/>
      <c r="B1364" s="467"/>
      <c r="C1364" s="465"/>
      <c r="D1364" s="465"/>
      <c r="E1364" s="470"/>
      <c r="F1364" s="471"/>
      <c r="G1364" s="304" t="s">
        <v>3564</v>
      </c>
      <c r="H1364" s="316" t="s">
        <v>3541</v>
      </c>
      <c r="I1364" s="468"/>
      <c r="J1364" s="348">
        <v>15000450</v>
      </c>
      <c r="K1364" s="468"/>
    </row>
    <row r="1365" spans="1:11" ht="15.75" customHeight="1">
      <c r="A1365" s="465"/>
      <c r="B1365" s="467"/>
      <c r="C1365" s="465"/>
      <c r="D1365" s="465"/>
      <c r="E1365" s="470"/>
      <c r="F1365" s="471"/>
      <c r="G1365" s="304" t="s">
        <v>3565</v>
      </c>
      <c r="H1365" s="316" t="s">
        <v>3541</v>
      </c>
      <c r="I1365" s="468"/>
      <c r="J1365" s="348">
        <v>15000450</v>
      </c>
      <c r="K1365" s="468"/>
    </row>
    <row r="1366" spans="1:11" ht="15.75" customHeight="1">
      <c r="A1366" s="465"/>
      <c r="B1366" s="467"/>
      <c r="C1366" s="465"/>
      <c r="D1366" s="465"/>
      <c r="E1366" s="470"/>
      <c r="F1366" s="471"/>
      <c r="G1366" s="304" t="s">
        <v>3566</v>
      </c>
      <c r="H1366" s="316" t="s">
        <v>3541</v>
      </c>
      <c r="I1366" s="468"/>
      <c r="J1366" s="348">
        <v>6000450</v>
      </c>
      <c r="K1366" s="468"/>
    </row>
    <row r="1367" spans="1:11" ht="15.75" customHeight="1">
      <c r="A1367" s="465"/>
      <c r="B1367" s="467"/>
      <c r="C1367" s="465"/>
      <c r="D1367" s="465"/>
      <c r="E1367" s="470"/>
      <c r="F1367" s="471"/>
      <c r="G1367" s="304" t="s">
        <v>3567</v>
      </c>
      <c r="H1367" s="316" t="s">
        <v>3541</v>
      </c>
      <c r="I1367" s="468"/>
      <c r="J1367" s="348">
        <v>15000450</v>
      </c>
      <c r="K1367" s="468"/>
    </row>
    <row r="1368" spans="1:11" ht="15.75" customHeight="1">
      <c r="A1368" s="465"/>
      <c r="B1368" s="467"/>
      <c r="C1368" s="465"/>
      <c r="D1368" s="465"/>
      <c r="E1368" s="470"/>
      <c r="F1368" s="471"/>
      <c r="G1368" s="304" t="s">
        <v>3568</v>
      </c>
      <c r="H1368" s="316" t="s">
        <v>3541</v>
      </c>
      <c r="I1368" s="468"/>
      <c r="J1368" s="348">
        <v>15000450</v>
      </c>
      <c r="K1368" s="468"/>
    </row>
    <row r="1369" spans="1:11" ht="15.75" customHeight="1">
      <c r="A1369" s="465"/>
      <c r="B1369" s="467"/>
      <c r="C1369" s="465"/>
      <c r="D1369" s="465"/>
      <c r="E1369" s="470"/>
      <c r="F1369" s="471"/>
      <c r="G1369" s="304" t="s">
        <v>3569</v>
      </c>
      <c r="H1369" s="316" t="s">
        <v>3541</v>
      </c>
      <c r="I1369" s="468"/>
      <c r="J1369" s="348">
        <v>15000450</v>
      </c>
      <c r="K1369" s="468"/>
    </row>
    <row r="1370" spans="1:11" ht="15.75" customHeight="1">
      <c r="A1370" s="465"/>
      <c r="B1370" s="467"/>
      <c r="C1370" s="465"/>
      <c r="D1370" s="465"/>
      <c r="E1370" s="470"/>
      <c r="F1370" s="471"/>
      <c r="G1370" s="304" t="s">
        <v>3570</v>
      </c>
      <c r="H1370" s="316" t="s">
        <v>3541</v>
      </c>
      <c r="I1370" s="468"/>
      <c r="J1370" s="348">
        <v>15000450</v>
      </c>
      <c r="K1370" s="468"/>
    </row>
    <row r="1371" spans="1:11" ht="15.75" customHeight="1">
      <c r="A1371" s="465"/>
      <c r="B1371" s="467"/>
      <c r="C1371" s="465"/>
      <c r="D1371" s="465"/>
      <c r="E1371" s="470"/>
      <c r="F1371" s="471"/>
      <c r="G1371" s="304" t="s">
        <v>3571</v>
      </c>
      <c r="H1371" s="316" t="s">
        <v>3541</v>
      </c>
      <c r="I1371" s="468"/>
      <c r="J1371" s="348">
        <v>12503000</v>
      </c>
      <c r="K1371" s="468"/>
    </row>
    <row r="1372" spans="1:11" ht="15.75" customHeight="1">
      <c r="A1372" s="465"/>
      <c r="B1372" s="467"/>
      <c r="C1372" s="465"/>
      <c r="D1372" s="465"/>
      <c r="E1372" s="470"/>
      <c r="F1372" s="471"/>
      <c r="G1372" s="304" t="s">
        <v>3572</v>
      </c>
      <c r="H1372" s="316" t="s">
        <v>3541</v>
      </c>
      <c r="I1372" s="468"/>
      <c r="J1372" s="348">
        <v>15000450</v>
      </c>
      <c r="K1372" s="468"/>
    </row>
    <row r="1373" spans="1:11" ht="15.75" customHeight="1">
      <c r="A1373" s="465"/>
      <c r="B1373" s="467"/>
      <c r="C1373" s="465"/>
      <c r="D1373" s="465"/>
      <c r="E1373" s="470"/>
      <c r="F1373" s="471"/>
      <c r="G1373" s="304" t="s">
        <v>3573</v>
      </c>
      <c r="H1373" s="316" t="s">
        <v>3541</v>
      </c>
      <c r="I1373" s="468"/>
      <c r="J1373" s="348">
        <v>12503000</v>
      </c>
      <c r="K1373" s="468"/>
    </row>
    <row r="1374" spans="1:11" ht="15.75" customHeight="1">
      <c r="A1374" s="465"/>
      <c r="B1374" s="467"/>
      <c r="C1374" s="465"/>
      <c r="D1374" s="465"/>
      <c r="E1374" s="470"/>
      <c r="F1374" s="471"/>
      <c r="G1374" s="304" t="s">
        <v>3574</v>
      </c>
      <c r="H1374" s="316" t="s">
        <v>3541</v>
      </c>
      <c r="I1374" s="468"/>
      <c r="J1374" s="348">
        <v>20000450</v>
      </c>
      <c r="K1374" s="468"/>
    </row>
    <row r="1375" spans="1:11" ht="15.75" customHeight="1">
      <c r="A1375" s="465"/>
      <c r="B1375" s="467"/>
      <c r="C1375" s="465"/>
      <c r="D1375" s="465"/>
      <c r="E1375" s="470"/>
      <c r="F1375" s="471"/>
      <c r="G1375" s="304" t="s">
        <v>3575</v>
      </c>
      <c r="H1375" s="316" t="s">
        <v>3541</v>
      </c>
      <c r="I1375" s="468"/>
      <c r="J1375" s="348">
        <v>15000450</v>
      </c>
      <c r="K1375" s="468"/>
    </row>
    <row r="1376" spans="1:11" ht="15.75" customHeight="1">
      <c r="A1376" s="465"/>
      <c r="B1376" s="467"/>
      <c r="C1376" s="465"/>
      <c r="D1376" s="465"/>
      <c r="E1376" s="470"/>
      <c r="F1376" s="471"/>
      <c r="G1376" s="304" t="s">
        <v>3576</v>
      </c>
      <c r="H1376" s="316" t="s">
        <v>3541</v>
      </c>
      <c r="I1376" s="468"/>
      <c r="J1376" s="348">
        <v>10000450</v>
      </c>
      <c r="K1376" s="468"/>
    </row>
    <row r="1377" spans="1:11" ht="15.75" customHeight="1">
      <c r="A1377" s="465"/>
      <c r="B1377" s="467"/>
      <c r="C1377" s="465"/>
      <c r="D1377" s="465"/>
      <c r="E1377" s="470"/>
      <c r="F1377" s="471"/>
      <c r="G1377" s="304" t="s">
        <v>3577</v>
      </c>
      <c r="H1377" s="316" t="s">
        <v>3541</v>
      </c>
      <c r="I1377" s="468"/>
      <c r="J1377" s="348">
        <v>15000450</v>
      </c>
      <c r="K1377" s="468"/>
    </row>
    <row r="1378" spans="1:11" ht="15.75" customHeight="1">
      <c r="A1378" s="465"/>
      <c r="B1378" s="467"/>
      <c r="C1378" s="465"/>
      <c r="D1378" s="465"/>
      <c r="E1378" s="470"/>
      <c r="F1378" s="471"/>
      <c r="G1378" s="304" t="s">
        <v>3578</v>
      </c>
      <c r="H1378" s="316" t="s">
        <v>3541</v>
      </c>
      <c r="I1378" s="468"/>
      <c r="J1378" s="348">
        <v>15000450</v>
      </c>
      <c r="K1378" s="468"/>
    </row>
    <row r="1379" spans="1:11" ht="15.75" customHeight="1">
      <c r="A1379" s="465"/>
      <c r="B1379" s="467"/>
      <c r="C1379" s="465"/>
      <c r="D1379" s="465"/>
      <c r="E1379" s="470"/>
      <c r="F1379" s="471"/>
      <c r="G1379" s="304" t="s">
        <v>3579</v>
      </c>
      <c r="H1379" s="316" t="s">
        <v>3541</v>
      </c>
      <c r="I1379" s="468"/>
      <c r="J1379" s="348">
        <v>20000450</v>
      </c>
      <c r="K1379" s="468"/>
    </row>
    <row r="1380" spans="1:11" ht="15.75" customHeight="1">
      <c r="A1380" s="465"/>
      <c r="B1380" s="467"/>
      <c r="C1380" s="465"/>
      <c r="D1380" s="465"/>
      <c r="E1380" s="470"/>
      <c r="F1380" s="471"/>
      <c r="G1380" s="304" t="s">
        <v>3580</v>
      </c>
      <c r="H1380" s="316" t="s">
        <v>3541</v>
      </c>
      <c r="I1380" s="468"/>
      <c r="J1380" s="348">
        <v>15000450</v>
      </c>
      <c r="K1380" s="468"/>
    </row>
    <row r="1381" spans="1:11" ht="15.75" customHeight="1">
      <c r="A1381" s="465"/>
      <c r="B1381" s="467"/>
      <c r="C1381" s="465"/>
      <c r="D1381" s="465"/>
      <c r="E1381" s="470"/>
      <c r="F1381" s="471"/>
      <c r="G1381" s="304" t="s">
        <v>3581</v>
      </c>
      <c r="H1381" s="316" t="s">
        <v>3541</v>
      </c>
      <c r="I1381" s="468"/>
      <c r="J1381" s="348">
        <v>15000450</v>
      </c>
      <c r="K1381" s="468"/>
    </row>
    <row r="1382" spans="1:11" ht="15.75" customHeight="1">
      <c r="A1382" s="465"/>
      <c r="B1382" s="467"/>
      <c r="C1382" s="465"/>
      <c r="D1382" s="465"/>
      <c r="E1382" s="470"/>
      <c r="F1382" s="471"/>
      <c r="G1382" s="304" t="s">
        <v>3582</v>
      </c>
      <c r="H1382" s="316" t="s">
        <v>3541</v>
      </c>
      <c r="I1382" s="468"/>
      <c r="J1382" s="348">
        <v>15000450</v>
      </c>
      <c r="K1382" s="468"/>
    </row>
    <row r="1383" spans="1:11" ht="15.75" customHeight="1">
      <c r="A1383" s="465"/>
      <c r="B1383" s="467"/>
      <c r="C1383" s="465"/>
      <c r="D1383" s="465"/>
      <c r="E1383" s="470"/>
      <c r="F1383" s="471"/>
      <c r="G1383" s="304" t="s">
        <v>3583</v>
      </c>
      <c r="H1383" s="316" t="s">
        <v>3541</v>
      </c>
      <c r="I1383" s="468"/>
      <c r="J1383" s="348">
        <v>20000450</v>
      </c>
      <c r="K1383" s="468"/>
    </row>
    <row r="1384" spans="1:11" ht="15.75" customHeight="1">
      <c r="A1384" s="465"/>
      <c r="B1384" s="467"/>
      <c r="C1384" s="465"/>
      <c r="D1384" s="465"/>
      <c r="E1384" s="470"/>
      <c r="F1384" s="471"/>
      <c r="G1384" s="304" t="s">
        <v>3584</v>
      </c>
      <c r="H1384" s="316" t="s">
        <v>3541</v>
      </c>
      <c r="I1384" s="468"/>
      <c r="J1384" s="348">
        <v>15000450</v>
      </c>
      <c r="K1384" s="468"/>
    </row>
    <row r="1385" spans="1:11" ht="15.75" customHeight="1">
      <c r="A1385" s="465"/>
      <c r="B1385" s="467"/>
      <c r="C1385" s="465"/>
      <c r="D1385" s="465"/>
      <c r="E1385" s="470"/>
      <c r="F1385" s="471"/>
      <c r="G1385" s="304" t="s">
        <v>3585</v>
      </c>
      <c r="H1385" s="316" t="s">
        <v>3541</v>
      </c>
      <c r="I1385" s="468"/>
      <c r="J1385" s="348">
        <v>10000450</v>
      </c>
      <c r="K1385" s="468"/>
    </row>
    <row r="1386" spans="1:11" ht="15.75" customHeight="1">
      <c r="A1386" s="465"/>
      <c r="B1386" s="467"/>
      <c r="C1386" s="465"/>
      <c r="D1386" s="465"/>
      <c r="E1386" s="470"/>
      <c r="F1386" s="471"/>
      <c r="G1386" s="304" t="s">
        <v>3586</v>
      </c>
      <c r="H1386" s="316" t="s">
        <v>3541</v>
      </c>
      <c r="I1386" s="468"/>
      <c r="J1386" s="348">
        <v>12500450</v>
      </c>
      <c r="K1386" s="468"/>
    </row>
    <row r="1387" spans="1:11" ht="15.75" customHeight="1">
      <c r="A1387" s="465"/>
      <c r="B1387" s="467"/>
      <c r="C1387" s="465"/>
      <c r="D1387" s="465"/>
      <c r="E1387" s="470"/>
      <c r="F1387" s="471"/>
      <c r="G1387" s="304" t="s">
        <v>3587</v>
      </c>
      <c r="H1387" s="316" t="s">
        <v>3541</v>
      </c>
      <c r="I1387" s="468"/>
      <c r="J1387" s="348">
        <v>5000450</v>
      </c>
      <c r="K1387" s="468"/>
    </row>
    <row r="1388" spans="1:11" ht="15.75" customHeight="1">
      <c r="A1388" s="465"/>
      <c r="B1388" s="467"/>
      <c r="C1388" s="465"/>
      <c r="D1388" s="465"/>
      <c r="E1388" s="470"/>
      <c r="F1388" s="471"/>
      <c r="G1388" s="304" t="s">
        <v>3588</v>
      </c>
      <c r="H1388" s="316" t="s">
        <v>3541</v>
      </c>
      <c r="I1388" s="468"/>
      <c r="J1388" s="348">
        <v>15000450</v>
      </c>
      <c r="K1388" s="468"/>
    </row>
    <row r="1389" spans="1:11" ht="15.75" customHeight="1">
      <c r="A1389" s="465"/>
      <c r="B1389" s="467"/>
      <c r="C1389" s="465"/>
      <c r="D1389" s="465"/>
      <c r="E1389" s="470"/>
      <c r="F1389" s="471"/>
      <c r="G1389" s="304" t="s">
        <v>3589</v>
      </c>
      <c r="H1389" s="316" t="s">
        <v>3541</v>
      </c>
      <c r="I1389" s="468"/>
      <c r="J1389" s="348">
        <v>12500450</v>
      </c>
      <c r="K1389" s="468"/>
    </row>
    <row r="1390" spans="1:11" ht="15.75" customHeight="1">
      <c r="A1390" s="465"/>
      <c r="B1390" s="467"/>
      <c r="C1390" s="465"/>
      <c r="D1390" s="465"/>
      <c r="E1390" s="470"/>
      <c r="F1390" s="471"/>
      <c r="G1390" s="304" t="s">
        <v>3590</v>
      </c>
      <c r="H1390" s="316" t="s">
        <v>3546</v>
      </c>
      <c r="I1390" s="468"/>
      <c r="J1390" s="348">
        <v>8603000</v>
      </c>
      <c r="K1390" s="468"/>
    </row>
    <row r="1391" spans="1:11" ht="15.75" customHeight="1">
      <c r="A1391" s="465"/>
      <c r="B1391" s="467"/>
      <c r="C1391" s="465"/>
      <c r="D1391" s="465"/>
      <c r="E1391" s="470"/>
      <c r="F1391" s="471"/>
      <c r="G1391" s="304" t="s">
        <v>3591</v>
      </c>
      <c r="H1391" s="316" t="s">
        <v>3546</v>
      </c>
      <c r="I1391" s="468"/>
      <c r="J1391" s="348">
        <v>8803000</v>
      </c>
      <c r="K1391" s="468"/>
    </row>
    <row r="1392" spans="1:11" ht="15.75" customHeight="1">
      <c r="A1392" s="465"/>
      <c r="B1392" s="467"/>
      <c r="C1392" s="465"/>
      <c r="D1392" s="465"/>
      <c r="E1392" s="470"/>
      <c r="F1392" s="471"/>
      <c r="G1392" s="304" t="s">
        <v>3592</v>
      </c>
      <c r="H1392" s="316" t="s">
        <v>3546</v>
      </c>
      <c r="I1392" s="468"/>
      <c r="J1392" s="348">
        <v>180018000</v>
      </c>
      <c r="K1392" s="468"/>
    </row>
    <row r="1393" spans="1:11" ht="15.75" customHeight="1">
      <c r="A1393" s="465"/>
      <c r="B1393" s="467"/>
      <c r="C1393" s="465"/>
      <c r="D1393" s="465"/>
      <c r="E1393" s="470"/>
      <c r="F1393" s="471"/>
      <c r="G1393" s="304" t="s">
        <v>3593</v>
      </c>
      <c r="H1393" s="316" t="s">
        <v>3546</v>
      </c>
      <c r="I1393" s="468"/>
      <c r="J1393" s="348">
        <v>1653000</v>
      </c>
      <c r="K1393" s="468"/>
    </row>
    <row r="1394" spans="1:11" ht="15.75" customHeight="1">
      <c r="A1394" s="465"/>
      <c r="B1394" s="467"/>
      <c r="C1394" s="465"/>
      <c r="D1394" s="465"/>
      <c r="E1394" s="470"/>
      <c r="F1394" s="471"/>
      <c r="G1394" s="304" t="s">
        <v>3594</v>
      </c>
      <c r="H1394" s="316" t="s">
        <v>3546</v>
      </c>
      <c r="I1394" s="468"/>
      <c r="J1394" s="348">
        <v>153000</v>
      </c>
      <c r="K1394" s="468"/>
    </row>
    <row r="1395" spans="1:11" ht="15.75" customHeight="1">
      <c r="A1395" s="465"/>
      <c r="B1395" s="467"/>
      <c r="C1395" s="465"/>
      <c r="D1395" s="465"/>
      <c r="E1395" s="470"/>
      <c r="F1395" s="471"/>
      <c r="G1395" s="304" t="s">
        <v>3595</v>
      </c>
      <c r="H1395" s="316" t="s">
        <v>3546</v>
      </c>
      <c r="I1395" s="468"/>
      <c r="J1395" s="348">
        <v>1723000</v>
      </c>
      <c r="K1395" s="468"/>
    </row>
    <row r="1396" spans="1:11" ht="15.75" customHeight="1">
      <c r="A1396" s="465"/>
      <c r="B1396" s="467"/>
      <c r="C1396" s="465"/>
      <c r="D1396" s="465"/>
      <c r="E1396" s="470"/>
      <c r="F1396" s="471"/>
      <c r="G1396" s="304" t="s">
        <v>3596</v>
      </c>
      <c r="H1396" s="316" t="s">
        <v>3546</v>
      </c>
      <c r="I1396" s="468"/>
      <c r="J1396" s="348">
        <v>813000</v>
      </c>
      <c r="K1396" s="468"/>
    </row>
    <row r="1397" spans="1:11" ht="15.75" customHeight="1">
      <c r="A1397" s="465"/>
      <c r="B1397" s="467"/>
      <c r="C1397" s="465"/>
      <c r="D1397" s="465"/>
      <c r="E1397" s="470"/>
      <c r="F1397" s="471"/>
      <c r="G1397" s="304" t="s">
        <v>3597</v>
      </c>
      <c r="H1397" s="316" t="s">
        <v>3546</v>
      </c>
      <c r="I1397" s="468"/>
      <c r="J1397" s="348">
        <v>363000</v>
      </c>
      <c r="K1397" s="468"/>
    </row>
    <row r="1398" spans="1:11" ht="15.75" customHeight="1">
      <c r="A1398" s="465"/>
      <c r="B1398" s="467"/>
      <c r="C1398" s="465"/>
      <c r="D1398" s="465"/>
      <c r="E1398" s="470"/>
      <c r="F1398" s="471"/>
      <c r="G1398" s="304" t="s">
        <v>3598</v>
      </c>
      <c r="H1398" s="316" t="s">
        <v>3546</v>
      </c>
      <c r="I1398" s="468"/>
      <c r="J1398" s="348">
        <v>5003000</v>
      </c>
      <c r="K1398" s="468"/>
    </row>
    <row r="1399" spans="1:11" ht="15.75" customHeight="1">
      <c r="A1399" s="465"/>
      <c r="B1399" s="467"/>
      <c r="C1399" s="465"/>
      <c r="D1399" s="465"/>
      <c r="E1399" s="470"/>
      <c r="F1399" s="471"/>
      <c r="G1399" s="304" t="s">
        <v>3599</v>
      </c>
      <c r="H1399" s="316" t="s">
        <v>3546</v>
      </c>
      <c r="I1399" s="468"/>
      <c r="J1399" s="348">
        <v>10003000</v>
      </c>
      <c r="K1399" s="468"/>
    </row>
    <row r="1400" spans="1:11" ht="15.75" customHeight="1">
      <c r="A1400" s="465"/>
      <c r="B1400" s="467"/>
      <c r="C1400" s="465"/>
      <c r="D1400" s="465"/>
      <c r="E1400" s="470"/>
      <c r="F1400" s="471"/>
      <c r="G1400" s="304" t="s">
        <v>3380</v>
      </c>
      <c r="H1400" s="316" t="s">
        <v>3236</v>
      </c>
      <c r="I1400" s="468"/>
      <c r="J1400" s="348">
        <v>15003000</v>
      </c>
      <c r="K1400" s="468"/>
    </row>
    <row r="1401" spans="1:11" ht="15.75" customHeight="1">
      <c r="A1401" s="465"/>
      <c r="B1401" s="467"/>
      <c r="C1401" s="465"/>
      <c r="D1401" s="465"/>
      <c r="E1401" s="470"/>
      <c r="F1401" s="471"/>
      <c r="G1401" s="304" t="s">
        <v>3381</v>
      </c>
      <c r="H1401" s="316" t="s">
        <v>3236</v>
      </c>
      <c r="I1401" s="468"/>
      <c r="J1401" s="348">
        <v>15003000</v>
      </c>
      <c r="K1401" s="468"/>
    </row>
    <row r="1402" spans="1:11" ht="15.75" customHeight="1">
      <c r="A1402" s="465"/>
      <c r="B1402" s="467"/>
      <c r="C1402" s="465"/>
      <c r="D1402" s="465"/>
      <c r="E1402" s="470"/>
      <c r="F1402" s="471"/>
      <c r="G1402" s="304" t="s">
        <v>1694</v>
      </c>
      <c r="H1402" s="316" t="s">
        <v>3236</v>
      </c>
      <c r="I1402" s="468"/>
      <c r="J1402" s="348">
        <v>80008000</v>
      </c>
      <c r="K1402" s="468"/>
    </row>
    <row r="1403" spans="1:11" ht="15.75" customHeight="1">
      <c r="A1403" s="465"/>
      <c r="B1403" s="467"/>
      <c r="C1403" s="465"/>
      <c r="D1403" s="465"/>
      <c r="E1403" s="470"/>
      <c r="F1403" s="471"/>
      <c r="G1403" s="304" t="s">
        <v>2737</v>
      </c>
      <c r="H1403" s="316" t="s">
        <v>3236</v>
      </c>
      <c r="I1403" s="468"/>
      <c r="J1403" s="348">
        <v>60006000</v>
      </c>
      <c r="K1403" s="468"/>
    </row>
    <row r="1404" spans="1:11" ht="15.75" customHeight="1">
      <c r="A1404" s="465"/>
      <c r="B1404" s="467"/>
      <c r="C1404" s="465"/>
      <c r="D1404" s="465"/>
      <c r="E1404" s="470"/>
      <c r="F1404" s="471"/>
      <c r="G1404" s="304" t="s">
        <v>3600</v>
      </c>
      <c r="H1404" s="316" t="s">
        <v>3236</v>
      </c>
      <c r="I1404" s="468"/>
      <c r="J1404" s="348">
        <v>3003000</v>
      </c>
      <c r="K1404" s="468"/>
    </row>
    <row r="1405" spans="1:11" ht="15.75" customHeight="1">
      <c r="A1405" s="465"/>
      <c r="B1405" s="467"/>
      <c r="C1405" s="465"/>
      <c r="D1405" s="465"/>
      <c r="E1405" s="470"/>
      <c r="F1405" s="471"/>
      <c r="G1405" s="304" t="s">
        <v>3594</v>
      </c>
      <c r="H1405" s="316" t="s">
        <v>3236</v>
      </c>
      <c r="I1405" s="468"/>
      <c r="J1405" s="348">
        <v>1523000</v>
      </c>
      <c r="K1405" s="468"/>
    </row>
    <row r="1406" spans="1:11" ht="15.75" customHeight="1">
      <c r="A1406" s="465"/>
      <c r="B1406" s="467"/>
      <c r="C1406" s="465"/>
      <c r="D1406" s="465"/>
      <c r="E1406" s="470"/>
      <c r="F1406" s="471"/>
      <c r="G1406" s="304" t="s">
        <v>3594</v>
      </c>
      <c r="H1406" s="316" t="s">
        <v>3236</v>
      </c>
      <c r="I1406" s="468"/>
      <c r="J1406" s="348">
        <v>2553000</v>
      </c>
      <c r="K1406" s="468"/>
    </row>
    <row r="1407" spans="1:11" ht="15.75" customHeight="1">
      <c r="A1407" s="465"/>
      <c r="B1407" s="467"/>
      <c r="C1407" s="465"/>
      <c r="D1407" s="465"/>
      <c r="E1407" s="470"/>
      <c r="F1407" s="471"/>
      <c r="G1407" s="304" t="s">
        <v>3601</v>
      </c>
      <c r="H1407" s="316" t="s">
        <v>3236</v>
      </c>
      <c r="I1407" s="468"/>
      <c r="J1407" s="348">
        <v>1693000</v>
      </c>
      <c r="K1407" s="468"/>
    </row>
    <row r="1408" spans="1:11" ht="15.75" customHeight="1">
      <c r="A1408" s="465"/>
      <c r="B1408" s="467"/>
      <c r="C1408" s="465"/>
      <c r="D1408" s="465"/>
      <c r="E1408" s="470"/>
      <c r="F1408" s="471"/>
      <c r="G1408" s="304" t="s">
        <v>3602</v>
      </c>
      <c r="H1408" s="316" t="s">
        <v>3236</v>
      </c>
      <c r="I1408" s="468"/>
      <c r="J1408" s="348">
        <v>453000</v>
      </c>
      <c r="K1408" s="468"/>
    </row>
    <row r="1409" spans="1:11" ht="15.75" customHeight="1">
      <c r="A1409" s="465"/>
      <c r="B1409" s="467"/>
      <c r="C1409" s="465"/>
      <c r="D1409" s="465"/>
      <c r="E1409" s="470"/>
      <c r="F1409" s="471"/>
      <c r="G1409" s="304" t="s">
        <v>1783</v>
      </c>
      <c r="H1409" s="316" t="s">
        <v>3236</v>
      </c>
      <c r="I1409" s="468"/>
      <c r="J1409" s="348">
        <v>15003000</v>
      </c>
      <c r="K1409" s="468"/>
    </row>
    <row r="1410" spans="1:11" ht="15.75" customHeight="1">
      <c r="A1410" s="465"/>
      <c r="B1410" s="467"/>
      <c r="C1410" s="465"/>
      <c r="D1410" s="465"/>
      <c r="E1410" s="470"/>
      <c r="F1410" s="471"/>
      <c r="G1410" s="304" t="s">
        <v>3603</v>
      </c>
      <c r="H1410" s="316" t="s">
        <v>3238</v>
      </c>
      <c r="I1410" s="468"/>
      <c r="J1410" s="348">
        <v>2000075000</v>
      </c>
      <c r="K1410" s="468"/>
    </row>
    <row r="1411" spans="1:11" ht="15.75" customHeight="1">
      <c r="A1411" s="465"/>
      <c r="B1411" s="467"/>
      <c r="C1411" s="465"/>
      <c r="D1411" s="465"/>
      <c r="E1411" s="470"/>
      <c r="F1411" s="471"/>
      <c r="G1411" s="304" t="s">
        <v>3604</v>
      </c>
      <c r="H1411" s="316" t="s">
        <v>3605</v>
      </c>
      <c r="I1411" s="468"/>
      <c r="J1411" s="348">
        <v>104410440</v>
      </c>
      <c r="K1411" s="468"/>
    </row>
    <row r="1412" spans="1:11" ht="15.75" customHeight="1">
      <c r="A1412" s="465"/>
      <c r="B1412" s="467"/>
      <c r="C1412" s="465"/>
      <c r="D1412" s="465"/>
      <c r="E1412" s="470"/>
      <c r="F1412" s="471"/>
      <c r="G1412" s="304" t="s">
        <v>3606</v>
      </c>
      <c r="H1412" s="316" t="s">
        <v>3605</v>
      </c>
      <c r="I1412" s="468"/>
      <c r="J1412" s="348">
        <v>35523550</v>
      </c>
      <c r="K1412" s="468"/>
    </row>
    <row r="1413" spans="1:11" ht="15.75" customHeight="1">
      <c r="A1413" s="465"/>
      <c r="B1413" s="467"/>
      <c r="C1413" s="465"/>
      <c r="D1413" s="465"/>
      <c r="E1413" s="470"/>
      <c r="F1413" s="471"/>
      <c r="G1413" s="304" t="s">
        <v>2755</v>
      </c>
      <c r="H1413" s="316" t="s">
        <v>3605</v>
      </c>
      <c r="I1413" s="468"/>
      <c r="J1413" s="348">
        <v>913000</v>
      </c>
      <c r="K1413" s="468"/>
    </row>
    <row r="1414" spans="1:11" ht="15.75" customHeight="1">
      <c r="A1414" s="465"/>
      <c r="B1414" s="467"/>
      <c r="C1414" s="465"/>
      <c r="D1414" s="465"/>
      <c r="E1414" s="470"/>
      <c r="F1414" s="471"/>
      <c r="G1414" s="304" t="s">
        <v>1362</v>
      </c>
      <c r="H1414" s="316" t="s">
        <v>3605</v>
      </c>
      <c r="I1414" s="468"/>
      <c r="J1414" s="348">
        <v>4003000</v>
      </c>
      <c r="K1414" s="468"/>
    </row>
    <row r="1415" spans="1:11" ht="15.75" customHeight="1">
      <c r="A1415" s="465"/>
      <c r="B1415" s="467"/>
      <c r="C1415" s="465"/>
      <c r="D1415" s="465"/>
      <c r="E1415" s="470"/>
      <c r="F1415" s="471"/>
      <c r="G1415" s="304" t="s">
        <v>3529</v>
      </c>
      <c r="H1415" s="316" t="s">
        <v>3605</v>
      </c>
      <c r="I1415" s="468"/>
      <c r="J1415" s="348">
        <v>273000</v>
      </c>
      <c r="K1415" s="468"/>
    </row>
    <row r="1416" spans="1:11" ht="15.75" customHeight="1">
      <c r="A1416" s="465"/>
      <c r="B1416" s="467"/>
      <c r="C1416" s="465"/>
      <c r="D1416" s="465"/>
      <c r="E1416" s="470"/>
      <c r="F1416" s="471"/>
      <c r="G1416" s="304" t="s">
        <v>3608</v>
      </c>
      <c r="H1416" s="316" t="s">
        <v>3605</v>
      </c>
      <c r="I1416" s="468"/>
      <c r="J1416" s="348">
        <v>4003000</v>
      </c>
      <c r="K1416" s="468"/>
    </row>
    <row r="1417" spans="1:11" ht="15.75" customHeight="1">
      <c r="A1417" s="465"/>
      <c r="B1417" s="467"/>
      <c r="C1417" s="465"/>
      <c r="D1417" s="465"/>
      <c r="E1417" s="470"/>
      <c r="F1417" s="471"/>
      <c r="G1417" s="304" t="s">
        <v>3609</v>
      </c>
      <c r="H1417" s="316" t="s">
        <v>3605</v>
      </c>
      <c r="I1417" s="468"/>
      <c r="J1417" s="348">
        <v>30003000</v>
      </c>
      <c r="K1417" s="468"/>
    </row>
    <row r="1418" spans="1:11" ht="15.75" customHeight="1">
      <c r="A1418" s="465"/>
      <c r="B1418" s="467"/>
      <c r="C1418" s="465"/>
      <c r="D1418" s="465"/>
      <c r="E1418" s="470"/>
      <c r="F1418" s="471"/>
      <c r="G1418" s="304" t="s">
        <v>1858</v>
      </c>
      <c r="H1418" s="316" t="s">
        <v>3607</v>
      </c>
      <c r="I1418" s="468"/>
      <c r="J1418" s="348">
        <v>4003000</v>
      </c>
      <c r="K1418" s="468"/>
    </row>
    <row r="1419" spans="1:11" ht="15.75" customHeight="1">
      <c r="A1419" s="465"/>
      <c r="B1419" s="467"/>
      <c r="C1419" s="465"/>
      <c r="D1419" s="465"/>
      <c r="E1419" s="470"/>
      <c r="F1419" s="471"/>
      <c r="G1419" s="304" t="s">
        <v>3610</v>
      </c>
      <c r="H1419" s="316" t="s">
        <v>3607</v>
      </c>
      <c r="I1419" s="468"/>
      <c r="J1419" s="348">
        <v>5003000</v>
      </c>
      <c r="K1419" s="468"/>
    </row>
    <row r="1420" spans="1:11" ht="15.75" customHeight="1">
      <c r="A1420" s="465"/>
      <c r="B1420" s="467"/>
      <c r="C1420" s="465"/>
      <c r="D1420" s="465"/>
      <c r="E1420" s="470"/>
      <c r="F1420" s="471"/>
      <c r="G1420" s="304" t="s">
        <v>3611</v>
      </c>
      <c r="H1420" s="316" t="s">
        <v>3607</v>
      </c>
      <c r="I1420" s="468"/>
      <c r="J1420" s="348">
        <v>1203000</v>
      </c>
      <c r="K1420" s="468"/>
    </row>
    <row r="1421" spans="1:11" ht="15.75" customHeight="1">
      <c r="A1421" s="465"/>
      <c r="B1421" s="467"/>
      <c r="C1421" s="465"/>
      <c r="D1421" s="465"/>
      <c r="E1421" s="470"/>
      <c r="F1421" s="471"/>
      <c r="G1421" s="304" t="s">
        <v>3612</v>
      </c>
      <c r="H1421" s="316" t="s">
        <v>3607</v>
      </c>
      <c r="I1421" s="468"/>
      <c r="J1421" s="348">
        <v>4503000</v>
      </c>
      <c r="K1421" s="468"/>
    </row>
    <row r="1422" spans="1:11" ht="15.75" customHeight="1">
      <c r="A1422" s="465"/>
      <c r="B1422" s="467"/>
      <c r="C1422" s="465"/>
      <c r="D1422" s="465"/>
      <c r="E1422" s="470"/>
      <c r="F1422" s="471"/>
      <c r="G1422" s="304" t="s">
        <v>3613</v>
      </c>
      <c r="H1422" s="316" t="s">
        <v>3607</v>
      </c>
      <c r="I1422" s="468"/>
      <c r="J1422" s="348">
        <v>7603000</v>
      </c>
      <c r="K1422" s="468"/>
    </row>
    <row r="1423" spans="1:11" ht="15.75" customHeight="1">
      <c r="A1423" s="465"/>
      <c r="B1423" s="467"/>
      <c r="C1423" s="465"/>
      <c r="D1423" s="465"/>
      <c r="E1423" s="470"/>
      <c r="F1423" s="471"/>
      <c r="G1423" s="304" t="s">
        <v>3614</v>
      </c>
      <c r="H1423" s="316" t="s">
        <v>3607</v>
      </c>
      <c r="I1423" s="468"/>
      <c r="J1423" s="348">
        <v>3703000</v>
      </c>
      <c r="K1423" s="468"/>
    </row>
    <row r="1424" spans="1:11" ht="15.75" customHeight="1">
      <c r="A1424" s="465"/>
      <c r="B1424" s="467"/>
      <c r="C1424" s="465"/>
      <c r="D1424" s="465"/>
      <c r="E1424" s="470"/>
      <c r="F1424" s="471"/>
      <c r="G1424" s="304" t="s">
        <v>1362</v>
      </c>
      <c r="H1424" s="316" t="s">
        <v>3248</v>
      </c>
      <c r="I1424" s="468"/>
      <c r="J1424" s="348">
        <v>5003000</v>
      </c>
      <c r="K1424" s="468"/>
    </row>
    <row r="1425" spans="1:11" ht="15.75" customHeight="1">
      <c r="A1425" s="465"/>
      <c r="B1425" s="467"/>
      <c r="C1425" s="465"/>
      <c r="D1425" s="465"/>
      <c r="E1425" s="470"/>
      <c r="F1425" s="471"/>
      <c r="G1425" s="304" t="s">
        <v>3615</v>
      </c>
      <c r="H1425" s="316" t="s">
        <v>3258</v>
      </c>
      <c r="I1425" s="468"/>
      <c r="J1425" s="348">
        <v>603000</v>
      </c>
      <c r="K1425" s="468"/>
    </row>
    <row r="1426" spans="1:11" ht="15.75" customHeight="1">
      <c r="A1426" s="465"/>
      <c r="B1426" s="467"/>
      <c r="C1426" s="465"/>
      <c r="D1426" s="465"/>
      <c r="E1426" s="470"/>
      <c r="F1426" s="471"/>
      <c r="G1426" s="304" t="s">
        <v>3616</v>
      </c>
      <c r="H1426" s="316" t="s">
        <v>3258</v>
      </c>
      <c r="I1426" s="468"/>
      <c r="J1426" s="348">
        <v>1203000</v>
      </c>
      <c r="K1426" s="468"/>
    </row>
    <row r="1427" spans="1:11" ht="15.75" customHeight="1">
      <c r="A1427" s="465"/>
      <c r="B1427" s="467"/>
      <c r="C1427" s="465"/>
      <c r="D1427" s="465"/>
      <c r="E1427" s="470"/>
      <c r="F1427" s="471"/>
      <c r="G1427" s="304" t="s">
        <v>3617</v>
      </c>
      <c r="H1427" s="316" t="s">
        <v>3258</v>
      </c>
      <c r="I1427" s="468"/>
      <c r="J1427" s="348">
        <v>81908190</v>
      </c>
      <c r="K1427" s="468"/>
    </row>
    <row r="1428" spans="1:11" ht="15.75" customHeight="1">
      <c r="A1428" s="465"/>
      <c r="B1428" s="467"/>
      <c r="C1428" s="465"/>
      <c r="D1428" s="465"/>
      <c r="E1428" s="470"/>
      <c r="F1428" s="471"/>
      <c r="G1428" s="304" t="s">
        <v>3618</v>
      </c>
      <c r="H1428" s="316" t="s">
        <v>3258</v>
      </c>
      <c r="I1428" s="468"/>
      <c r="J1428" s="348">
        <v>2003000</v>
      </c>
      <c r="K1428" s="468"/>
    </row>
    <row r="1429" spans="1:11" ht="15.75" customHeight="1">
      <c r="A1429" s="465"/>
      <c r="B1429" s="467"/>
      <c r="C1429" s="465"/>
      <c r="D1429" s="465"/>
      <c r="E1429" s="470"/>
      <c r="F1429" s="471"/>
      <c r="G1429" s="304" t="s">
        <v>3602</v>
      </c>
      <c r="H1429" s="316" t="s">
        <v>3258</v>
      </c>
      <c r="I1429" s="468"/>
      <c r="J1429" s="348">
        <v>453000</v>
      </c>
      <c r="K1429" s="468"/>
    </row>
    <row r="1430" spans="1:11" ht="15.75" customHeight="1">
      <c r="A1430" s="465"/>
      <c r="B1430" s="467"/>
      <c r="C1430" s="465"/>
      <c r="D1430" s="465"/>
      <c r="E1430" s="470"/>
      <c r="F1430" s="471"/>
      <c r="G1430" s="304" t="s">
        <v>3619</v>
      </c>
      <c r="H1430" s="316" t="s">
        <v>3258</v>
      </c>
      <c r="I1430" s="468"/>
      <c r="J1430" s="348">
        <v>6003000</v>
      </c>
      <c r="K1430" s="468"/>
    </row>
    <row r="1431" spans="1:11" ht="15.75" customHeight="1">
      <c r="A1431" s="465"/>
      <c r="B1431" s="467"/>
      <c r="C1431" s="465"/>
      <c r="D1431" s="465"/>
      <c r="E1431" s="470"/>
      <c r="F1431" s="471"/>
      <c r="G1431" s="304" t="s">
        <v>3621</v>
      </c>
      <c r="H1431" s="316" t="s">
        <v>3258</v>
      </c>
      <c r="I1431" s="468"/>
      <c r="J1431" s="348">
        <v>1953000</v>
      </c>
      <c r="K1431" s="468"/>
    </row>
    <row r="1432" spans="1:11" ht="15.75" customHeight="1">
      <c r="A1432" s="465"/>
      <c r="B1432" s="467"/>
      <c r="C1432" s="465"/>
      <c r="D1432" s="465"/>
      <c r="E1432" s="470"/>
      <c r="F1432" s="471"/>
      <c r="G1432" s="304" t="s">
        <v>3623</v>
      </c>
      <c r="H1432" s="316" t="s">
        <v>3259</v>
      </c>
      <c r="I1432" s="468"/>
      <c r="J1432" s="348">
        <v>200020000</v>
      </c>
      <c r="K1432" s="468"/>
    </row>
    <row r="1433" spans="1:11" ht="15.75" customHeight="1">
      <c r="A1433" s="465"/>
      <c r="B1433" s="467"/>
      <c r="C1433" s="465"/>
      <c r="D1433" s="465"/>
      <c r="E1433" s="470"/>
      <c r="F1433" s="471"/>
      <c r="G1433" s="304" t="s">
        <v>3622</v>
      </c>
      <c r="H1433" s="316" t="s">
        <v>3620</v>
      </c>
      <c r="I1433" s="468"/>
      <c r="J1433" s="348">
        <v>175307520</v>
      </c>
      <c r="K1433" s="468"/>
    </row>
    <row r="1434" spans="1:11" ht="15.75" customHeight="1">
      <c r="A1434" s="465"/>
      <c r="B1434" s="467"/>
      <c r="C1434" s="465"/>
      <c r="D1434" s="465"/>
      <c r="E1434" s="470"/>
      <c r="F1434" s="471"/>
      <c r="G1434" s="304"/>
      <c r="H1434" s="316"/>
      <c r="I1434" s="468"/>
      <c r="J1434" s="348"/>
      <c r="K1434" s="468"/>
    </row>
    <row r="1435" spans="1:11" ht="15.75" customHeight="1">
      <c r="A1435" s="465"/>
      <c r="B1435" s="467"/>
      <c r="C1435" s="465"/>
      <c r="D1435" s="465"/>
      <c r="E1435" s="470"/>
      <c r="F1435" s="471"/>
      <c r="G1435" s="304"/>
      <c r="H1435" s="316"/>
      <c r="I1435" s="468"/>
      <c r="J1435" s="348"/>
      <c r="K1435" s="468"/>
    </row>
    <row r="1436" spans="1:11" ht="15.75" customHeight="1">
      <c r="A1436" s="465"/>
      <c r="B1436" s="467"/>
      <c r="C1436" s="465"/>
      <c r="D1436" s="465"/>
      <c r="E1436" s="470"/>
      <c r="F1436" s="471"/>
      <c r="G1436" s="304"/>
      <c r="H1436" s="316"/>
      <c r="I1436" s="468"/>
      <c r="J1436" s="348"/>
      <c r="K1436" s="468"/>
    </row>
    <row r="1437" spans="1:11" ht="15.75" customHeight="1">
      <c r="A1437" s="465"/>
      <c r="B1437" s="467"/>
      <c r="C1437" s="465"/>
      <c r="D1437" s="465"/>
      <c r="E1437" s="470"/>
      <c r="F1437" s="471"/>
      <c r="G1437" s="304"/>
      <c r="H1437" s="472"/>
      <c r="I1437" s="468"/>
      <c r="J1437" s="348"/>
      <c r="K1437" s="468"/>
    </row>
    <row r="1438" spans="1:11" ht="15.75" customHeight="1">
      <c r="A1438" s="465"/>
      <c r="B1438" s="467"/>
      <c r="C1438" s="465"/>
      <c r="D1438" s="465"/>
      <c r="E1438" s="470"/>
      <c r="F1438" s="471"/>
      <c r="G1438" s="304"/>
      <c r="H1438" s="472"/>
      <c r="I1438" s="468"/>
      <c r="J1438" s="348"/>
      <c r="K1438" s="468"/>
    </row>
    <row r="1439" spans="1:11" ht="15.75" customHeight="1">
      <c r="A1439" s="465"/>
      <c r="B1439" s="467"/>
      <c r="C1439" s="465"/>
      <c r="D1439" s="465"/>
      <c r="E1439" s="470"/>
      <c r="F1439" s="471"/>
      <c r="G1439" s="304"/>
      <c r="H1439" s="472"/>
      <c r="I1439" s="468"/>
      <c r="J1439" s="348"/>
      <c r="K1439" s="468"/>
    </row>
    <row r="1440" spans="1:11" ht="15.75" customHeight="1">
      <c r="A1440" s="465"/>
      <c r="B1440" s="467"/>
      <c r="C1440" s="465"/>
      <c r="D1440" s="465"/>
      <c r="E1440" s="470"/>
      <c r="F1440" s="471"/>
      <c r="G1440" s="304"/>
      <c r="H1440" s="472"/>
      <c r="I1440" s="468"/>
      <c r="J1440" s="348"/>
      <c r="K1440" s="468"/>
    </row>
    <row r="1441" spans="1:23" ht="15.75" customHeight="1">
      <c r="A1441" s="465"/>
      <c r="B1441" s="467"/>
      <c r="C1441" s="465"/>
      <c r="D1441" s="465"/>
      <c r="E1441" s="470"/>
      <c r="F1441" s="471"/>
      <c r="G1441" s="469"/>
      <c r="H1441" s="472"/>
      <c r="I1441" s="468"/>
      <c r="J1441" s="348"/>
      <c r="K1441" s="468"/>
    </row>
    <row r="1442" spans="1:23" ht="15.75" customHeight="1">
      <c r="A1442" s="465"/>
      <c r="B1442" s="467"/>
      <c r="C1442" s="465"/>
      <c r="D1442" s="465"/>
      <c r="E1442" s="470"/>
      <c r="F1442" s="471"/>
      <c r="G1442" s="469"/>
      <c r="H1442" s="472"/>
      <c r="I1442" s="468"/>
      <c r="J1442" s="473"/>
      <c r="K1442" s="468"/>
    </row>
    <row r="1443" spans="1:23" ht="15.75" customHeight="1">
      <c r="A1443" s="465"/>
      <c r="B1443" s="467"/>
      <c r="C1443" s="465"/>
      <c r="D1443" s="465"/>
      <c r="E1443" s="470"/>
      <c r="F1443" s="471"/>
      <c r="G1443" s="469"/>
      <c r="H1443" s="472"/>
      <c r="I1443" s="468"/>
      <c r="J1443" s="473"/>
      <c r="K1443" s="468"/>
    </row>
    <row r="1444" spans="1:23" ht="25.5" customHeight="1" thickBot="1">
      <c r="A1444" s="350"/>
      <c r="B1444" s="517" t="s">
        <v>445</v>
      </c>
      <c r="C1444" s="518"/>
      <c r="D1444" s="518"/>
      <c r="E1444" s="519"/>
      <c r="F1444" s="351"/>
      <c r="G1444" s="352"/>
      <c r="H1444" s="353"/>
      <c r="I1444" s="354"/>
      <c r="J1444" s="355">
        <f>SUM(J3:J183)</f>
        <v>1355270912</v>
      </c>
      <c r="K1444" s="308"/>
      <c r="L1444" s="309"/>
      <c r="M1444" s="309"/>
      <c r="N1444" s="309"/>
      <c r="O1444" s="309"/>
      <c r="P1444" s="309"/>
      <c r="Q1444" s="309"/>
      <c r="R1444" s="309"/>
      <c r="S1444" s="309"/>
      <c r="T1444" s="309"/>
      <c r="U1444" s="309"/>
      <c r="V1444" s="309"/>
      <c r="W1444" s="309"/>
    </row>
    <row r="1445" spans="1:23" ht="15.75" customHeight="1" thickTop="1">
      <c r="E1445" s="314"/>
      <c r="F1445" s="312"/>
      <c r="H1445" s="311"/>
      <c r="J1445" s="328"/>
    </row>
    <row r="1446" spans="1:23" ht="15.75" customHeight="1">
      <c r="E1446" s="314"/>
      <c r="F1446" s="312"/>
      <c r="H1446" s="311"/>
      <c r="J1446" s="328"/>
    </row>
    <row r="1447" spans="1:23" ht="15.75" customHeight="1">
      <c r="E1447" s="314"/>
      <c r="F1447" s="312"/>
      <c r="H1447" s="311"/>
      <c r="J1447" s="328"/>
    </row>
    <row r="1448" spans="1:23" ht="15.75" customHeight="1">
      <c r="E1448" s="314"/>
      <c r="F1448" s="312"/>
      <c r="H1448" s="311"/>
      <c r="J1448" s="328"/>
    </row>
    <row r="1449" spans="1:23" ht="15.75" customHeight="1">
      <c r="E1449" s="314"/>
      <c r="F1449" s="312"/>
      <c r="H1449" s="311"/>
      <c r="J1449" s="328"/>
    </row>
    <row r="1450" spans="1:23" ht="15.75" customHeight="1">
      <c r="E1450" s="314"/>
      <c r="F1450" s="312"/>
      <c r="H1450" s="311"/>
      <c r="J1450" s="328"/>
    </row>
    <row r="1451" spans="1:23" ht="15.75" customHeight="1">
      <c r="E1451" s="314"/>
      <c r="F1451" s="312"/>
      <c r="H1451" s="311"/>
      <c r="J1451" s="328"/>
    </row>
    <row r="1452" spans="1:23" ht="15.75" customHeight="1">
      <c r="E1452" s="314"/>
      <c r="F1452" s="312"/>
      <c r="H1452" s="311"/>
      <c r="J1452" s="328"/>
    </row>
    <row r="1453" spans="1:23" ht="15.75" customHeight="1">
      <c r="E1453" s="314"/>
      <c r="F1453" s="312"/>
      <c r="H1453" s="311"/>
      <c r="J1453" s="328"/>
    </row>
    <row r="1454" spans="1:23" ht="15.75" customHeight="1">
      <c r="E1454" s="314"/>
      <c r="F1454" s="312"/>
      <c r="H1454" s="311"/>
      <c r="J1454" s="328"/>
    </row>
    <row r="1455" spans="1:23" ht="15.75" customHeight="1">
      <c r="E1455" s="314"/>
      <c r="F1455" s="312"/>
      <c r="H1455" s="311"/>
      <c r="J1455" s="328"/>
    </row>
    <row r="1456" spans="1:23" ht="15.75" customHeight="1">
      <c r="E1456" s="314"/>
      <c r="F1456" s="312"/>
      <c r="H1456" s="311"/>
      <c r="J1456" s="328"/>
    </row>
    <row r="1457" spans="5:10" ht="15.75" customHeight="1">
      <c r="E1457" s="314"/>
      <c r="F1457" s="312"/>
      <c r="H1457" s="311"/>
      <c r="J1457" s="328"/>
    </row>
    <row r="1458" spans="5:10" ht="15.75" customHeight="1">
      <c r="E1458" s="314"/>
      <c r="F1458" s="312"/>
      <c r="H1458" s="311"/>
      <c r="J1458" s="328"/>
    </row>
    <row r="1459" spans="5:10" ht="15.75" customHeight="1">
      <c r="E1459" s="314"/>
      <c r="F1459" s="312"/>
      <c r="H1459" s="311"/>
      <c r="J1459" s="328"/>
    </row>
    <row r="1460" spans="5:10" ht="15.75" customHeight="1">
      <c r="E1460" s="314"/>
      <c r="F1460" s="312"/>
      <c r="H1460" s="311"/>
      <c r="J1460" s="328"/>
    </row>
    <row r="1461" spans="5:10" ht="15.75" customHeight="1">
      <c r="E1461" s="314"/>
      <c r="F1461" s="312"/>
      <c r="H1461" s="311"/>
      <c r="J1461" s="328"/>
    </row>
    <row r="1462" spans="5:10" ht="15.75" customHeight="1">
      <c r="E1462" s="314"/>
      <c r="F1462" s="312"/>
      <c r="H1462" s="311"/>
      <c r="J1462" s="328"/>
    </row>
    <row r="1463" spans="5:10" ht="15.75" customHeight="1">
      <c r="E1463" s="314"/>
      <c r="F1463" s="312"/>
      <c r="H1463" s="311"/>
      <c r="J1463" s="328"/>
    </row>
    <row r="1464" spans="5:10" ht="15.75" customHeight="1">
      <c r="E1464" s="314"/>
      <c r="F1464" s="312"/>
      <c r="H1464" s="311"/>
      <c r="J1464" s="328"/>
    </row>
    <row r="1465" spans="5:10" ht="15.75" customHeight="1">
      <c r="E1465" s="314"/>
      <c r="F1465" s="312"/>
      <c r="H1465" s="311"/>
      <c r="J1465" s="328"/>
    </row>
    <row r="1466" spans="5:10" ht="15.75" customHeight="1">
      <c r="E1466" s="314"/>
      <c r="F1466" s="312"/>
      <c r="H1466" s="311"/>
      <c r="J1466" s="328"/>
    </row>
    <row r="1467" spans="5:10" ht="15.75" customHeight="1">
      <c r="E1467" s="314"/>
      <c r="F1467" s="312"/>
      <c r="H1467" s="311"/>
      <c r="J1467" s="328"/>
    </row>
    <row r="1468" spans="5:10" ht="15.75" customHeight="1">
      <c r="E1468" s="314"/>
      <c r="F1468" s="312"/>
      <c r="H1468" s="311"/>
      <c r="J1468" s="328"/>
    </row>
    <row r="1469" spans="5:10" ht="15.75" customHeight="1">
      <c r="E1469" s="314"/>
      <c r="F1469" s="312"/>
      <c r="H1469" s="311"/>
      <c r="J1469" s="328"/>
    </row>
    <row r="1470" spans="5:10" ht="15.75" customHeight="1">
      <c r="E1470" s="314"/>
      <c r="F1470" s="312"/>
      <c r="H1470" s="311"/>
      <c r="J1470" s="328"/>
    </row>
    <row r="1471" spans="5:10" ht="15.75" customHeight="1">
      <c r="E1471" s="314"/>
      <c r="F1471" s="312"/>
      <c r="H1471" s="311"/>
      <c r="J1471" s="328"/>
    </row>
    <row r="1472" spans="5:10" ht="15.75" customHeight="1">
      <c r="E1472" s="314"/>
      <c r="F1472" s="312"/>
      <c r="H1472" s="311"/>
      <c r="J1472" s="328"/>
    </row>
    <row r="1473" spans="5:10" ht="15.75" customHeight="1">
      <c r="E1473" s="314"/>
      <c r="F1473" s="312"/>
      <c r="H1473" s="311"/>
      <c r="J1473" s="328"/>
    </row>
    <row r="1474" spans="5:10" ht="15.75" customHeight="1">
      <c r="E1474" s="314"/>
      <c r="F1474" s="312"/>
      <c r="H1474" s="311"/>
      <c r="J1474" s="328"/>
    </row>
    <row r="1475" spans="5:10" ht="15.75" customHeight="1">
      <c r="E1475" s="314"/>
      <c r="F1475" s="312"/>
      <c r="H1475" s="311"/>
      <c r="J1475" s="328"/>
    </row>
    <row r="1476" spans="5:10" ht="15.75" customHeight="1">
      <c r="E1476" s="314"/>
      <c r="F1476" s="312"/>
      <c r="H1476" s="311"/>
      <c r="J1476" s="328"/>
    </row>
    <row r="1477" spans="5:10" ht="15.75" customHeight="1">
      <c r="E1477" s="314"/>
      <c r="F1477" s="312"/>
      <c r="H1477" s="311"/>
      <c r="J1477" s="328"/>
    </row>
    <row r="1478" spans="5:10" ht="15.75" customHeight="1">
      <c r="E1478" s="314"/>
      <c r="F1478" s="312"/>
      <c r="H1478" s="311"/>
      <c r="J1478" s="328"/>
    </row>
    <row r="1479" spans="5:10" ht="15.75" customHeight="1">
      <c r="E1479" s="314"/>
      <c r="F1479" s="312"/>
      <c r="H1479" s="311"/>
      <c r="J1479" s="328"/>
    </row>
    <row r="1480" spans="5:10" ht="15.75" customHeight="1">
      <c r="E1480" s="314"/>
      <c r="F1480" s="312"/>
      <c r="H1480" s="311"/>
      <c r="J1480" s="328"/>
    </row>
    <row r="1481" spans="5:10" ht="15.75" customHeight="1">
      <c r="E1481" s="314"/>
      <c r="F1481" s="312"/>
      <c r="H1481" s="311"/>
      <c r="J1481" s="328"/>
    </row>
    <row r="1482" spans="5:10" ht="15.75" customHeight="1">
      <c r="E1482" s="314"/>
      <c r="F1482" s="312"/>
      <c r="H1482" s="311"/>
      <c r="J1482" s="328"/>
    </row>
    <row r="1483" spans="5:10" ht="15.75" customHeight="1">
      <c r="E1483" s="314"/>
      <c r="F1483" s="312"/>
      <c r="H1483" s="311"/>
      <c r="J1483" s="328"/>
    </row>
    <row r="1484" spans="5:10" ht="15.75" customHeight="1">
      <c r="E1484" s="314"/>
      <c r="F1484" s="312"/>
      <c r="H1484" s="311"/>
      <c r="J1484" s="328"/>
    </row>
    <row r="1485" spans="5:10" ht="15.75" customHeight="1">
      <c r="E1485" s="314"/>
      <c r="F1485" s="312"/>
      <c r="H1485" s="311"/>
      <c r="J1485" s="328"/>
    </row>
    <row r="1486" spans="5:10" ht="15.75" customHeight="1">
      <c r="E1486" s="314"/>
      <c r="F1486" s="312"/>
      <c r="H1486" s="311"/>
      <c r="J1486" s="328"/>
    </row>
    <row r="1487" spans="5:10" ht="15.75" customHeight="1">
      <c r="E1487" s="314"/>
      <c r="F1487" s="312"/>
      <c r="H1487" s="311"/>
      <c r="J1487" s="328"/>
    </row>
    <row r="1488" spans="5:10" ht="15.75" customHeight="1">
      <c r="E1488" s="314"/>
      <c r="F1488" s="312"/>
      <c r="H1488" s="311"/>
      <c r="J1488" s="328"/>
    </row>
    <row r="1489" spans="5:10" ht="15.75" customHeight="1">
      <c r="E1489" s="314"/>
      <c r="F1489" s="312"/>
      <c r="H1489" s="311"/>
      <c r="J1489" s="328"/>
    </row>
    <row r="1490" spans="5:10" ht="15.75" customHeight="1">
      <c r="E1490" s="314"/>
      <c r="F1490" s="312"/>
      <c r="H1490" s="311"/>
      <c r="J1490" s="328"/>
    </row>
    <row r="1491" spans="5:10" ht="15.75" customHeight="1">
      <c r="E1491" s="314"/>
      <c r="F1491" s="312"/>
      <c r="H1491" s="311"/>
      <c r="J1491" s="328"/>
    </row>
    <row r="1492" spans="5:10" ht="15.75" customHeight="1">
      <c r="E1492" s="314"/>
      <c r="F1492" s="312"/>
      <c r="H1492" s="311"/>
      <c r="J1492" s="328"/>
    </row>
    <row r="1493" spans="5:10" ht="15.75" customHeight="1">
      <c r="E1493" s="314"/>
      <c r="F1493" s="312"/>
      <c r="H1493" s="311"/>
      <c r="J1493" s="328"/>
    </row>
    <row r="1494" spans="5:10" ht="15.75" customHeight="1">
      <c r="E1494" s="314"/>
      <c r="F1494" s="312"/>
      <c r="H1494" s="311"/>
      <c r="J1494" s="328"/>
    </row>
    <row r="1495" spans="5:10" ht="15.75" customHeight="1">
      <c r="E1495" s="314"/>
      <c r="F1495" s="312"/>
      <c r="H1495" s="311"/>
      <c r="J1495" s="328"/>
    </row>
    <row r="1496" spans="5:10" ht="15.75" customHeight="1">
      <c r="E1496" s="314"/>
      <c r="F1496" s="312"/>
      <c r="H1496" s="311"/>
      <c r="J1496" s="328"/>
    </row>
    <row r="1497" spans="5:10" ht="15.75" customHeight="1">
      <c r="E1497" s="314"/>
      <c r="F1497" s="312"/>
      <c r="H1497" s="311"/>
      <c r="J1497" s="328"/>
    </row>
    <row r="1498" spans="5:10" ht="15.75" customHeight="1">
      <c r="E1498" s="314"/>
      <c r="F1498" s="312"/>
      <c r="H1498" s="311"/>
      <c r="J1498" s="328"/>
    </row>
    <row r="1499" spans="5:10" ht="15.75" customHeight="1">
      <c r="E1499" s="314"/>
      <c r="F1499" s="312"/>
      <c r="H1499" s="311"/>
      <c r="J1499" s="328"/>
    </row>
    <row r="1500" spans="5:10" ht="15.75" customHeight="1">
      <c r="E1500" s="314"/>
      <c r="F1500" s="312"/>
      <c r="H1500" s="311"/>
      <c r="J1500" s="328"/>
    </row>
    <row r="1501" spans="5:10" ht="15.75" customHeight="1">
      <c r="E1501" s="314"/>
      <c r="F1501" s="312"/>
      <c r="H1501" s="311"/>
      <c r="J1501" s="328"/>
    </row>
    <row r="1502" spans="5:10" ht="15.75" customHeight="1">
      <c r="E1502" s="314"/>
      <c r="F1502" s="312"/>
      <c r="H1502" s="311"/>
      <c r="J1502" s="328"/>
    </row>
    <row r="1503" spans="5:10" ht="15.75" customHeight="1">
      <c r="E1503" s="314"/>
      <c r="F1503" s="312"/>
      <c r="H1503" s="311"/>
      <c r="J1503" s="328"/>
    </row>
    <row r="1504" spans="5:10" ht="15.75" customHeight="1">
      <c r="E1504" s="314"/>
      <c r="F1504" s="312"/>
      <c r="H1504" s="311"/>
      <c r="J1504" s="328"/>
    </row>
    <row r="1505" spans="5:10" ht="15.75" customHeight="1">
      <c r="E1505" s="314"/>
      <c r="F1505" s="312"/>
      <c r="H1505" s="311"/>
      <c r="J1505" s="328"/>
    </row>
    <row r="1506" spans="5:10" ht="15.75" customHeight="1">
      <c r="E1506" s="314"/>
      <c r="F1506" s="312"/>
      <c r="H1506" s="311"/>
      <c r="J1506" s="328"/>
    </row>
    <row r="1507" spans="5:10" ht="15.75" customHeight="1">
      <c r="E1507" s="314"/>
      <c r="F1507" s="312"/>
      <c r="H1507" s="311"/>
      <c r="J1507" s="328"/>
    </row>
    <row r="1508" spans="5:10" ht="15.75" customHeight="1">
      <c r="E1508" s="314"/>
      <c r="F1508" s="312"/>
      <c r="H1508" s="311"/>
      <c r="J1508" s="328"/>
    </row>
    <row r="1509" spans="5:10" ht="15.75" customHeight="1">
      <c r="E1509" s="314"/>
      <c r="F1509" s="312"/>
      <c r="H1509" s="311"/>
      <c r="J1509" s="328"/>
    </row>
    <row r="1510" spans="5:10" ht="15.75" customHeight="1">
      <c r="E1510" s="314"/>
      <c r="F1510" s="312"/>
      <c r="H1510" s="311"/>
      <c r="J1510" s="328"/>
    </row>
    <row r="1511" spans="5:10" ht="15.75" customHeight="1">
      <c r="E1511" s="314"/>
      <c r="F1511" s="312"/>
      <c r="H1511" s="311"/>
      <c r="J1511" s="328"/>
    </row>
    <row r="1512" spans="5:10" ht="15.75" customHeight="1">
      <c r="E1512" s="314"/>
      <c r="F1512" s="312"/>
      <c r="H1512" s="311"/>
      <c r="J1512" s="328"/>
    </row>
    <row r="1513" spans="5:10" ht="15.75" customHeight="1">
      <c r="E1513" s="314"/>
      <c r="F1513" s="312"/>
      <c r="H1513" s="311"/>
      <c r="J1513" s="328"/>
    </row>
    <row r="1514" spans="5:10" ht="15.75" customHeight="1">
      <c r="E1514" s="314"/>
      <c r="F1514" s="312"/>
      <c r="H1514" s="311"/>
      <c r="J1514" s="328"/>
    </row>
    <row r="1515" spans="5:10" ht="15.75" customHeight="1">
      <c r="E1515" s="314"/>
      <c r="F1515" s="312"/>
      <c r="H1515" s="311"/>
      <c r="J1515" s="328"/>
    </row>
    <row r="1516" spans="5:10" ht="15.75" customHeight="1">
      <c r="E1516" s="314"/>
      <c r="F1516" s="312"/>
      <c r="H1516" s="311"/>
      <c r="J1516" s="328"/>
    </row>
    <row r="1517" spans="5:10" ht="15.75" customHeight="1">
      <c r="E1517" s="314"/>
      <c r="F1517" s="312"/>
      <c r="H1517" s="311"/>
      <c r="J1517" s="328"/>
    </row>
    <row r="1518" spans="5:10" ht="15.75" customHeight="1">
      <c r="E1518" s="314"/>
      <c r="F1518" s="312"/>
      <c r="H1518" s="311"/>
      <c r="J1518" s="328"/>
    </row>
    <row r="1519" spans="5:10" ht="15.75" customHeight="1">
      <c r="E1519" s="314"/>
      <c r="F1519" s="312"/>
      <c r="H1519" s="311"/>
      <c r="J1519" s="328"/>
    </row>
    <row r="1520" spans="5:10" ht="15.75" customHeight="1">
      <c r="E1520" s="314"/>
      <c r="F1520" s="312"/>
      <c r="H1520" s="311"/>
      <c r="J1520" s="328"/>
    </row>
    <row r="1521" spans="5:10" ht="15.75" customHeight="1">
      <c r="E1521" s="314"/>
      <c r="F1521" s="312"/>
      <c r="H1521" s="311"/>
      <c r="J1521" s="328"/>
    </row>
    <row r="1522" spans="5:10" ht="15.75" customHeight="1">
      <c r="E1522" s="314"/>
      <c r="F1522" s="312"/>
      <c r="H1522" s="311"/>
      <c r="J1522" s="328"/>
    </row>
    <row r="1523" spans="5:10" ht="15.75" customHeight="1">
      <c r="E1523" s="314"/>
      <c r="F1523" s="312"/>
      <c r="H1523" s="311"/>
      <c r="J1523" s="328"/>
    </row>
    <row r="1524" spans="5:10" ht="15.75" customHeight="1">
      <c r="E1524" s="314"/>
      <c r="F1524" s="312"/>
      <c r="H1524" s="311"/>
      <c r="J1524" s="328"/>
    </row>
    <row r="1525" spans="5:10" ht="15.75" customHeight="1">
      <c r="E1525" s="314"/>
      <c r="F1525" s="312"/>
      <c r="H1525" s="311"/>
      <c r="J1525" s="328"/>
    </row>
    <row r="1526" spans="5:10" ht="15.75" customHeight="1">
      <c r="E1526" s="314"/>
      <c r="F1526" s="312"/>
      <c r="H1526" s="311"/>
      <c r="J1526" s="328"/>
    </row>
    <row r="1527" spans="5:10" ht="15.75" customHeight="1">
      <c r="E1527" s="314"/>
      <c r="F1527" s="312"/>
      <c r="H1527" s="311"/>
      <c r="J1527" s="328"/>
    </row>
    <row r="1528" spans="5:10" ht="15.75" customHeight="1">
      <c r="E1528" s="314"/>
      <c r="F1528" s="312"/>
      <c r="H1528" s="311"/>
      <c r="J1528" s="328"/>
    </row>
    <row r="1529" spans="5:10" ht="15.75" customHeight="1">
      <c r="E1529" s="314"/>
      <c r="F1529" s="312"/>
      <c r="H1529" s="311"/>
      <c r="J1529" s="328"/>
    </row>
    <row r="1530" spans="5:10" ht="15.75" customHeight="1">
      <c r="E1530" s="314"/>
      <c r="F1530" s="312"/>
      <c r="H1530" s="311"/>
      <c r="J1530" s="328"/>
    </row>
    <row r="1531" spans="5:10" ht="15.75" customHeight="1">
      <c r="E1531" s="314"/>
      <c r="F1531" s="312"/>
      <c r="H1531" s="311"/>
      <c r="J1531" s="328"/>
    </row>
    <row r="1532" spans="5:10" ht="15.75" customHeight="1">
      <c r="E1532" s="314"/>
      <c r="F1532" s="312"/>
      <c r="H1532" s="311"/>
      <c r="J1532" s="328"/>
    </row>
    <row r="1533" spans="5:10" ht="15.75" customHeight="1">
      <c r="E1533" s="314"/>
      <c r="F1533" s="312"/>
      <c r="H1533" s="311"/>
      <c r="J1533" s="328"/>
    </row>
    <row r="1534" spans="5:10" ht="15.75" customHeight="1">
      <c r="E1534" s="314"/>
      <c r="F1534" s="312"/>
      <c r="H1534" s="311"/>
      <c r="J1534" s="328"/>
    </row>
    <row r="1535" spans="5:10" ht="15.75" customHeight="1">
      <c r="E1535" s="314"/>
      <c r="F1535" s="312"/>
      <c r="H1535" s="311"/>
      <c r="J1535" s="328"/>
    </row>
    <row r="1536" spans="5:10" ht="15.75" customHeight="1">
      <c r="E1536" s="314"/>
      <c r="F1536" s="312"/>
      <c r="H1536" s="311"/>
      <c r="J1536" s="328"/>
    </row>
    <row r="1537" spans="5:10" ht="15.75" customHeight="1">
      <c r="E1537" s="314"/>
      <c r="F1537" s="312"/>
      <c r="H1537" s="311"/>
      <c r="J1537" s="328"/>
    </row>
    <row r="1538" spans="5:10" ht="15.75" customHeight="1">
      <c r="E1538" s="314"/>
      <c r="F1538" s="312"/>
      <c r="H1538" s="311"/>
      <c r="J1538" s="328"/>
    </row>
    <row r="1539" spans="5:10" ht="15.75" customHeight="1">
      <c r="E1539" s="314"/>
      <c r="F1539" s="312"/>
      <c r="H1539" s="311"/>
      <c r="J1539" s="328"/>
    </row>
    <row r="1540" spans="5:10" ht="15.75" customHeight="1">
      <c r="E1540" s="314"/>
      <c r="F1540" s="312"/>
      <c r="H1540" s="311"/>
      <c r="J1540" s="328"/>
    </row>
    <row r="1541" spans="5:10" ht="15.75" customHeight="1">
      <c r="E1541" s="314"/>
      <c r="F1541" s="312"/>
      <c r="H1541" s="311"/>
      <c r="J1541" s="328"/>
    </row>
    <row r="1542" spans="5:10" ht="15.75" customHeight="1">
      <c r="E1542" s="314"/>
      <c r="F1542" s="312"/>
      <c r="H1542" s="311"/>
      <c r="J1542" s="328"/>
    </row>
    <row r="1543" spans="5:10" ht="15.75" customHeight="1">
      <c r="E1543" s="314"/>
      <c r="F1543" s="312"/>
      <c r="H1543" s="311"/>
      <c r="J1543" s="328"/>
    </row>
    <row r="1544" spans="5:10" ht="15.75" customHeight="1">
      <c r="E1544" s="314"/>
      <c r="F1544" s="312"/>
      <c r="H1544" s="311"/>
      <c r="J1544" s="328"/>
    </row>
    <row r="1545" spans="5:10" ht="15.75" customHeight="1">
      <c r="E1545" s="314"/>
      <c r="F1545" s="312"/>
      <c r="H1545" s="311"/>
      <c r="J1545" s="328"/>
    </row>
    <row r="1546" spans="5:10" ht="15.75" customHeight="1">
      <c r="E1546" s="314"/>
      <c r="F1546" s="312"/>
      <c r="H1546" s="311"/>
      <c r="J1546" s="328"/>
    </row>
    <row r="1547" spans="5:10" ht="15.75" customHeight="1">
      <c r="E1547" s="314"/>
      <c r="F1547" s="312"/>
      <c r="H1547" s="311"/>
      <c r="J1547" s="328"/>
    </row>
    <row r="1548" spans="5:10" ht="15.75" customHeight="1">
      <c r="E1548" s="314"/>
      <c r="F1548" s="312"/>
      <c r="H1548" s="311"/>
      <c r="J1548" s="328"/>
    </row>
    <row r="1549" spans="5:10" ht="15.75" customHeight="1">
      <c r="E1549" s="314"/>
      <c r="F1549" s="312"/>
      <c r="H1549" s="311"/>
      <c r="J1549" s="328"/>
    </row>
    <row r="1550" spans="5:10" ht="15.75" customHeight="1">
      <c r="E1550" s="314"/>
      <c r="F1550" s="312"/>
      <c r="H1550" s="311"/>
      <c r="J1550" s="328"/>
    </row>
    <row r="1551" spans="5:10" ht="15.75" customHeight="1">
      <c r="E1551" s="314"/>
      <c r="F1551" s="312"/>
      <c r="H1551" s="311"/>
      <c r="J1551" s="328"/>
    </row>
    <row r="1552" spans="5:10" ht="15.75" customHeight="1">
      <c r="E1552" s="314"/>
      <c r="F1552" s="312"/>
      <c r="H1552" s="311"/>
      <c r="J1552" s="328"/>
    </row>
    <row r="1553" spans="5:10" ht="15.75" customHeight="1">
      <c r="E1553" s="314"/>
      <c r="F1553" s="312"/>
      <c r="H1553" s="311"/>
      <c r="J1553" s="328"/>
    </row>
    <row r="1554" spans="5:10" ht="15.75" customHeight="1">
      <c r="E1554" s="314"/>
      <c r="F1554" s="312"/>
      <c r="H1554" s="311"/>
      <c r="J1554" s="328"/>
    </row>
    <row r="1555" spans="5:10" ht="15.75" customHeight="1">
      <c r="E1555" s="314"/>
      <c r="F1555" s="312"/>
      <c r="H1555" s="311"/>
      <c r="J1555" s="328"/>
    </row>
    <row r="1556" spans="5:10" ht="15.75" customHeight="1">
      <c r="E1556" s="314"/>
      <c r="F1556" s="312"/>
      <c r="H1556" s="311"/>
      <c r="J1556" s="328"/>
    </row>
    <row r="1557" spans="5:10" ht="15.75" customHeight="1">
      <c r="E1557" s="314"/>
      <c r="F1557" s="312"/>
      <c r="H1557" s="311"/>
      <c r="J1557" s="328"/>
    </row>
    <row r="1558" spans="5:10" ht="15.75" customHeight="1">
      <c r="E1558" s="314"/>
      <c r="F1558" s="312"/>
      <c r="H1558" s="311"/>
      <c r="J1558" s="328"/>
    </row>
    <row r="1559" spans="5:10" ht="15.75" customHeight="1">
      <c r="E1559" s="314"/>
      <c r="F1559" s="312"/>
      <c r="H1559" s="311"/>
      <c r="J1559" s="328"/>
    </row>
    <row r="1560" spans="5:10" ht="15.75" customHeight="1">
      <c r="E1560" s="314"/>
      <c r="F1560" s="312"/>
      <c r="H1560" s="311"/>
      <c r="J1560" s="328"/>
    </row>
    <row r="1561" spans="5:10" ht="15.75" customHeight="1">
      <c r="E1561" s="314"/>
      <c r="F1561" s="312"/>
      <c r="H1561" s="311"/>
      <c r="J1561" s="328"/>
    </row>
    <row r="1562" spans="5:10" ht="15.75" customHeight="1">
      <c r="E1562" s="314"/>
      <c r="F1562" s="312"/>
      <c r="H1562" s="311"/>
      <c r="J1562" s="328"/>
    </row>
    <row r="1563" spans="5:10" ht="15.75" customHeight="1">
      <c r="E1563" s="314"/>
      <c r="F1563" s="312"/>
      <c r="H1563" s="311"/>
      <c r="J1563" s="328"/>
    </row>
    <row r="1564" spans="5:10" ht="15.75" customHeight="1">
      <c r="E1564" s="314"/>
      <c r="F1564" s="312"/>
      <c r="H1564" s="311"/>
      <c r="J1564" s="328"/>
    </row>
    <row r="1565" spans="5:10" ht="15.75" customHeight="1">
      <c r="E1565" s="314"/>
      <c r="F1565" s="312"/>
      <c r="H1565" s="311"/>
      <c r="J1565" s="328"/>
    </row>
    <row r="1566" spans="5:10" ht="15.75" customHeight="1">
      <c r="E1566" s="314"/>
      <c r="F1566" s="312"/>
      <c r="H1566" s="311"/>
      <c r="J1566" s="328"/>
    </row>
    <row r="1567" spans="5:10" ht="15.75" customHeight="1">
      <c r="E1567" s="314"/>
      <c r="F1567" s="312"/>
      <c r="H1567" s="311"/>
      <c r="J1567" s="328"/>
    </row>
    <row r="1568" spans="5:10" ht="15.75" customHeight="1">
      <c r="E1568" s="314"/>
      <c r="F1568" s="312"/>
      <c r="H1568" s="311"/>
      <c r="J1568" s="328"/>
    </row>
    <row r="1569" spans="5:10" ht="15.75" customHeight="1">
      <c r="E1569" s="314"/>
      <c r="F1569" s="312"/>
      <c r="H1569" s="311"/>
      <c r="J1569" s="328"/>
    </row>
    <row r="1570" spans="5:10" ht="15.75" customHeight="1">
      <c r="E1570" s="314"/>
      <c r="F1570" s="312"/>
      <c r="H1570" s="311"/>
      <c r="J1570" s="328"/>
    </row>
    <row r="1571" spans="5:10" ht="15.75" customHeight="1">
      <c r="E1571" s="314"/>
      <c r="F1571" s="312"/>
      <c r="H1571" s="311"/>
      <c r="J1571" s="328"/>
    </row>
    <row r="1572" spans="5:10" ht="15.75" customHeight="1">
      <c r="E1572" s="314"/>
      <c r="F1572" s="312"/>
      <c r="H1572" s="311"/>
      <c r="J1572" s="328"/>
    </row>
    <row r="1573" spans="5:10" ht="15.75" customHeight="1">
      <c r="E1573" s="314"/>
      <c r="F1573" s="312"/>
      <c r="H1573" s="311"/>
      <c r="J1573" s="328"/>
    </row>
    <row r="1574" spans="5:10" ht="15.75" customHeight="1">
      <c r="E1574" s="314"/>
      <c r="F1574" s="312"/>
      <c r="H1574" s="311"/>
      <c r="J1574" s="328"/>
    </row>
    <row r="1575" spans="5:10" ht="15.75" customHeight="1">
      <c r="E1575" s="314"/>
      <c r="F1575" s="312"/>
      <c r="H1575" s="311"/>
      <c r="J1575" s="328"/>
    </row>
    <row r="1576" spans="5:10" ht="15.75" customHeight="1">
      <c r="E1576" s="314"/>
      <c r="F1576" s="312"/>
      <c r="H1576" s="311"/>
      <c r="J1576" s="328"/>
    </row>
    <row r="1577" spans="5:10" ht="15.75" customHeight="1">
      <c r="E1577" s="314"/>
      <c r="F1577" s="312"/>
      <c r="H1577" s="311"/>
      <c r="J1577" s="328"/>
    </row>
    <row r="1578" spans="5:10" ht="15.75" customHeight="1">
      <c r="E1578" s="314"/>
      <c r="F1578" s="312"/>
      <c r="H1578" s="311"/>
      <c r="J1578" s="328"/>
    </row>
    <row r="1579" spans="5:10" ht="15.75" customHeight="1">
      <c r="E1579" s="314"/>
      <c r="F1579" s="312"/>
      <c r="H1579" s="311"/>
      <c r="J1579" s="328"/>
    </row>
    <row r="1580" spans="5:10" ht="15.75" customHeight="1">
      <c r="E1580" s="314"/>
      <c r="F1580" s="312"/>
      <c r="H1580" s="311"/>
      <c r="J1580" s="328"/>
    </row>
    <row r="1581" spans="5:10" ht="15.75" customHeight="1">
      <c r="E1581" s="314"/>
      <c r="F1581" s="312"/>
      <c r="H1581" s="311"/>
      <c r="J1581" s="328"/>
    </row>
    <row r="1582" spans="5:10" ht="15.75" customHeight="1">
      <c r="E1582" s="314"/>
      <c r="F1582" s="312"/>
      <c r="H1582" s="311"/>
      <c r="J1582" s="328"/>
    </row>
    <row r="1583" spans="5:10" ht="15.75" customHeight="1">
      <c r="E1583" s="314"/>
      <c r="F1583" s="312"/>
      <c r="H1583" s="311"/>
      <c r="J1583" s="328"/>
    </row>
    <row r="1584" spans="5:10" ht="15.75" customHeight="1">
      <c r="E1584" s="314"/>
      <c r="F1584" s="312"/>
      <c r="H1584" s="311"/>
      <c r="J1584" s="328"/>
    </row>
    <row r="1585" spans="5:10" ht="15.75" customHeight="1">
      <c r="E1585" s="314"/>
      <c r="F1585" s="312"/>
      <c r="H1585" s="311"/>
      <c r="J1585" s="328"/>
    </row>
    <row r="1586" spans="5:10" ht="15.75" customHeight="1">
      <c r="E1586" s="314"/>
      <c r="F1586" s="312"/>
      <c r="H1586" s="311"/>
      <c r="J1586" s="328"/>
    </row>
    <row r="1587" spans="5:10" ht="15.75" customHeight="1">
      <c r="E1587" s="314"/>
      <c r="F1587" s="312"/>
      <c r="H1587" s="311"/>
      <c r="J1587" s="328"/>
    </row>
    <row r="1588" spans="5:10" ht="15.75" customHeight="1">
      <c r="E1588" s="314"/>
      <c r="F1588" s="312"/>
      <c r="H1588" s="311"/>
      <c r="J1588" s="328"/>
    </row>
    <row r="1589" spans="5:10" ht="15.75" customHeight="1">
      <c r="E1589" s="314"/>
      <c r="F1589" s="312"/>
      <c r="H1589" s="311"/>
      <c r="J1589" s="328"/>
    </row>
    <row r="1590" spans="5:10" ht="15.75" customHeight="1">
      <c r="E1590" s="314"/>
      <c r="F1590" s="312"/>
      <c r="H1590" s="311"/>
      <c r="J1590" s="328"/>
    </row>
    <row r="1591" spans="5:10" ht="15.75" customHeight="1">
      <c r="E1591" s="314"/>
      <c r="F1591" s="312"/>
      <c r="H1591" s="311"/>
      <c r="J1591" s="328"/>
    </row>
    <row r="1592" spans="5:10" ht="15.75" customHeight="1">
      <c r="E1592" s="314"/>
      <c r="F1592" s="312"/>
      <c r="H1592" s="311"/>
      <c r="J1592" s="328"/>
    </row>
    <row r="1593" spans="5:10" ht="15.75" customHeight="1">
      <c r="E1593" s="314"/>
      <c r="F1593" s="312"/>
      <c r="H1593" s="311"/>
      <c r="J1593" s="328"/>
    </row>
    <row r="1594" spans="5:10" ht="15.75" customHeight="1">
      <c r="E1594" s="314"/>
      <c r="F1594" s="312"/>
      <c r="H1594" s="311"/>
      <c r="J1594" s="328"/>
    </row>
    <row r="1595" spans="5:10" ht="15.75" customHeight="1">
      <c r="E1595" s="314"/>
      <c r="F1595" s="312"/>
      <c r="H1595" s="311"/>
      <c r="J1595" s="328"/>
    </row>
    <row r="1596" spans="5:10" ht="15.75" customHeight="1">
      <c r="E1596" s="314"/>
      <c r="F1596" s="312"/>
      <c r="H1596" s="311"/>
      <c r="J1596" s="328"/>
    </row>
    <row r="1597" spans="5:10" ht="15.75" customHeight="1">
      <c r="E1597" s="314"/>
      <c r="F1597" s="312"/>
      <c r="H1597" s="311"/>
      <c r="J1597" s="328"/>
    </row>
    <row r="1598" spans="5:10" ht="15.75" customHeight="1">
      <c r="E1598" s="314"/>
      <c r="F1598" s="312"/>
      <c r="H1598" s="311"/>
      <c r="J1598" s="328"/>
    </row>
    <row r="1599" spans="5:10" ht="15.75" customHeight="1">
      <c r="E1599" s="314"/>
      <c r="F1599" s="312"/>
      <c r="H1599" s="311"/>
      <c r="J1599" s="328"/>
    </row>
    <row r="1600" spans="5:10" ht="15.75" customHeight="1">
      <c r="E1600" s="314"/>
      <c r="F1600" s="312"/>
      <c r="H1600" s="311"/>
      <c r="J1600" s="328"/>
    </row>
    <row r="1601" spans="5:10" ht="15.75" customHeight="1">
      <c r="E1601" s="314"/>
      <c r="F1601" s="312"/>
      <c r="H1601" s="311"/>
      <c r="J1601" s="328"/>
    </row>
    <row r="1602" spans="5:10" ht="15.75" customHeight="1">
      <c r="E1602" s="314"/>
      <c r="F1602" s="312"/>
      <c r="H1602" s="311"/>
      <c r="J1602" s="328"/>
    </row>
    <row r="1603" spans="5:10" ht="15.75" customHeight="1">
      <c r="E1603" s="314"/>
      <c r="F1603" s="312"/>
      <c r="H1603" s="311"/>
      <c r="J1603" s="328"/>
    </row>
    <row r="1604" spans="5:10" ht="15.75" customHeight="1">
      <c r="E1604" s="314"/>
      <c r="F1604" s="312"/>
      <c r="H1604" s="311"/>
      <c r="J1604" s="328"/>
    </row>
    <row r="1605" spans="5:10" ht="15.75" customHeight="1">
      <c r="E1605" s="314"/>
      <c r="F1605" s="312"/>
      <c r="H1605" s="311"/>
      <c r="J1605" s="328"/>
    </row>
    <row r="1606" spans="5:10" ht="15.75" customHeight="1">
      <c r="E1606" s="314"/>
      <c r="F1606" s="312"/>
      <c r="H1606" s="311"/>
      <c r="J1606" s="328"/>
    </row>
    <row r="1607" spans="5:10" ht="15.75" customHeight="1">
      <c r="E1607" s="314"/>
      <c r="F1607" s="312"/>
      <c r="H1607" s="311"/>
      <c r="J1607" s="328"/>
    </row>
    <row r="1608" spans="5:10" ht="15.75" customHeight="1">
      <c r="E1608" s="314"/>
      <c r="F1608" s="312"/>
      <c r="H1608" s="311"/>
      <c r="J1608" s="328"/>
    </row>
    <row r="1609" spans="5:10" ht="15.75" customHeight="1">
      <c r="E1609" s="314"/>
      <c r="F1609" s="312"/>
      <c r="H1609" s="311"/>
      <c r="J1609" s="328"/>
    </row>
    <row r="1610" spans="5:10" ht="15.75" customHeight="1">
      <c r="E1610" s="314"/>
      <c r="F1610" s="312"/>
      <c r="H1610" s="311"/>
      <c r="J1610" s="328"/>
    </row>
    <row r="1611" spans="5:10" ht="15.75" customHeight="1">
      <c r="E1611" s="314"/>
      <c r="F1611" s="312"/>
      <c r="H1611" s="311"/>
      <c r="J1611" s="328"/>
    </row>
    <row r="1612" spans="5:10" ht="15.75" customHeight="1">
      <c r="E1612" s="314"/>
      <c r="F1612" s="312"/>
      <c r="H1612" s="311"/>
      <c r="J1612" s="328"/>
    </row>
    <row r="1613" spans="5:10" ht="15.75" customHeight="1">
      <c r="E1613" s="314"/>
      <c r="F1613" s="312"/>
      <c r="H1613" s="311"/>
      <c r="J1613" s="328"/>
    </row>
    <row r="1614" spans="5:10" ht="15.75" customHeight="1">
      <c r="E1614" s="314"/>
      <c r="F1614" s="312"/>
      <c r="H1614" s="311"/>
      <c r="J1614" s="328"/>
    </row>
    <row r="1615" spans="5:10" ht="15.75" customHeight="1">
      <c r="E1615" s="314"/>
      <c r="F1615" s="312"/>
      <c r="H1615" s="311"/>
      <c r="J1615" s="328"/>
    </row>
    <row r="1616" spans="5:10" ht="15.75" customHeight="1">
      <c r="E1616" s="314"/>
      <c r="F1616" s="312"/>
      <c r="H1616" s="311"/>
      <c r="J1616" s="328"/>
    </row>
    <row r="1617" spans="5:10" ht="15.75" customHeight="1">
      <c r="E1617" s="314"/>
      <c r="F1617" s="312"/>
      <c r="H1617" s="311"/>
      <c r="J1617" s="328"/>
    </row>
    <row r="1618" spans="5:10" ht="15.75" customHeight="1">
      <c r="E1618" s="314"/>
      <c r="F1618" s="312"/>
      <c r="H1618" s="311"/>
      <c r="J1618" s="328"/>
    </row>
    <row r="1619" spans="5:10" ht="15.75" customHeight="1">
      <c r="E1619" s="314"/>
      <c r="F1619" s="312"/>
      <c r="H1619" s="311"/>
      <c r="J1619" s="328"/>
    </row>
    <row r="1620" spans="5:10" ht="15.75" customHeight="1">
      <c r="E1620" s="314"/>
      <c r="F1620" s="312"/>
      <c r="H1620" s="311"/>
      <c r="J1620" s="328"/>
    </row>
    <row r="1621" spans="5:10" ht="15.75" customHeight="1">
      <c r="E1621" s="314"/>
      <c r="F1621" s="312"/>
      <c r="H1621" s="311"/>
      <c r="J1621" s="328"/>
    </row>
    <row r="1622" spans="5:10" ht="15.75" customHeight="1">
      <c r="E1622" s="314"/>
      <c r="F1622" s="312"/>
      <c r="H1622" s="311"/>
      <c r="J1622" s="328"/>
    </row>
    <row r="1623" spans="5:10" ht="15.75" customHeight="1">
      <c r="E1623" s="314"/>
      <c r="F1623" s="312"/>
      <c r="H1623" s="311"/>
      <c r="J1623" s="328"/>
    </row>
    <row r="1624" spans="5:10" ht="15.75" customHeight="1">
      <c r="E1624" s="314"/>
      <c r="F1624" s="312"/>
      <c r="H1624" s="311"/>
      <c r="J1624" s="328"/>
    </row>
    <row r="1625" spans="5:10" ht="15.75" customHeight="1">
      <c r="E1625" s="314"/>
      <c r="F1625" s="312"/>
      <c r="H1625" s="311"/>
      <c r="J1625" s="328"/>
    </row>
    <row r="1626" spans="5:10" ht="15.75" customHeight="1">
      <c r="E1626" s="314"/>
      <c r="F1626" s="312"/>
      <c r="H1626" s="311"/>
      <c r="J1626" s="328"/>
    </row>
    <row r="1627" spans="5:10" ht="15.75" customHeight="1">
      <c r="E1627" s="314"/>
      <c r="F1627" s="312"/>
      <c r="H1627" s="311"/>
      <c r="J1627" s="328"/>
    </row>
    <row r="1628" spans="5:10" ht="15.75" customHeight="1">
      <c r="E1628" s="314"/>
      <c r="F1628" s="312"/>
      <c r="H1628" s="311"/>
      <c r="J1628" s="328"/>
    </row>
    <row r="1629" spans="5:10" ht="15.75" customHeight="1">
      <c r="E1629" s="314"/>
      <c r="F1629" s="312"/>
      <c r="H1629" s="311"/>
      <c r="J1629" s="328"/>
    </row>
    <row r="1630" spans="5:10" ht="15.75" customHeight="1">
      <c r="E1630" s="314"/>
      <c r="F1630" s="312"/>
      <c r="H1630" s="311"/>
      <c r="J1630" s="328"/>
    </row>
    <row r="1631" spans="5:10" ht="15.75" customHeight="1">
      <c r="E1631" s="314"/>
      <c r="F1631" s="312"/>
      <c r="H1631" s="311"/>
      <c r="J1631" s="328"/>
    </row>
    <row r="1632" spans="5:10" ht="15.75" customHeight="1">
      <c r="E1632" s="314"/>
      <c r="F1632" s="312"/>
      <c r="H1632" s="311"/>
      <c r="J1632" s="328"/>
    </row>
    <row r="1633" spans="5:10" ht="15.75" customHeight="1">
      <c r="E1633" s="314"/>
      <c r="F1633" s="312"/>
      <c r="H1633" s="311"/>
      <c r="J1633" s="328"/>
    </row>
    <row r="1634" spans="5:10" ht="15.75" customHeight="1">
      <c r="E1634" s="314"/>
      <c r="F1634" s="312"/>
      <c r="H1634" s="311"/>
      <c r="J1634" s="328"/>
    </row>
    <row r="1635" spans="5:10" ht="15.75" customHeight="1">
      <c r="E1635" s="314"/>
      <c r="F1635" s="312"/>
      <c r="H1635" s="311"/>
      <c r="J1635" s="328"/>
    </row>
    <row r="1636" spans="5:10" ht="15.75" customHeight="1">
      <c r="E1636" s="314"/>
      <c r="F1636" s="312"/>
      <c r="H1636" s="311"/>
      <c r="J1636" s="328"/>
    </row>
    <row r="1637" spans="5:10" ht="15.75" customHeight="1">
      <c r="E1637" s="314"/>
      <c r="F1637" s="312"/>
      <c r="H1637" s="311"/>
      <c r="J1637" s="328"/>
    </row>
    <row r="1638" spans="5:10" ht="15.75" customHeight="1">
      <c r="E1638" s="314"/>
      <c r="F1638" s="312"/>
      <c r="H1638" s="311"/>
      <c r="J1638" s="328"/>
    </row>
    <row r="1639" spans="5:10" ht="15.75" customHeight="1">
      <c r="E1639" s="314"/>
      <c r="F1639" s="312"/>
      <c r="H1639" s="311"/>
      <c r="J1639" s="328"/>
    </row>
    <row r="1640" spans="5:10" ht="15.75" customHeight="1">
      <c r="E1640" s="314"/>
      <c r="F1640" s="312"/>
      <c r="H1640" s="311"/>
      <c r="J1640" s="328"/>
    </row>
    <row r="1641" spans="5:10" ht="15.75" customHeight="1">
      <c r="E1641" s="314"/>
      <c r="F1641" s="312"/>
      <c r="H1641" s="311"/>
      <c r="J1641" s="328"/>
    </row>
    <row r="1642" spans="5:10" ht="15.75" customHeight="1">
      <c r="E1642" s="314"/>
      <c r="F1642" s="312"/>
      <c r="H1642" s="311"/>
      <c r="J1642" s="328"/>
    </row>
    <row r="1643" spans="5:10" ht="15.75" customHeight="1">
      <c r="E1643" s="314"/>
      <c r="F1643" s="312"/>
      <c r="H1643" s="311"/>
      <c r="J1643" s="328"/>
    </row>
    <row r="1644" spans="5:10" ht="15.75" customHeight="1">
      <c r="E1644" s="314"/>
      <c r="F1644" s="312"/>
      <c r="H1644" s="311"/>
      <c r="J1644" s="328"/>
    </row>
    <row r="1645" spans="5:10" ht="15.75" customHeight="1">
      <c r="E1645" s="314"/>
      <c r="F1645" s="312"/>
      <c r="H1645" s="311"/>
      <c r="J1645" s="328"/>
    </row>
    <row r="1646" spans="5:10" ht="15.75" customHeight="1">
      <c r="E1646" s="314"/>
      <c r="F1646" s="312"/>
      <c r="H1646" s="311"/>
      <c r="J1646" s="328"/>
    </row>
    <row r="1647" spans="5:10" ht="15.75" customHeight="1">
      <c r="E1647" s="314"/>
      <c r="F1647" s="312"/>
      <c r="H1647" s="311"/>
      <c r="J1647" s="328"/>
    </row>
    <row r="1648" spans="5:10" ht="15.75" customHeight="1">
      <c r="E1648" s="314"/>
      <c r="F1648" s="312"/>
      <c r="H1648" s="311"/>
      <c r="J1648" s="328"/>
    </row>
    <row r="1649" spans="5:10" ht="15.75" customHeight="1">
      <c r="E1649" s="314"/>
      <c r="F1649" s="312"/>
      <c r="H1649" s="311"/>
      <c r="J1649" s="328"/>
    </row>
    <row r="1650" spans="5:10" ht="15.75" customHeight="1">
      <c r="E1650" s="314"/>
      <c r="F1650" s="312"/>
      <c r="H1650" s="311"/>
      <c r="J1650" s="328"/>
    </row>
    <row r="1651" spans="5:10" ht="15.75" customHeight="1">
      <c r="E1651" s="314"/>
      <c r="F1651" s="312"/>
      <c r="H1651" s="311"/>
      <c r="J1651" s="328"/>
    </row>
    <row r="1652" spans="5:10" ht="15.75" customHeight="1">
      <c r="E1652" s="314"/>
      <c r="F1652" s="312"/>
      <c r="H1652" s="311"/>
      <c r="J1652" s="328"/>
    </row>
    <row r="1653" spans="5:10" ht="15.75" customHeight="1">
      <c r="E1653" s="314"/>
      <c r="F1653" s="312"/>
      <c r="H1653" s="311"/>
      <c r="J1653" s="328"/>
    </row>
    <row r="1654" spans="5:10" ht="15.75" customHeight="1">
      <c r="E1654" s="314"/>
      <c r="F1654" s="312"/>
      <c r="H1654" s="311"/>
      <c r="J1654" s="328"/>
    </row>
    <row r="1655" spans="5:10" ht="15.75" customHeight="1">
      <c r="E1655" s="314"/>
      <c r="F1655" s="312"/>
      <c r="H1655" s="311"/>
      <c r="J1655" s="328"/>
    </row>
    <row r="1656" spans="5:10" ht="15.75" customHeight="1">
      <c r="E1656" s="314"/>
      <c r="F1656" s="312"/>
      <c r="H1656" s="311"/>
      <c r="J1656" s="328"/>
    </row>
    <row r="1657" spans="5:10" ht="15.75" customHeight="1">
      <c r="E1657" s="314"/>
      <c r="F1657" s="312"/>
      <c r="H1657" s="311"/>
      <c r="J1657" s="328"/>
    </row>
    <row r="1658" spans="5:10" ht="15.75" customHeight="1">
      <c r="E1658" s="314"/>
      <c r="F1658" s="312"/>
      <c r="H1658" s="311"/>
      <c r="J1658" s="328"/>
    </row>
    <row r="1659" spans="5:10" ht="15.75" customHeight="1">
      <c r="E1659" s="314"/>
      <c r="F1659" s="312"/>
      <c r="H1659" s="311"/>
      <c r="J1659" s="328"/>
    </row>
    <row r="1660" spans="5:10" ht="15.75" customHeight="1">
      <c r="E1660" s="314"/>
      <c r="F1660" s="312"/>
      <c r="H1660" s="311"/>
      <c r="J1660" s="328"/>
    </row>
    <row r="1661" spans="5:10" ht="15.75" customHeight="1">
      <c r="E1661" s="314"/>
      <c r="F1661" s="312"/>
      <c r="H1661" s="311"/>
      <c r="J1661" s="328"/>
    </row>
    <row r="1662" spans="5:10" ht="15.75" customHeight="1">
      <c r="E1662" s="314"/>
      <c r="F1662" s="312"/>
      <c r="H1662" s="311"/>
      <c r="J1662" s="328"/>
    </row>
    <row r="1663" spans="5:10" ht="15.75" customHeight="1">
      <c r="E1663" s="314"/>
      <c r="F1663" s="312"/>
      <c r="H1663" s="311"/>
      <c r="J1663" s="328"/>
    </row>
    <row r="1664" spans="5:10" ht="15.75" customHeight="1">
      <c r="E1664" s="314"/>
      <c r="F1664" s="312"/>
      <c r="H1664" s="311"/>
      <c r="J1664" s="328"/>
    </row>
    <row r="1665" spans="5:10" ht="15.75" customHeight="1">
      <c r="E1665" s="314"/>
      <c r="F1665" s="312"/>
      <c r="H1665" s="311"/>
      <c r="J1665" s="328"/>
    </row>
    <row r="1666" spans="5:10" ht="15.75" customHeight="1">
      <c r="E1666" s="314"/>
      <c r="F1666" s="312"/>
      <c r="H1666" s="311"/>
      <c r="J1666" s="328"/>
    </row>
    <row r="1667" spans="5:10" ht="15.75" customHeight="1">
      <c r="E1667" s="314"/>
      <c r="F1667" s="312"/>
      <c r="H1667" s="311"/>
      <c r="J1667" s="328"/>
    </row>
    <row r="1668" spans="5:10" ht="15.75" customHeight="1">
      <c r="E1668" s="314"/>
      <c r="F1668" s="312"/>
      <c r="H1668" s="311"/>
      <c r="J1668" s="328"/>
    </row>
    <row r="1669" spans="5:10" ht="15.75" customHeight="1">
      <c r="E1669" s="314"/>
      <c r="F1669" s="312"/>
      <c r="H1669" s="311"/>
      <c r="J1669" s="328"/>
    </row>
    <row r="1670" spans="5:10" ht="15.75" customHeight="1">
      <c r="E1670" s="314"/>
      <c r="F1670" s="312"/>
      <c r="H1670" s="311"/>
      <c r="J1670" s="328"/>
    </row>
    <row r="1671" spans="5:10" ht="15.75" customHeight="1">
      <c r="E1671" s="314"/>
      <c r="F1671" s="312"/>
      <c r="H1671" s="311"/>
      <c r="J1671" s="328"/>
    </row>
    <row r="1672" spans="5:10" ht="15.75" customHeight="1">
      <c r="E1672" s="314"/>
      <c r="F1672" s="312"/>
      <c r="H1672" s="311"/>
      <c r="J1672" s="328"/>
    </row>
    <row r="1673" spans="5:10" ht="15.75" customHeight="1">
      <c r="E1673" s="314"/>
      <c r="F1673" s="312"/>
      <c r="H1673" s="311"/>
      <c r="J1673" s="328"/>
    </row>
    <row r="1674" spans="5:10" ht="15.75" customHeight="1">
      <c r="E1674" s="314"/>
      <c r="F1674" s="312"/>
      <c r="H1674" s="311"/>
      <c r="J1674" s="328"/>
    </row>
    <row r="1675" spans="5:10" ht="15.75" customHeight="1">
      <c r="E1675" s="314"/>
      <c r="F1675" s="312"/>
      <c r="H1675" s="311"/>
      <c r="J1675" s="328"/>
    </row>
    <row r="1676" spans="5:10" ht="15.75" customHeight="1">
      <c r="E1676" s="314"/>
      <c r="F1676" s="312"/>
      <c r="H1676" s="311"/>
      <c r="J1676" s="328"/>
    </row>
    <row r="1677" spans="5:10" ht="15.75" customHeight="1">
      <c r="E1677" s="314"/>
      <c r="F1677" s="312"/>
      <c r="H1677" s="311"/>
      <c r="J1677" s="328"/>
    </row>
    <row r="1678" spans="5:10" ht="15.75" customHeight="1">
      <c r="E1678" s="314"/>
      <c r="F1678" s="312"/>
      <c r="H1678" s="311"/>
      <c r="J1678" s="328"/>
    </row>
    <row r="1679" spans="5:10" ht="15.75" customHeight="1">
      <c r="E1679" s="314"/>
      <c r="F1679" s="312"/>
      <c r="H1679" s="311"/>
      <c r="J1679" s="328"/>
    </row>
    <row r="1680" spans="5:10" ht="15.75" customHeight="1">
      <c r="E1680" s="314"/>
      <c r="F1680" s="312"/>
      <c r="H1680" s="311"/>
      <c r="J1680" s="328"/>
    </row>
    <row r="1681" spans="5:10" ht="15.75" customHeight="1">
      <c r="E1681" s="314"/>
      <c r="F1681" s="312"/>
      <c r="H1681" s="311"/>
      <c r="J1681" s="328"/>
    </row>
    <row r="1682" spans="5:10" ht="15.75" customHeight="1">
      <c r="E1682" s="314"/>
      <c r="F1682" s="312"/>
      <c r="H1682" s="311"/>
      <c r="J1682" s="328"/>
    </row>
    <row r="1683" spans="5:10" ht="15.75" customHeight="1">
      <c r="E1683" s="314"/>
      <c r="F1683" s="312"/>
      <c r="H1683" s="311"/>
      <c r="J1683" s="328"/>
    </row>
    <row r="1684" spans="5:10" ht="15.75" customHeight="1">
      <c r="E1684" s="314"/>
      <c r="F1684" s="312"/>
      <c r="H1684" s="311"/>
      <c r="J1684" s="328"/>
    </row>
    <row r="1685" spans="5:10" ht="15.75" customHeight="1">
      <c r="E1685" s="314"/>
      <c r="F1685" s="312"/>
      <c r="H1685" s="311"/>
      <c r="J1685" s="328"/>
    </row>
    <row r="1686" spans="5:10" ht="15.75" customHeight="1">
      <c r="E1686" s="314"/>
      <c r="F1686" s="312"/>
      <c r="H1686" s="311"/>
      <c r="J1686" s="328"/>
    </row>
    <row r="1687" spans="5:10" ht="15.75" customHeight="1">
      <c r="E1687" s="314"/>
      <c r="F1687" s="312"/>
      <c r="H1687" s="311"/>
      <c r="J1687" s="328"/>
    </row>
    <row r="1688" spans="5:10" ht="15.75" customHeight="1">
      <c r="E1688" s="314"/>
      <c r="F1688" s="312"/>
      <c r="H1688" s="311"/>
      <c r="J1688" s="328"/>
    </row>
    <row r="1689" spans="5:10" ht="15.75" customHeight="1">
      <c r="E1689" s="314"/>
      <c r="F1689" s="312"/>
      <c r="H1689" s="311"/>
      <c r="J1689" s="328"/>
    </row>
    <row r="1690" spans="5:10" ht="15.75" customHeight="1">
      <c r="E1690" s="314"/>
      <c r="F1690" s="312"/>
      <c r="H1690" s="311"/>
      <c r="J1690" s="328"/>
    </row>
    <row r="1691" spans="5:10" ht="15.75" customHeight="1">
      <c r="E1691" s="314"/>
      <c r="F1691" s="312"/>
      <c r="H1691" s="311"/>
      <c r="J1691" s="328"/>
    </row>
    <row r="1692" spans="5:10" ht="15.75" customHeight="1">
      <c r="E1692" s="314"/>
      <c r="F1692" s="312"/>
      <c r="H1692" s="311"/>
      <c r="J1692" s="328"/>
    </row>
    <row r="1693" spans="5:10" ht="15.75" customHeight="1">
      <c r="E1693" s="314"/>
      <c r="F1693" s="312"/>
      <c r="H1693" s="311"/>
      <c r="J1693" s="328"/>
    </row>
    <row r="1694" spans="5:10" ht="15.75" customHeight="1">
      <c r="E1694" s="314"/>
      <c r="F1694" s="312"/>
      <c r="H1694" s="311"/>
      <c r="J1694" s="328"/>
    </row>
    <row r="1695" spans="5:10" ht="15.75" customHeight="1">
      <c r="E1695" s="314"/>
      <c r="F1695" s="312"/>
      <c r="H1695" s="311"/>
      <c r="J1695" s="328"/>
    </row>
    <row r="1696" spans="5:10" ht="15.75" customHeight="1">
      <c r="E1696" s="314"/>
      <c r="F1696" s="312"/>
      <c r="H1696" s="311"/>
      <c r="J1696" s="328"/>
    </row>
    <row r="1697" spans="5:10" ht="15.75" customHeight="1">
      <c r="E1697" s="314"/>
      <c r="F1697" s="312"/>
      <c r="H1697" s="311"/>
      <c r="J1697" s="328"/>
    </row>
    <row r="1698" spans="5:10" ht="15.75" customHeight="1">
      <c r="E1698" s="314"/>
      <c r="F1698" s="312"/>
      <c r="H1698" s="311"/>
      <c r="J1698" s="328"/>
    </row>
    <row r="1699" spans="5:10" ht="15.75" customHeight="1">
      <c r="E1699" s="314"/>
      <c r="F1699" s="312"/>
      <c r="H1699" s="311"/>
      <c r="J1699" s="328"/>
    </row>
    <row r="1700" spans="5:10" ht="15.75" customHeight="1">
      <c r="E1700" s="314"/>
      <c r="F1700" s="312"/>
      <c r="H1700" s="311"/>
      <c r="J1700" s="328"/>
    </row>
    <row r="1701" spans="5:10" ht="15.75" customHeight="1">
      <c r="E1701" s="314"/>
      <c r="F1701" s="312"/>
      <c r="H1701" s="311"/>
      <c r="J1701" s="328"/>
    </row>
    <row r="1702" spans="5:10" ht="15.75" customHeight="1">
      <c r="E1702" s="314"/>
      <c r="F1702" s="312"/>
      <c r="H1702" s="311"/>
      <c r="J1702" s="328"/>
    </row>
    <row r="1703" spans="5:10" ht="15.75" customHeight="1">
      <c r="E1703" s="314"/>
      <c r="F1703" s="312"/>
      <c r="H1703" s="311"/>
      <c r="J1703" s="328"/>
    </row>
    <row r="1704" spans="5:10" ht="15.75" customHeight="1">
      <c r="E1704" s="314"/>
      <c r="F1704" s="312"/>
      <c r="H1704" s="311"/>
      <c r="J1704" s="328"/>
    </row>
    <row r="1705" spans="5:10" ht="15.75" customHeight="1">
      <c r="E1705" s="314"/>
      <c r="F1705" s="312"/>
      <c r="H1705" s="311"/>
      <c r="J1705" s="328"/>
    </row>
    <row r="1706" spans="5:10" ht="15.75" customHeight="1">
      <c r="E1706" s="314"/>
      <c r="F1706" s="312"/>
      <c r="H1706" s="311"/>
      <c r="J1706" s="328"/>
    </row>
    <row r="1707" spans="5:10" ht="15.75" customHeight="1">
      <c r="E1707" s="314"/>
      <c r="F1707" s="312"/>
      <c r="H1707" s="311"/>
      <c r="J1707" s="328"/>
    </row>
    <row r="1708" spans="5:10" ht="15.75" customHeight="1">
      <c r="E1708" s="314"/>
      <c r="F1708" s="312"/>
      <c r="H1708" s="311"/>
      <c r="J1708" s="328"/>
    </row>
    <row r="1709" spans="5:10" ht="15.75" customHeight="1">
      <c r="E1709" s="314"/>
      <c r="F1709" s="312"/>
      <c r="H1709" s="311"/>
      <c r="J1709" s="328"/>
    </row>
    <row r="1710" spans="5:10" ht="15.75" customHeight="1">
      <c r="E1710" s="314"/>
      <c r="F1710" s="312"/>
      <c r="H1710" s="311"/>
      <c r="J1710" s="328"/>
    </row>
    <row r="1711" spans="5:10" ht="15.75" customHeight="1">
      <c r="E1711" s="314"/>
      <c r="F1711" s="312"/>
      <c r="H1711" s="311"/>
      <c r="J1711" s="328"/>
    </row>
    <row r="1712" spans="5:10" ht="15.75" customHeight="1">
      <c r="E1712" s="314"/>
      <c r="F1712" s="312"/>
      <c r="H1712" s="311"/>
      <c r="J1712" s="328"/>
    </row>
    <row r="1713" spans="5:10" ht="15.75" customHeight="1">
      <c r="E1713" s="314"/>
      <c r="F1713" s="312"/>
      <c r="H1713" s="311"/>
      <c r="J1713" s="328"/>
    </row>
    <row r="1714" spans="5:10" ht="15.75" customHeight="1">
      <c r="E1714" s="314"/>
      <c r="F1714" s="312"/>
      <c r="H1714" s="311"/>
      <c r="J1714" s="328"/>
    </row>
    <row r="1715" spans="5:10" ht="15.75" customHeight="1">
      <c r="E1715" s="314"/>
      <c r="F1715" s="312"/>
      <c r="H1715" s="311"/>
      <c r="J1715" s="328"/>
    </row>
    <row r="1716" spans="5:10" ht="15.75" customHeight="1">
      <c r="E1716" s="314"/>
      <c r="F1716" s="312"/>
      <c r="H1716" s="311"/>
      <c r="J1716" s="328"/>
    </row>
    <row r="1717" spans="5:10" ht="15.75" customHeight="1">
      <c r="E1717" s="314"/>
      <c r="F1717" s="312"/>
      <c r="H1717" s="311"/>
      <c r="J1717" s="328"/>
    </row>
    <row r="1718" spans="5:10" ht="15.75" customHeight="1">
      <c r="E1718" s="314"/>
      <c r="F1718" s="312"/>
      <c r="H1718" s="311"/>
      <c r="J1718" s="328"/>
    </row>
    <row r="1719" spans="5:10" ht="15.75" customHeight="1">
      <c r="E1719" s="314"/>
      <c r="F1719" s="312"/>
      <c r="H1719" s="311"/>
      <c r="J1719" s="328"/>
    </row>
    <row r="1720" spans="5:10" ht="15.75" customHeight="1">
      <c r="E1720" s="314"/>
      <c r="F1720" s="312"/>
      <c r="H1720" s="311"/>
      <c r="J1720" s="328"/>
    </row>
    <row r="1721" spans="5:10" ht="15.75" customHeight="1">
      <c r="E1721" s="314"/>
      <c r="F1721" s="312"/>
      <c r="H1721" s="311"/>
      <c r="J1721" s="328"/>
    </row>
    <row r="1722" spans="5:10" ht="15.75" customHeight="1">
      <c r="E1722" s="314"/>
      <c r="F1722" s="312"/>
      <c r="H1722" s="311"/>
      <c r="J1722" s="328"/>
    </row>
    <row r="1723" spans="5:10" ht="15.75" customHeight="1">
      <c r="E1723" s="314"/>
      <c r="F1723" s="312"/>
      <c r="H1723" s="311"/>
      <c r="J1723" s="328"/>
    </row>
    <row r="1724" spans="5:10" ht="15.75" customHeight="1">
      <c r="E1724" s="314"/>
      <c r="F1724" s="312"/>
      <c r="H1724" s="311"/>
      <c r="J1724" s="328"/>
    </row>
    <row r="1725" spans="5:10" ht="15.75" customHeight="1">
      <c r="E1725" s="314"/>
      <c r="F1725" s="312"/>
      <c r="H1725" s="311"/>
      <c r="J1725" s="328"/>
    </row>
    <row r="1726" spans="5:10" ht="15.75" customHeight="1">
      <c r="E1726" s="314"/>
      <c r="F1726" s="312"/>
      <c r="H1726" s="311"/>
      <c r="J1726" s="328"/>
    </row>
    <row r="1727" spans="5:10" ht="15.75" customHeight="1">
      <c r="E1727" s="314"/>
      <c r="F1727" s="312"/>
      <c r="H1727" s="311"/>
      <c r="J1727" s="328"/>
    </row>
    <row r="1728" spans="5:10" ht="15.75" customHeight="1">
      <c r="E1728" s="314"/>
      <c r="F1728" s="312"/>
      <c r="H1728" s="311"/>
      <c r="J1728" s="328"/>
    </row>
    <row r="1729" spans="5:10" ht="15.75" customHeight="1">
      <c r="E1729" s="314"/>
      <c r="F1729" s="312"/>
      <c r="H1729" s="311"/>
      <c r="J1729" s="328"/>
    </row>
    <row r="1730" spans="5:10" ht="15.75" customHeight="1">
      <c r="E1730" s="314"/>
      <c r="F1730" s="312"/>
      <c r="H1730" s="311"/>
      <c r="J1730" s="328"/>
    </row>
    <row r="1731" spans="5:10" ht="15.75" customHeight="1">
      <c r="E1731" s="314"/>
      <c r="F1731" s="312"/>
      <c r="H1731" s="311"/>
      <c r="J1731" s="328"/>
    </row>
    <row r="1732" spans="5:10" ht="15.75" customHeight="1">
      <c r="E1732" s="314"/>
      <c r="F1732" s="312"/>
      <c r="H1732" s="311"/>
      <c r="J1732" s="328"/>
    </row>
    <row r="1733" spans="5:10" ht="15.75" customHeight="1">
      <c r="E1733" s="314"/>
      <c r="F1733" s="312"/>
      <c r="H1733" s="311"/>
      <c r="J1733" s="328"/>
    </row>
    <row r="1734" spans="5:10" ht="15.75" customHeight="1">
      <c r="E1734" s="314"/>
      <c r="F1734" s="312"/>
      <c r="H1734" s="311"/>
      <c r="J1734" s="328"/>
    </row>
    <row r="1735" spans="5:10" ht="15.75" customHeight="1">
      <c r="E1735" s="314"/>
      <c r="F1735" s="312"/>
      <c r="H1735" s="311"/>
      <c r="J1735" s="328"/>
    </row>
    <row r="1736" spans="5:10" ht="15.75" customHeight="1">
      <c r="E1736" s="314"/>
      <c r="F1736" s="312"/>
      <c r="H1736" s="311"/>
      <c r="J1736" s="328"/>
    </row>
    <row r="1737" spans="5:10" ht="15.75" customHeight="1">
      <c r="E1737" s="314"/>
      <c r="F1737" s="312"/>
      <c r="H1737" s="311"/>
      <c r="J1737" s="328"/>
    </row>
    <row r="1738" spans="5:10" ht="15.75" customHeight="1">
      <c r="E1738" s="314"/>
      <c r="F1738" s="312"/>
      <c r="H1738" s="311"/>
      <c r="J1738" s="328"/>
    </row>
    <row r="1739" spans="5:10" ht="15.75" customHeight="1">
      <c r="E1739" s="314"/>
      <c r="F1739" s="312"/>
      <c r="H1739" s="311"/>
      <c r="J1739" s="328"/>
    </row>
    <row r="1740" spans="5:10" ht="15.75" customHeight="1">
      <c r="E1740" s="314"/>
      <c r="F1740" s="312"/>
      <c r="H1740" s="311"/>
      <c r="J1740" s="328"/>
    </row>
    <row r="1741" spans="5:10" ht="15.75" customHeight="1">
      <c r="E1741" s="314"/>
      <c r="F1741" s="312"/>
      <c r="H1741" s="311"/>
      <c r="J1741" s="328"/>
    </row>
    <row r="1742" spans="5:10" ht="15.75" customHeight="1">
      <c r="E1742" s="314"/>
      <c r="F1742" s="312"/>
      <c r="H1742" s="311"/>
      <c r="J1742" s="328"/>
    </row>
    <row r="1743" spans="5:10" ht="15.75" customHeight="1">
      <c r="E1743" s="314"/>
      <c r="F1743" s="312"/>
      <c r="H1743" s="311"/>
      <c r="J1743" s="328"/>
    </row>
    <row r="1744" spans="5:10" ht="15.75" customHeight="1">
      <c r="E1744" s="314"/>
      <c r="F1744" s="312"/>
      <c r="H1744" s="311"/>
      <c r="J1744" s="328"/>
    </row>
    <row r="1745" spans="5:10" ht="15.75" customHeight="1">
      <c r="E1745" s="314"/>
      <c r="F1745" s="312"/>
      <c r="H1745" s="311"/>
      <c r="J1745" s="328"/>
    </row>
    <row r="1746" spans="5:10" ht="15.75" customHeight="1">
      <c r="E1746" s="314"/>
      <c r="F1746" s="312"/>
      <c r="H1746" s="311"/>
      <c r="J1746" s="328"/>
    </row>
    <row r="1747" spans="5:10" ht="15.75" customHeight="1">
      <c r="E1747" s="314"/>
      <c r="F1747" s="312"/>
      <c r="H1747" s="311"/>
      <c r="J1747" s="328"/>
    </row>
    <row r="1748" spans="5:10" ht="15.75" customHeight="1">
      <c r="E1748" s="314"/>
      <c r="F1748" s="312"/>
      <c r="H1748" s="311"/>
      <c r="J1748" s="328"/>
    </row>
    <row r="1749" spans="5:10" ht="15.75" customHeight="1">
      <c r="E1749" s="314"/>
      <c r="F1749" s="312"/>
      <c r="H1749" s="311"/>
      <c r="J1749" s="328"/>
    </row>
    <row r="1750" spans="5:10" ht="15.75" customHeight="1">
      <c r="E1750" s="314"/>
      <c r="F1750" s="312"/>
      <c r="H1750" s="311"/>
      <c r="J1750" s="328"/>
    </row>
    <row r="1751" spans="5:10" ht="15.75" customHeight="1">
      <c r="E1751" s="314"/>
      <c r="F1751" s="312"/>
      <c r="H1751" s="311"/>
      <c r="J1751" s="328"/>
    </row>
    <row r="1752" spans="5:10" ht="15.75" customHeight="1">
      <c r="E1752" s="314"/>
      <c r="F1752" s="312"/>
      <c r="H1752" s="311"/>
      <c r="J1752" s="328"/>
    </row>
    <row r="1753" spans="5:10" ht="15.75" customHeight="1">
      <c r="E1753" s="314"/>
      <c r="F1753" s="312"/>
      <c r="H1753" s="311"/>
      <c r="J1753" s="328"/>
    </row>
    <row r="1754" spans="5:10" ht="15.75" customHeight="1">
      <c r="E1754" s="314"/>
      <c r="F1754" s="312"/>
      <c r="H1754" s="311"/>
      <c r="J1754" s="328"/>
    </row>
    <row r="1755" spans="5:10" ht="15.75" customHeight="1">
      <c r="E1755" s="314"/>
      <c r="F1755" s="312"/>
      <c r="H1755" s="311"/>
      <c r="J1755" s="328"/>
    </row>
    <row r="1756" spans="5:10" ht="15.75" customHeight="1">
      <c r="E1756" s="314"/>
      <c r="F1756" s="312"/>
      <c r="H1756" s="311"/>
      <c r="J1756" s="328"/>
    </row>
    <row r="1757" spans="5:10" ht="15.75" customHeight="1">
      <c r="E1757" s="314"/>
      <c r="F1757" s="312"/>
      <c r="H1757" s="311"/>
      <c r="J1757" s="328"/>
    </row>
    <row r="1758" spans="5:10" ht="15.75" customHeight="1">
      <c r="E1758" s="314"/>
      <c r="F1758" s="312"/>
      <c r="H1758" s="311"/>
      <c r="J1758" s="328"/>
    </row>
    <row r="1759" spans="5:10" ht="15.75" customHeight="1">
      <c r="E1759" s="314"/>
      <c r="F1759" s="312"/>
      <c r="H1759" s="311"/>
      <c r="J1759" s="328"/>
    </row>
    <row r="1760" spans="5:10" ht="15.75" customHeight="1">
      <c r="E1760" s="314"/>
      <c r="F1760" s="312"/>
      <c r="H1760" s="311"/>
      <c r="J1760" s="328"/>
    </row>
    <row r="1761" spans="5:10" ht="15.75" customHeight="1">
      <c r="E1761" s="314"/>
      <c r="F1761" s="312"/>
      <c r="H1761" s="311"/>
      <c r="J1761" s="328"/>
    </row>
    <row r="1762" spans="5:10" ht="15.75" customHeight="1">
      <c r="E1762" s="314"/>
      <c r="F1762" s="312"/>
      <c r="H1762" s="311"/>
      <c r="J1762" s="328"/>
    </row>
    <row r="1763" spans="5:10" ht="15.75" customHeight="1">
      <c r="E1763" s="314"/>
      <c r="F1763" s="312"/>
      <c r="H1763" s="311"/>
      <c r="J1763" s="328"/>
    </row>
    <row r="1764" spans="5:10" ht="15.75" customHeight="1">
      <c r="E1764" s="314"/>
      <c r="F1764" s="312"/>
      <c r="H1764" s="311"/>
      <c r="J1764" s="328"/>
    </row>
    <row r="1765" spans="5:10" ht="15.75" customHeight="1">
      <c r="E1765" s="314"/>
      <c r="F1765" s="312"/>
      <c r="H1765" s="311"/>
      <c r="J1765" s="328"/>
    </row>
    <row r="1766" spans="5:10" ht="15.75" customHeight="1">
      <c r="E1766" s="314"/>
      <c r="F1766" s="312"/>
      <c r="H1766" s="311"/>
      <c r="J1766" s="328"/>
    </row>
    <row r="1767" spans="5:10" ht="15.75" customHeight="1">
      <c r="E1767" s="314"/>
      <c r="F1767" s="312"/>
      <c r="H1767" s="311"/>
      <c r="J1767" s="328"/>
    </row>
    <row r="1768" spans="5:10" ht="15.75" customHeight="1">
      <c r="E1768" s="314"/>
      <c r="F1768" s="312"/>
      <c r="H1768" s="311"/>
      <c r="J1768" s="328"/>
    </row>
    <row r="1769" spans="5:10" ht="15.75" customHeight="1">
      <c r="E1769" s="314"/>
      <c r="F1769" s="312"/>
      <c r="H1769" s="311"/>
      <c r="J1769" s="328"/>
    </row>
    <row r="1770" spans="5:10" ht="15.75" customHeight="1">
      <c r="E1770" s="314"/>
      <c r="F1770" s="312"/>
      <c r="H1770" s="311"/>
      <c r="J1770" s="328"/>
    </row>
    <row r="1771" spans="5:10" ht="15.75" customHeight="1">
      <c r="E1771" s="314"/>
      <c r="F1771" s="312"/>
      <c r="H1771" s="311"/>
      <c r="J1771" s="328"/>
    </row>
    <row r="1772" spans="5:10" ht="15.75" customHeight="1">
      <c r="E1772" s="314"/>
      <c r="F1772" s="312"/>
      <c r="H1772" s="311"/>
      <c r="J1772" s="328"/>
    </row>
    <row r="1773" spans="5:10" ht="15.75" customHeight="1">
      <c r="E1773" s="314"/>
      <c r="F1773" s="312"/>
      <c r="H1773" s="311"/>
      <c r="J1773" s="328"/>
    </row>
    <row r="1774" spans="5:10" ht="15.75" customHeight="1">
      <c r="E1774" s="314"/>
      <c r="F1774" s="312"/>
      <c r="H1774" s="311"/>
      <c r="J1774" s="328"/>
    </row>
    <row r="1775" spans="5:10" ht="15.75" customHeight="1">
      <c r="E1775" s="314"/>
      <c r="F1775" s="312"/>
      <c r="H1775" s="311"/>
      <c r="J1775" s="328"/>
    </row>
    <row r="1776" spans="5:10" ht="15.75" customHeight="1">
      <c r="E1776" s="314"/>
      <c r="F1776" s="312"/>
      <c r="H1776" s="311"/>
      <c r="J1776" s="328"/>
    </row>
    <row r="1777" spans="5:10" ht="15.75" customHeight="1">
      <c r="E1777" s="314"/>
      <c r="F1777" s="312"/>
      <c r="H1777" s="311"/>
      <c r="J1777" s="328"/>
    </row>
    <row r="1778" spans="5:10" ht="15.75" customHeight="1">
      <c r="E1778" s="314"/>
      <c r="F1778" s="312"/>
      <c r="H1778" s="311"/>
      <c r="J1778" s="328"/>
    </row>
    <row r="1779" spans="5:10" ht="15.75" customHeight="1">
      <c r="E1779" s="314"/>
      <c r="F1779" s="312"/>
      <c r="H1779" s="311"/>
      <c r="J1779" s="328"/>
    </row>
    <row r="1780" spans="5:10" ht="15.75" customHeight="1">
      <c r="E1780" s="314"/>
      <c r="F1780" s="312"/>
      <c r="H1780" s="311"/>
      <c r="J1780" s="328"/>
    </row>
    <row r="1781" spans="5:10" ht="15.75" customHeight="1">
      <c r="E1781" s="314"/>
      <c r="F1781" s="312"/>
      <c r="H1781" s="311"/>
      <c r="J1781" s="328"/>
    </row>
    <row r="1782" spans="5:10" ht="15.75" customHeight="1">
      <c r="E1782" s="314"/>
      <c r="F1782" s="312"/>
      <c r="H1782" s="311"/>
      <c r="J1782" s="328"/>
    </row>
    <row r="1783" spans="5:10" ht="15.75" customHeight="1">
      <c r="E1783" s="314"/>
      <c r="F1783" s="312"/>
      <c r="H1783" s="311"/>
      <c r="J1783" s="328"/>
    </row>
    <row r="1784" spans="5:10" ht="15.75" customHeight="1">
      <c r="E1784" s="314"/>
      <c r="F1784" s="312"/>
      <c r="H1784" s="311"/>
      <c r="J1784" s="328"/>
    </row>
    <row r="1785" spans="5:10" ht="15.75" customHeight="1">
      <c r="E1785" s="314"/>
      <c r="F1785" s="312"/>
      <c r="H1785" s="311"/>
      <c r="J1785" s="328"/>
    </row>
    <row r="1786" spans="5:10" ht="15.75" customHeight="1">
      <c r="E1786" s="314"/>
      <c r="F1786" s="312"/>
      <c r="H1786" s="311"/>
      <c r="J1786" s="328"/>
    </row>
    <row r="1787" spans="5:10" ht="15.75" customHeight="1">
      <c r="E1787" s="314"/>
      <c r="F1787" s="312"/>
      <c r="H1787" s="311"/>
      <c r="J1787" s="328"/>
    </row>
    <row r="1788" spans="5:10" ht="15.75" customHeight="1">
      <c r="E1788" s="314"/>
      <c r="F1788" s="312"/>
      <c r="H1788" s="311"/>
      <c r="J1788" s="328"/>
    </row>
    <row r="1789" spans="5:10" ht="15.75" customHeight="1">
      <c r="E1789" s="314"/>
      <c r="F1789" s="312"/>
      <c r="H1789" s="311"/>
      <c r="J1789" s="328"/>
    </row>
    <row r="1790" spans="5:10" ht="15.75" customHeight="1">
      <c r="E1790" s="314"/>
      <c r="F1790" s="312"/>
      <c r="H1790" s="311"/>
      <c r="J1790" s="328"/>
    </row>
    <row r="1791" spans="5:10" ht="15.75" customHeight="1">
      <c r="E1791" s="314"/>
      <c r="F1791" s="312"/>
      <c r="H1791" s="311"/>
      <c r="J1791" s="328"/>
    </row>
    <row r="1792" spans="5:10" ht="15.75" customHeight="1">
      <c r="E1792" s="314"/>
      <c r="F1792" s="312"/>
      <c r="H1792" s="311"/>
      <c r="J1792" s="328"/>
    </row>
    <row r="1793" spans="5:10" ht="15.75" customHeight="1">
      <c r="E1793" s="314"/>
      <c r="F1793" s="312"/>
      <c r="H1793" s="311"/>
      <c r="J1793" s="328"/>
    </row>
    <row r="1794" spans="5:10" ht="15.75" customHeight="1">
      <c r="E1794" s="314"/>
      <c r="F1794" s="312"/>
      <c r="H1794" s="311"/>
      <c r="J1794" s="328"/>
    </row>
    <row r="1795" spans="5:10" ht="15.75" customHeight="1">
      <c r="E1795" s="314"/>
      <c r="F1795" s="312"/>
      <c r="H1795" s="311"/>
      <c r="J1795" s="328"/>
    </row>
    <row r="1796" spans="5:10" ht="15.75" customHeight="1">
      <c r="E1796" s="314"/>
      <c r="F1796" s="312"/>
      <c r="H1796" s="311"/>
      <c r="J1796" s="328"/>
    </row>
    <row r="1797" spans="5:10" ht="15.75" customHeight="1">
      <c r="E1797" s="314"/>
      <c r="F1797" s="312"/>
      <c r="H1797" s="311"/>
      <c r="J1797" s="328"/>
    </row>
    <row r="1798" spans="5:10" ht="15.75" customHeight="1">
      <c r="E1798" s="314"/>
      <c r="F1798" s="312"/>
      <c r="H1798" s="311"/>
      <c r="J1798" s="328"/>
    </row>
    <row r="1799" spans="5:10" ht="15.75" customHeight="1">
      <c r="E1799" s="314"/>
      <c r="F1799" s="312"/>
      <c r="H1799" s="311"/>
      <c r="J1799" s="328"/>
    </row>
    <row r="1800" spans="5:10" ht="15.75" customHeight="1">
      <c r="E1800" s="314"/>
      <c r="F1800" s="312"/>
      <c r="H1800" s="311"/>
      <c r="J1800" s="328"/>
    </row>
    <row r="1801" spans="5:10" ht="15.75" customHeight="1">
      <c r="E1801" s="314"/>
      <c r="F1801" s="312"/>
      <c r="H1801" s="311"/>
      <c r="J1801" s="328"/>
    </row>
    <row r="1802" spans="5:10" ht="15.75" customHeight="1">
      <c r="E1802" s="314"/>
      <c r="F1802" s="312"/>
      <c r="H1802" s="311"/>
      <c r="J1802" s="328"/>
    </row>
    <row r="1803" spans="5:10" ht="15.75" customHeight="1">
      <c r="E1803" s="314"/>
      <c r="F1803" s="312"/>
      <c r="H1803" s="311"/>
      <c r="J1803" s="328"/>
    </row>
    <row r="1804" spans="5:10" ht="15.75" customHeight="1">
      <c r="E1804" s="314"/>
      <c r="F1804" s="312"/>
      <c r="H1804" s="311"/>
      <c r="J1804" s="328"/>
    </row>
    <row r="1805" spans="5:10" ht="15.75" customHeight="1">
      <c r="E1805" s="314"/>
      <c r="F1805" s="312"/>
      <c r="H1805" s="311"/>
      <c r="J1805" s="328"/>
    </row>
    <row r="1806" spans="5:10" ht="15.75" customHeight="1">
      <c r="E1806" s="314"/>
      <c r="F1806" s="312"/>
      <c r="H1806" s="311"/>
      <c r="J1806" s="328"/>
    </row>
    <row r="1807" spans="5:10" ht="15.75" customHeight="1">
      <c r="E1807" s="314"/>
      <c r="F1807" s="312"/>
      <c r="H1807" s="311"/>
      <c r="J1807" s="328"/>
    </row>
    <row r="1808" spans="5:10" ht="15.75" customHeight="1">
      <c r="E1808" s="314"/>
      <c r="F1808" s="312"/>
      <c r="H1808" s="311"/>
      <c r="J1808" s="328"/>
    </row>
    <row r="1809" spans="5:10" ht="15.75" customHeight="1">
      <c r="E1809" s="314"/>
      <c r="F1809" s="312"/>
      <c r="H1809" s="311"/>
      <c r="J1809" s="328"/>
    </row>
    <row r="1810" spans="5:10" ht="15.75" customHeight="1">
      <c r="E1810" s="314"/>
      <c r="F1810" s="312"/>
      <c r="H1810" s="311"/>
      <c r="J1810" s="328"/>
    </row>
    <row r="1811" spans="5:10" ht="15.75" customHeight="1">
      <c r="E1811" s="314"/>
      <c r="F1811" s="312"/>
      <c r="H1811" s="311"/>
      <c r="J1811" s="328"/>
    </row>
    <row r="1812" spans="5:10" ht="15.75" customHeight="1">
      <c r="E1812" s="314"/>
      <c r="F1812" s="312"/>
      <c r="H1812" s="311"/>
      <c r="J1812" s="328"/>
    </row>
    <row r="1813" spans="5:10" ht="15.75" customHeight="1">
      <c r="E1813" s="314"/>
      <c r="F1813" s="312"/>
      <c r="H1813" s="311"/>
      <c r="J1813" s="328"/>
    </row>
    <row r="1814" spans="5:10" ht="15.75" customHeight="1">
      <c r="E1814" s="314"/>
      <c r="F1814" s="312"/>
      <c r="H1814" s="311"/>
      <c r="J1814" s="328"/>
    </row>
    <row r="1815" spans="5:10" ht="15.75" customHeight="1">
      <c r="E1815" s="314"/>
      <c r="F1815" s="312"/>
      <c r="H1815" s="311"/>
      <c r="J1815" s="328"/>
    </row>
    <row r="1816" spans="5:10" ht="15.75" customHeight="1">
      <c r="E1816" s="314"/>
      <c r="F1816" s="312"/>
      <c r="H1816" s="311"/>
      <c r="J1816" s="328"/>
    </row>
    <row r="1817" spans="5:10" ht="15.75" customHeight="1">
      <c r="E1817" s="314"/>
      <c r="F1817" s="312"/>
      <c r="H1817" s="311"/>
      <c r="J1817" s="328"/>
    </row>
    <row r="1818" spans="5:10" ht="15.75" customHeight="1">
      <c r="E1818" s="314"/>
      <c r="F1818" s="312"/>
      <c r="H1818" s="311"/>
      <c r="J1818" s="328"/>
    </row>
    <row r="1819" spans="5:10" ht="15.75" customHeight="1">
      <c r="E1819" s="314"/>
      <c r="F1819" s="312"/>
      <c r="H1819" s="311"/>
      <c r="J1819" s="328"/>
    </row>
    <row r="1820" spans="5:10" ht="15.75" customHeight="1">
      <c r="E1820" s="314"/>
      <c r="F1820" s="312"/>
      <c r="H1820" s="311"/>
      <c r="J1820" s="328"/>
    </row>
    <row r="1821" spans="5:10" ht="15.75" customHeight="1">
      <c r="E1821" s="314"/>
      <c r="F1821" s="312"/>
      <c r="H1821" s="311"/>
      <c r="J1821" s="328"/>
    </row>
    <row r="1822" spans="5:10" ht="15.75" customHeight="1">
      <c r="E1822" s="314"/>
      <c r="F1822" s="312"/>
      <c r="H1822" s="311"/>
      <c r="J1822" s="328"/>
    </row>
    <row r="1823" spans="5:10" ht="15.75" customHeight="1">
      <c r="E1823" s="314"/>
      <c r="F1823" s="312"/>
      <c r="H1823" s="311"/>
      <c r="J1823" s="328"/>
    </row>
    <row r="1824" spans="5:10" ht="15.75" customHeight="1">
      <c r="E1824" s="314"/>
      <c r="F1824" s="312"/>
      <c r="H1824" s="311"/>
      <c r="J1824" s="328"/>
    </row>
    <row r="1825" spans="5:10" ht="15.75" customHeight="1">
      <c r="E1825" s="314"/>
      <c r="F1825" s="312"/>
      <c r="H1825" s="311"/>
      <c r="J1825" s="328"/>
    </row>
    <row r="1826" spans="5:10" ht="15.75" customHeight="1">
      <c r="E1826" s="314"/>
      <c r="F1826" s="312"/>
      <c r="H1826" s="311"/>
      <c r="J1826" s="328"/>
    </row>
    <row r="1827" spans="5:10" ht="15.75" customHeight="1">
      <c r="E1827" s="314"/>
      <c r="F1827" s="312"/>
      <c r="H1827" s="311"/>
      <c r="J1827" s="328"/>
    </row>
    <row r="1828" spans="5:10" ht="15.75" customHeight="1">
      <c r="E1828" s="314"/>
      <c r="F1828" s="312"/>
      <c r="H1828" s="311"/>
      <c r="J1828" s="328"/>
    </row>
    <row r="1829" spans="5:10" ht="15.75" customHeight="1">
      <c r="E1829" s="314"/>
      <c r="F1829" s="312"/>
      <c r="H1829" s="311"/>
      <c r="J1829" s="328"/>
    </row>
    <row r="1830" spans="5:10" ht="15.75" customHeight="1">
      <c r="E1830" s="314"/>
      <c r="F1830" s="312"/>
      <c r="H1830" s="311"/>
      <c r="J1830" s="328"/>
    </row>
    <row r="1831" spans="5:10" ht="15.75" customHeight="1">
      <c r="E1831" s="314"/>
      <c r="F1831" s="312"/>
      <c r="H1831" s="311"/>
      <c r="J1831" s="328"/>
    </row>
    <row r="1832" spans="5:10" ht="15.75" customHeight="1">
      <c r="E1832" s="314"/>
      <c r="F1832" s="312"/>
      <c r="H1832" s="311"/>
      <c r="J1832" s="328"/>
    </row>
    <row r="1833" spans="5:10" ht="15.75" customHeight="1">
      <c r="E1833" s="314"/>
      <c r="F1833" s="312"/>
      <c r="H1833" s="311"/>
      <c r="J1833" s="328"/>
    </row>
    <row r="1834" spans="5:10" ht="15.75" customHeight="1">
      <c r="E1834" s="314"/>
      <c r="F1834" s="312"/>
      <c r="H1834" s="311"/>
      <c r="J1834" s="328"/>
    </row>
    <row r="1835" spans="5:10" ht="15.75" customHeight="1">
      <c r="E1835" s="314"/>
      <c r="F1835" s="312"/>
      <c r="H1835" s="311"/>
      <c r="J1835" s="328"/>
    </row>
    <row r="1836" spans="5:10" ht="15.75" customHeight="1">
      <c r="E1836" s="314"/>
      <c r="F1836" s="312"/>
      <c r="H1836" s="311"/>
      <c r="J1836" s="328"/>
    </row>
    <row r="1837" spans="5:10" ht="15.75" customHeight="1">
      <c r="E1837" s="314"/>
      <c r="F1837" s="312"/>
      <c r="H1837" s="311"/>
      <c r="J1837" s="328"/>
    </row>
    <row r="1838" spans="5:10" ht="15.75" customHeight="1">
      <c r="E1838" s="314"/>
      <c r="F1838" s="312"/>
      <c r="H1838" s="311"/>
      <c r="J1838" s="328"/>
    </row>
    <row r="1839" spans="5:10" ht="15.75" customHeight="1">
      <c r="E1839" s="314"/>
      <c r="F1839" s="312"/>
      <c r="H1839" s="311"/>
      <c r="J1839" s="328"/>
    </row>
    <row r="1840" spans="5:10" ht="15.75" customHeight="1">
      <c r="E1840" s="314"/>
      <c r="F1840" s="312"/>
      <c r="H1840" s="311"/>
      <c r="J1840" s="328"/>
    </row>
    <row r="1841" spans="5:10" ht="15.75" customHeight="1">
      <c r="E1841" s="314"/>
      <c r="F1841" s="312"/>
      <c r="H1841" s="311"/>
      <c r="J1841" s="328"/>
    </row>
    <row r="1842" spans="5:10" ht="15.75" customHeight="1">
      <c r="E1842" s="314"/>
      <c r="F1842" s="312"/>
      <c r="H1842" s="311"/>
      <c r="J1842" s="328"/>
    </row>
    <row r="1843" spans="5:10" ht="15.75" customHeight="1">
      <c r="E1843" s="314"/>
      <c r="F1843" s="312"/>
      <c r="H1843" s="311"/>
      <c r="J1843" s="328"/>
    </row>
    <row r="1844" spans="5:10" ht="15.75" customHeight="1">
      <c r="E1844" s="314"/>
      <c r="F1844" s="312"/>
      <c r="H1844" s="311"/>
      <c r="J1844" s="328"/>
    </row>
    <row r="1845" spans="5:10" ht="15.75" customHeight="1">
      <c r="E1845" s="314"/>
      <c r="F1845" s="312"/>
      <c r="H1845" s="311"/>
      <c r="J1845" s="328"/>
    </row>
    <row r="1846" spans="5:10" ht="15.75" customHeight="1">
      <c r="E1846" s="314"/>
      <c r="F1846" s="312"/>
      <c r="H1846" s="311"/>
      <c r="J1846" s="328"/>
    </row>
    <row r="1847" spans="5:10" ht="15.75" customHeight="1">
      <c r="E1847" s="314"/>
      <c r="F1847" s="312"/>
      <c r="H1847" s="311"/>
      <c r="J1847" s="328"/>
    </row>
    <row r="1848" spans="5:10" ht="15.75" customHeight="1">
      <c r="E1848" s="314"/>
      <c r="F1848" s="312"/>
      <c r="H1848" s="311"/>
      <c r="J1848" s="328"/>
    </row>
    <row r="1849" spans="5:10" ht="15.75" customHeight="1">
      <c r="E1849" s="314"/>
      <c r="F1849" s="312"/>
      <c r="H1849" s="311"/>
      <c r="J1849" s="328"/>
    </row>
    <row r="1850" spans="5:10" ht="15.75" customHeight="1">
      <c r="E1850" s="314"/>
      <c r="F1850" s="312"/>
      <c r="H1850" s="311"/>
      <c r="J1850" s="328"/>
    </row>
    <row r="1851" spans="5:10" ht="15.75" customHeight="1">
      <c r="E1851" s="314"/>
      <c r="F1851" s="312"/>
      <c r="H1851" s="311"/>
      <c r="J1851" s="328"/>
    </row>
    <row r="1852" spans="5:10" ht="15.75" customHeight="1">
      <c r="E1852" s="314"/>
      <c r="F1852" s="312"/>
      <c r="H1852" s="311"/>
      <c r="J1852" s="328"/>
    </row>
    <row r="1853" spans="5:10" ht="15.75" customHeight="1">
      <c r="E1853" s="314"/>
      <c r="F1853" s="312"/>
      <c r="H1853" s="311"/>
      <c r="J1853" s="328"/>
    </row>
    <row r="1854" spans="5:10" ht="15.75" customHeight="1">
      <c r="E1854" s="314"/>
      <c r="F1854" s="312"/>
      <c r="H1854" s="311"/>
      <c r="J1854" s="328"/>
    </row>
    <row r="1855" spans="5:10" ht="15.75" customHeight="1">
      <c r="E1855" s="314"/>
      <c r="F1855" s="312"/>
      <c r="H1855" s="311"/>
      <c r="J1855" s="328"/>
    </row>
    <row r="1856" spans="5:10" ht="15.75" customHeight="1">
      <c r="E1856" s="314"/>
      <c r="F1856" s="312"/>
      <c r="H1856" s="311"/>
      <c r="J1856" s="328"/>
    </row>
    <row r="1857" spans="5:10" ht="15.75" customHeight="1">
      <c r="E1857" s="314"/>
      <c r="F1857" s="312"/>
      <c r="H1857" s="311"/>
      <c r="J1857" s="328"/>
    </row>
    <row r="1858" spans="5:10" ht="15.75" customHeight="1">
      <c r="E1858" s="314"/>
      <c r="F1858" s="312"/>
      <c r="H1858" s="311"/>
      <c r="J1858" s="328"/>
    </row>
    <row r="1859" spans="5:10" ht="15.75" customHeight="1">
      <c r="E1859" s="314"/>
      <c r="F1859" s="312"/>
      <c r="H1859" s="311"/>
      <c r="J1859" s="328"/>
    </row>
    <row r="1860" spans="5:10" ht="15.75" customHeight="1">
      <c r="E1860" s="314"/>
      <c r="F1860" s="312"/>
      <c r="H1860" s="311"/>
      <c r="J1860" s="328"/>
    </row>
    <row r="1861" spans="5:10" ht="15.75" customHeight="1">
      <c r="E1861" s="314"/>
      <c r="F1861" s="312"/>
      <c r="H1861" s="311"/>
      <c r="J1861" s="328"/>
    </row>
    <row r="1862" spans="5:10" ht="15.75" customHeight="1">
      <c r="E1862" s="314"/>
      <c r="F1862" s="312"/>
      <c r="H1862" s="311"/>
      <c r="J1862" s="328"/>
    </row>
    <row r="1863" spans="5:10" ht="15.75" customHeight="1">
      <c r="E1863" s="314"/>
      <c r="F1863" s="312"/>
      <c r="H1863" s="311"/>
      <c r="J1863" s="328"/>
    </row>
    <row r="1864" spans="5:10" ht="15.75" customHeight="1">
      <c r="E1864" s="314"/>
      <c r="F1864" s="312"/>
      <c r="H1864" s="311"/>
      <c r="J1864" s="328"/>
    </row>
    <row r="1865" spans="5:10" ht="15.75" customHeight="1">
      <c r="E1865" s="314"/>
      <c r="F1865" s="312"/>
      <c r="H1865" s="311"/>
      <c r="J1865" s="328"/>
    </row>
    <row r="1866" spans="5:10" ht="15.75" customHeight="1">
      <c r="E1866" s="314"/>
      <c r="F1866" s="312"/>
      <c r="H1866" s="311"/>
      <c r="J1866" s="328"/>
    </row>
    <row r="1867" spans="5:10" ht="15.75" customHeight="1">
      <c r="E1867" s="314"/>
      <c r="F1867" s="312"/>
      <c r="H1867" s="311"/>
      <c r="J1867" s="328"/>
    </row>
    <row r="1868" spans="5:10" ht="15.75" customHeight="1">
      <c r="E1868" s="314"/>
      <c r="F1868" s="312"/>
      <c r="H1868" s="311"/>
      <c r="J1868" s="328"/>
    </row>
    <row r="1869" spans="5:10" ht="15.75" customHeight="1">
      <c r="E1869" s="314"/>
      <c r="F1869" s="312"/>
      <c r="H1869" s="311"/>
      <c r="J1869" s="328"/>
    </row>
    <row r="1870" spans="5:10" ht="15.75" customHeight="1">
      <c r="E1870" s="314"/>
      <c r="F1870" s="312"/>
      <c r="H1870" s="311"/>
      <c r="J1870" s="328"/>
    </row>
    <row r="1871" spans="5:10" ht="15.75" customHeight="1">
      <c r="E1871" s="314"/>
      <c r="F1871" s="312"/>
      <c r="H1871" s="311"/>
      <c r="J1871" s="328"/>
    </row>
    <row r="1872" spans="5:10" ht="15.75" customHeight="1">
      <c r="E1872" s="314"/>
      <c r="F1872" s="312"/>
      <c r="H1872" s="311"/>
      <c r="J1872" s="328"/>
    </row>
    <row r="1873" spans="5:10" ht="15.75" customHeight="1">
      <c r="E1873" s="314"/>
      <c r="F1873" s="312"/>
      <c r="H1873" s="311"/>
      <c r="J1873" s="328"/>
    </row>
    <row r="1874" spans="5:10" ht="15.75" customHeight="1">
      <c r="E1874" s="314"/>
      <c r="F1874" s="312"/>
      <c r="H1874" s="311"/>
      <c r="J1874" s="328"/>
    </row>
    <row r="1875" spans="5:10" ht="15.75" customHeight="1">
      <c r="E1875" s="314"/>
      <c r="F1875" s="312"/>
      <c r="H1875" s="311"/>
      <c r="J1875" s="328"/>
    </row>
    <row r="1876" spans="5:10" ht="15.75" customHeight="1">
      <c r="E1876" s="314"/>
      <c r="F1876" s="312"/>
      <c r="H1876" s="311"/>
      <c r="J1876" s="328"/>
    </row>
    <row r="1877" spans="5:10" ht="15.75" customHeight="1">
      <c r="E1877" s="314"/>
      <c r="F1877" s="312"/>
      <c r="H1877" s="311"/>
      <c r="J1877" s="328"/>
    </row>
    <row r="1878" spans="5:10" ht="15.75" customHeight="1">
      <c r="E1878" s="314"/>
      <c r="F1878" s="312"/>
      <c r="H1878" s="311"/>
      <c r="J1878" s="328"/>
    </row>
    <row r="1879" spans="5:10" ht="15.75" customHeight="1">
      <c r="E1879" s="314"/>
      <c r="F1879" s="312"/>
      <c r="H1879" s="311"/>
      <c r="J1879" s="328"/>
    </row>
    <row r="1880" spans="5:10" ht="15.75" customHeight="1">
      <c r="E1880" s="314"/>
      <c r="F1880" s="312"/>
      <c r="H1880" s="311"/>
      <c r="J1880" s="328"/>
    </row>
    <row r="1881" spans="5:10" ht="15.75" customHeight="1">
      <c r="E1881" s="314"/>
      <c r="F1881" s="312"/>
      <c r="H1881" s="311"/>
      <c r="J1881" s="328"/>
    </row>
    <row r="1882" spans="5:10" ht="15.75" customHeight="1">
      <c r="E1882" s="314"/>
      <c r="F1882" s="312"/>
      <c r="H1882" s="311"/>
      <c r="J1882" s="328"/>
    </row>
    <row r="1883" spans="5:10" ht="15.75" customHeight="1">
      <c r="E1883" s="314"/>
      <c r="F1883" s="312"/>
      <c r="H1883" s="311"/>
      <c r="J1883" s="328"/>
    </row>
    <row r="1884" spans="5:10" ht="15.75" customHeight="1">
      <c r="E1884" s="314"/>
      <c r="F1884" s="312"/>
      <c r="H1884" s="311"/>
      <c r="J1884" s="328"/>
    </row>
    <row r="1885" spans="5:10" ht="15.75" customHeight="1">
      <c r="E1885" s="314"/>
      <c r="F1885" s="312"/>
      <c r="H1885" s="311"/>
      <c r="J1885" s="328"/>
    </row>
    <row r="1886" spans="5:10" ht="15.75" customHeight="1">
      <c r="E1886" s="314"/>
      <c r="F1886" s="312"/>
      <c r="H1886" s="311"/>
      <c r="J1886" s="328"/>
    </row>
    <row r="1887" spans="5:10" ht="15.75" customHeight="1">
      <c r="E1887" s="314"/>
      <c r="F1887" s="312"/>
      <c r="H1887" s="311"/>
      <c r="J1887" s="328"/>
    </row>
    <row r="1888" spans="5:10" ht="15.75" customHeight="1">
      <c r="E1888" s="314"/>
      <c r="F1888" s="312"/>
      <c r="H1888" s="311"/>
      <c r="J1888" s="328"/>
    </row>
    <row r="1889" spans="5:10" ht="15.75" customHeight="1">
      <c r="E1889" s="314"/>
      <c r="F1889" s="312"/>
      <c r="H1889" s="311"/>
      <c r="J1889" s="328"/>
    </row>
    <row r="1890" spans="5:10" ht="15.75" customHeight="1">
      <c r="E1890" s="314"/>
      <c r="F1890" s="312"/>
      <c r="H1890" s="311"/>
      <c r="J1890" s="328"/>
    </row>
    <row r="1891" spans="5:10" ht="15.75" customHeight="1">
      <c r="E1891" s="314"/>
      <c r="F1891" s="312"/>
      <c r="H1891" s="311"/>
      <c r="J1891" s="328"/>
    </row>
    <row r="1892" spans="5:10" ht="15.75" customHeight="1">
      <c r="E1892" s="314"/>
      <c r="F1892" s="312"/>
      <c r="H1892" s="311"/>
      <c r="J1892" s="328"/>
    </row>
    <row r="1893" spans="5:10" ht="15.75" customHeight="1">
      <c r="E1893" s="314"/>
      <c r="F1893" s="312"/>
      <c r="H1893" s="311"/>
      <c r="J1893" s="328"/>
    </row>
    <row r="1894" spans="5:10" ht="15.75" customHeight="1">
      <c r="E1894" s="314"/>
      <c r="F1894" s="312"/>
      <c r="H1894" s="311"/>
      <c r="J1894" s="328"/>
    </row>
    <row r="1895" spans="5:10" ht="15.75" customHeight="1">
      <c r="E1895" s="314"/>
      <c r="F1895" s="312"/>
      <c r="H1895" s="311"/>
      <c r="J1895" s="328"/>
    </row>
    <row r="1896" spans="5:10" ht="15.75" customHeight="1">
      <c r="E1896" s="314"/>
      <c r="F1896" s="312"/>
      <c r="H1896" s="311"/>
      <c r="J1896" s="328"/>
    </row>
    <row r="1897" spans="5:10" ht="15.75" customHeight="1">
      <c r="E1897" s="314"/>
      <c r="F1897" s="312"/>
      <c r="H1897" s="311"/>
      <c r="J1897" s="328"/>
    </row>
    <row r="1898" spans="5:10" ht="15.75" customHeight="1">
      <c r="E1898" s="314"/>
      <c r="F1898" s="312"/>
      <c r="H1898" s="311"/>
      <c r="J1898" s="328"/>
    </row>
    <row r="1899" spans="5:10" ht="15.75" customHeight="1">
      <c r="E1899" s="314"/>
      <c r="F1899" s="312"/>
      <c r="H1899" s="311"/>
      <c r="J1899" s="328"/>
    </row>
    <row r="1900" spans="5:10" ht="15.75" customHeight="1">
      <c r="E1900" s="314"/>
      <c r="F1900" s="312"/>
      <c r="H1900" s="311"/>
      <c r="J1900" s="328"/>
    </row>
    <row r="1901" spans="5:10" ht="15.75" customHeight="1">
      <c r="E1901" s="314"/>
      <c r="F1901" s="312"/>
      <c r="H1901" s="311"/>
      <c r="J1901" s="328"/>
    </row>
    <row r="1902" spans="5:10" ht="15.75" customHeight="1">
      <c r="E1902" s="314"/>
      <c r="F1902" s="312"/>
      <c r="H1902" s="311"/>
      <c r="J1902" s="328"/>
    </row>
    <row r="1903" spans="5:10" ht="15.75" customHeight="1">
      <c r="E1903" s="314"/>
      <c r="F1903" s="312"/>
      <c r="H1903" s="311"/>
      <c r="J1903" s="328"/>
    </row>
    <row r="1904" spans="5:10" ht="15.75" customHeight="1">
      <c r="E1904" s="314"/>
      <c r="F1904" s="312"/>
      <c r="H1904" s="311"/>
      <c r="J1904" s="328"/>
    </row>
    <row r="1905" spans="5:10" ht="15.75" customHeight="1">
      <c r="E1905" s="314"/>
      <c r="F1905" s="312"/>
      <c r="H1905" s="311"/>
      <c r="J1905" s="328"/>
    </row>
    <row r="1906" spans="5:10" ht="15.75" customHeight="1">
      <c r="E1906" s="314"/>
      <c r="F1906" s="312"/>
      <c r="H1906" s="311"/>
      <c r="J1906" s="328"/>
    </row>
    <row r="1907" spans="5:10" ht="15.75" customHeight="1">
      <c r="E1907" s="314"/>
      <c r="F1907" s="312"/>
      <c r="H1907" s="311"/>
      <c r="J1907" s="328"/>
    </row>
    <row r="1908" spans="5:10" ht="15.75" customHeight="1">
      <c r="E1908" s="314"/>
      <c r="F1908" s="312"/>
      <c r="H1908" s="311"/>
      <c r="J1908" s="328"/>
    </row>
    <row r="1909" spans="5:10" ht="15.75" customHeight="1">
      <c r="E1909" s="314"/>
      <c r="F1909" s="312"/>
      <c r="H1909" s="311"/>
      <c r="J1909" s="328"/>
    </row>
    <row r="1910" spans="5:10" ht="15.75" customHeight="1">
      <c r="E1910" s="314"/>
      <c r="F1910" s="312"/>
      <c r="H1910" s="311"/>
      <c r="J1910" s="328"/>
    </row>
    <row r="1911" spans="5:10" ht="15.75" customHeight="1">
      <c r="E1911" s="314"/>
      <c r="F1911" s="312"/>
      <c r="H1911" s="311"/>
      <c r="J1911" s="328"/>
    </row>
    <row r="1912" spans="5:10" ht="15.75" customHeight="1">
      <c r="E1912" s="314"/>
      <c r="F1912" s="312"/>
      <c r="H1912" s="311"/>
      <c r="J1912" s="328"/>
    </row>
    <row r="1913" spans="5:10" ht="15.75" customHeight="1">
      <c r="E1913" s="314"/>
      <c r="F1913" s="312"/>
      <c r="H1913" s="311"/>
      <c r="J1913" s="328"/>
    </row>
    <row r="1914" spans="5:10" ht="15.75" customHeight="1">
      <c r="E1914" s="314"/>
      <c r="F1914" s="312"/>
      <c r="H1914" s="311"/>
      <c r="J1914" s="328"/>
    </row>
    <row r="1915" spans="5:10" ht="15.75" customHeight="1">
      <c r="E1915" s="314"/>
      <c r="F1915" s="312"/>
      <c r="H1915" s="311"/>
      <c r="J1915" s="328"/>
    </row>
    <row r="1916" spans="5:10" ht="15.75" customHeight="1">
      <c r="E1916" s="314"/>
      <c r="F1916" s="312"/>
      <c r="H1916" s="311"/>
      <c r="J1916" s="328"/>
    </row>
    <row r="1917" spans="5:10" ht="15.75" customHeight="1">
      <c r="E1917" s="314"/>
      <c r="F1917" s="312"/>
      <c r="H1917" s="311"/>
      <c r="J1917" s="328"/>
    </row>
    <row r="1918" spans="5:10" ht="15.75" customHeight="1">
      <c r="E1918" s="314"/>
      <c r="F1918" s="312"/>
      <c r="H1918" s="311"/>
      <c r="J1918" s="328"/>
    </row>
    <row r="1919" spans="5:10" ht="15.75" customHeight="1">
      <c r="E1919" s="314"/>
      <c r="F1919" s="312"/>
      <c r="H1919" s="311"/>
      <c r="J1919" s="328"/>
    </row>
    <row r="1920" spans="5:10" ht="15.75" customHeight="1">
      <c r="E1920" s="314"/>
      <c r="F1920" s="312"/>
      <c r="H1920" s="311"/>
      <c r="J1920" s="328"/>
    </row>
    <row r="1921" spans="5:10" ht="15.75" customHeight="1">
      <c r="E1921" s="314"/>
      <c r="F1921" s="312"/>
      <c r="H1921" s="311"/>
      <c r="J1921" s="328"/>
    </row>
    <row r="1922" spans="5:10" ht="15.75" customHeight="1">
      <c r="E1922" s="314"/>
      <c r="F1922" s="312"/>
      <c r="H1922" s="311"/>
      <c r="J1922" s="328"/>
    </row>
    <row r="1923" spans="5:10" ht="15.75" customHeight="1">
      <c r="E1923" s="314"/>
      <c r="F1923" s="312"/>
      <c r="H1923" s="311"/>
      <c r="J1923" s="328"/>
    </row>
    <row r="1924" spans="5:10" ht="15.75" customHeight="1">
      <c r="E1924" s="314"/>
      <c r="F1924" s="312"/>
      <c r="H1924" s="311"/>
      <c r="J1924" s="328"/>
    </row>
    <row r="1925" spans="5:10" ht="15.75" customHeight="1">
      <c r="E1925" s="314"/>
      <c r="F1925" s="312"/>
      <c r="H1925" s="311"/>
      <c r="J1925" s="328"/>
    </row>
    <row r="1926" spans="5:10" ht="15.75" customHeight="1">
      <c r="E1926" s="314"/>
      <c r="F1926" s="312"/>
      <c r="H1926" s="311"/>
      <c r="J1926" s="328"/>
    </row>
    <row r="1927" spans="5:10" ht="15.75" customHeight="1">
      <c r="E1927" s="314"/>
      <c r="F1927" s="312"/>
      <c r="H1927" s="311"/>
      <c r="J1927" s="328"/>
    </row>
    <row r="1928" spans="5:10" ht="15.75" customHeight="1">
      <c r="E1928" s="314"/>
      <c r="F1928" s="312"/>
      <c r="H1928" s="311"/>
      <c r="J1928" s="328"/>
    </row>
    <row r="1929" spans="5:10" ht="15.75" customHeight="1">
      <c r="E1929" s="314"/>
      <c r="F1929" s="312"/>
      <c r="H1929" s="311"/>
      <c r="J1929" s="328"/>
    </row>
    <row r="1930" spans="5:10" ht="15.75" customHeight="1">
      <c r="E1930" s="314"/>
      <c r="F1930" s="312"/>
      <c r="H1930" s="311"/>
      <c r="J1930" s="328"/>
    </row>
    <row r="1931" spans="5:10" ht="15.75" customHeight="1">
      <c r="E1931" s="314"/>
      <c r="F1931" s="312"/>
      <c r="H1931" s="311"/>
      <c r="J1931" s="328"/>
    </row>
    <row r="1932" spans="5:10" ht="15.75" customHeight="1">
      <c r="E1932" s="314"/>
      <c r="F1932" s="312"/>
      <c r="H1932" s="311"/>
      <c r="J1932" s="328"/>
    </row>
    <row r="1933" spans="5:10" ht="15.75" customHeight="1">
      <c r="E1933" s="314"/>
      <c r="F1933" s="312"/>
      <c r="H1933" s="311"/>
      <c r="J1933" s="328"/>
    </row>
    <row r="1934" spans="5:10" ht="15.75" customHeight="1">
      <c r="E1934" s="314"/>
      <c r="F1934" s="312"/>
      <c r="H1934" s="311"/>
      <c r="J1934" s="328"/>
    </row>
    <row r="1935" spans="5:10" ht="15.75" customHeight="1">
      <c r="E1935" s="314"/>
      <c r="F1935" s="312"/>
      <c r="H1935" s="311"/>
      <c r="J1935" s="328"/>
    </row>
    <row r="1936" spans="5:10" ht="15.75" customHeight="1">
      <c r="E1936" s="314"/>
      <c r="F1936" s="312"/>
      <c r="H1936" s="311"/>
      <c r="J1936" s="328"/>
    </row>
    <row r="1937" spans="5:10" ht="15.75" customHeight="1">
      <c r="E1937" s="314"/>
      <c r="F1937" s="312"/>
      <c r="H1937" s="311"/>
      <c r="J1937" s="328"/>
    </row>
    <row r="1938" spans="5:10" ht="15.75" customHeight="1">
      <c r="E1938" s="314"/>
      <c r="F1938" s="312"/>
      <c r="H1938" s="311"/>
      <c r="J1938" s="328"/>
    </row>
    <row r="1939" spans="5:10" ht="15.75" customHeight="1">
      <c r="E1939" s="314"/>
      <c r="F1939" s="312"/>
      <c r="H1939" s="311"/>
      <c r="J1939" s="328"/>
    </row>
    <row r="1940" spans="5:10" ht="15.75" customHeight="1">
      <c r="E1940" s="314"/>
      <c r="F1940" s="312"/>
      <c r="H1940" s="311"/>
      <c r="J1940" s="328"/>
    </row>
    <row r="1941" spans="5:10" ht="15.75" customHeight="1">
      <c r="E1941" s="314"/>
      <c r="F1941" s="312"/>
      <c r="H1941" s="311"/>
      <c r="J1941" s="328"/>
    </row>
    <row r="1942" spans="5:10" ht="15.75" customHeight="1">
      <c r="E1942" s="314"/>
      <c r="F1942" s="312"/>
      <c r="H1942" s="311"/>
      <c r="J1942" s="328"/>
    </row>
    <row r="1943" spans="5:10" ht="15.75" customHeight="1">
      <c r="E1943" s="314"/>
      <c r="F1943" s="312"/>
      <c r="H1943" s="311"/>
      <c r="J1943" s="328"/>
    </row>
    <row r="1944" spans="5:10" ht="15.75" customHeight="1">
      <c r="E1944" s="314"/>
      <c r="F1944" s="312"/>
      <c r="H1944" s="311"/>
      <c r="J1944" s="328"/>
    </row>
    <row r="1945" spans="5:10" ht="15.75" customHeight="1">
      <c r="E1945" s="314"/>
      <c r="F1945" s="312"/>
      <c r="H1945" s="311"/>
      <c r="J1945" s="328"/>
    </row>
    <row r="1946" spans="5:10" ht="15.75" customHeight="1">
      <c r="E1946" s="314"/>
      <c r="F1946" s="312"/>
      <c r="H1946" s="311"/>
      <c r="J1946" s="328"/>
    </row>
    <row r="1947" spans="5:10" ht="15.75" customHeight="1">
      <c r="E1947" s="314"/>
      <c r="F1947" s="312"/>
      <c r="H1947" s="311"/>
      <c r="J1947" s="328"/>
    </row>
    <row r="1948" spans="5:10" ht="15.75" customHeight="1">
      <c r="E1948" s="314"/>
      <c r="F1948" s="312"/>
      <c r="H1948" s="311"/>
      <c r="J1948" s="328"/>
    </row>
    <row r="1949" spans="5:10" ht="15.75" customHeight="1">
      <c r="E1949" s="314"/>
      <c r="F1949" s="312"/>
      <c r="H1949" s="311"/>
      <c r="J1949" s="328"/>
    </row>
    <row r="1950" spans="5:10" ht="15.75" customHeight="1">
      <c r="E1950" s="314"/>
      <c r="F1950" s="312"/>
      <c r="H1950" s="311"/>
      <c r="J1950" s="328"/>
    </row>
    <row r="1951" spans="5:10" ht="15.75" customHeight="1">
      <c r="E1951" s="314"/>
      <c r="F1951" s="312"/>
      <c r="H1951" s="311"/>
      <c r="J1951" s="328"/>
    </row>
    <row r="1952" spans="5:10" ht="15.75" customHeight="1">
      <c r="E1952" s="314"/>
      <c r="F1952" s="312"/>
      <c r="H1952" s="311"/>
      <c r="J1952" s="328"/>
    </row>
    <row r="1953" spans="5:10" ht="15.75" customHeight="1">
      <c r="E1953" s="314"/>
      <c r="F1953" s="312"/>
      <c r="H1953" s="311"/>
      <c r="J1953" s="328"/>
    </row>
    <row r="1954" spans="5:10" ht="15.75" customHeight="1">
      <c r="E1954" s="314"/>
      <c r="F1954" s="312"/>
      <c r="H1954" s="311"/>
      <c r="J1954" s="328"/>
    </row>
    <row r="1955" spans="5:10" ht="15.75" customHeight="1">
      <c r="E1955" s="314"/>
      <c r="F1955" s="312"/>
      <c r="H1955" s="311"/>
      <c r="J1955" s="328"/>
    </row>
    <row r="1956" spans="5:10" ht="15.75" customHeight="1">
      <c r="E1956" s="314"/>
      <c r="F1956" s="312"/>
      <c r="H1956" s="311"/>
      <c r="J1956" s="328"/>
    </row>
    <row r="1957" spans="5:10" ht="15.75" customHeight="1">
      <c r="E1957" s="314"/>
      <c r="F1957" s="312"/>
      <c r="H1957" s="311"/>
      <c r="J1957" s="328"/>
    </row>
    <row r="1958" spans="5:10" ht="15.75" customHeight="1">
      <c r="E1958" s="314"/>
      <c r="F1958" s="312"/>
      <c r="H1958" s="311"/>
      <c r="J1958" s="328"/>
    </row>
    <row r="1959" spans="5:10" ht="15.75" customHeight="1">
      <c r="E1959" s="314"/>
      <c r="F1959" s="312"/>
      <c r="H1959" s="311"/>
      <c r="J1959" s="328"/>
    </row>
    <row r="1960" spans="5:10" ht="15.75" customHeight="1">
      <c r="E1960" s="314"/>
      <c r="F1960" s="312"/>
      <c r="H1960" s="311"/>
      <c r="J1960" s="328"/>
    </row>
    <row r="1961" spans="5:10" ht="15.75" customHeight="1">
      <c r="E1961" s="314"/>
      <c r="F1961" s="312"/>
      <c r="H1961" s="311"/>
      <c r="J1961" s="328"/>
    </row>
    <row r="1962" spans="5:10" ht="15.75" customHeight="1">
      <c r="E1962" s="314"/>
      <c r="F1962" s="312"/>
      <c r="H1962" s="311"/>
      <c r="J1962" s="328"/>
    </row>
    <row r="1963" spans="5:10" ht="15.75" customHeight="1">
      <c r="E1963" s="314"/>
      <c r="F1963" s="312"/>
      <c r="H1963" s="311"/>
      <c r="J1963" s="328"/>
    </row>
    <row r="1964" spans="5:10" ht="15.75" customHeight="1">
      <c r="E1964" s="314"/>
      <c r="F1964" s="312"/>
      <c r="H1964" s="311"/>
      <c r="J1964" s="328"/>
    </row>
    <row r="1965" spans="5:10" ht="15.75" customHeight="1">
      <c r="E1965" s="314"/>
      <c r="F1965" s="312"/>
      <c r="H1965" s="311"/>
      <c r="J1965" s="328"/>
    </row>
    <row r="1966" spans="5:10" ht="15.75" customHeight="1">
      <c r="E1966" s="314"/>
      <c r="F1966" s="312"/>
      <c r="H1966" s="311"/>
      <c r="J1966" s="328"/>
    </row>
    <row r="1967" spans="5:10" ht="15.75" customHeight="1">
      <c r="E1967" s="314"/>
      <c r="F1967" s="312"/>
      <c r="H1967" s="311"/>
      <c r="J1967" s="328"/>
    </row>
    <row r="1968" spans="5:10" ht="15.75" customHeight="1">
      <c r="E1968" s="314"/>
      <c r="F1968" s="312"/>
      <c r="H1968" s="311"/>
      <c r="J1968" s="328"/>
    </row>
    <row r="1969" spans="5:10" ht="15.75" customHeight="1">
      <c r="E1969" s="314"/>
      <c r="F1969" s="312"/>
      <c r="H1969" s="311"/>
      <c r="J1969" s="328"/>
    </row>
    <row r="1970" spans="5:10" ht="15.75" customHeight="1">
      <c r="E1970" s="314"/>
      <c r="F1970" s="312"/>
      <c r="H1970" s="311"/>
      <c r="J1970" s="328"/>
    </row>
    <row r="1971" spans="5:10" ht="15.75" customHeight="1">
      <c r="E1971" s="314"/>
      <c r="F1971" s="312"/>
      <c r="H1971" s="311"/>
      <c r="J1971" s="328"/>
    </row>
    <row r="1972" spans="5:10" ht="15.75" customHeight="1">
      <c r="E1972" s="314"/>
      <c r="F1972" s="312"/>
      <c r="H1972" s="311"/>
      <c r="J1972" s="328"/>
    </row>
    <row r="1973" spans="5:10" ht="15.75" customHeight="1">
      <c r="E1973" s="314"/>
      <c r="F1973" s="312"/>
      <c r="H1973" s="311"/>
      <c r="J1973" s="328"/>
    </row>
    <row r="1974" spans="5:10" ht="15.75" customHeight="1">
      <c r="E1974" s="314"/>
      <c r="F1974" s="312"/>
      <c r="H1974" s="311"/>
      <c r="J1974" s="328"/>
    </row>
    <row r="1975" spans="5:10" ht="15.75" customHeight="1">
      <c r="E1975" s="314"/>
      <c r="F1975" s="312"/>
      <c r="H1975" s="311"/>
      <c r="J1975" s="328"/>
    </row>
    <row r="1976" spans="5:10" ht="15.75" customHeight="1">
      <c r="E1976" s="314"/>
      <c r="F1976" s="312"/>
      <c r="H1976" s="311"/>
      <c r="J1976" s="328"/>
    </row>
    <row r="1977" spans="5:10" ht="15.75" customHeight="1">
      <c r="E1977" s="314"/>
      <c r="F1977" s="312"/>
      <c r="H1977" s="311"/>
      <c r="J1977" s="328"/>
    </row>
    <row r="1978" spans="5:10" ht="15.75" customHeight="1">
      <c r="E1978" s="314"/>
      <c r="F1978" s="312"/>
      <c r="H1978" s="311"/>
      <c r="J1978" s="328"/>
    </row>
    <row r="1979" spans="5:10" ht="15.75" customHeight="1">
      <c r="E1979" s="314"/>
      <c r="F1979" s="312"/>
      <c r="H1979" s="311"/>
      <c r="J1979" s="328"/>
    </row>
    <row r="1980" spans="5:10" ht="15.75" customHeight="1">
      <c r="E1980" s="314"/>
      <c r="F1980" s="312"/>
      <c r="H1980" s="311"/>
      <c r="J1980" s="328"/>
    </row>
    <row r="1981" spans="5:10" ht="15.75" customHeight="1">
      <c r="E1981" s="314"/>
      <c r="F1981" s="312"/>
      <c r="H1981" s="311"/>
      <c r="J1981" s="328"/>
    </row>
    <row r="1982" spans="5:10" ht="15.75" customHeight="1">
      <c r="E1982" s="314"/>
      <c r="F1982" s="312"/>
      <c r="H1982" s="311"/>
      <c r="J1982" s="328"/>
    </row>
    <row r="1983" spans="5:10" ht="15.75" customHeight="1">
      <c r="E1983" s="314"/>
      <c r="F1983" s="312"/>
      <c r="H1983" s="311"/>
      <c r="J1983" s="328"/>
    </row>
    <row r="1984" spans="5:10" ht="15.75" customHeight="1">
      <c r="E1984" s="314"/>
      <c r="F1984" s="312"/>
      <c r="H1984" s="311"/>
      <c r="J1984" s="328"/>
    </row>
    <row r="1985" spans="5:10" ht="15.75" customHeight="1">
      <c r="E1985" s="314"/>
      <c r="F1985" s="312"/>
      <c r="H1985" s="311"/>
      <c r="J1985" s="328"/>
    </row>
    <row r="1986" spans="5:10" ht="15.75" customHeight="1">
      <c r="E1986" s="314"/>
      <c r="F1986" s="312"/>
      <c r="H1986" s="311"/>
      <c r="J1986" s="328"/>
    </row>
    <row r="1987" spans="5:10" ht="15.75" customHeight="1">
      <c r="E1987" s="314"/>
      <c r="F1987" s="312"/>
      <c r="H1987" s="311"/>
      <c r="J1987" s="328"/>
    </row>
    <row r="1988" spans="5:10" ht="15.75" customHeight="1">
      <c r="E1988" s="314"/>
      <c r="F1988" s="312"/>
      <c r="H1988" s="311"/>
      <c r="J1988" s="328"/>
    </row>
    <row r="1989" spans="5:10" ht="15.75" customHeight="1">
      <c r="E1989" s="314"/>
      <c r="F1989" s="312"/>
      <c r="H1989" s="311"/>
      <c r="J1989" s="328"/>
    </row>
    <row r="1990" spans="5:10" ht="15.75" customHeight="1">
      <c r="E1990" s="314"/>
      <c r="F1990" s="312"/>
      <c r="H1990" s="311"/>
      <c r="J1990" s="328"/>
    </row>
    <row r="1991" spans="5:10" ht="15.75" customHeight="1">
      <c r="E1991" s="314"/>
      <c r="F1991" s="312"/>
      <c r="H1991" s="311"/>
      <c r="J1991" s="328"/>
    </row>
    <row r="1992" spans="5:10" ht="15.75" customHeight="1">
      <c r="E1992" s="314"/>
      <c r="F1992" s="312"/>
      <c r="H1992" s="311"/>
      <c r="J1992" s="328"/>
    </row>
    <row r="1993" spans="5:10" ht="15.75" customHeight="1">
      <c r="E1993" s="314"/>
      <c r="F1993" s="312"/>
      <c r="H1993" s="311"/>
      <c r="J1993" s="328"/>
    </row>
    <row r="1994" spans="5:10" ht="15.75" customHeight="1">
      <c r="E1994" s="314"/>
      <c r="F1994" s="312"/>
      <c r="H1994" s="311"/>
      <c r="J1994" s="328"/>
    </row>
    <row r="1995" spans="5:10" ht="15.75" customHeight="1">
      <c r="E1995" s="314"/>
      <c r="F1995" s="312"/>
      <c r="H1995" s="311"/>
      <c r="J1995" s="328"/>
    </row>
    <row r="1996" spans="5:10" ht="15.75" customHeight="1">
      <c r="E1996" s="314"/>
      <c r="F1996" s="312"/>
      <c r="H1996" s="311"/>
      <c r="J1996" s="328"/>
    </row>
    <row r="1997" spans="5:10" ht="15.75" customHeight="1">
      <c r="E1997" s="314"/>
      <c r="F1997" s="312"/>
      <c r="H1997" s="311"/>
      <c r="J1997" s="328"/>
    </row>
    <row r="1998" spans="5:10" ht="15.75" customHeight="1">
      <c r="E1998" s="314"/>
      <c r="F1998" s="312"/>
      <c r="H1998" s="311"/>
      <c r="J1998" s="328"/>
    </row>
    <row r="1999" spans="5:10" ht="15.75" customHeight="1">
      <c r="E1999" s="314"/>
      <c r="F1999" s="312"/>
      <c r="H1999" s="311"/>
      <c r="J1999" s="328"/>
    </row>
    <row r="2000" spans="5:10" ht="15.75" customHeight="1">
      <c r="E2000" s="314"/>
      <c r="F2000" s="312"/>
      <c r="H2000" s="311"/>
      <c r="J2000" s="328"/>
    </row>
    <row r="2001" spans="5:10" ht="15.75" customHeight="1">
      <c r="E2001" s="314"/>
      <c r="F2001" s="312"/>
      <c r="H2001" s="311"/>
      <c r="J2001" s="328"/>
    </row>
    <row r="2002" spans="5:10" ht="15.75" customHeight="1">
      <c r="E2002" s="314"/>
      <c r="F2002" s="312"/>
      <c r="H2002" s="311"/>
      <c r="J2002" s="328"/>
    </row>
    <row r="2003" spans="5:10" ht="15.75" customHeight="1">
      <c r="E2003" s="314"/>
      <c r="F2003" s="312"/>
      <c r="H2003" s="311"/>
      <c r="J2003" s="328"/>
    </row>
    <row r="2004" spans="5:10" ht="15.75" customHeight="1">
      <c r="E2004" s="314"/>
      <c r="F2004" s="312"/>
      <c r="H2004" s="311"/>
      <c r="J2004" s="328"/>
    </row>
    <row r="2005" spans="5:10" ht="15.75" customHeight="1">
      <c r="E2005" s="314"/>
      <c r="F2005" s="312"/>
      <c r="H2005" s="311"/>
      <c r="J2005" s="328"/>
    </row>
    <row r="2006" spans="5:10" ht="15.75" customHeight="1">
      <c r="E2006" s="314"/>
      <c r="F2006" s="312"/>
      <c r="H2006" s="311"/>
      <c r="J2006" s="328"/>
    </row>
  </sheetData>
  <autoFilter ref="A1:K883" xr:uid="{00000000-0009-0000-0000-000005000000}"/>
  <mergeCells count="1">
    <mergeCell ref="B1444:E1444"/>
  </mergeCells>
  <phoneticPr fontId="54" type="noConversion"/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X1001"/>
  <sheetViews>
    <sheetView rightToLeft="1" topLeftCell="CMM1" workbookViewId="0">
      <pane ySplit="2" topLeftCell="A3" activePane="bottomLeft" state="frozen"/>
      <selection pane="bottomLeft" activeCell="C66" sqref="C66"/>
    </sheetView>
  </sheetViews>
  <sheetFormatPr baseColWidth="10" defaultColWidth="14.5" defaultRowHeight="15" customHeight="1"/>
  <cols>
    <col min="1" max="2" width="9.1640625" style="333" customWidth="1"/>
    <col min="3" max="3" width="22.83203125" style="380" customWidth="1"/>
    <col min="4" max="4" width="25.5" style="333" customWidth="1"/>
    <col min="5" max="5" width="7.1640625" style="333" customWidth="1"/>
    <col min="6" max="24" width="8.6640625" style="333" customWidth="1"/>
    <col min="25" max="16384" width="14.5" style="333"/>
  </cols>
  <sheetData>
    <row r="1" spans="1:24" ht="29.25" customHeight="1">
      <c r="A1" s="330"/>
      <c r="B1" s="330"/>
      <c r="C1" s="378" t="s">
        <v>446</v>
      </c>
      <c r="D1" s="332">
        <f>'لیست واریزی کل خیرین'!$J$149-'خلاصه هزینه کرد مددجوها'!$D$124</f>
        <v>26615308822</v>
      </c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</row>
    <row r="2" spans="1:24" ht="16">
      <c r="A2" s="330"/>
      <c r="B2" s="331" t="s">
        <v>147</v>
      </c>
      <c r="C2" s="378" t="s">
        <v>447</v>
      </c>
      <c r="D2" s="331" t="s">
        <v>349</v>
      </c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</row>
    <row r="3" spans="1:24" ht="16">
      <c r="A3" s="330"/>
      <c r="B3" s="331" t="s">
        <v>146</v>
      </c>
      <c r="C3" s="378" t="str">
        <f t="shared" ref="C3:C30" si="0">IF(B3="","",HLOOKUP(B3,etela,2,0))</f>
        <v>هزینه کلی به مددجویان</v>
      </c>
      <c r="D3" s="334">
        <f>SUMIF('ریزهزینه کرد مددجوها'!E:E,'خلاصه هزینه کرد مددجوها'!B3,'ریزهزینه کرد مددجوها'!J:J)</f>
        <v>768134600</v>
      </c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</row>
    <row r="4" spans="1:24" ht="16">
      <c r="A4" s="330"/>
      <c r="B4" s="331" t="s">
        <v>145</v>
      </c>
      <c r="C4" s="378" t="str">
        <f t="shared" si="0"/>
        <v>هزینه کلی موسسه</v>
      </c>
      <c r="D4" s="334">
        <f>SUMIF('ریزهزینه کرد مددجوها'!E:E,'خلاصه هزینه کرد مددجوها'!B4,'ریزهزینه کرد مددجوها'!J:J)</f>
        <v>4332092380</v>
      </c>
      <c r="E4" s="330"/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</row>
    <row r="5" spans="1:24" ht="32">
      <c r="A5" s="330"/>
      <c r="B5" s="331" t="s">
        <v>1351</v>
      </c>
      <c r="C5" s="378" t="s">
        <v>1352</v>
      </c>
      <c r="D5" s="334">
        <f>SUMIF('ریزهزینه کرد مددجوها'!E:E,'خلاصه هزینه کرد مددجوها'!B5,'ریزهزینه کرد مددجوها'!J:J)</f>
        <v>45000000</v>
      </c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</row>
    <row r="6" spans="1:24" ht="16">
      <c r="A6" s="330"/>
      <c r="B6" s="331">
        <v>1</v>
      </c>
      <c r="C6" s="378" t="str">
        <f t="shared" si="0"/>
        <v>ریحانه نوری شفیق</v>
      </c>
      <c r="D6" s="334">
        <f>SUMIF('ریزهزینه کرد مددجوها'!E:E,'خلاصه هزینه کرد مددجوها'!B6,'ریزهزینه کرد مددجوها'!J:J)</f>
        <v>11985000</v>
      </c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W6" s="330"/>
      <c r="X6" s="330"/>
    </row>
    <row r="7" spans="1:24" ht="16">
      <c r="A7" s="330"/>
      <c r="B7" s="331">
        <v>2</v>
      </c>
      <c r="C7" s="378" t="str">
        <f t="shared" si="0"/>
        <v>ریحانه طراقی فرد</v>
      </c>
      <c r="D7" s="334">
        <f>SUMIF('ریزهزینه کرد مددجوها'!E:E,'خلاصه هزینه کرد مددجوها'!B7,'ریزهزینه کرد مددجوها'!J:J)</f>
        <v>0</v>
      </c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</row>
    <row r="8" spans="1:24" ht="16">
      <c r="A8" s="330"/>
      <c r="B8" s="331">
        <v>3</v>
      </c>
      <c r="C8" s="378" t="str">
        <f t="shared" si="0"/>
        <v>زهرا قهستانی</v>
      </c>
      <c r="D8" s="334">
        <f>SUMIF('ریزهزینه کرد مددجوها'!E:E,'خلاصه هزینه کرد مددجوها'!B8,'ریزهزینه کرد مددجوها'!J:J)</f>
        <v>4700000</v>
      </c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X8" s="330"/>
    </row>
    <row r="9" spans="1:24" ht="16">
      <c r="A9" s="330"/>
      <c r="B9" s="331">
        <v>4</v>
      </c>
      <c r="C9" s="378" t="str">
        <f t="shared" si="0"/>
        <v>مهلا قهستانی</v>
      </c>
      <c r="D9" s="334">
        <f>SUMIF('ریزهزینه کرد مددجوها'!E:E,'خلاصه هزینه کرد مددجوها'!B9,'ریزهزینه کرد مددجوها'!J:J)</f>
        <v>4800000</v>
      </c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30"/>
      <c r="S9" s="330"/>
      <c r="T9" s="330"/>
      <c r="U9" s="330"/>
      <c r="V9" s="330"/>
      <c r="W9" s="330"/>
      <c r="X9" s="330"/>
    </row>
    <row r="10" spans="1:24" ht="16">
      <c r="A10" s="330"/>
      <c r="B10" s="331">
        <v>5</v>
      </c>
      <c r="C10" s="378" t="str">
        <f t="shared" si="0"/>
        <v>رقیه رضاپور</v>
      </c>
      <c r="D10" s="334">
        <f>SUMIF('ریزهزینه کرد مددجوها'!E:E,'خلاصه هزینه کرد مددجوها'!B10,'ریزهزینه کرد مددجوها'!J:J)</f>
        <v>4700000</v>
      </c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330"/>
      <c r="T10" s="330"/>
      <c r="U10" s="330"/>
      <c r="V10" s="330"/>
      <c r="W10" s="330"/>
      <c r="X10" s="330"/>
    </row>
    <row r="11" spans="1:24" ht="16">
      <c r="A11" s="330"/>
      <c r="B11" s="331">
        <v>6</v>
      </c>
      <c r="C11" s="378" t="str">
        <f t="shared" si="0"/>
        <v>راضیه رضاپور</v>
      </c>
      <c r="D11" s="334">
        <f>SUMIF('ریزهزینه کرد مددجوها'!E:E,'خلاصه هزینه کرد مددجوها'!B11,'ریزهزینه کرد مددجوها'!J:J)</f>
        <v>31678800</v>
      </c>
      <c r="E11" s="330"/>
      <c r="F11" s="330"/>
      <c r="G11" s="330"/>
      <c r="H11" s="330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30"/>
      <c r="T11" s="330"/>
      <c r="U11" s="330"/>
      <c r="V11" s="330"/>
      <c r="W11" s="330"/>
      <c r="X11" s="330"/>
    </row>
    <row r="12" spans="1:24" ht="16">
      <c r="A12" s="330"/>
      <c r="B12" s="331">
        <v>7</v>
      </c>
      <c r="C12" s="378" t="str">
        <f t="shared" si="0"/>
        <v>ربابه رضاپور</v>
      </c>
      <c r="D12" s="334">
        <f>SUMIF('ریزهزینه کرد مددجوها'!E:E,'خلاصه هزینه کرد مددجوها'!B12,'ریزهزینه کرد مددجوها'!J:J)</f>
        <v>4900000</v>
      </c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W12" s="330"/>
      <c r="X12" s="330"/>
    </row>
    <row r="13" spans="1:24" ht="16">
      <c r="A13" s="330"/>
      <c r="B13" s="331">
        <v>8</v>
      </c>
      <c r="C13" s="378" t="str">
        <f t="shared" si="0"/>
        <v>پریسا اعتمادمنش</v>
      </c>
      <c r="D13" s="334">
        <f>SUMIF('ریزهزینه کرد مددجوها'!E:E,'خلاصه هزینه کرد مددجوها'!B13,'ریزهزینه کرد مددجوها'!J:J)</f>
        <v>100008400</v>
      </c>
      <c r="E13" s="330"/>
      <c r="F13" s="330"/>
      <c r="G13" s="330"/>
      <c r="H13" s="330"/>
      <c r="I13" s="330" t="s">
        <v>448</v>
      </c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</row>
    <row r="14" spans="1:24" ht="16">
      <c r="A14" s="330"/>
      <c r="B14" s="331">
        <v>9</v>
      </c>
      <c r="C14" s="378" t="str">
        <f t="shared" si="0"/>
        <v>فاطمه موسوی</v>
      </c>
      <c r="D14" s="334">
        <f>SUMIF('ریزهزینه کرد مددجوها'!E:E,'خلاصه هزینه کرد مددجوها'!B14,'ریزهزینه کرد مددجوها'!J:J)</f>
        <v>5072000</v>
      </c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</row>
    <row r="15" spans="1:24" ht="16">
      <c r="A15" s="330"/>
      <c r="B15" s="331">
        <v>10</v>
      </c>
      <c r="C15" s="378" t="str">
        <f t="shared" si="0"/>
        <v>مریم رحمانی</v>
      </c>
      <c r="D15" s="334">
        <f>SUMIF('ریزهزینه کرد مددجوها'!E:E,'خلاصه هزینه کرد مددجوها'!B15,'ریزهزینه کرد مددجوها'!J:J)</f>
        <v>10256000</v>
      </c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0"/>
      <c r="X15" s="330"/>
    </row>
    <row r="16" spans="1:24" ht="16">
      <c r="A16" s="330"/>
      <c r="B16" s="331">
        <v>11</v>
      </c>
      <c r="C16" s="378" t="str">
        <f t="shared" si="0"/>
        <v>ناهید کمالی گروی</v>
      </c>
      <c r="D16" s="334">
        <f>SUMIF('ریزهزینه کرد مددجوها'!E:E,'خلاصه هزینه کرد مددجوها'!B16,'ریزهزینه کرد مددجوها'!J:J)</f>
        <v>5156000</v>
      </c>
      <c r="E16" s="330"/>
      <c r="F16" s="330"/>
      <c r="G16" s="330"/>
      <c r="H16" s="330"/>
      <c r="I16" s="330"/>
      <c r="J16" s="330"/>
      <c r="K16" s="330"/>
      <c r="L16" s="330"/>
      <c r="M16" s="330"/>
      <c r="N16" s="330"/>
      <c r="O16" s="330"/>
      <c r="P16" s="330"/>
      <c r="Q16" s="330"/>
      <c r="R16" s="330"/>
      <c r="S16" s="330"/>
      <c r="T16" s="330"/>
      <c r="U16" s="330"/>
      <c r="V16" s="330"/>
      <c r="W16" s="330"/>
      <c r="X16" s="330"/>
    </row>
    <row r="17" spans="1:24" ht="16">
      <c r="A17" s="330"/>
      <c r="B17" s="331">
        <v>12</v>
      </c>
      <c r="C17" s="378" t="str">
        <f t="shared" si="0"/>
        <v>الهام صمدی</v>
      </c>
      <c r="D17" s="334">
        <f>SUMIF('ریزهزینه کرد مددجوها'!E:E,'خلاصه هزینه کرد مددجوها'!B17,'ریزهزینه کرد مددجوها'!J:J)</f>
        <v>121817300</v>
      </c>
      <c r="E17" s="330"/>
      <c r="F17" s="330"/>
      <c r="G17" s="330"/>
      <c r="H17" s="330"/>
      <c r="I17" s="330"/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</row>
    <row r="18" spans="1:24" ht="16">
      <c r="A18" s="330"/>
      <c r="B18" s="331">
        <v>13</v>
      </c>
      <c r="C18" s="378" t="str">
        <f t="shared" si="0"/>
        <v>کوثر مولایی</v>
      </c>
      <c r="D18" s="334">
        <f>SUMIF('ریزهزینه کرد مددجوها'!E:E,'خلاصه هزینه کرد مددجوها'!B18,'ریزهزینه کرد مددجوها'!J:J)</f>
        <v>15443500</v>
      </c>
      <c r="E18" s="330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0"/>
      <c r="Q18" s="330"/>
      <c r="R18" s="330"/>
      <c r="S18" s="330"/>
      <c r="T18" s="330"/>
      <c r="U18" s="330"/>
      <c r="V18" s="330"/>
      <c r="W18" s="330"/>
      <c r="X18" s="330"/>
    </row>
    <row r="19" spans="1:24" ht="16">
      <c r="A19" s="330"/>
      <c r="B19" s="331">
        <v>14</v>
      </c>
      <c r="C19" s="378" t="str">
        <f t="shared" si="0"/>
        <v>زهرا تاتاری</v>
      </c>
      <c r="D19" s="334">
        <f>SUMIF('ریزهزینه کرد مددجوها'!E:E,'خلاصه هزینه کرد مددجوها'!B19,'ریزهزینه کرد مددجوها'!J:J)</f>
        <v>4430000</v>
      </c>
      <c r="E19" s="330"/>
      <c r="F19" s="330"/>
      <c r="G19" s="330"/>
      <c r="H19" s="330"/>
      <c r="I19" s="330"/>
      <c r="J19" s="330"/>
      <c r="K19" s="330"/>
      <c r="L19" s="330"/>
      <c r="M19" s="330"/>
      <c r="N19" s="330"/>
      <c r="O19" s="330"/>
      <c r="P19" s="330"/>
      <c r="Q19" s="330"/>
      <c r="R19" s="330"/>
      <c r="S19" s="330"/>
      <c r="T19" s="330"/>
      <c r="U19" s="330"/>
      <c r="V19" s="330"/>
      <c r="W19" s="330"/>
      <c r="X19" s="330"/>
    </row>
    <row r="20" spans="1:24" ht="16">
      <c r="A20" s="330"/>
      <c r="B20" s="331">
        <v>15</v>
      </c>
      <c r="C20" s="378" t="str">
        <f t="shared" si="0"/>
        <v>یگانه رجایی سمرا</v>
      </c>
      <c r="D20" s="334">
        <f>SUMIF('ریزهزینه کرد مددجوها'!E:E,'خلاصه هزینه کرد مددجوها'!B20,'ریزهزینه کرد مددجوها'!J:J)</f>
        <v>1206000</v>
      </c>
      <c r="E20" s="330"/>
      <c r="F20" s="330"/>
      <c r="G20" s="330"/>
      <c r="H20" s="330"/>
      <c r="I20" s="330"/>
      <c r="J20" s="330"/>
      <c r="K20" s="330"/>
      <c r="L20" s="330"/>
      <c r="M20" s="330"/>
      <c r="N20" s="330"/>
      <c r="O20" s="330"/>
      <c r="P20" s="330"/>
      <c r="Q20" s="330"/>
      <c r="R20" s="330"/>
      <c r="S20" s="330"/>
      <c r="T20" s="330"/>
      <c r="U20" s="330"/>
      <c r="V20" s="330"/>
      <c r="W20" s="330"/>
      <c r="X20" s="330"/>
    </row>
    <row r="21" spans="1:24" ht="16">
      <c r="A21" s="330"/>
      <c r="B21" s="331">
        <v>16</v>
      </c>
      <c r="C21" s="378" t="str">
        <f t="shared" si="0"/>
        <v>یگانه خرمند سنجدبوری</v>
      </c>
      <c r="D21" s="334">
        <f>SUMIF('ریزهزینه کرد مددجوها'!E:E,'خلاصه هزینه کرد مددجوها'!B21,'ریزهزینه کرد مددجوها'!J:J)</f>
        <v>5183000</v>
      </c>
      <c r="E21" s="330"/>
      <c r="F21" s="330"/>
      <c r="G21" s="330"/>
      <c r="H21" s="330"/>
      <c r="I21" s="330"/>
      <c r="J21" s="330"/>
      <c r="K21" s="330"/>
      <c r="L21" s="330"/>
      <c r="M21" s="330"/>
      <c r="N21" s="330"/>
      <c r="O21" s="330"/>
      <c r="P21" s="330"/>
      <c r="Q21" s="330"/>
      <c r="R21" s="330"/>
      <c r="S21" s="330"/>
      <c r="T21" s="330"/>
      <c r="U21" s="330"/>
      <c r="V21" s="330"/>
      <c r="W21" s="330"/>
      <c r="X21" s="330"/>
    </row>
    <row r="22" spans="1:24" ht="15.75" customHeight="1">
      <c r="A22" s="330"/>
      <c r="B22" s="331">
        <v>17</v>
      </c>
      <c r="C22" s="378" t="str">
        <f t="shared" si="0"/>
        <v>کوثر فارقی</v>
      </c>
      <c r="D22" s="334">
        <f>SUMIF('ریزهزینه کرد مددجوها'!E:E,'خلاصه هزینه کرد مددجوها'!B22,'ریزهزینه کرد مددجوها'!J:J)</f>
        <v>3674000</v>
      </c>
      <c r="E22" s="330"/>
      <c r="F22" s="330"/>
      <c r="G22" s="330"/>
      <c r="H22" s="330"/>
      <c r="I22" s="330"/>
      <c r="J22" s="330"/>
      <c r="K22" s="330"/>
      <c r="L22" s="330"/>
      <c r="M22" s="330"/>
      <c r="N22" s="330"/>
      <c r="O22" s="330"/>
      <c r="P22" s="330"/>
      <c r="Q22" s="330"/>
      <c r="R22" s="330"/>
      <c r="S22" s="330"/>
      <c r="T22" s="330"/>
      <c r="U22" s="330"/>
      <c r="V22" s="330"/>
      <c r="W22" s="330"/>
      <c r="X22" s="330"/>
    </row>
    <row r="23" spans="1:24" ht="15.75" customHeight="1">
      <c r="A23" s="330"/>
      <c r="B23" s="331">
        <v>18</v>
      </c>
      <c r="C23" s="378" t="str">
        <f t="shared" si="0"/>
        <v>ریحانه نجفی</v>
      </c>
      <c r="D23" s="334">
        <f>SUMIF('ریزهزینه کرد مددجوها'!E:E,'خلاصه هزینه کرد مددجوها'!B23,'ریزهزینه کرد مددجوها'!J:J)</f>
        <v>0</v>
      </c>
      <c r="E23" s="330"/>
      <c r="F23" s="330"/>
      <c r="G23" s="330"/>
      <c r="H23" s="330"/>
      <c r="I23" s="330"/>
      <c r="J23" s="330"/>
      <c r="K23" s="330"/>
      <c r="L23" s="330"/>
      <c r="M23" s="330"/>
      <c r="N23" s="330"/>
      <c r="O23" s="330"/>
      <c r="P23" s="330"/>
      <c r="Q23" s="330"/>
      <c r="R23" s="330"/>
      <c r="S23" s="330"/>
      <c r="T23" s="330"/>
      <c r="U23" s="330"/>
      <c r="V23" s="330"/>
      <c r="W23" s="330"/>
      <c r="X23" s="330"/>
    </row>
    <row r="24" spans="1:24" ht="15.75" customHeight="1">
      <c r="A24" s="330"/>
      <c r="B24" s="331">
        <v>19</v>
      </c>
      <c r="C24" s="378" t="str">
        <f t="shared" si="0"/>
        <v>نادیا احمدی</v>
      </c>
      <c r="D24" s="334">
        <f>SUMIF('ریزهزینه کرد مددجوها'!E:E,'خلاصه هزینه کرد مددجوها'!B24,'ریزهزینه کرد مددجوها'!J:J)</f>
        <v>2506000</v>
      </c>
      <c r="E24" s="330"/>
      <c r="F24" s="330"/>
      <c r="G24" s="330"/>
      <c r="H24" s="330"/>
      <c r="I24" s="330"/>
      <c r="J24" s="330"/>
      <c r="K24" s="330"/>
      <c r="L24" s="330"/>
      <c r="M24" s="330"/>
      <c r="N24" s="330"/>
      <c r="O24" s="330"/>
      <c r="P24" s="330"/>
      <c r="Q24" s="330"/>
      <c r="R24" s="330"/>
      <c r="S24" s="330"/>
      <c r="T24" s="330"/>
      <c r="U24" s="330"/>
      <c r="V24" s="330"/>
      <c r="W24" s="330"/>
      <c r="X24" s="330"/>
    </row>
    <row r="25" spans="1:24" ht="15.75" customHeight="1">
      <c r="A25" s="330"/>
      <c r="B25" s="331">
        <v>20</v>
      </c>
      <c r="C25" s="378" t="str">
        <f t="shared" si="0"/>
        <v>پری زارع</v>
      </c>
      <c r="D25" s="334">
        <f>SUMIF('ریزهزینه کرد مددجوها'!E:E,'خلاصه هزینه کرد مددجوها'!B25,'ریزهزینه کرد مددجوها'!J:J)</f>
        <v>20838400</v>
      </c>
      <c r="E25" s="330"/>
      <c r="F25" s="330"/>
      <c r="G25" s="330"/>
      <c r="H25" s="330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</row>
    <row r="26" spans="1:24" ht="15.75" customHeight="1">
      <c r="A26" s="330"/>
      <c r="B26" s="331">
        <v>21</v>
      </c>
      <c r="C26" s="378" t="str">
        <f t="shared" si="0"/>
        <v>ملبکا نماز</v>
      </c>
      <c r="D26" s="334">
        <f>SUMIF('ریزهزینه کرد مددجوها'!E:E,'خلاصه هزینه کرد مددجوها'!B26,'ریزهزینه کرد مددجوها'!J:J)</f>
        <v>12190800</v>
      </c>
      <c r="E26" s="330"/>
      <c r="F26" s="330"/>
      <c r="G26" s="330"/>
      <c r="H26" s="330"/>
      <c r="I26" s="330"/>
      <c r="J26" s="330"/>
      <c r="K26" s="330"/>
      <c r="L26" s="330"/>
      <c r="M26" s="330"/>
      <c r="N26" s="330"/>
      <c r="O26" s="330"/>
      <c r="P26" s="330"/>
      <c r="Q26" s="330"/>
      <c r="R26" s="330"/>
      <c r="S26" s="330"/>
      <c r="T26" s="330"/>
      <c r="U26" s="330"/>
      <c r="V26" s="330"/>
      <c r="W26" s="330"/>
      <c r="X26" s="330"/>
    </row>
    <row r="27" spans="1:24" ht="15.75" customHeight="1">
      <c r="A27" s="330"/>
      <c r="B27" s="331">
        <v>22</v>
      </c>
      <c r="C27" s="378" t="str">
        <f t="shared" si="0"/>
        <v>مهدبار نماز</v>
      </c>
      <c r="D27" s="334">
        <f>SUMIF('ریزهزینه کرد مددجوها'!E:E,'خلاصه هزینه کرد مددجوها'!B27,'ریزهزینه کرد مددجوها'!J:J)</f>
        <v>13218000</v>
      </c>
      <c r="E27" s="330"/>
      <c r="F27" s="330"/>
      <c r="G27" s="330"/>
      <c r="H27" s="330"/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</row>
    <row r="28" spans="1:24" ht="15.75" customHeight="1">
      <c r="A28" s="330"/>
      <c r="B28" s="331">
        <v>23</v>
      </c>
      <c r="C28" s="378" t="str">
        <f t="shared" si="0"/>
        <v>محمدرضا سروری</v>
      </c>
      <c r="D28" s="334">
        <f>SUMIF('ریزهزینه کرد مددجوها'!E:E,'خلاصه هزینه کرد مددجوها'!B28,'ریزهزینه کرد مددجوها'!J:J)</f>
        <v>6976000</v>
      </c>
      <c r="E28" s="330"/>
      <c r="F28" s="330"/>
      <c r="G28" s="330"/>
      <c r="H28" s="330"/>
      <c r="I28" s="330"/>
      <c r="J28" s="330"/>
      <c r="K28" s="330"/>
      <c r="L28" s="330"/>
      <c r="M28" s="330"/>
      <c r="N28" s="330"/>
      <c r="O28" s="330"/>
      <c r="P28" s="330"/>
      <c r="Q28" s="330"/>
      <c r="R28" s="330"/>
      <c r="S28" s="330"/>
      <c r="T28" s="330"/>
      <c r="U28" s="330"/>
      <c r="V28" s="330"/>
      <c r="W28" s="330"/>
      <c r="X28" s="330"/>
    </row>
    <row r="29" spans="1:24" ht="15.75" customHeight="1">
      <c r="A29" s="330"/>
      <c r="B29" s="331">
        <v>24</v>
      </c>
      <c r="C29" s="378" t="str">
        <f t="shared" si="0"/>
        <v>کمیل سروری</v>
      </c>
      <c r="D29" s="334">
        <f>SUMIF('ریزهزینه کرد مددجوها'!E:E,'خلاصه هزینه کرد مددجوها'!B29,'ریزهزینه کرد مددجوها'!J:J)</f>
        <v>73737600</v>
      </c>
      <c r="E29" s="330"/>
      <c r="F29" s="330"/>
      <c r="G29" s="330"/>
      <c r="H29" s="330"/>
      <c r="I29" s="330"/>
      <c r="J29" s="330"/>
      <c r="K29" s="330"/>
      <c r="L29" s="330"/>
      <c r="M29" s="330"/>
      <c r="N29" s="330"/>
      <c r="O29" s="330"/>
      <c r="P29" s="330"/>
      <c r="Q29" s="330"/>
      <c r="R29" s="330"/>
      <c r="S29" s="330"/>
      <c r="T29" s="330"/>
      <c r="U29" s="330"/>
      <c r="V29" s="330"/>
      <c r="W29" s="330"/>
      <c r="X29" s="330"/>
    </row>
    <row r="30" spans="1:24" ht="15.75" customHeight="1">
      <c r="A30" s="330"/>
      <c r="B30" s="331">
        <v>25</v>
      </c>
      <c r="C30" s="378" t="str">
        <f t="shared" si="0"/>
        <v>مبینا عباسی</v>
      </c>
      <c r="D30" s="334">
        <f>SUMIF('ریزهزینه کرد مددجوها'!E:E,'خلاصه هزینه کرد مددجوها'!B30,'ریزهزینه کرد مددجوها'!J:J)</f>
        <v>5070000</v>
      </c>
      <c r="E30" s="330"/>
      <c r="F30" s="330"/>
      <c r="G30" s="330"/>
      <c r="H30" s="330"/>
      <c r="I30" s="330"/>
      <c r="J30" s="330"/>
      <c r="K30" s="330"/>
      <c r="L30" s="330"/>
      <c r="M30" s="330"/>
      <c r="N30" s="330"/>
      <c r="O30" s="330"/>
      <c r="P30" s="330"/>
      <c r="Q30" s="330"/>
      <c r="R30" s="330"/>
      <c r="S30" s="330"/>
      <c r="T30" s="330"/>
      <c r="U30" s="330"/>
      <c r="V30" s="330"/>
      <c r="W30" s="330"/>
      <c r="X30" s="330"/>
    </row>
    <row r="31" spans="1:24" ht="15.75" customHeight="1">
      <c r="A31" s="330"/>
      <c r="B31" s="331">
        <v>26</v>
      </c>
      <c r="C31" s="378" t="str">
        <f t="shared" ref="C31:C62" si="1">IF(B31="","",HLOOKUP(B31,kamel,2,0))</f>
        <v>الناز حبیب زاده</v>
      </c>
      <c r="D31" s="334">
        <f>SUMIF('ریزهزینه کرد مددجوها'!E:E,'خلاصه هزینه کرد مددجوها'!B31,'ریزهزینه کرد مددجوها'!J:J)</f>
        <v>0</v>
      </c>
      <c r="E31" s="330"/>
      <c r="F31" s="330"/>
      <c r="G31" s="330"/>
      <c r="H31" s="330"/>
      <c r="I31" s="330"/>
      <c r="J31" s="330"/>
      <c r="K31" s="330"/>
      <c r="L31" s="330"/>
      <c r="M31" s="330"/>
      <c r="N31" s="330"/>
      <c r="O31" s="330"/>
      <c r="P31" s="330"/>
      <c r="Q31" s="330"/>
      <c r="R31" s="330"/>
      <c r="S31" s="330"/>
      <c r="T31" s="330"/>
      <c r="U31" s="330"/>
      <c r="V31" s="330"/>
      <c r="W31" s="330"/>
      <c r="X31" s="330"/>
    </row>
    <row r="32" spans="1:24" ht="15.75" customHeight="1">
      <c r="A32" s="330"/>
      <c r="B32" s="331">
        <v>27</v>
      </c>
      <c r="C32" s="378" t="str">
        <f t="shared" si="1"/>
        <v>نرگس علینژاد</v>
      </c>
      <c r="D32" s="334">
        <f>SUMIF('ریزهزینه کرد مددجوها'!E:E,'خلاصه هزینه کرد مددجوها'!B32,'ریزهزینه کرد مددجوها'!J:J)</f>
        <v>42117600</v>
      </c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30"/>
      <c r="S32" s="330"/>
      <c r="T32" s="330"/>
      <c r="U32" s="330"/>
      <c r="V32" s="330"/>
      <c r="W32" s="330"/>
      <c r="X32" s="330"/>
    </row>
    <row r="33" spans="1:24" ht="15.75" customHeight="1">
      <c r="A33" s="330"/>
      <c r="B33" s="331">
        <v>28</v>
      </c>
      <c r="C33" s="378" t="str">
        <f t="shared" si="1"/>
        <v>زینب ادبی یکه باغی</v>
      </c>
      <c r="D33" s="334">
        <f>SUMIF('ریزهزینه کرد مددجوها'!E:E,'خلاصه هزینه کرد مددجوها'!B33,'ریزهزینه کرد مددجوها'!J:J)</f>
        <v>8967200</v>
      </c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</row>
    <row r="34" spans="1:24" ht="15.75" customHeight="1">
      <c r="A34" s="330"/>
      <c r="B34" s="331">
        <v>29</v>
      </c>
      <c r="C34" s="378" t="str">
        <f t="shared" si="1"/>
        <v>آتنا جر</v>
      </c>
      <c r="D34" s="334">
        <f>SUMIF('ریزهزینه کرد مددجوها'!E:E,'خلاصه هزینه کرد مددجوها'!B34,'ریزهزینه کرد مددجوها'!J:J)</f>
        <v>55385240</v>
      </c>
      <c r="E34" s="330"/>
      <c r="F34" s="330"/>
      <c r="G34" s="330"/>
      <c r="H34" s="330"/>
      <c r="I34" s="330"/>
      <c r="J34" s="330"/>
      <c r="K34" s="330"/>
      <c r="L34" s="330"/>
      <c r="M34" s="330"/>
      <c r="N34" s="330"/>
      <c r="O34" s="330"/>
      <c r="P34" s="330"/>
      <c r="Q34" s="330"/>
      <c r="R34" s="330"/>
      <c r="S34" s="330"/>
      <c r="T34" s="330"/>
      <c r="U34" s="330"/>
      <c r="V34" s="330"/>
      <c r="W34" s="330"/>
      <c r="X34" s="330"/>
    </row>
    <row r="35" spans="1:24" ht="15.75" customHeight="1">
      <c r="A35" s="330"/>
      <c r="B35" s="331">
        <v>30</v>
      </c>
      <c r="C35" s="378" t="str">
        <f t="shared" si="1"/>
        <v>مبینا علیزاده</v>
      </c>
      <c r="D35" s="334">
        <f>SUMIF('ریزهزینه کرد مددجوها'!E:E,'خلاصه هزینه کرد مددجوها'!B35,'ریزهزینه کرد مددجوها'!J:J)</f>
        <v>6362000</v>
      </c>
      <c r="E35" s="330"/>
      <c r="F35" s="330"/>
      <c r="G35" s="330"/>
      <c r="H35" s="330"/>
      <c r="I35" s="330"/>
      <c r="J35" s="330"/>
      <c r="K35" s="330"/>
      <c r="L35" s="330"/>
      <c r="M35" s="330"/>
      <c r="N35" s="330"/>
      <c r="O35" s="330"/>
      <c r="P35" s="330"/>
      <c r="Q35" s="330"/>
      <c r="R35" s="330"/>
      <c r="S35" s="330"/>
      <c r="T35" s="330"/>
      <c r="U35" s="330"/>
      <c r="V35" s="330"/>
      <c r="W35" s="330"/>
      <c r="X35" s="330"/>
    </row>
    <row r="36" spans="1:24" ht="15.75" customHeight="1">
      <c r="A36" s="330"/>
      <c r="B36" s="331">
        <v>31</v>
      </c>
      <c r="C36" s="378" t="str">
        <f t="shared" si="1"/>
        <v>یگانه محمددوست</v>
      </c>
      <c r="D36" s="334">
        <f>SUMIF('ریزهزینه کرد مددجوها'!E:E,'خلاصه هزینه کرد مددجوها'!B36,'ریزهزینه کرد مددجوها'!J:J)</f>
        <v>8723500</v>
      </c>
      <c r="E36" s="330"/>
      <c r="F36" s="330"/>
      <c r="G36" s="330"/>
      <c r="H36" s="330"/>
      <c r="I36" s="330"/>
      <c r="J36" s="330"/>
      <c r="K36" s="330"/>
      <c r="L36" s="330"/>
      <c r="M36" s="330"/>
      <c r="N36" s="330"/>
      <c r="O36" s="330"/>
      <c r="P36" s="330"/>
      <c r="Q36" s="330"/>
      <c r="R36" s="330"/>
      <c r="S36" s="330"/>
      <c r="T36" s="330"/>
      <c r="U36" s="330"/>
      <c r="V36" s="330"/>
      <c r="W36" s="330"/>
      <c r="X36" s="330"/>
    </row>
    <row r="37" spans="1:24" ht="15.75" customHeight="1">
      <c r="A37" s="330"/>
      <c r="B37" s="331">
        <v>32</v>
      </c>
      <c r="C37" s="378" t="str">
        <f t="shared" si="1"/>
        <v>رقیه الزوینی</v>
      </c>
      <c r="D37" s="334">
        <f>SUMIF('ریزهزینه کرد مددجوها'!E:E,'خلاصه هزینه کرد مددجوها'!B37,'ریزهزینه کرد مددجوها'!J:J)</f>
        <v>9648500</v>
      </c>
      <c r="E37" s="330"/>
      <c r="F37" s="330"/>
      <c r="G37" s="330"/>
      <c r="H37" s="330"/>
      <c r="I37" s="330"/>
      <c r="J37" s="330"/>
      <c r="K37" s="330"/>
      <c r="L37" s="330"/>
      <c r="M37" s="330"/>
      <c r="N37" s="330"/>
      <c r="O37" s="330"/>
      <c r="P37" s="330"/>
      <c r="Q37" s="330"/>
      <c r="R37" s="330"/>
      <c r="S37" s="330"/>
      <c r="T37" s="330"/>
      <c r="U37" s="330"/>
      <c r="V37" s="330"/>
      <c r="W37" s="330"/>
      <c r="X37" s="330"/>
    </row>
    <row r="38" spans="1:24" ht="15.75" customHeight="1">
      <c r="A38" s="330"/>
      <c r="B38" s="331">
        <v>33</v>
      </c>
      <c r="C38" s="378" t="str">
        <f t="shared" si="1"/>
        <v>عارفه آذرنگ</v>
      </c>
      <c r="D38" s="334">
        <f>SUMIF('ریزهزینه کرد مددجوها'!E:E,'خلاصه هزینه کرد مددجوها'!B38,'ریزهزینه کرد مددجوها'!J:J)</f>
        <v>16550900</v>
      </c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330"/>
      <c r="T38" s="330"/>
      <c r="U38" s="330"/>
      <c r="V38" s="330"/>
      <c r="W38" s="330"/>
      <c r="X38" s="330"/>
    </row>
    <row r="39" spans="1:24" ht="15.75" customHeight="1">
      <c r="A39" s="330"/>
      <c r="B39" s="331">
        <v>34</v>
      </c>
      <c r="C39" s="378" t="str">
        <f t="shared" si="1"/>
        <v>یگانه عبدالله زاده</v>
      </c>
      <c r="D39" s="334">
        <f>SUMIF('ریزهزینه کرد مددجوها'!E:E,'خلاصه هزینه کرد مددجوها'!B39,'ریزهزینه کرد مددجوها'!J:J)</f>
        <v>33129194</v>
      </c>
      <c r="E39" s="330"/>
      <c r="F39" s="330"/>
      <c r="G39" s="330"/>
      <c r="H39" s="330"/>
      <c r="I39" s="330"/>
      <c r="J39" s="330"/>
      <c r="K39" s="330"/>
      <c r="L39" s="330"/>
      <c r="M39" s="330"/>
      <c r="N39" s="330"/>
      <c r="O39" s="330"/>
      <c r="P39" s="330"/>
      <c r="Q39" s="330"/>
      <c r="R39" s="330"/>
      <c r="S39" s="330"/>
      <c r="T39" s="330"/>
      <c r="U39" s="330"/>
      <c r="V39" s="330"/>
      <c r="W39" s="330"/>
      <c r="X39" s="330"/>
    </row>
    <row r="40" spans="1:24" ht="15.75" customHeight="1">
      <c r="A40" s="330"/>
      <c r="B40" s="331">
        <v>35</v>
      </c>
      <c r="C40" s="378" t="str">
        <f t="shared" si="1"/>
        <v>ثنا پور دوران</v>
      </c>
      <c r="D40" s="334">
        <f>SUMIF('ریزهزینه کرد مددجوها'!E:E,'خلاصه هزینه کرد مددجوها'!B40,'ریزهزینه کرد مددجوها'!J:J)</f>
        <v>87923200</v>
      </c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</row>
    <row r="41" spans="1:24" ht="15.75" customHeight="1">
      <c r="A41" s="330"/>
      <c r="B41" s="331">
        <v>36</v>
      </c>
      <c r="C41" s="378" t="str">
        <f t="shared" si="1"/>
        <v>هدیه محمد پور جاغرق</v>
      </c>
      <c r="D41" s="334">
        <f>SUMIF('ریزهزینه کرد مددجوها'!E:E,'خلاصه هزینه کرد مددجوها'!B41,'ریزهزینه کرد مددجوها'!J:J)</f>
        <v>70002520</v>
      </c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</row>
    <row r="42" spans="1:24" ht="15.75" customHeight="1">
      <c r="A42" s="330"/>
      <c r="B42" s="331">
        <v>37</v>
      </c>
      <c r="C42" s="378" t="str">
        <f t="shared" si="1"/>
        <v>کوثر صفری</v>
      </c>
      <c r="D42" s="334">
        <f>SUMIF('ریزهزینه کرد مددجوها'!E:E,'خلاصه هزینه کرد مددجوها'!B42,'ریزهزینه کرد مددجوها'!J:J)</f>
        <v>87502520</v>
      </c>
      <c r="E42" s="330"/>
      <c r="F42" s="330"/>
      <c r="G42" s="330"/>
      <c r="H42" s="330"/>
      <c r="I42" s="330"/>
      <c r="J42" s="330"/>
      <c r="K42" s="330"/>
      <c r="L42" s="330"/>
      <c r="M42" s="330"/>
      <c r="N42" s="330"/>
      <c r="O42" s="330"/>
      <c r="P42" s="330"/>
      <c r="Q42" s="330"/>
      <c r="R42" s="330"/>
      <c r="S42" s="330"/>
      <c r="T42" s="330"/>
      <c r="U42" s="330"/>
      <c r="V42" s="330"/>
      <c r="W42" s="330"/>
      <c r="X42" s="330"/>
    </row>
    <row r="43" spans="1:24" ht="15.75" customHeight="1">
      <c r="A43" s="330"/>
      <c r="B43" s="331">
        <v>38</v>
      </c>
      <c r="C43" s="378" t="str">
        <f t="shared" si="1"/>
        <v>حانیه دشتبانی</v>
      </c>
      <c r="D43" s="334">
        <f>SUMIF('ریزهزینه کرد مددجوها'!E:E,'خلاصه هزینه کرد مددجوها'!B43,'ریزهزینه کرد مددجوها'!J:J)</f>
        <v>75002160</v>
      </c>
      <c r="E43" s="330"/>
      <c r="F43" s="330"/>
      <c r="G43" s="330"/>
      <c r="H43" s="330"/>
      <c r="I43" s="330"/>
      <c r="J43" s="330"/>
      <c r="K43" s="330"/>
      <c r="L43" s="330"/>
      <c r="M43" s="330"/>
      <c r="N43" s="330"/>
      <c r="O43" s="330"/>
      <c r="P43" s="330"/>
      <c r="Q43" s="330"/>
      <c r="R43" s="330"/>
      <c r="S43" s="330"/>
      <c r="T43" s="330"/>
      <c r="U43" s="330"/>
      <c r="V43" s="330"/>
      <c r="W43" s="330"/>
      <c r="X43" s="330"/>
    </row>
    <row r="44" spans="1:24" ht="15.75" customHeight="1">
      <c r="A44" s="330"/>
      <c r="B44" s="331">
        <v>39</v>
      </c>
      <c r="C44" s="378" t="str">
        <f t="shared" si="1"/>
        <v>فاطمه حیدرزاده</v>
      </c>
      <c r="D44" s="334">
        <f>SUMIF('ریزهزینه کرد مددجوها'!E:E,'خلاصه هزینه کرد مددجوها'!B44,'ریزهزینه کرد مددجوها'!J:J)</f>
        <v>75002160</v>
      </c>
      <c r="E44" s="330"/>
      <c r="F44" s="330"/>
      <c r="G44" s="330"/>
      <c r="H44" s="330"/>
      <c r="I44" s="330"/>
      <c r="J44" s="330"/>
      <c r="K44" s="330"/>
      <c r="L44" s="330"/>
      <c r="M44" s="330"/>
      <c r="N44" s="330"/>
      <c r="O44" s="330"/>
      <c r="P44" s="330"/>
      <c r="Q44" s="330"/>
      <c r="R44" s="330"/>
      <c r="S44" s="330"/>
      <c r="T44" s="330"/>
      <c r="U44" s="330"/>
      <c r="V44" s="330"/>
      <c r="W44" s="330"/>
      <c r="X44" s="330"/>
    </row>
    <row r="45" spans="1:24" ht="15.75" customHeight="1">
      <c r="A45" s="330"/>
      <c r="B45" s="331">
        <v>40</v>
      </c>
      <c r="C45" s="378" t="str">
        <f t="shared" si="1"/>
        <v>سیده شقایق محمودی زاده</v>
      </c>
      <c r="D45" s="334">
        <f>SUMIF('ریزهزینه کرد مددجوها'!E:E,'خلاصه هزینه کرد مددجوها'!B45,'ریزهزینه کرد مددجوها'!J:J)</f>
        <v>62630360</v>
      </c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</row>
    <row r="46" spans="1:24" ht="15.75" customHeight="1">
      <c r="A46" s="330"/>
      <c r="B46" s="331">
        <v>41</v>
      </c>
      <c r="C46" s="378" t="str">
        <f t="shared" si="1"/>
        <v>مائده وفای فرخانی</v>
      </c>
      <c r="D46" s="334">
        <f>SUMIF('ریزهزینه کرد مددجوها'!E:E,'خلاصه هزینه کرد مددجوها'!B46,'ریزهزینه کرد مددجوها'!J:J)</f>
        <v>105002520</v>
      </c>
      <c r="E46" s="330"/>
      <c r="F46" s="330"/>
      <c r="G46" s="330"/>
      <c r="H46" s="330"/>
      <c r="I46" s="330"/>
      <c r="J46" s="330"/>
      <c r="K46" s="330"/>
      <c r="L46" s="330"/>
      <c r="M46" s="330"/>
      <c r="N46" s="330"/>
      <c r="O46" s="330"/>
      <c r="P46" s="330"/>
      <c r="Q46" s="330"/>
      <c r="R46" s="330"/>
      <c r="S46" s="330"/>
      <c r="T46" s="330"/>
      <c r="U46" s="330"/>
      <c r="V46" s="330"/>
      <c r="W46" s="330"/>
      <c r="X46" s="330"/>
    </row>
    <row r="47" spans="1:24" ht="15.75" customHeight="1">
      <c r="A47" s="330"/>
      <c r="B47" s="331">
        <v>42</v>
      </c>
      <c r="C47" s="378" t="str">
        <f t="shared" si="1"/>
        <v>فرزانه خوشگفتار</v>
      </c>
      <c r="D47" s="334">
        <f>SUMIF('ریزهزینه کرد مددجوها'!E:E,'خلاصه هزینه کرد مددجوها'!B47,'ریزهزینه کرد مددجوها'!J:J)</f>
        <v>70002520</v>
      </c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30"/>
      <c r="W47" s="330"/>
      <c r="X47" s="330"/>
    </row>
    <row r="48" spans="1:24" ht="15.75" customHeight="1">
      <c r="A48" s="330"/>
      <c r="B48" s="331">
        <v>43</v>
      </c>
      <c r="C48" s="378" t="str">
        <f t="shared" si="1"/>
        <v>فرخنده خوشگفتار</v>
      </c>
      <c r="D48" s="334">
        <f>SUMIF('ریزهزینه کرد مددجوها'!E:E,'خلاصه هزینه کرد مددجوها'!B48,'ریزهزینه کرد مددجوها'!J:J)</f>
        <v>70002520</v>
      </c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T48" s="330"/>
      <c r="U48" s="330"/>
      <c r="V48" s="330"/>
      <c r="W48" s="330"/>
      <c r="X48" s="330"/>
    </row>
    <row r="49" spans="1:24" ht="15.75" customHeight="1">
      <c r="A49" s="330"/>
      <c r="B49" s="331">
        <v>44</v>
      </c>
      <c r="C49" s="378" t="str">
        <f t="shared" si="1"/>
        <v>ریحانه منفردی</v>
      </c>
      <c r="D49" s="334">
        <f>SUMIF('ریزهزینه کرد مددجوها'!E:E,'خلاصه هزینه کرد مددجوها'!B49,'ریزهزینه کرد مددجوها'!J:J)</f>
        <v>87502520</v>
      </c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</row>
    <row r="50" spans="1:24" ht="15.75" customHeight="1">
      <c r="A50" s="330"/>
      <c r="B50" s="331">
        <v>45</v>
      </c>
      <c r="C50" s="378" t="str">
        <f t="shared" si="1"/>
        <v>احمد خاوری عدل</v>
      </c>
      <c r="D50" s="334">
        <f>SUMIF('ریزهزینه کرد مددجوها'!E:E,'خلاصه هزینه کرد مددجوها'!B50,'ریزهزینه کرد مددجوها'!J:J)</f>
        <v>70002520</v>
      </c>
      <c r="E50" s="330"/>
      <c r="F50" s="330"/>
      <c r="G50" s="330"/>
      <c r="H50" s="330"/>
      <c r="I50" s="330"/>
      <c r="J50" s="330"/>
      <c r="K50" s="330"/>
      <c r="L50" s="330"/>
      <c r="M50" s="330"/>
      <c r="N50" s="330"/>
      <c r="O50" s="330"/>
      <c r="P50" s="330"/>
      <c r="Q50" s="330"/>
      <c r="R50" s="330"/>
      <c r="S50" s="330"/>
      <c r="T50" s="330"/>
      <c r="U50" s="330"/>
      <c r="V50" s="330"/>
      <c r="W50" s="330"/>
      <c r="X50" s="330"/>
    </row>
    <row r="51" spans="1:24" ht="15.75" customHeight="1">
      <c r="A51" s="330"/>
      <c r="B51" s="331">
        <v>46</v>
      </c>
      <c r="C51" s="378" t="str">
        <f t="shared" si="1"/>
        <v>صادق نجمی</v>
      </c>
      <c r="D51" s="334">
        <f>SUMIF('ریزهزینه کرد مددجوها'!E:E,'خلاصه هزینه کرد مددجوها'!B51,'ریزهزینه کرد مددجوها'!J:J)</f>
        <v>70002520</v>
      </c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</row>
    <row r="52" spans="1:24" ht="15.75" customHeight="1">
      <c r="A52" s="330"/>
      <c r="B52" s="331">
        <v>47</v>
      </c>
      <c r="C52" s="378" t="str">
        <f t="shared" si="1"/>
        <v>امیرحسین محمدزاده</v>
      </c>
      <c r="D52" s="334">
        <f>SUMIF('ریزهزینه کرد مددجوها'!E:E,'خلاصه هزینه کرد مددجوها'!B52,'ریزهزینه کرد مددجوها'!J:J)</f>
        <v>155002880</v>
      </c>
      <c r="E52" s="330"/>
      <c r="F52" s="330"/>
      <c r="G52" s="330"/>
      <c r="H52" s="330"/>
      <c r="I52" s="330"/>
      <c r="J52" s="330"/>
      <c r="K52" s="330"/>
      <c r="L52" s="330"/>
      <c r="M52" s="330"/>
      <c r="N52" s="330"/>
      <c r="O52" s="330"/>
      <c r="P52" s="330"/>
      <c r="Q52" s="330"/>
      <c r="R52" s="330"/>
      <c r="S52" s="330"/>
      <c r="T52" s="330"/>
      <c r="U52" s="330"/>
      <c r="V52" s="330"/>
      <c r="W52" s="330"/>
      <c r="X52" s="330"/>
    </row>
    <row r="53" spans="1:24" ht="15.75" customHeight="1">
      <c r="A53" s="330"/>
      <c r="B53" s="331">
        <v>48</v>
      </c>
      <c r="C53" s="378" t="str">
        <f t="shared" si="1"/>
        <v>امیرحسین مودب</v>
      </c>
      <c r="D53" s="334">
        <f>SUMIF('ریزهزینه کرد مددجوها'!E:E,'خلاصه هزینه کرد مددجوها'!B53,'ریزهزینه کرد مددجوها'!J:J)</f>
        <v>87502520</v>
      </c>
      <c r="E53" s="330"/>
      <c r="F53" s="330"/>
      <c r="G53" s="330"/>
      <c r="H53" s="330"/>
      <c r="I53" s="330"/>
      <c r="J53" s="330"/>
      <c r="K53" s="330"/>
      <c r="L53" s="330"/>
      <c r="M53" s="330"/>
      <c r="N53" s="330"/>
      <c r="O53" s="330"/>
      <c r="P53" s="330"/>
      <c r="Q53" s="330"/>
      <c r="R53" s="330"/>
      <c r="S53" s="330"/>
      <c r="T53" s="330"/>
      <c r="U53" s="330"/>
      <c r="V53" s="330"/>
      <c r="W53" s="330"/>
      <c r="X53" s="330"/>
    </row>
    <row r="54" spans="1:24" ht="15.75" customHeight="1">
      <c r="A54" s="330"/>
      <c r="B54" s="331">
        <v>49</v>
      </c>
      <c r="C54" s="378" t="str">
        <f t="shared" si="1"/>
        <v>متین شاملی</v>
      </c>
      <c r="D54" s="334">
        <f>SUMIF('ریزهزینه کرد مددجوها'!E:E,'خلاصه هزینه کرد مددجوها'!B54,'ریزهزینه کرد مددجوها'!J:J)</f>
        <v>87502520</v>
      </c>
      <c r="E54" s="330"/>
      <c r="F54" s="330"/>
      <c r="G54" s="330"/>
      <c r="H54" s="330"/>
      <c r="I54" s="330"/>
      <c r="J54" s="330"/>
      <c r="K54" s="330"/>
      <c r="L54" s="330"/>
      <c r="M54" s="330"/>
      <c r="N54" s="330"/>
      <c r="O54" s="330"/>
      <c r="P54" s="330"/>
      <c r="Q54" s="330"/>
      <c r="R54" s="330"/>
      <c r="S54" s="330"/>
      <c r="T54" s="330"/>
      <c r="U54" s="330"/>
      <c r="V54" s="330"/>
      <c r="W54" s="330"/>
      <c r="X54" s="330"/>
    </row>
    <row r="55" spans="1:24" ht="15.75" customHeight="1">
      <c r="A55" s="330"/>
      <c r="B55" s="331">
        <v>50</v>
      </c>
      <c r="C55" s="378" t="str">
        <f t="shared" si="1"/>
        <v>امیر پارسا قویدل</v>
      </c>
      <c r="D55" s="334">
        <f>SUMIF('ریزهزینه کرد مددجوها'!E:E,'خلاصه هزینه کرد مددجوها'!B55,'ریزهزینه کرد مددجوها'!J:J)</f>
        <v>70002520</v>
      </c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30"/>
      <c r="P55" s="330"/>
      <c r="Q55" s="330"/>
      <c r="R55" s="330"/>
      <c r="S55" s="330"/>
      <c r="T55" s="330"/>
      <c r="U55" s="330"/>
      <c r="V55" s="330"/>
      <c r="W55" s="330"/>
      <c r="X55" s="330"/>
    </row>
    <row r="56" spans="1:24" ht="15.75" customHeight="1">
      <c r="A56" s="330"/>
      <c r="B56" s="331">
        <v>51</v>
      </c>
      <c r="C56" s="378" t="str">
        <f t="shared" si="1"/>
        <v>محمدسجاد طوسی گروهی</v>
      </c>
      <c r="D56" s="334">
        <f>SUMIF('ریزهزینه کرد مددجوها'!E:E,'خلاصه هزینه کرد مددجوها'!B56,'ریزهزینه کرد مددجوها'!J:J)</f>
        <v>50130360</v>
      </c>
      <c r="E56" s="330"/>
      <c r="F56" s="330"/>
      <c r="G56" s="330"/>
      <c r="H56" s="330"/>
      <c r="I56" s="330"/>
      <c r="J56" s="330"/>
      <c r="K56" s="330"/>
      <c r="L56" s="330"/>
      <c r="M56" s="330"/>
      <c r="N56" s="330"/>
      <c r="O56" s="330"/>
      <c r="P56" s="330"/>
      <c r="Q56" s="330"/>
      <c r="R56" s="330"/>
      <c r="S56" s="330"/>
      <c r="T56" s="330"/>
      <c r="U56" s="330"/>
      <c r="V56" s="330"/>
      <c r="W56" s="330"/>
      <c r="X56" s="330"/>
    </row>
    <row r="57" spans="1:24" ht="15.75" customHeight="1">
      <c r="A57" s="330"/>
      <c r="B57" s="331">
        <v>52</v>
      </c>
      <c r="C57" s="378" t="str">
        <f t="shared" si="1"/>
        <v>امیرحسین بنا زاده</v>
      </c>
      <c r="D57" s="334">
        <f>SUMIF('ریزهزینه کرد مددجوها'!E:E,'خلاصه هزینه کرد مددجوها'!B57,'ریزهزینه کرد مددجوها'!J:J)</f>
        <v>75002160</v>
      </c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30"/>
      <c r="V57" s="330"/>
      <c r="W57" s="330"/>
      <c r="X57" s="330"/>
    </row>
    <row r="58" spans="1:24" ht="15.75" customHeight="1">
      <c r="A58" s="330"/>
      <c r="B58" s="331">
        <v>53</v>
      </c>
      <c r="C58" s="378" t="str">
        <f t="shared" si="1"/>
        <v>محمد امین تاتاری</v>
      </c>
      <c r="D58" s="334">
        <f>SUMIF('ریزهزینه کرد مددجوها'!E:E,'خلاصه هزینه کرد مددجوها'!B58,'ریزهزینه کرد مددجوها'!J:J)</f>
        <v>70002520</v>
      </c>
      <c r="E58" s="330"/>
      <c r="F58" s="330"/>
      <c r="G58" s="330"/>
      <c r="H58" s="330"/>
      <c r="I58" s="330"/>
      <c r="J58" s="330"/>
      <c r="K58" s="330"/>
      <c r="L58" s="330"/>
      <c r="M58" s="330"/>
      <c r="N58" s="330"/>
      <c r="O58" s="330"/>
      <c r="P58" s="330"/>
      <c r="Q58" s="330"/>
      <c r="R58" s="330"/>
      <c r="S58" s="330"/>
      <c r="T58" s="330"/>
      <c r="U58" s="330"/>
      <c r="V58" s="330"/>
      <c r="W58" s="330"/>
      <c r="X58" s="330"/>
    </row>
    <row r="59" spans="1:24" ht="15.75" customHeight="1">
      <c r="A59" s="330"/>
      <c r="B59" s="331">
        <v>54</v>
      </c>
      <c r="C59" s="378" t="str">
        <f t="shared" si="1"/>
        <v>فاطمه سادات سلطانی</v>
      </c>
      <c r="D59" s="334">
        <f>SUMIF('ریزهزینه کرد مددجوها'!E:E,'خلاصه هزینه کرد مددجوها'!B59,'ریزهزینه کرد مددجوها'!J:J)</f>
        <v>92504920</v>
      </c>
      <c r="E59" s="330"/>
      <c r="F59" s="330"/>
      <c r="G59" s="330"/>
      <c r="H59" s="330"/>
      <c r="I59" s="330"/>
      <c r="J59" s="330"/>
      <c r="K59" s="330"/>
      <c r="L59" s="330"/>
      <c r="M59" s="330"/>
      <c r="N59" s="330"/>
      <c r="O59" s="330"/>
      <c r="P59" s="330"/>
      <c r="Q59" s="330"/>
      <c r="R59" s="330"/>
      <c r="S59" s="330"/>
      <c r="T59" s="330"/>
      <c r="U59" s="330"/>
      <c r="V59" s="330"/>
      <c r="W59" s="330"/>
      <c r="X59" s="330"/>
    </row>
    <row r="60" spans="1:24" ht="15.75" customHeight="1">
      <c r="A60" s="330"/>
      <c r="B60" s="331">
        <v>55</v>
      </c>
      <c r="C60" s="378" t="str">
        <f t="shared" si="1"/>
        <v>سحر خادم حقیقی</v>
      </c>
      <c r="D60" s="334">
        <f>SUMIF('ریزهزینه کرد مددجوها'!E:E,'خلاصه هزینه کرد مددجوها'!B60,'ریزهزینه کرد مددجوها'!J:J)</f>
        <v>105002520</v>
      </c>
      <c r="E60" s="330"/>
      <c r="F60" s="330"/>
      <c r="G60" s="330"/>
      <c r="H60" s="330"/>
      <c r="I60" s="330"/>
      <c r="J60" s="330"/>
      <c r="K60" s="330"/>
      <c r="L60" s="330"/>
      <c r="M60" s="330"/>
      <c r="N60" s="330"/>
      <c r="O60" s="330"/>
      <c r="P60" s="330"/>
      <c r="Q60" s="330"/>
      <c r="R60" s="330"/>
      <c r="S60" s="330"/>
      <c r="T60" s="330"/>
      <c r="U60" s="330"/>
      <c r="V60" s="330"/>
      <c r="W60" s="330"/>
      <c r="X60" s="330"/>
    </row>
    <row r="61" spans="1:24" ht="15.75" customHeight="1">
      <c r="A61" s="330"/>
      <c r="B61" s="331">
        <v>56</v>
      </c>
      <c r="C61" s="378" t="str">
        <f t="shared" si="1"/>
        <v>سارینا داوری</v>
      </c>
      <c r="D61" s="334">
        <f>SUMIF('ریزهزینه کرد مددجوها'!E:E,'خلاصه هزینه کرد مددجوها'!B61,'ریزهزینه کرد مددجوها'!J:J)</f>
        <v>75002160</v>
      </c>
      <c r="E61" s="330"/>
      <c r="F61" s="330"/>
      <c r="G61" s="330"/>
      <c r="H61" s="330"/>
      <c r="I61" s="330"/>
      <c r="J61" s="330"/>
      <c r="K61" s="330"/>
      <c r="L61" s="330"/>
      <c r="M61" s="330"/>
      <c r="N61" s="330"/>
      <c r="O61" s="330"/>
      <c r="P61" s="330"/>
      <c r="Q61" s="330"/>
      <c r="R61" s="330"/>
      <c r="S61" s="330"/>
      <c r="T61" s="330"/>
      <c r="U61" s="330"/>
      <c r="V61" s="330"/>
      <c r="W61" s="330"/>
      <c r="X61" s="330"/>
    </row>
    <row r="62" spans="1:24" ht="15.75" customHeight="1">
      <c r="A62" s="330"/>
      <c r="B62" s="331">
        <v>57</v>
      </c>
      <c r="C62" s="378" t="str">
        <f t="shared" si="1"/>
        <v>ثمین اکبری شاندیز</v>
      </c>
      <c r="D62" s="334">
        <f>SUMIF('ریزهزینه کرد مددجوها'!E:E,'خلاصه هزینه کرد مددجوها'!B62,'ریزهزینه کرد مددجوها'!J:J)</f>
        <v>85002520</v>
      </c>
      <c r="E62" s="330"/>
      <c r="F62" s="330"/>
      <c r="G62" s="330"/>
      <c r="H62" s="330"/>
      <c r="I62" s="330"/>
      <c r="J62" s="330"/>
      <c r="K62" s="330"/>
      <c r="L62" s="330"/>
      <c r="M62" s="330"/>
      <c r="N62" s="330"/>
      <c r="O62" s="330"/>
      <c r="P62" s="330"/>
      <c r="Q62" s="330"/>
      <c r="R62" s="330"/>
      <c r="S62" s="330"/>
      <c r="T62" s="330"/>
      <c r="U62" s="330"/>
      <c r="V62" s="330"/>
      <c r="W62" s="330"/>
      <c r="X62" s="330"/>
    </row>
    <row r="63" spans="1:24" ht="15.75" customHeight="1">
      <c r="A63" s="330"/>
      <c r="B63" s="331">
        <v>58</v>
      </c>
      <c r="C63" s="378" t="str">
        <f>IF(B63="","",HLOOKUP(B63,kamel,2,0))</f>
        <v>بهروز خباز ترشیزی</v>
      </c>
      <c r="D63" s="334">
        <f>SUMIF('ریزهزینه کرد مددجوها'!E:E,'خلاصه هزینه کرد مددجوها'!B63,'ریزهزینه کرد مددجوها'!J:J)</f>
        <v>75002160</v>
      </c>
      <c r="E63" s="330"/>
      <c r="F63" s="330"/>
      <c r="G63" s="330"/>
      <c r="H63" s="330"/>
      <c r="I63" s="330"/>
      <c r="J63" s="330"/>
      <c r="K63" s="330"/>
      <c r="L63" s="330"/>
      <c r="M63" s="330"/>
      <c r="N63" s="330"/>
      <c r="O63" s="330"/>
      <c r="P63" s="330"/>
      <c r="Q63" s="330"/>
      <c r="R63" s="330"/>
      <c r="S63" s="330"/>
      <c r="T63" s="330"/>
      <c r="U63" s="330"/>
      <c r="V63" s="330"/>
      <c r="W63" s="330"/>
      <c r="X63" s="330"/>
    </row>
    <row r="64" spans="1:24" ht="15.75" customHeight="1">
      <c r="A64" s="330"/>
      <c r="B64" s="331">
        <v>59</v>
      </c>
      <c r="C64" s="378" t="str">
        <f t="shared" ref="C64:C84" si="2">IF(B64="","",HLOOKUP(B64,kamel,2,0))</f>
        <v>زهرا مروی</v>
      </c>
      <c r="D64" s="334">
        <f>SUMIF('ریزهزینه کرد مددجوها'!E:E,'خلاصه هزینه کرد مددجوها'!B64,'ریزهزینه کرد مددجوها'!J:J)</f>
        <v>104709000</v>
      </c>
      <c r="E64" s="330"/>
      <c r="F64" s="330"/>
      <c r="G64" s="330"/>
      <c r="H64" s="330"/>
      <c r="I64" s="330"/>
      <c r="J64" s="330"/>
      <c r="K64" s="330"/>
      <c r="L64" s="330"/>
      <c r="M64" s="330"/>
      <c r="N64" s="330"/>
      <c r="O64" s="330"/>
      <c r="P64" s="330"/>
      <c r="Q64" s="330"/>
      <c r="R64" s="330"/>
      <c r="S64" s="330"/>
      <c r="T64" s="330"/>
      <c r="U64" s="330"/>
      <c r="V64" s="330"/>
      <c r="W64" s="330"/>
      <c r="X64" s="330"/>
    </row>
    <row r="65" spans="1:24" ht="15.75" customHeight="1">
      <c r="A65" s="330"/>
      <c r="B65" s="331">
        <v>60</v>
      </c>
      <c r="C65" s="378" t="str">
        <f t="shared" si="2"/>
        <v>نوید مختاریه</v>
      </c>
      <c r="D65" s="334">
        <f>SUMIF('ریزهزینه کرد مددجوها'!E:E,'خلاصه هزینه کرد مددجوها'!B65,'ریزهزینه کرد مددجوها'!J:J)</f>
        <v>26754800</v>
      </c>
      <c r="E65" s="330"/>
      <c r="F65" s="330"/>
      <c r="G65" s="330"/>
      <c r="H65" s="330"/>
      <c r="I65" s="330"/>
      <c r="J65" s="330"/>
      <c r="K65" s="330"/>
      <c r="L65" s="330"/>
      <c r="M65" s="330"/>
      <c r="N65" s="330"/>
      <c r="O65" s="330"/>
      <c r="P65" s="330"/>
      <c r="Q65" s="330"/>
      <c r="R65" s="330"/>
      <c r="S65" s="330"/>
      <c r="T65" s="330"/>
      <c r="U65" s="330"/>
      <c r="V65" s="330"/>
      <c r="W65" s="330"/>
      <c r="X65" s="330"/>
    </row>
    <row r="66" spans="1:24" ht="15.75" customHeight="1">
      <c r="A66" s="330"/>
      <c r="B66" s="331">
        <v>61</v>
      </c>
      <c r="C66" s="378">
        <f t="shared" si="2"/>
        <v>0</v>
      </c>
      <c r="D66" s="334">
        <f>SUMIF('ریزهزینه کرد مددجوها'!E:E,'خلاصه هزینه کرد مددجوها'!B66,'ریزهزینه کرد مددجوها'!J:J)</f>
        <v>0</v>
      </c>
      <c r="E66" s="330"/>
      <c r="F66" s="330"/>
      <c r="G66" s="330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  <c r="V66" s="330"/>
      <c r="W66" s="330"/>
      <c r="X66" s="330"/>
    </row>
    <row r="67" spans="1:24" ht="15.75" customHeight="1">
      <c r="A67" s="330"/>
      <c r="B67" s="331">
        <v>62</v>
      </c>
      <c r="C67" s="378" t="e">
        <f t="shared" si="2"/>
        <v>#N/A</v>
      </c>
      <c r="D67" s="334">
        <f>SUMIF('ریزهزینه کرد مددجوها'!E:E,'خلاصه هزینه کرد مددجوها'!B67,'ریزهزینه کرد مددجوها'!J:J)</f>
        <v>0</v>
      </c>
      <c r="E67" s="330"/>
      <c r="F67" s="330"/>
      <c r="G67" s="330"/>
      <c r="H67" s="330"/>
      <c r="I67" s="330"/>
      <c r="J67" s="330"/>
      <c r="K67" s="330"/>
      <c r="L67" s="330"/>
      <c r="M67" s="330"/>
      <c r="N67" s="330"/>
      <c r="O67" s="330"/>
      <c r="P67" s="330"/>
      <c r="Q67" s="330"/>
      <c r="R67" s="330"/>
      <c r="S67" s="330"/>
      <c r="T67" s="330"/>
      <c r="U67" s="330"/>
      <c r="V67" s="330"/>
      <c r="W67" s="330"/>
      <c r="X67" s="330"/>
    </row>
    <row r="68" spans="1:24" ht="15.75" customHeight="1">
      <c r="A68" s="330"/>
      <c r="B68" s="331">
        <v>63</v>
      </c>
      <c r="C68" s="378" t="e">
        <f t="shared" si="2"/>
        <v>#N/A</v>
      </c>
      <c r="D68" s="334">
        <f>SUMIF('ریزهزینه کرد مددجوها'!E:E,'خلاصه هزینه کرد مددجوها'!B68,'ریزهزینه کرد مددجوها'!J:J)</f>
        <v>0</v>
      </c>
      <c r="E68" s="330"/>
      <c r="F68" s="330"/>
      <c r="G68" s="330"/>
      <c r="H68" s="330"/>
      <c r="I68" s="330"/>
      <c r="J68" s="330"/>
      <c r="K68" s="330"/>
      <c r="L68" s="330"/>
      <c r="M68" s="330"/>
      <c r="N68" s="330"/>
      <c r="O68" s="330"/>
      <c r="P68" s="330"/>
      <c r="Q68" s="330"/>
      <c r="R68" s="330"/>
      <c r="S68" s="330"/>
      <c r="T68" s="330"/>
      <c r="U68" s="330"/>
      <c r="V68" s="330"/>
      <c r="W68" s="330"/>
      <c r="X68" s="330"/>
    </row>
    <row r="69" spans="1:24" ht="15.75" customHeight="1">
      <c r="A69" s="330"/>
      <c r="B69" s="331">
        <v>64</v>
      </c>
      <c r="C69" s="378" t="e">
        <f t="shared" si="2"/>
        <v>#N/A</v>
      </c>
      <c r="D69" s="334">
        <f>SUMIF('ریزهزینه کرد مددجوها'!E:E,'خلاصه هزینه کرد مددجوها'!B69,'ریزهزینه کرد مددجوها'!J:J)</f>
        <v>0</v>
      </c>
      <c r="E69" s="330"/>
      <c r="F69" s="330"/>
      <c r="G69" s="330"/>
      <c r="H69" s="330"/>
      <c r="I69" s="330"/>
      <c r="J69" s="330"/>
      <c r="K69" s="330"/>
      <c r="L69" s="330"/>
      <c r="M69" s="330"/>
      <c r="N69" s="330"/>
      <c r="O69" s="330"/>
      <c r="P69" s="330"/>
      <c r="Q69" s="330"/>
      <c r="R69" s="330"/>
      <c r="S69" s="330"/>
      <c r="T69" s="330"/>
      <c r="U69" s="330"/>
      <c r="V69" s="330"/>
      <c r="W69" s="330"/>
      <c r="X69" s="330"/>
    </row>
    <row r="70" spans="1:24" ht="15.75" customHeight="1">
      <c r="A70" s="330"/>
      <c r="B70" s="331">
        <v>65</v>
      </c>
      <c r="C70" s="378" t="e">
        <f t="shared" si="2"/>
        <v>#N/A</v>
      </c>
      <c r="D70" s="334">
        <f>SUMIF('ریزهزینه کرد مددجوها'!E:E,'خلاصه هزینه کرد مددجوها'!B70,'ریزهزینه کرد مددجوها'!J:J)</f>
        <v>0</v>
      </c>
      <c r="E70" s="330"/>
      <c r="F70" s="330"/>
      <c r="G70" s="330"/>
      <c r="H70" s="330"/>
      <c r="I70" s="330"/>
      <c r="J70" s="330"/>
      <c r="K70" s="330"/>
      <c r="L70" s="330"/>
      <c r="M70" s="330"/>
      <c r="N70" s="330"/>
      <c r="O70" s="330"/>
      <c r="P70" s="330"/>
      <c r="Q70" s="330"/>
      <c r="R70" s="330"/>
      <c r="S70" s="330"/>
      <c r="T70" s="330"/>
      <c r="U70" s="330"/>
      <c r="V70" s="330"/>
      <c r="W70" s="330"/>
      <c r="X70" s="330"/>
    </row>
    <row r="71" spans="1:24" ht="15.75" customHeight="1">
      <c r="A71" s="330"/>
      <c r="B71" s="331">
        <v>66</v>
      </c>
      <c r="C71" s="378" t="e">
        <f t="shared" si="2"/>
        <v>#N/A</v>
      </c>
      <c r="D71" s="334">
        <f>SUMIF('ریزهزینه کرد مددجوها'!E:E,'خلاصه هزینه کرد مددجوها'!B71,'ریزهزینه کرد مددجوها'!J:J)</f>
        <v>0</v>
      </c>
      <c r="E71" s="330"/>
      <c r="F71" s="330"/>
      <c r="G71" s="330"/>
      <c r="H71" s="330"/>
      <c r="I71" s="330"/>
      <c r="J71" s="330"/>
      <c r="K71" s="330"/>
      <c r="L71" s="330"/>
      <c r="M71" s="330"/>
      <c r="N71" s="330"/>
      <c r="O71" s="330"/>
      <c r="P71" s="330"/>
      <c r="Q71" s="330"/>
      <c r="R71" s="330"/>
      <c r="S71" s="330"/>
      <c r="T71" s="330"/>
      <c r="U71" s="330"/>
      <c r="V71" s="330"/>
      <c r="W71" s="330"/>
      <c r="X71" s="330"/>
    </row>
    <row r="72" spans="1:24" ht="15.75" customHeight="1">
      <c r="A72" s="330"/>
      <c r="B72" s="331">
        <v>67</v>
      </c>
      <c r="C72" s="378" t="e">
        <f t="shared" si="2"/>
        <v>#N/A</v>
      </c>
      <c r="D72" s="334">
        <f>SUMIF('ریزهزینه کرد مددجوها'!E:E,'خلاصه هزینه کرد مددجوها'!B72,'ریزهزینه کرد مددجوها'!J:J)</f>
        <v>0</v>
      </c>
      <c r="E72" s="330"/>
      <c r="F72" s="330"/>
      <c r="G72" s="330"/>
      <c r="H72" s="330"/>
      <c r="I72" s="330"/>
      <c r="J72" s="330"/>
      <c r="K72" s="330"/>
      <c r="L72" s="330"/>
      <c r="M72" s="330"/>
      <c r="N72" s="330"/>
      <c r="O72" s="330"/>
      <c r="P72" s="330"/>
      <c r="Q72" s="330"/>
      <c r="R72" s="330"/>
      <c r="S72" s="330"/>
      <c r="T72" s="330"/>
      <c r="U72" s="330"/>
      <c r="V72" s="330"/>
      <c r="W72" s="330"/>
      <c r="X72" s="330"/>
    </row>
    <row r="73" spans="1:24" ht="15.75" customHeight="1">
      <c r="A73" s="330"/>
      <c r="B73" s="331">
        <v>68</v>
      </c>
      <c r="C73" s="378" t="e">
        <f t="shared" si="2"/>
        <v>#N/A</v>
      </c>
      <c r="D73" s="334">
        <f>SUMIF('ریزهزینه کرد مددجوها'!E:E,'خلاصه هزینه کرد مددجوها'!B73,'ریزهزینه کرد مددجوها'!J:J)</f>
        <v>0</v>
      </c>
      <c r="E73" s="330"/>
      <c r="F73" s="330"/>
      <c r="G73" s="330"/>
      <c r="H73" s="330"/>
      <c r="I73" s="330"/>
      <c r="J73" s="330"/>
      <c r="K73" s="330"/>
      <c r="L73" s="330"/>
      <c r="M73" s="330"/>
      <c r="N73" s="330"/>
      <c r="O73" s="330"/>
      <c r="P73" s="330"/>
      <c r="Q73" s="330"/>
      <c r="R73" s="330"/>
      <c r="S73" s="330"/>
      <c r="T73" s="330"/>
      <c r="U73" s="330"/>
      <c r="V73" s="330"/>
      <c r="W73" s="330"/>
      <c r="X73" s="330"/>
    </row>
    <row r="74" spans="1:24" ht="15.75" customHeight="1">
      <c r="A74" s="330"/>
      <c r="B74" s="331">
        <v>69</v>
      </c>
      <c r="C74" s="378" t="e">
        <f t="shared" si="2"/>
        <v>#N/A</v>
      </c>
      <c r="D74" s="334">
        <f>SUMIF('ریزهزینه کرد مددجوها'!E:E,'خلاصه هزینه کرد مددجوها'!B74,'ریزهزینه کرد مددجوها'!J:J)</f>
        <v>0</v>
      </c>
      <c r="E74" s="330"/>
      <c r="F74" s="330"/>
      <c r="G74" s="330"/>
      <c r="H74" s="330"/>
      <c r="I74" s="330"/>
      <c r="J74" s="330"/>
      <c r="K74" s="330"/>
      <c r="L74" s="330"/>
      <c r="M74" s="330"/>
      <c r="N74" s="330"/>
      <c r="O74" s="330"/>
      <c r="P74" s="330"/>
      <c r="Q74" s="330"/>
      <c r="R74" s="330"/>
      <c r="S74" s="330"/>
      <c r="T74" s="330"/>
      <c r="U74" s="330"/>
      <c r="V74" s="330"/>
      <c r="W74" s="330"/>
      <c r="X74" s="330"/>
    </row>
    <row r="75" spans="1:24" ht="15.75" customHeight="1">
      <c r="A75" s="330"/>
      <c r="B75" s="331">
        <v>70</v>
      </c>
      <c r="C75" s="378" t="e">
        <f t="shared" si="2"/>
        <v>#N/A</v>
      </c>
      <c r="D75" s="334">
        <f>SUMIF('ریزهزینه کرد مددجوها'!E:E,'خلاصه هزینه کرد مددجوها'!B75,'ریزهزینه کرد مددجوها'!J:J)</f>
        <v>0</v>
      </c>
      <c r="E75" s="330"/>
      <c r="F75" s="330"/>
      <c r="G75" s="330"/>
      <c r="H75" s="330"/>
      <c r="I75" s="330"/>
      <c r="J75" s="330"/>
      <c r="K75" s="330"/>
      <c r="L75" s="330"/>
      <c r="M75" s="330"/>
      <c r="N75" s="330"/>
      <c r="O75" s="330"/>
      <c r="P75" s="330"/>
      <c r="Q75" s="330"/>
      <c r="R75" s="330"/>
      <c r="S75" s="330"/>
      <c r="T75" s="330"/>
      <c r="U75" s="330"/>
      <c r="V75" s="330"/>
      <c r="W75" s="330"/>
      <c r="X75" s="330"/>
    </row>
    <row r="76" spans="1:24" ht="15.75" customHeight="1">
      <c r="A76" s="330"/>
      <c r="B76" s="331">
        <v>71</v>
      </c>
      <c r="C76" s="378" t="e">
        <f t="shared" si="2"/>
        <v>#N/A</v>
      </c>
      <c r="D76" s="334">
        <f>SUMIF('ریزهزینه کرد مددجوها'!E:E,'خلاصه هزینه کرد مددجوها'!B76,'ریزهزینه کرد مددجوها'!J:J)</f>
        <v>0</v>
      </c>
      <c r="E76" s="330"/>
      <c r="F76" s="330"/>
      <c r="G76" s="330"/>
      <c r="H76" s="330"/>
      <c r="I76" s="330"/>
      <c r="J76" s="330"/>
      <c r="K76" s="330"/>
      <c r="L76" s="330"/>
      <c r="M76" s="330"/>
      <c r="N76" s="330"/>
      <c r="O76" s="330"/>
      <c r="P76" s="330"/>
      <c r="Q76" s="330"/>
      <c r="R76" s="330"/>
      <c r="S76" s="330"/>
      <c r="T76" s="330"/>
      <c r="U76" s="330"/>
      <c r="V76" s="330"/>
      <c r="W76" s="330"/>
      <c r="X76" s="330"/>
    </row>
    <row r="77" spans="1:24" ht="15.75" customHeight="1">
      <c r="A77" s="330"/>
      <c r="B77" s="331">
        <v>72</v>
      </c>
      <c r="C77" s="378" t="e">
        <f t="shared" si="2"/>
        <v>#N/A</v>
      </c>
      <c r="D77" s="334">
        <f>SUMIF('ریزهزینه کرد مددجوها'!E:E,'خلاصه هزینه کرد مددجوها'!B77,'ریزهزینه کرد مددجوها'!J:J)</f>
        <v>0</v>
      </c>
      <c r="E77" s="330"/>
      <c r="F77" s="330"/>
      <c r="G77" s="330"/>
      <c r="H77" s="330"/>
      <c r="I77" s="330"/>
      <c r="J77" s="330"/>
      <c r="K77" s="330"/>
      <c r="L77" s="330"/>
      <c r="M77" s="330"/>
      <c r="N77" s="330"/>
      <c r="O77" s="330"/>
      <c r="P77" s="330"/>
      <c r="Q77" s="330"/>
      <c r="R77" s="330"/>
      <c r="S77" s="330"/>
      <c r="T77" s="330"/>
      <c r="U77" s="330"/>
      <c r="V77" s="330"/>
      <c r="W77" s="330"/>
      <c r="X77" s="330"/>
    </row>
    <row r="78" spans="1:24" ht="15.75" customHeight="1">
      <c r="A78" s="330"/>
      <c r="B78" s="331">
        <v>73</v>
      </c>
      <c r="C78" s="378" t="e">
        <f t="shared" si="2"/>
        <v>#N/A</v>
      </c>
      <c r="D78" s="334">
        <f>SUMIF('ریزهزینه کرد مددجوها'!E:E,'خلاصه هزینه کرد مددجوها'!B78,'ریزهزینه کرد مددجوها'!J:J)</f>
        <v>0</v>
      </c>
      <c r="E78" s="330"/>
      <c r="F78" s="330"/>
      <c r="G78" s="330"/>
      <c r="H78" s="330"/>
      <c r="I78" s="330"/>
      <c r="J78" s="330"/>
      <c r="K78" s="330"/>
      <c r="L78" s="330"/>
      <c r="M78" s="330"/>
      <c r="N78" s="330"/>
      <c r="O78" s="330"/>
      <c r="P78" s="330"/>
      <c r="Q78" s="330"/>
      <c r="R78" s="330"/>
      <c r="S78" s="330"/>
      <c r="T78" s="330"/>
      <c r="U78" s="330"/>
      <c r="V78" s="330"/>
      <c r="W78" s="330"/>
      <c r="X78" s="330"/>
    </row>
    <row r="79" spans="1:24" ht="15.75" customHeight="1">
      <c r="A79" s="330"/>
      <c r="B79" s="331">
        <v>74</v>
      </c>
      <c r="C79" s="378" t="e">
        <f t="shared" si="2"/>
        <v>#N/A</v>
      </c>
      <c r="D79" s="334">
        <f>SUMIF('ریزهزینه کرد مددجوها'!E:E,'خلاصه هزینه کرد مددجوها'!B79,'ریزهزینه کرد مددجوها'!J:J)</f>
        <v>0</v>
      </c>
      <c r="E79" s="330"/>
      <c r="F79" s="330"/>
      <c r="G79" s="330"/>
      <c r="H79" s="330"/>
      <c r="I79" s="330"/>
      <c r="J79" s="330"/>
      <c r="K79" s="330"/>
      <c r="L79" s="330"/>
      <c r="M79" s="330"/>
      <c r="N79" s="330"/>
      <c r="O79" s="330"/>
      <c r="P79" s="330"/>
      <c r="Q79" s="330"/>
      <c r="R79" s="330"/>
      <c r="S79" s="330"/>
      <c r="T79" s="330"/>
      <c r="U79" s="330"/>
      <c r="V79" s="330"/>
      <c r="W79" s="330"/>
      <c r="X79" s="330"/>
    </row>
    <row r="80" spans="1:24" ht="15.75" customHeight="1">
      <c r="A80" s="330"/>
      <c r="B80" s="331">
        <v>75</v>
      </c>
      <c r="C80" s="378" t="e">
        <f t="shared" si="2"/>
        <v>#N/A</v>
      </c>
      <c r="D80" s="334">
        <f>SUMIF('ریزهزینه کرد مددجوها'!E:E,'خلاصه هزینه کرد مددجوها'!B80,'ریزهزینه کرد مددجوها'!J:J)</f>
        <v>0</v>
      </c>
      <c r="E80" s="330"/>
      <c r="F80" s="330"/>
      <c r="G80" s="330"/>
      <c r="H80" s="330"/>
      <c r="I80" s="330"/>
      <c r="J80" s="330"/>
      <c r="K80" s="330"/>
      <c r="L80" s="330"/>
      <c r="M80" s="330"/>
      <c r="N80" s="330"/>
      <c r="O80" s="330"/>
      <c r="P80" s="330"/>
      <c r="Q80" s="330"/>
      <c r="R80" s="330"/>
      <c r="S80" s="330"/>
      <c r="T80" s="330"/>
      <c r="U80" s="330"/>
      <c r="V80" s="330"/>
      <c r="W80" s="330"/>
      <c r="X80" s="330"/>
    </row>
    <row r="81" spans="1:24" ht="15.75" customHeight="1">
      <c r="A81" s="330"/>
      <c r="B81" s="331">
        <v>76</v>
      </c>
      <c r="C81" s="378" t="e">
        <f t="shared" si="2"/>
        <v>#N/A</v>
      </c>
      <c r="D81" s="334">
        <f>SUMIF('ریزهزینه کرد مددجوها'!E:E,'خلاصه هزینه کرد مددجوها'!B81,'ریزهزینه کرد مددجوها'!J:J)</f>
        <v>0</v>
      </c>
      <c r="E81" s="330"/>
      <c r="F81" s="330"/>
      <c r="G81" s="330"/>
      <c r="H81" s="330"/>
      <c r="I81" s="330"/>
      <c r="J81" s="330"/>
      <c r="K81" s="330"/>
      <c r="L81" s="330"/>
      <c r="M81" s="330"/>
      <c r="N81" s="330"/>
      <c r="O81" s="330"/>
      <c r="P81" s="330"/>
      <c r="Q81" s="330"/>
      <c r="R81" s="330"/>
      <c r="S81" s="330"/>
      <c r="T81" s="330"/>
      <c r="U81" s="330"/>
      <c r="V81" s="330"/>
      <c r="W81" s="330"/>
      <c r="X81" s="330"/>
    </row>
    <row r="82" spans="1:24" ht="15.75" customHeight="1">
      <c r="A82" s="330"/>
      <c r="B82" s="331">
        <v>77</v>
      </c>
      <c r="C82" s="378" t="e">
        <f t="shared" si="2"/>
        <v>#N/A</v>
      </c>
      <c r="D82" s="334">
        <f>SUMIF('ریزهزینه کرد مددجوها'!E:E,'خلاصه هزینه کرد مددجوها'!B82,'ریزهزینه کرد مددجوها'!J:J)</f>
        <v>0</v>
      </c>
      <c r="E82" s="330"/>
      <c r="F82" s="330"/>
      <c r="G82" s="330"/>
      <c r="H82" s="330"/>
      <c r="I82" s="330"/>
      <c r="J82" s="330"/>
      <c r="K82" s="330"/>
      <c r="L82" s="330"/>
      <c r="M82" s="330"/>
      <c r="N82" s="330"/>
      <c r="O82" s="330"/>
      <c r="P82" s="330"/>
      <c r="Q82" s="330"/>
      <c r="R82" s="330"/>
      <c r="S82" s="330"/>
      <c r="T82" s="330"/>
      <c r="U82" s="330"/>
      <c r="V82" s="330"/>
      <c r="W82" s="330"/>
      <c r="X82" s="330"/>
    </row>
    <row r="83" spans="1:24" ht="15.75" customHeight="1">
      <c r="A83" s="330"/>
      <c r="B83" s="331">
        <v>78</v>
      </c>
      <c r="C83" s="378" t="e">
        <f t="shared" si="2"/>
        <v>#N/A</v>
      </c>
      <c r="D83" s="334">
        <f>SUMIF('ریزهزینه کرد مددجوها'!E:E,'خلاصه هزینه کرد مددجوها'!B83,'ریزهزینه کرد مددجوها'!J:J)</f>
        <v>0</v>
      </c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330"/>
      <c r="P83" s="330"/>
      <c r="Q83" s="330"/>
      <c r="R83" s="330"/>
      <c r="S83" s="330"/>
      <c r="T83" s="330"/>
      <c r="U83" s="330"/>
      <c r="V83" s="330"/>
      <c r="W83" s="330"/>
      <c r="X83" s="330"/>
    </row>
    <row r="84" spans="1:24" ht="15.75" customHeight="1">
      <c r="A84" s="330"/>
      <c r="B84" s="331">
        <v>79</v>
      </c>
      <c r="C84" s="378" t="e">
        <f t="shared" si="2"/>
        <v>#N/A</v>
      </c>
      <c r="D84" s="334">
        <f>SUMIF('ریزهزینه کرد مددجوها'!E:E,'خلاصه هزینه کرد مددجوها'!B84,'ریزهزینه کرد مددجوها'!J:J)</f>
        <v>0</v>
      </c>
      <c r="E84" s="330"/>
      <c r="F84" s="330"/>
      <c r="G84" s="330"/>
      <c r="H84" s="330"/>
      <c r="I84" s="330"/>
      <c r="J84" s="330"/>
      <c r="K84" s="330"/>
      <c r="L84" s="330"/>
      <c r="M84" s="330"/>
      <c r="N84" s="330"/>
      <c r="O84" s="330"/>
      <c r="P84" s="330"/>
      <c r="Q84" s="330"/>
      <c r="R84" s="330"/>
      <c r="S84" s="330"/>
      <c r="T84" s="330"/>
      <c r="U84" s="330"/>
      <c r="V84" s="330"/>
      <c r="W84" s="330"/>
      <c r="X84" s="330"/>
    </row>
    <row r="85" spans="1:24" ht="15.75" customHeight="1">
      <c r="A85" s="330"/>
      <c r="B85" s="331">
        <v>80</v>
      </c>
      <c r="C85" s="378" t="e">
        <f t="shared" ref="C85:C99" si="3">IF(B85="","",HLOOKUP(B85,etela,2,0))</f>
        <v>#N/A</v>
      </c>
      <c r="D85" s="334">
        <f>SUMIF('ریزهزینه کرد مددجوها'!E:E,'خلاصه هزینه کرد مددجوها'!B85,'ریزهزینه کرد مددجوها'!J:J)</f>
        <v>0</v>
      </c>
      <c r="E85" s="330"/>
      <c r="F85" s="330"/>
      <c r="G85" s="330"/>
      <c r="H85" s="330"/>
      <c r="I85" s="330"/>
      <c r="J85" s="330"/>
      <c r="K85" s="330"/>
      <c r="L85" s="330"/>
      <c r="M85" s="330"/>
      <c r="N85" s="330"/>
      <c r="O85" s="330"/>
      <c r="P85" s="330"/>
      <c r="Q85" s="330"/>
      <c r="R85" s="330"/>
      <c r="S85" s="330"/>
      <c r="T85" s="330"/>
      <c r="U85" s="330"/>
      <c r="V85" s="330"/>
      <c r="W85" s="330"/>
      <c r="X85" s="330"/>
    </row>
    <row r="86" spans="1:24" ht="15.75" customHeight="1">
      <c r="A86" s="330"/>
      <c r="B86" s="331">
        <v>81</v>
      </c>
      <c r="C86" s="378" t="e">
        <f t="shared" si="3"/>
        <v>#N/A</v>
      </c>
      <c r="D86" s="334">
        <f>SUMIF('ریزهزینه کرد مددجوها'!E:E,'خلاصه هزینه کرد مددجوها'!B86,'ریزهزینه کرد مددجوها'!J:J)</f>
        <v>0</v>
      </c>
      <c r="E86" s="330"/>
      <c r="F86" s="330"/>
      <c r="G86" s="330"/>
      <c r="H86" s="330"/>
      <c r="I86" s="330"/>
      <c r="J86" s="330"/>
      <c r="K86" s="330"/>
      <c r="L86" s="330"/>
      <c r="M86" s="330"/>
      <c r="N86" s="330"/>
      <c r="O86" s="330"/>
      <c r="P86" s="330"/>
      <c r="Q86" s="330"/>
      <c r="R86" s="330"/>
      <c r="S86" s="330"/>
      <c r="T86" s="330"/>
      <c r="U86" s="330"/>
      <c r="V86" s="330"/>
      <c r="W86" s="330"/>
      <c r="X86" s="330"/>
    </row>
    <row r="87" spans="1:24" ht="15.75" customHeight="1">
      <c r="A87" s="330"/>
      <c r="B87" s="331">
        <v>82</v>
      </c>
      <c r="C87" s="378" t="e">
        <f t="shared" si="3"/>
        <v>#N/A</v>
      </c>
      <c r="D87" s="334">
        <f>SUMIF('ریزهزینه کرد مددجوها'!E:E,'خلاصه هزینه کرد مددجوها'!B87,'ریزهزینه کرد مددجوها'!J:J)</f>
        <v>0</v>
      </c>
      <c r="E87" s="330"/>
      <c r="F87" s="330"/>
      <c r="G87" s="330"/>
      <c r="H87" s="330"/>
      <c r="I87" s="330"/>
      <c r="J87" s="330"/>
      <c r="K87" s="330"/>
      <c r="L87" s="330"/>
      <c r="M87" s="330"/>
      <c r="N87" s="330"/>
      <c r="O87" s="330"/>
      <c r="P87" s="330"/>
      <c r="Q87" s="330"/>
      <c r="R87" s="330"/>
      <c r="S87" s="330"/>
      <c r="T87" s="330"/>
      <c r="U87" s="330"/>
      <c r="V87" s="330"/>
      <c r="W87" s="330"/>
      <c r="X87" s="330"/>
    </row>
    <row r="88" spans="1:24" ht="15.75" customHeight="1">
      <c r="A88" s="330"/>
      <c r="B88" s="331">
        <v>83</v>
      </c>
      <c r="C88" s="378" t="e">
        <f t="shared" si="3"/>
        <v>#N/A</v>
      </c>
      <c r="D88" s="334">
        <f>SUMIF('ریزهزینه کرد مددجوها'!E:E,'خلاصه هزینه کرد مددجوها'!B88,'ریزهزینه کرد مددجوها'!J:J)</f>
        <v>0</v>
      </c>
      <c r="E88" s="330"/>
      <c r="F88" s="330"/>
      <c r="G88" s="330"/>
      <c r="H88" s="330"/>
      <c r="I88" s="330"/>
      <c r="J88" s="330"/>
      <c r="K88" s="330"/>
      <c r="L88" s="330"/>
      <c r="M88" s="330"/>
      <c r="N88" s="330"/>
      <c r="O88" s="330"/>
      <c r="P88" s="330"/>
      <c r="Q88" s="330"/>
      <c r="R88" s="330"/>
      <c r="S88" s="330"/>
      <c r="T88" s="330"/>
      <c r="U88" s="330"/>
      <c r="V88" s="330"/>
      <c r="W88" s="330"/>
      <c r="X88" s="330"/>
    </row>
    <row r="89" spans="1:24" ht="15.75" customHeight="1">
      <c r="A89" s="330"/>
      <c r="B89" s="331">
        <v>84</v>
      </c>
      <c r="C89" s="378" t="e">
        <f t="shared" si="3"/>
        <v>#N/A</v>
      </c>
      <c r="D89" s="334">
        <f>SUMIF('ریزهزینه کرد مددجوها'!E:E,'خلاصه هزینه کرد مددجوها'!B89,'ریزهزینه کرد مددجوها'!J:J)</f>
        <v>0</v>
      </c>
      <c r="E89" s="330"/>
      <c r="F89" s="330"/>
      <c r="G89" s="330"/>
      <c r="H89" s="330"/>
      <c r="I89" s="330"/>
      <c r="J89" s="330"/>
      <c r="K89" s="330"/>
      <c r="L89" s="330"/>
      <c r="M89" s="330"/>
      <c r="N89" s="330"/>
      <c r="O89" s="330"/>
      <c r="P89" s="330"/>
      <c r="Q89" s="330"/>
      <c r="R89" s="330"/>
      <c r="S89" s="330"/>
      <c r="T89" s="330"/>
      <c r="U89" s="330"/>
      <c r="V89" s="330"/>
      <c r="W89" s="330"/>
      <c r="X89" s="330"/>
    </row>
    <row r="90" spans="1:24" ht="15.75" customHeight="1">
      <c r="A90" s="330"/>
      <c r="B90" s="331">
        <v>85</v>
      </c>
      <c r="C90" s="378" t="e">
        <f t="shared" si="3"/>
        <v>#N/A</v>
      </c>
      <c r="D90" s="334">
        <f>SUMIF('ریزهزینه کرد مددجوها'!E:E,'خلاصه هزینه کرد مددجوها'!B90,'ریزهزینه کرد مددجوها'!J:J)</f>
        <v>0</v>
      </c>
      <c r="E90" s="330"/>
      <c r="F90" s="330"/>
      <c r="G90" s="330"/>
      <c r="H90" s="330"/>
      <c r="I90" s="330"/>
      <c r="J90" s="330"/>
      <c r="K90" s="330"/>
      <c r="L90" s="330"/>
      <c r="M90" s="330"/>
      <c r="N90" s="330"/>
      <c r="O90" s="330"/>
      <c r="P90" s="330"/>
      <c r="Q90" s="330"/>
      <c r="R90" s="330"/>
      <c r="S90" s="330"/>
      <c r="T90" s="330"/>
      <c r="U90" s="330"/>
      <c r="V90" s="330"/>
      <c r="W90" s="330"/>
      <c r="X90" s="330"/>
    </row>
    <row r="91" spans="1:24" ht="15.75" customHeight="1">
      <c r="A91" s="330"/>
      <c r="B91" s="331">
        <v>86</v>
      </c>
      <c r="C91" s="378" t="e">
        <f t="shared" si="3"/>
        <v>#N/A</v>
      </c>
      <c r="D91" s="334">
        <f>SUMIF('ریزهزینه کرد مددجوها'!E:E,'خلاصه هزینه کرد مددجوها'!B91,'ریزهزینه کرد مددجوها'!J:J)</f>
        <v>0</v>
      </c>
      <c r="E91" s="330"/>
      <c r="F91" s="330"/>
      <c r="G91" s="330"/>
      <c r="H91" s="330"/>
      <c r="I91" s="330"/>
      <c r="J91" s="330"/>
      <c r="K91" s="330"/>
      <c r="L91" s="330"/>
      <c r="M91" s="330"/>
      <c r="N91" s="330"/>
      <c r="O91" s="330"/>
      <c r="P91" s="330"/>
      <c r="Q91" s="330"/>
      <c r="R91" s="330"/>
      <c r="S91" s="330"/>
      <c r="T91" s="330"/>
      <c r="U91" s="330"/>
      <c r="V91" s="330"/>
      <c r="W91" s="330"/>
      <c r="X91" s="330"/>
    </row>
    <row r="92" spans="1:24" ht="15.75" customHeight="1">
      <c r="A92" s="330"/>
      <c r="B92" s="331">
        <v>87</v>
      </c>
      <c r="C92" s="378" t="e">
        <f t="shared" si="3"/>
        <v>#N/A</v>
      </c>
      <c r="D92" s="334">
        <f>SUMIF('ریزهزینه کرد مددجوها'!E:E,'خلاصه هزینه کرد مددجوها'!B92,'ریزهزینه کرد مددجوها'!J:J)</f>
        <v>0</v>
      </c>
      <c r="E92" s="330"/>
      <c r="F92" s="330"/>
      <c r="G92" s="330"/>
      <c r="H92" s="330"/>
      <c r="I92" s="330"/>
      <c r="J92" s="330"/>
      <c r="K92" s="330"/>
      <c r="L92" s="330"/>
      <c r="M92" s="330"/>
      <c r="N92" s="330"/>
      <c r="O92" s="330"/>
      <c r="P92" s="330"/>
      <c r="Q92" s="330"/>
      <c r="R92" s="330"/>
      <c r="S92" s="330"/>
      <c r="T92" s="330"/>
      <c r="U92" s="330"/>
      <c r="V92" s="330"/>
      <c r="W92" s="330"/>
      <c r="X92" s="330"/>
    </row>
    <row r="93" spans="1:24" ht="15.75" customHeight="1">
      <c r="A93" s="330"/>
      <c r="B93" s="331">
        <v>88</v>
      </c>
      <c r="C93" s="378" t="e">
        <f t="shared" si="3"/>
        <v>#N/A</v>
      </c>
      <c r="D93" s="334">
        <f>SUMIF('ریزهزینه کرد مددجوها'!E:E,'خلاصه هزینه کرد مددجوها'!B93,'ریزهزینه کرد مددجوها'!J:J)</f>
        <v>0</v>
      </c>
      <c r="E93" s="330"/>
      <c r="F93" s="330"/>
      <c r="G93" s="330"/>
      <c r="H93" s="330"/>
      <c r="I93" s="330"/>
      <c r="J93" s="330"/>
      <c r="K93" s="330"/>
      <c r="L93" s="330"/>
      <c r="M93" s="330"/>
      <c r="N93" s="330"/>
      <c r="O93" s="330"/>
      <c r="P93" s="330"/>
      <c r="Q93" s="330"/>
      <c r="R93" s="330"/>
      <c r="S93" s="330"/>
      <c r="T93" s="330"/>
      <c r="U93" s="330"/>
      <c r="V93" s="330"/>
      <c r="W93" s="330"/>
      <c r="X93" s="330"/>
    </row>
    <row r="94" spans="1:24" ht="15.75" customHeight="1">
      <c r="A94" s="330"/>
      <c r="B94" s="331">
        <v>89</v>
      </c>
      <c r="C94" s="378" t="e">
        <f t="shared" si="3"/>
        <v>#N/A</v>
      </c>
      <c r="D94" s="334">
        <f>SUMIF('ریزهزینه کرد مددجوها'!E:E,'خلاصه هزینه کرد مددجوها'!B94,'ریزهزینه کرد مددجوها'!J:J)</f>
        <v>0</v>
      </c>
      <c r="E94" s="330"/>
      <c r="F94" s="330"/>
      <c r="G94" s="330"/>
      <c r="H94" s="330"/>
      <c r="I94" s="330"/>
      <c r="J94" s="330"/>
      <c r="K94" s="330"/>
      <c r="L94" s="330"/>
      <c r="M94" s="330"/>
      <c r="N94" s="330"/>
      <c r="O94" s="330"/>
      <c r="P94" s="330"/>
      <c r="Q94" s="330"/>
      <c r="R94" s="330"/>
      <c r="S94" s="330"/>
      <c r="T94" s="330"/>
      <c r="U94" s="330"/>
      <c r="V94" s="330"/>
      <c r="W94" s="330"/>
      <c r="X94" s="330"/>
    </row>
    <row r="95" spans="1:24" ht="15.75" customHeight="1">
      <c r="A95" s="330"/>
      <c r="B95" s="331">
        <v>90</v>
      </c>
      <c r="C95" s="378" t="e">
        <f t="shared" si="3"/>
        <v>#N/A</v>
      </c>
      <c r="D95" s="334">
        <f>SUMIF('ریزهزینه کرد مددجوها'!E:E,'خلاصه هزینه کرد مددجوها'!B95,'ریزهزینه کرد مددجوها'!J:J)</f>
        <v>0</v>
      </c>
      <c r="E95" s="330"/>
      <c r="F95" s="330"/>
      <c r="G95" s="330"/>
      <c r="H95" s="330"/>
      <c r="I95" s="330"/>
      <c r="J95" s="330"/>
      <c r="K95" s="330"/>
      <c r="L95" s="330"/>
      <c r="M95" s="330"/>
      <c r="N95" s="330"/>
      <c r="O95" s="330"/>
      <c r="P95" s="330"/>
      <c r="Q95" s="330"/>
      <c r="R95" s="330"/>
      <c r="S95" s="330"/>
      <c r="T95" s="330"/>
      <c r="U95" s="330"/>
      <c r="V95" s="330"/>
      <c r="W95" s="330"/>
      <c r="X95" s="330"/>
    </row>
    <row r="96" spans="1:24" ht="15.75" customHeight="1">
      <c r="A96" s="330"/>
      <c r="B96" s="331">
        <v>91</v>
      </c>
      <c r="C96" s="378" t="e">
        <f t="shared" si="3"/>
        <v>#N/A</v>
      </c>
      <c r="D96" s="334">
        <f>SUMIF('ریزهزینه کرد مددجوها'!E:E,'خلاصه هزینه کرد مددجوها'!B96,'ریزهزینه کرد مددجوها'!J:J)</f>
        <v>0</v>
      </c>
      <c r="E96" s="330"/>
      <c r="F96" s="330"/>
      <c r="G96" s="330"/>
      <c r="H96" s="330"/>
      <c r="I96" s="330"/>
      <c r="J96" s="330"/>
      <c r="K96" s="330"/>
      <c r="L96" s="330"/>
      <c r="M96" s="330"/>
      <c r="N96" s="330"/>
      <c r="O96" s="330"/>
      <c r="P96" s="330"/>
      <c r="Q96" s="330"/>
      <c r="R96" s="330"/>
      <c r="S96" s="330"/>
      <c r="T96" s="330"/>
      <c r="U96" s="330"/>
      <c r="V96" s="330"/>
      <c r="W96" s="330"/>
      <c r="X96" s="330"/>
    </row>
    <row r="97" spans="1:24" ht="15.75" customHeight="1">
      <c r="A97" s="330"/>
      <c r="B97" s="331">
        <v>92</v>
      </c>
      <c r="C97" s="378" t="e">
        <f t="shared" si="3"/>
        <v>#N/A</v>
      </c>
      <c r="D97" s="334">
        <f>SUMIF('ریزهزینه کرد مددجوها'!E:E,'خلاصه هزینه کرد مددجوها'!B97,'ریزهزینه کرد مددجوها'!J:J)</f>
        <v>0</v>
      </c>
      <c r="E97" s="330"/>
      <c r="F97" s="330"/>
      <c r="G97" s="330"/>
      <c r="H97" s="330"/>
      <c r="I97" s="330"/>
      <c r="J97" s="330"/>
      <c r="K97" s="330"/>
      <c r="L97" s="330"/>
      <c r="M97" s="330"/>
      <c r="N97" s="330"/>
      <c r="O97" s="330"/>
      <c r="P97" s="330"/>
      <c r="Q97" s="330"/>
      <c r="R97" s="330"/>
      <c r="S97" s="330"/>
      <c r="T97" s="330"/>
      <c r="U97" s="330"/>
      <c r="V97" s="330"/>
      <c r="W97" s="330"/>
      <c r="X97" s="330"/>
    </row>
    <row r="98" spans="1:24" ht="15.75" customHeight="1">
      <c r="A98" s="330"/>
      <c r="B98" s="331">
        <v>93</v>
      </c>
      <c r="C98" s="378" t="e">
        <f t="shared" si="3"/>
        <v>#N/A</v>
      </c>
      <c r="D98" s="334">
        <f>SUMIF('ریزهزینه کرد مددجوها'!E:E,'خلاصه هزینه کرد مددجوها'!B98,'ریزهزینه کرد مددجوها'!J:J)</f>
        <v>0</v>
      </c>
      <c r="E98" s="330"/>
      <c r="F98" s="330"/>
      <c r="G98" s="330"/>
      <c r="H98" s="330"/>
      <c r="I98" s="330"/>
      <c r="J98" s="330"/>
      <c r="K98" s="330"/>
      <c r="L98" s="330"/>
      <c r="M98" s="330"/>
      <c r="N98" s="330"/>
      <c r="O98" s="330"/>
      <c r="P98" s="330"/>
      <c r="Q98" s="330"/>
      <c r="R98" s="330"/>
      <c r="S98" s="330"/>
      <c r="T98" s="330"/>
      <c r="U98" s="330"/>
      <c r="V98" s="330"/>
      <c r="W98" s="330"/>
      <c r="X98" s="330"/>
    </row>
    <row r="99" spans="1:24" ht="15.75" customHeight="1">
      <c r="A99" s="330"/>
      <c r="B99" s="331">
        <v>94</v>
      </c>
      <c r="C99" s="378" t="e">
        <f t="shared" si="3"/>
        <v>#N/A</v>
      </c>
      <c r="D99" s="334">
        <f>SUMIF('ریزهزینه کرد مددجوها'!E:E,'خلاصه هزینه کرد مددجوها'!B99,'ریزهزینه کرد مددجوها'!J:J)</f>
        <v>0</v>
      </c>
      <c r="E99" s="330"/>
      <c r="F99" s="330"/>
      <c r="G99" s="330"/>
      <c r="H99" s="330"/>
      <c r="I99" s="330"/>
      <c r="J99" s="330"/>
      <c r="K99" s="330"/>
      <c r="L99" s="330"/>
      <c r="M99" s="330"/>
      <c r="N99" s="330"/>
      <c r="O99" s="330"/>
      <c r="P99" s="330"/>
      <c r="Q99" s="330"/>
      <c r="R99" s="330"/>
      <c r="S99" s="330"/>
      <c r="T99" s="330"/>
      <c r="U99" s="330"/>
      <c r="V99" s="330"/>
      <c r="W99" s="330"/>
      <c r="X99" s="330"/>
    </row>
    <row r="100" spans="1:24" ht="15.75" customHeight="1">
      <c r="A100" s="330"/>
      <c r="B100" s="331">
        <v>95</v>
      </c>
      <c r="C100" s="378" t="e">
        <f t="shared" ref="C100:C123" si="4">IF(B100="","",HLOOKUP(B100,etela,2,0))</f>
        <v>#N/A</v>
      </c>
      <c r="D100" s="334">
        <f>SUMIF('ریزهزینه کرد مددجوها'!E:E,'خلاصه هزینه کرد مددجوها'!B100,'ریزهزینه کرد مددجوها'!J:J)</f>
        <v>0</v>
      </c>
      <c r="E100" s="330"/>
      <c r="F100" s="330"/>
      <c r="G100" s="330"/>
      <c r="H100" s="330"/>
      <c r="I100" s="330"/>
      <c r="J100" s="330"/>
      <c r="K100" s="330"/>
      <c r="L100" s="330"/>
      <c r="M100" s="330"/>
      <c r="N100" s="330"/>
      <c r="O100" s="330"/>
      <c r="P100" s="330"/>
      <c r="Q100" s="330"/>
      <c r="R100" s="330"/>
      <c r="S100" s="330"/>
      <c r="T100" s="330"/>
      <c r="U100" s="330"/>
      <c r="V100" s="330"/>
      <c r="W100" s="330"/>
      <c r="X100" s="330"/>
    </row>
    <row r="101" spans="1:24" ht="15.75" customHeight="1">
      <c r="A101" s="330"/>
      <c r="B101" s="331">
        <v>96</v>
      </c>
      <c r="C101" s="378" t="e">
        <f t="shared" si="4"/>
        <v>#N/A</v>
      </c>
      <c r="D101" s="334">
        <f>SUMIF('ریزهزینه کرد مددجوها'!E:E,'خلاصه هزینه کرد مددجوها'!B101,'ریزهزینه کرد مددجوها'!J:J)</f>
        <v>0</v>
      </c>
      <c r="E101" s="330"/>
      <c r="F101" s="330"/>
      <c r="G101" s="330"/>
      <c r="H101" s="330"/>
      <c r="I101" s="330"/>
      <c r="J101" s="330"/>
      <c r="K101" s="330"/>
      <c r="L101" s="330"/>
      <c r="M101" s="330"/>
      <c r="N101" s="330"/>
      <c r="O101" s="330"/>
      <c r="P101" s="330"/>
      <c r="Q101" s="330"/>
      <c r="R101" s="330"/>
      <c r="S101" s="330"/>
      <c r="T101" s="330"/>
      <c r="U101" s="330"/>
      <c r="V101" s="330"/>
      <c r="W101" s="330"/>
      <c r="X101" s="330"/>
    </row>
    <row r="102" spans="1:24" ht="15.75" customHeight="1">
      <c r="A102" s="330"/>
      <c r="B102" s="331">
        <v>97</v>
      </c>
      <c r="C102" s="378" t="e">
        <f t="shared" si="4"/>
        <v>#N/A</v>
      </c>
      <c r="D102" s="334">
        <f>SUMIF('ریزهزینه کرد مددجوها'!E:E,'خلاصه هزینه کرد مددجوها'!B102,'ریزهزینه کرد مددجوها'!J:J)</f>
        <v>0</v>
      </c>
      <c r="E102" s="330"/>
      <c r="F102" s="330"/>
      <c r="G102" s="330"/>
      <c r="H102" s="330"/>
      <c r="I102" s="330"/>
      <c r="J102" s="330"/>
      <c r="K102" s="330"/>
      <c r="L102" s="330"/>
      <c r="M102" s="330"/>
      <c r="N102" s="330"/>
      <c r="O102" s="330"/>
      <c r="P102" s="330"/>
      <c r="Q102" s="330"/>
      <c r="R102" s="330"/>
      <c r="S102" s="330"/>
      <c r="T102" s="330"/>
      <c r="U102" s="330"/>
      <c r="V102" s="330"/>
      <c r="W102" s="330"/>
      <c r="X102" s="330"/>
    </row>
    <row r="103" spans="1:24" ht="15.75" customHeight="1">
      <c r="A103" s="330"/>
      <c r="B103" s="331">
        <v>98</v>
      </c>
      <c r="C103" s="378" t="e">
        <f t="shared" si="4"/>
        <v>#N/A</v>
      </c>
      <c r="D103" s="334">
        <f>SUMIF('ریزهزینه کرد مددجوها'!E:E,'خلاصه هزینه کرد مددجوها'!B103,'ریزهزینه کرد مددجوها'!J:J)</f>
        <v>0</v>
      </c>
      <c r="E103" s="330"/>
      <c r="F103" s="330"/>
      <c r="G103" s="330"/>
      <c r="H103" s="330"/>
      <c r="I103" s="330"/>
      <c r="J103" s="330"/>
      <c r="K103" s="330"/>
      <c r="L103" s="330"/>
      <c r="M103" s="330"/>
      <c r="N103" s="330"/>
      <c r="O103" s="330"/>
      <c r="P103" s="330"/>
      <c r="Q103" s="330"/>
      <c r="R103" s="330"/>
      <c r="S103" s="330"/>
      <c r="T103" s="330"/>
      <c r="U103" s="330"/>
      <c r="V103" s="330"/>
      <c r="W103" s="330"/>
      <c r="X103" s="330"/>
    </row>
    <row r="104" spans="1:24" ht="15.75" customHeight="1">
      <c r="A104" s="330"/>
      <c r="B104" s="331">
        <v>99</v>
      </c>
      <c r="C104" s="378" t="e">
        <f t="shared" si="4"/>
        <v>#N/A</v>
      </c>
      <c r="D104" s="334">
        <f>SUMIF('ریزهزینه کرد مددجوها'!E:E,'خلاصه هزینه کرد مددجوها'!B104,'ریزهزینه کرد مددجوها'!J:J)</f>
        <v>0</v>
      </c>
      <c r="E104" s="330"/>
      <c r="F104" s="330"/>
      <c r="G104" s="330"/>
      <c r="H104" s="330"/>
      <c r="I104" s="330"/>
      <c r="J104" s="330"/>
      <c r="K104" s="330"/>
      <c r="L104" s="330"/>
      <c r="M104" s="330"/>
      <c r="N104" s="330"/>
      <c r="O104" s="330"/>
      <c r="P104" s="330"/>
      <c r="Q104" s="330"/>
      <c r="R104" s="330"/>
      <c r="S104" s="330"/>
      <c r="T104" s="330"/>
      <c r="U104" s="330"/>
      <c r="V104" s="330"/>
      <c r="W104" s="330"/>
      <c r="X104" s="330"/>
    </row>
    <row r="105" spans="1:24" ht="15.75" customHeight="1">
      <c r="A105" s="330"/>
      <c r="B105" s="331">
        <v>100</v>
      </c>
      <c r="C105" s="378" t="e">
        <f t="shared" si="4"/>
        <v>#N/A</v>
      </c>
      <c r="D105" s="334">
        <f>SUMIF('ریزهزینه کرد مددجوها'!E:E,'خلاصه هزینه کرد مددجوها'!B105,'ریزهزینه کرد مددجوها'!J:J)</f>
        <v>0</v>
      </c>
      <c r="E105" s="330"/>
      <c r="F105" s="330"/>
      <c r="G105" s="330"/>
      <c r="H105" s="330"/>
      <c r="I105" s="330"/>
      <c r="J105" s="330"/>
      <c r="K105" s="330"/>
      <c r="L105" s="330"/>
      <c r="M105" s="330"/>
      <c r="N105" s="330"/>
      <c r="O105" s="330"/>
      <c r="P105" s="330"/>
      <c r="Q105" s="330"/>
      <c r="R105" s="330"/>
      <c r="S105" s="330"/>
      <c r="T105" s="330"/>
      <c r="U105" s="330"/>
      <c r="V105" s="330"/>
      <c r="W105" s="330"/>
      <c r="X105" s="330"/>
    </row>
    <row r="106" spans="1:24" ht="15.75" customHeight="1">
      <c r="A106" s="330"/>
      <c r="B106" s="331">
        <v>101</v>
      </c>
      <c r="C106" s="378" t="e">
        <f t="shared" si="4"/>
        <v>#N/A</v>
      </c>
      <c r="D106" s="334">
        <f>SUMIF('ریزهزینه کرد مددجوها'!E:E,'خلاصه هزینه کرد مددجوها'!B106,'ریزهزینه کرد مددجوها'!J:J)</f>
        <v>0</v>
      </c>
      <c r="E106" s="330"/>
      <c r="F106" s="330"/>
      <c r="G106" s="330"/>
      <c r="H106" s="330"/>
      <c r="I106" s="330"/>
      <c r="J106" s="330"/>
      <c r="K106" s="330"/>
      <c r="L106" s="330"/>
      <c r="M106" s="330"/>
      <c r="N106" s="330"/>
      <c r="O106" s="330"/>
      <c r="P106" s="330"/>
      <c r="Q106" s="330"/>
      <c r="R106" s="330"/>
      <c r="S106" s="330"/>
      <c r="T106" s="330"/>
      <c r="U106" s="330"/>
      <c r="V106" s="330"/>
      <c r="W106" s="330"/>
      <c r="X106" s="330"/>
    </row>
    <row r="107" spans="1:24" ht="15.75" customHeight="1">
      <c r="A107" s="330"/>
      <c r="B107" s="331">
        <v>102</v>
      </c>
      <c r="C107" s="378" t="e">
        <f t="shared" si="4"/>
        <v>#N/A</v>
      </c>
      <c r="D107" s="334">
        <f>SUMIF('ریزهزینه کرد مددجوها'!E:E,'خلاصه هزینه کرد مددجوها'!B107,'ریزهزینه کرد مددجوها'!J:J)</f>
        <v>0</v>
      </c>
      <c r="E107" s="330"/>
      <c r="F107" s="330"/>
      <c r="G107" s="330"/>
      <c r="H107" s="330"/>
      <c r="I107" s="330"/>
      <c r="J107" s="330"/>
      <c r="K107" s="330"/>
      <c r="L107" s="330"/>
      <c r="M107" s="330"/>
      <c r="N107" s="330"/>
      <c r="O107" s="330"/>
      <c r="P107" s="330"/>
      <c r="Q107" s="330"/>
      <c r="R107" s="330"/>
      <c r="S107" s="330"/>
      <c r="T107" s="330"/>
      <c r="U107" s="330"/>
      <c r="V107" s="330"/>
      <c r="W107" s="330"/>
      <c r="X107" s="330"/>
    </row>
    <row r="108" spans="1:24" ht="15.75" customHeight="1">
      <c r="A108" s="330"/>
      <c r="B108" s="331">
        <v>103</v>
      </c>
      <c r="C108" s="378" t="e">
        <f t="shared" si="4"/>
        <v>#N/A</v>
      </c>
      <c r="D108" s="334">
        <f>SUMIF('ریزهزینه کرد مددجوها'!E:E,'خلاصه هزینه کرد مددجوها'!B108,'ریزهزینه کرد مددجوها'!J:J)</f>
        <v>0</v>
      </c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330"/>
      <c r="V108" s="330"/>
      <c r="W108" s="330"/>
      <c r="X108" s="330"/>
    </row>
    <row r="109" spans="1:24" ht="15.75" customHeight="1">
      <c r="A109" s="330"/>
      <c r="B109" s="331">
        <v>104</v>
      </c>
      <c r="C109" s="378" t="e">
        <f t="shared" si="4"/>
        <v>#N/A</v>
      </c>
      <c r="D109" s="334">
        <f>SUMIF('ریزهزینه کرد مددجوها'!E:E,'خلاصه هزینه کرد مددجوها'!B109,'ریزهزینه کرد مددجوها'!J:J)</f>
        <v>0</v>
      </c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330"/>
      <c r="V109" s="330"/>
      <c r="W109" s="330"/>
      <c r="X109" s="330"/>
    </row>
    <row r="110" spans="1:24" ht="15.75" customHeight="1">
      <c r="A110" s="330"/>
      <c r="B110" s="331">
        <v>105</v>
      </c>
      <c r="C110" s="378" t="e">
        <f t="shared" si="4"/>
        <v>#N/A</v>
      </c>
      <c r="D110" s="334">
        <f>SUMIF('ریزهزینه کرد مددجوها'!E:E,'خلاصه هزینه کرد مددجوها'!B110,'ریزهزینه کرد مددجوها'!J:J)</f>
        <v>0</v>
      </c>
      <c r="E110" s="330"/>
      <c r="F110" s="330"/>
      <c r="G110" s="330"/>
      <c r="H110" s="330"/>
      <c r="I110" s="330"/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330"/>
      <c r="V110" s="330"/>
      <c r="W110" s="330"/>
      <c r="X110" s="330"/>
    </row>
    <row r="111" spans="1:24" ht="15.75" customHeight="1">
      <c r="A111" s="330"/>
      <c r="B111" s="331">
        <v>106</v>
      </c>
      <c r="C111" s="378" t="e">
        <f t="shared" si="4"/>
        <v>#N/A</v>
      </c>
      <c r="D111" s="334">
        <f>SUMIF('ریزهزینه کرد مددجوها'!E:E,'خلاصه هزینه کرد مددجوها'!B111,'ریزهزینه کرد مددجوها'!J:J)</f>
        <v>0</v>
      </c>
      <c r="E111" s="330"/>
      <c r="F111" s="330"/>
      <c r="G111" s="330"/>
      <c r="H111" s="330"/>
      <c r="I111" s="330"/>
      <c r="J111" s="330"/>
      <c r="K111" s="330"/>
      <c r="L111" s="330"/>
      <c r="M111" s="330"/>
      <c r="N111" s="330"/>
      <c r="O111" s="330"/>
      <c r="P111" s="330"/>
      <c r="Q111" s="330"/>
      <c r="R111" s="330"/>
      <c r="S111" s="330"/>
      <c r="T111" s="330"/>
      <c r="U111" s="330"/>
      <c r="V111" s="330"/>
      <c r="W111" s="330"/>
      <c r="X111" s="330"/>
    </row>
    <row r="112" spans="1:24" ht="15.75" customHeight="1">
      <c r="A112" s="330"/>
      <c r="B112" s="331">
        <v>107</v>
      </c>
      <c r="C112" s="378" t="e">
        <f t="shared" si="4"/>
        <v>#N/A</v>
      </c>
      <c r="D112" s="334">
        <f>SUMIF('ریزهزینه کرد مددجوها'!E:E,'خلاصه هزینه کرد مددجوها'!B112,'ریزهزینه کرد مددجوها'!J:J)</f>
        <v>0</v>
      </c>
      <c r="E112" s="330"/>
      <c r="F112" s="330"/>
      <c r="G112" s="330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330"/>
      <c r="W112" s="330"/>
      <c r="X112" s="330"/>
    </row>
    <row r="113" spans="1:24" ht="15.75" customHeight="1">
      <c r="A113" s="330"/>
      <c r="B113" s="331">
        <v>108</v>
      </c>
      <c r="C113" s="378" t="e">
        <f t="shared" si="4"/>
        <v>#N/A</v>
      </c>
      <c r="D113" s="334">
        <f>SUMIF('ریزهزینه کرد مددجوها'!E:E,'خلاصه هزینه کرد مددجوها'!B113,'ریزهزینه کرد مددجوها'!J:J)</f>
        <v>0</v>
      </c>
      <c r="E113" s="330"/>
      <c r="F113" s="330"/>
      <c r="G113" s="330"/>
      <c r="H113" s="330"/>
      <c r="I113" s="330"/>
      <c r="J113" s="330"/>
      <c r="K113" s="330"/>
      <c r="L113" s="330"/>
      <c r="M113" s="330"/>
      <c r="N113" s="330"/>
      <c r="O113" s="330"/>
      <c r="P113" s="330"/>
      <c r="Q113" s="330"/>
      <c r="R113" s="330"/>
      <c r="S113" s="330"/>
      <c r="T113" s="330"/>
      <c r="U113" s="330"/>
      <c r="V113" s="330"/>
      <c r="W113" s="330"/>
      <c r="X113" s="330"/>
    </row>
    <row r="114" spans="1:24" ht="15.75" customHeight="1">
      <c r="A114" s="330"/>
      <c r="B114" s="331">
        <v>109</v>
      </c>
      <c r="C114" s="378" t="e">
        <f t="shared" si="4"/>
        <v>#N/A</v>
      </c>
      <c r="D114" s="334">
        <f>SUMIF('ریزهزینه کرد مددجوها'!E:E,'خلاصه هزینه کرد مددجوها'!B114,'ریزهزینه کرد مددجوها'!J:J)</f>
        <v>0</v>
      </c>
      <c r="E114" s="330"/>
      <c r="F114" s="330"/>
      <c r="G114" s="330"/>
      <c r="H114" s="330"/>
      <c r="I114" s="330"/>
      <c r="J114" s="330"/>
      <c r="K114" s="330"/>
      <c r="L114" s="330"/>
      <c r="M114" s="330"/>
      <c r="N114" s="330"/>
      <c r="O114" s="330"/>
      <c r="P114" s="330"/>
      <c r="Q114" s="330"/>
      <c r="R114" s="330"/>
      <c r="S114" s="330"/>
      <c r="T114" s="330"/>
      <c r="U114" s="330"/>
      <c r="V114" s="330"/>
      <c r="W114" s="330"/>
      <c r="X114" s="330"/>
    </row>
    <row r="115" spans="1:24" ht="15.75" customHeight="1">
      <c r="A115" s="330"/>
      <c r="B115" s="331">
        <v>110</v>
      </c>
      <c r="C115" s="378" t="e">
        <f t="shared" si="4"/>
        <v>#N/A</v>
      </c>
      <c r="D115" s="334">
        <f>SUMIF('ریزهزینه کرد مددجوها'!E:E,'خلاصه هزینه کرد مددجوها'!B115,'ریزهزینه کرد مددجوها'!J:J)</f>
        <v>0</v>
      </c>
      <c r="E115" s="330"/>
      <c r="F115" s="330"/>
      <c r="G115" s="330"/>
      <c r="H115" s="330"/>
      <c r="I115" s="330"/>
      <c r="J115" s="330"/>
      <c r="K115" s="330"/>
      <c r="L115" s="330"/>
      <c r="M115" s="330"/>
      <c r="N115" s="330"/>
      <c r="O115" s="330"/>
      <c r="P115" s="330"/>
      <c r="Q115" s="330"/>
      <c r="R115" s="330"/>
      <c r="S115" s="330"/>
      <c r="T115" s="330"/>
      <c r="U115" s="330"/>
      <c r="V115" s="330"/>
      <c r="W115" s="330"/>
      <c r="X115" s="330"/>
    </row>
    <row r="116" spans="1:24" ht="15.75" customHeight="1">
      <c r="A116" s="330"/>
      <c r="B116" s="331">
        <v>111</v>
      </c>
      <c r="C116" s="378" t="e">
        <f t="shared" si="4"/>
        <v>#N/A</v>
      </c>
      <c r="D116" s="334">
        <f>SUMIF('ریزهزینه کرد مددجوها'!E:E,'خلاصه هزینه کرد مددجوها'!B116,'ریزهزینه کرد مددجوها'!J:J)</f>
        <v>0</v>
      </c>
      <c r="E116" s="330"/>
      <c r="F116" s="330"/>
      <c r="G116" s="330"/>
      <c r="H116" s="330"/>
      <c r="I116" s="330"/>
      <c r="J116" s="330"/>
      <c r="K116" s="330"/>
      <c r="L116" s="330"/>
      <c r="M116" s="330"/>
      <c r="N116" s="330"/>
      <c r="O116" s="330"/>
      <c r="P116" s="330"/>
      <c r="Q116" s="330"/>
      <c r="R116" s="330"/>
      <c r="S116" s="330"/>
      <c r="T116" s="330"/>
      <c r="U116" s="330"/>
      <c r="V116" s="330"/>
      <c r="W116" s="330"/>
      <c r="X116" s="330"/>
    </row>
    <row r="117" spans="1:24" ht="15.75" customHeight="1">
      <c r="A117" s="330"/>
      <c r="B117" s="331">
        <v>112</v>
      </c>
      <c r="C117" s="378" t="e">
        <f t="shared" si="4"/>
        <v>#N/A</v>
      </c>
      <c r="D117" s="334">
        <f>SUMIF('ریزهزینه کرد مددجوها'!E:E,'خلاصه هزینه کرد مددجوها'!B117,'ریزهزینه کرد مددجوها'!J:J)</f>
        <v>0</v>
      </c>
      <c r="E117" s="330"/>
      <c r="F117" s="330"/>
      <c r="G117" s="330"/>
      <c r="H117" s="330"/>
      <c r="I117" s="330"/>
      <c r="J117" s="330"/>
      <c r="K117" s="330"/>
      <c r="L117" s="330"/>
      <c r="M117" s="330"/>
      <c r="N117" s="330"/>
      <c r="O117" s="330"/>
      <c r="P117" s="330"/>
      <c r="Q117" s="330"/>
      <c r="R117" s="330"/>
      <c r="S117" s="330"/>
      <c r="T117" s="330"/>
      <c r="U117" s="330"/>
      <c r="V117" s="330"/>
      <c r="W117" s="330"/>
      <c r="X117" s="330"/>
    </row>
    <row r="118" spans="1:24" ht="15.75" customHeight="1">
      <c r="A118" s="330"/>
      <c r="B118" s="331">
        <v>113</v>
      </c>
      <c r="C118" s="378" t="e">
        <f t="shared" si="4"/>
        <v>#N/A</v>
      </c>
      <c r="D118" s="334">
        <f>SUMIF('ریزهزینه کرد مددجوها'!E:E,'خلاصه هزینه کرد مددجوها'!B118,'ریزهزینه کرد مددجوها'!J:J)</f>
        <v>0</v>
      </c>
      <c r="E118" s="330"/>
      <c r="F118" s="330"/>
      <c r="G118" s="330"/>
      <c r="H118" s="330"/>
      <c r="I118" s="330"/>
      <c r="J118" s="330"/>
      <c r="K118" s="330"/>
      <c r="L118" s="330"/>
      <c r="M118" s="330"/>
      <c r="N118" s="330"/>
      <c r="O118" s="330"/>
      <c r="P118" s="330"/>
      <c r="Q118" s="330"/>
      <c r="R118" s="330"/>
      <c r="S118" s="330"/>
      <c r="T118" s="330"/>
      <c r="U118" s="330"/>
      <c r="V118" s="330"/>
      <c r="W118" s="330"/>
      <c r="X118" s="330"/>
    </row>
    <row r="119" spans="1:24" ht="15.75" customHeight="1">
      <c r="A119" s="330"/>
      <c r="B119" s="331">
        <v>114</v>
      </c>
      <c r="C119" s="378" t="e">
        <f t="shared" si="4"/>
        <v>#N/A</v>
      </c>
      <c r="D119" s="334">
        <f>SUMIF('ریزهزینه کرد مددجوها'!E:E,'خلاصه هزینه کرد مددجوها'!B119,'ریزهزینه کرد مددجوها'!J:J)</f>
        <v>0</v>
      </c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</row>
    <row r="120" spans="1:24" ht="15.75" customHeight="1">
      <c r="A120" s="330"/>
      <c r="B120" s="331">
        <v>115</v>
      </c>
      <c r="C120" s="378" t="e">
        <f t="shared" si="4"/>
        <v>#N/A</v>
      </c>
      <c r="D120" s="334">
        <f>SUMIF('ریزهزینه کرد مددجوها'!E:E,'خلاصه هزینه کرد مددجوها'!B120,'ریزهزینه کرد مددجوها'!J:J)</f>
        <v>0</v>
      </c>
      <c r="E120" s="330"/>
      <c r="F120" s="330"/>
      <c r="G120" s="330"/>
      <c r="H120" s="330"/>
      <c r="I120" s="330"/>
      <c r="J120" s="330"/>
      <c r="K120" s="330"/>
      <c r="L120" s="330"/>
      <c r="M120" s="330"/>
      <c r="N120" s="330"/>
      <c r="O120" s="330"/>
      <c r="P120" s="330"/>
      <c r="Q120" s="330"/>
      <c r="R120" s="330"/>
      <c r="S120" s="330"/>
      <c r="T120" s="330"/>
      <c r="U120" s="330"/>
      <c r="V120" s="330"/>
      <c r="W120" s="330"/>
      <c r="X120" s="330"/>
    </row>
    <row r="121" spans="1:24" ht="15.75" customHeight="1">
      <c r="A121" s="330"/>
      <c r="B121" s="331">
        <v>116</v>
      </c>
      <c r="C121" s="378" t="e">
        <f t="shared" si="4"/>
        <v>#N/A</v>
      </c>
      <c r="D121" s="334">
        <f>SUMIF('ریزهزینه کرد مددجوها'!E:E,'خلاصه هزینه کرد مددجوها'!B121,'ریزهزینه کرد مددجوها'!J:J)</f>
        <v>0</v>
      </c>
      <c r="E121" s="330"/>
      <c r="F121" s="330"/>
      <c r="G121" s="330"/>
      <c r="H121" s="330"/>
      <c r="I121" s="330"/>
      <c r="J121" s="330"/>
      <c r="K121" s="330"/>
      <c r="L121" s="330"/>
      <c r="M121" s="330"/>
      <c r="N121" s="330"/>
      <c r="O121" s="330"/>
      <c r="P121" s="330"/>
      <c r="Q121" s="330"/>
      <c r="R121" s="330"/>
      <c r="S121" s="330"/>
      <c r="T121" s="330"/>
      <c r="U121" s="330"/>
      <c r="V121" s="330"/>
      <c r="W121" s="330"/>
      <c r="X121" s="330"/>
    </row>
    <row r="122" spans="1:24" ht="15.75" customHeight="1">
      <c r="A122" s="330"/>
      <c r="B122" s="331">
        <v>117</v>
      </c>
      <c r="C122" s="378" t="e">
        <f t="shared" si="4"/>
        <v>#N/A</v>
      </c>
      <c r="D122" s="334">
        <f>SUMIF('ریزهزینه کرد مددجوها'!E:E,'خلاصه هزینه کرد مددجوها'!B122,'ریزهزینه کرد مددجوها'!J:J)</f>
        <v>0</v>
      </c>
      <c r="E122" s="330"/>
      <c r="F122" s="330"/>
      <c r="G122" s="330"/>
      <c r="H122" s="330"/>
      <c r="I122" s="330"/>
      <c r="J122" s="330"/>
      <c r="K122" s="330"/>
      <c r="L122" s="330"/>
      <c r="M122" s="330"/>
      <c r="N122" s="330"/>
      <c r="O122" s="330"/>
      <c r="P122" s="330"/>
      <c r="Q122" s="330"/>
      <c r="R122" s="330"/>
      <c r="S122" s="330"/>
      <c r="T122" s="330"/>
      <c r="U122" s="330"/>
      <c r="V122" s="330"/>
      <c r="W122" s="330"/>
      <c r="X122" s="330"/>
    </row>
    <row r="123" spans="1:24" ht="15.75" customHeight="1">
      <c r="A123" s="330"/>
      <c r="B123" s="331">
        <v>118</v>
      </c>
      <c r="C123" s="378" t="e">
        <f t="shared" si="4"/>
        <v>#N/A</v>
      </c>
      <c r="D123" s="334">
        <f>SUMIF('ریزهزینه کرد مددجوها'!E:E,'خلاصه هزینه کرد مددجوها'!B123,'ریزهزینه کرد مددجوها'!J:J)</f>
        <v>0</v>
      </c>
      <c r="E123" s="330"/>
      <c r="F123" s="330"/>
      <c r="G123" s="330"/>
      <c r="H123" s="330"/>
      <c r="I123" s="330"/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330"/>
      <c r="V123" s="330"/>
      <c r="W123" s="330"/>
      <c r="X123" s="330"/>
    </row>
    <row r="124" spans="1:24" ht="15.75" customHeight="1">
      <c r="A124" s="330"/>
      <c r="B124" s="330"/>
      <c r="C124" s="379"/>
      <c r="D124" s="335">
        <f>SUBTOTAL(109,'خلاصه هزینه کرد مددجوها'!$D$3:$D$123)</f>
        <v>7885359514</v>
      </c>
      <c r="E124" s="330"/>
      <c r="F124" s="330"/>
      <c r="G124" s="330"/>
      <c r="H124" s="330"/>
      <c r="I124" s="330"/>
      <c r="J124" s="330"/>
      <c r="K124" s="330"/>
      <c r="L124" s="330"/>
      <c r="M124" s="330"/>
      <c r="N124" s="330"/>
      <c r="O124" s="330"/>
      <c r="P124" s="330"/>
      <c r="Q124" s="330"/>
      <c r="R124" s="330"/>
      <c r="S124" s="330"/>
      <c r="T124" s="330"/>
      <c r="U124" s="330"/>
      <c r="V124" s="330"/>
      <c r="W124" s="330"/>
      <c r="X124" s="330"/>
    </row>
    <row r="125" spans="1:24" ht="15.75" customHeight="1">
      <c r="A125" s="330"/>
      <c r="B125" s="330"/>
      <c r="C125" s="379"/>
      <c r="D125" s="330"/>
      <c r="E125" s="330"/>
      <c r="F125" s="330"/>
      <c r="G125" s="330"/>
      <c r="H125" s="330"/>
      <c r="I125" s="330"/>
      <c r="J125" s="330"/>
      <c r="K125" s="330"/>
      <c r="L125" s="330"/>
      <c r="M125" s="330"/>
      <c r="N125" s="330"/>
      <c r="O125" s="330"/>
      <c r="P125" s="330"/>
      <c r="Q125" s="330"/>
      <c r="R125" s="330"/>
      <c r="S125" s="330"/>
      <c r="T125" s="330"/>
      <c r="U125" s="330"/>
      <c r="V125" s="330"/>
      <c r="W125" s="330"/>
      <c r="X125" s="330"/>
    </row>
    <row r="126" spans="1:24" ht="15.75" customHeight="1">
      <c r="A126" s="330"/>
      <c r="B126" s="330"/>
      <c r="C126" s="379"/>
      <c r="D126" s="330"/>
      <c r="E126" s="330"/>
      <c r="F126" s="330"/>
      <c r="G126" s="330"/>
      <c r="H126" s="330"/>
      <c r="I126" s="330"/>
      <c r="J126" s="330"/>
      <c r="K126" s="330"/>
      <c r="L126" s="330"/>
      <c r="M126" s="330"/>
      <c r="N126" s="330"/>
      <c r="O126" s="330"/>
      <c r="P126" s="330"/>
      <c r="Q126" s="330"/>
      <c r="R126" s="330"/>
      <c r="S126" s="330"/>
      <c r="T126" s="330"/>
      <c r="U126" s="330"/>
      <c r="V126" s="330"/>
      <c r="W126" s="330"/>
      <c r="X126" s="330"/>
    </row>
    <row r="127" spans="1:24" ht="15.75" customHeight="1">
      <c r="A127" s="330"/>
      <c r="B127" s="330"/>
      <c r="C127" s="379"/>
      <c r="D127" s="330"/>
      <c r="E127" s="330"/>
      <c r="F127" s="330"/>
      <c r="G127" s="330"/>
      <c r="H127" s="330"/>
      <c r="I127" s="330"/>
      <c r="J127" s="330"/>
      <c r="K127" s="330"/>
      <c r="L127" s="330"/>
      <c r="M127" s="330"/>
      <c r="N127" s="330"/>
      <c r="O127" s="330"/>
      <c r="P127" s="330"/>
      <c r="Q127" s="330"/>
      <c r="R127" s="330"/>
      <c r="S127" s="330"/>
      <c r="T127" s="330"/>
      <c r="U127" s="330"/>
      <c r="V127" s="330"/>
      <c r="W127" s="330"/>
      <c r="X127" s="330"/>
    </row>
    <row r="128" spans="1:24" ht="15.75" customHeight="1">
      <c r="A128" s="330"/>
      <c r="B128" s="330"/>
      <c r="C128" s="379"/>
      <c r="D128" s="330"/>
      <c r="E128" s="330"/>
      <c r="F128" s="330"/>
      <c r="G128" s="330"/>
      <c r="H128" s="330"/>
      <c r="I128" s="330"/>
      <c r="J128" s="330"/>
      <c r="K128" s="330"/>
      <c r="L128" s="330"/>
      <c r="M128" s="330"/>
      <c r="N128" s="330"/>
      <c r="O128" s="330"/>
      <c r="P128" s="330"/>
      <c r="Q128" s="330"/>
      <c r="R128" s="330"/>
      <c r="S128" s="330"/>
      <c r="T128" s="330"/>
      <c r="U128" s="330"/>
      <c r="V128" s="330"/>
      <c r="W128" s="330"/>
      <c r="X128" s="330"/>
    </row>
    <row r="129" spans="1:24" ht="15.75" customHeight="1">
      <c r="A129" s="330"/>
      <c r="B129" s="330"/>
      <c r="C129" s="379"/>
      <c r="D129" s="330"/>
      <c r="E129" s="330"/>
      <c r="F129" s="330"/>
      <c r="G129" s="330"/>
      <c r="H129" s="330"/>
      <c r="I129" s="330"/>
      <c r="J129" s="330"/>
      <c r="K129" s="330"/>
      <c r="L129" s="330"/>
      <c r="M129" s="330"/>
      <c r="N129" s="330"/>
      <c r="O129" s="330"/>
      <c r="P129" s="330"/>
      <c r="Q129" s="330"/>
      <c r="R129" s="330"/>
      <c r="S129" s="330"/>
      <c r="T129" s="330"/>
      <c r="U129" s="330"/>
      <c r="V129" s="330"/>
      <c r="W129" s="330"/>
      <c r="X129" s="330"/>
    </row>
    <row r="130" spans="1:24" ht="15.75" customHeight="1">
      <c r="A130" s="330"/>
      <c r="B130" s="330"/>
      <c r="C130" s="379"/>
      <c r="D130" s="330"/>
      <c r="E130" s="330"/>
      <c r="F130" s="330"/>
      <c r="G130" s="330"/>
      <c r="H130" s="330"/>
      <c r="I130" s="330"/>
      <c r="J130" s="330"/>
      <c r="K130" s="330"/>
      <c r="L130" s="330"/>
      <c r="M130" s="330"/>
      <c r="N130" s="330"/>
      <c r="O130" s="330"/>
      <c r="P130" s="330"/>
      <c r="Q130" s="330"/>
      <c r="R130" s="330"/>
      <c r="S130" s="330"/>
      <c r="T130" s="330"/>
      <c r="U130" s="330"/>
      <c r="V130" s="330"/>
      <c r="W130" s="330"/>
      <c r="X130" s="330"/>
    </row>
    <row r="131" spans="1:24" ht="15.75" customHeight="1">
      <c r="A131" s="330"/>
      <c r="B131" s="330"/>
      <c r="C131" s="379"/>
      <c r="D131" s="330"/>
      <c r="E131" s="330"/>
      <c r="F131" s="330"/>
      <c r="G131" s="330"/>
      <c r="H131" s="330"/>
      <c r="I131" s="330"/>
      <c r="J131" s="330"/>
      <c r="K131" s="330"/>
      <c r="L131" s="330"/>
      <c r="M131" s="330"/>
      <c r="N131" s="330"/>
      <c r="O131" s="330"/>
      <c r="P131" s="330"/>
      <c r="Q131" s="330"/>
      <c r="R131" s="330"/>
      <c r="S131" s="330"/>
      <c r="T131" s="330"/>
      <c r="U131" s="330"/>
      <c r="V131" s="330"/>
      <c r="W131" s="330"/>
      <c r="X131" s="330"/>
    </row>
    <row r="132" spans="1:24" ht="15.75" customHeight="1">
      <c r="A132" s="330"/>
      <c r="B132" s="330"/>
      <c r="C132" s="379"/>
      <c r="D132" s="330"/>
      <c r="E132" s="330"/>
      <c r="F132" s="330"/>
      <c r="G132" s="330"/>
      <c r="H132" s="330"/>
      <c r="I132" s="330"/>
      <c r="J132" s="330"/>
      <c r="K132" s="330"/>
      <c r="L132" s="330"/>
      <c r="M132" s="330"/>
      <c r="N132" s="330"/>
      <c r="O132" s="330"/>
      <c r="P132" s="330"/>
      <c r="Q132" s="330"/>
      <c r="R132" s="330"/>
      <c r="S132" s="330"/>
      <c r="T132" s="330"/>
      <c r="U132" s="330"/>
      <c r="V132" s="330"/>
      <c r="W132" s="330"/>
      <c r="X132" s="330"/>
    </row>
    <row r="133" spans="1:24" ht="15.75" customHeight="1">
      <c r="A133" s="330"/>
      <c r="B133" s="330"/>
      <c r="C133" s="379"/>
      <c r="D133" s="330"/>
      <c r="E133" s="330"/>
      <c r="F133" s="330"/>
      <c r="G133" s="330"/>
      <c r="H133" s="330"/>
      <c r="I133" s="330"/>
      <c r="J133" s="330"/>
      <c r="K133" s="330"/>
      <c r="L133" s="330"/>
      <c r="M133" s="330"/>
      <c r="N133" s="330"/>
      <c r="O133" s="330"/>
      <c r="P133" s="330"/>
      <c r="Q133" s="330"/>
      <c r="R133" s="330"/>
      <c r="S133" s="330"/>
      <c r="T133" s="330"/>
      <c r="U133" s="330"/>
      <c r="V133" s="330"/>
      <c r="W133" s="330"/>
      <c r="X133" s="330"/>
    </row>
    <row r="134" spans="1:24" ht="15.75" customHeight="1">
      <c r="A134" s="330"/>
      <c r="B134" s="330"/>
      <c r="C134" s="379"/>
      <c r="D134" s="330"/>
      <c r="E134" s="330"/>
      <c r="F134" s="330"/>
      <c r="G134" s="330"/>
      <c r="H134" s="330"/>
      <c r="I134" s="330"/>
      <c r="J134" s="330"/>
      <c r="K134" s="330"/>
      <c r="L134" s="330"/>
      <c r="M134" s="330"/>
      <c r="N134" s="330"/>
      <c r="O134" s="330"/>
      <c r="P134" s="330"/>
      <c r="Q134" s="330"/>
      <c r="R134" s="330"/>
      <c r="S134" s="330"/>
      <c r="T134" s="330"/>
      <c r="U134" s="330"/>
      <c r="V134" s="330"/>
      <c r="W134" s="330"/>
      <c r="X134" s="330"/>
    </row>
    <row r="135" spans="1:24" ht="15.75" customHeight="1">
      <c r="A135" s="330"/>
      <c r="B135" s="330"/>
      <c r="C135" s="379"/>
      <c r="D135" s="330"/>
      <c r="E135" s="330"/>
      <c r="F135" s="330"/>
      <c r="G135" s="330"/>
      <c r="H135" s="330"/>
      <c r="I135" s="330"/>
      <c r="J135" s="330"/>
      <c r="K135" s="330"/>
      <c r="L135" s="330"/>
      <c r="M135" s="330"/>
      <c r="N135" s="330"/>
      <c r="O135" s="330"/>
      <c r="P135" s="330"/>
      <c r="Q135" s="330"/>
      <c r="R135" s="330"/>
      <c r="S135" s="330"/>
      <c r="T135" s="330"/>
      <c r="U135" s="330"/>
      <c r="V135" s="330"/>
      <c r="W135" s="330"/>
      <c r="X135" s="330"/>
    </row>
    <row r="136" spans="1:24" ht="15.75" customHeight="1">
      <c r="A136" s="330"/>
      <c r="B136" s="330"/>
      <c r="C136" s="379"/>
      <c r="D136" s="330"/>
      <c r="E136" s="330"/>
      <c r="F136" s="330"/>
      <c r="G136" s="330"/>
      <c r="H136" s="330"/>
      <c r="I136" s="330"/>
      <c r="J136" s="330"/>
      <c r="K136" s="330"/>
      <c r="L136" s="330"/>
      <c r="M136" s="330"/>
      <c r="N136" s="330"/>
      <c r="O136" s="330"/>
      <c r="P136" s="330"/>
      <c r="Q136" s="330"/>
      <c r="R136" s="330"/>
      <c r="S136" s="330"/>
      <c r="T136" s="330"/>
      <c r="U136" s="330"/>
      <c r="V136" s="330"/>
      <c r="W136" s="330"/>
      <c r="X136" s="330"/>
    </row>
    <row r="137" spans="1:24" ht="15.75" customHeight="1">
      <c r="A137" s="330"/>
      <c r="B137" s="330"/>
      <c r="C137" s="379"/>
      <c r="D137" s="330"/>
      <c r="E137" s="330"/>
      <c r="F137" s="330"/>
      <c r="G137" s="330"/>
      <c r="H137" s="330"/>
      <c r="I137" s="330"/>
      <c r="J137" s="330"/>
      <c r="K137" s="330"/>
      <c r="L137" s="330"/>
      <c r="M137" s="330"/>
      <c r="N137" s="330"/>
      <c r="O137" s="330"/>
      <c r="P137" s="330"/>
      <c r="Q137" s="330"/>
      <c r="R137" s="330"/>
      <c r="S137" s="330"/>
      <c r="T137" s="330"/>
      <c r="U137" s="330"/>
      <c r="V137" s="330"/>
      <c r="W137" s="330"/>
      <c r="X137" s="330"/>
    </row>
    <row r="138" spans="1:24" ht="15.75" customHeight="1">
      <c r="A138" s="330"/>
      <c r="B138" s="330"/>
      <c r="C138" s="379"/>
      <c r="D138" s="330"/>
      <c r="E138" s="330"/>
      <c r="F138" s="330"/>
      <c r="G138" s="330"/>
      <c r="H138" s="330"/>
      <c r="I138" s="330"/>
      <c r="J138" s="330"/>
      <c r="K138" s="330"/>
      <c r="L138" s="330"/>
      <c r="M138" s="330"/>
      <c r="N138" s="330"/>
      <c r="O138" s="330"/>
      <c r="P138" s="330"/>
      <c r="Q138" s="330"/>
      <c r="R138" s="330"/>
      <c r="S138" s="330"/>
      <c r="T138" s="330"/>
      <c r="U138" s="330"/>
      <c r="V138" s="330"/>
      <c r="W138" s="330"/>
      <c r="X138" s="330"/>
    </row>
    <row r="139" spans="1:24" ht="15.75" customHeight="1">
      <c r="A139" s="330"/>
      <c r="B139" s="330"/>
      <c r="C139" s="379"/>
      <c r="D139" s="330"/>
      <c r="E139" s="330"/>
      <c r="F139" s="330"/>
      <c r="G139" s="330"/>
      <c r="H139" s="330"/>
      <c r="I139" s="330"/>
      <c r="J139" s="330"/>
      <c r="K139" s="330"/>
      <c r="L139" s="330"/>
      <c r="M139" s="330"/>
      <c r="N139" s="330"/>
      <c r="O139" s="330"/>
      <c r="P139" s="330"/>
      <c r="Q139" s="330"/>
      <c r="R139" s="330"/>
      <c r="S139" s="330"/>
      <c r="T139" s="330"/>
      <c r="U139" s="330"/>
      <c r="V139" s="330"/>
      <c r="W139" s="330"/>
      <c r="X139" s="330"/>
    </row>
    <row r="140" spans="1:24" ht="15.75" customHeight="1">
      <c r="A140" s="330"/>
      <c r="B140" s="330"/>
      <c r="C140" s="379"/>
      <c r="D140" s="330"/>
      <c r="E140" s="330"/>
      <c r="F140" s="330"/>
      <c r="G140" s="330"/>
      <c r="H140" s="330"/>
      <c r="I140" s="330"/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  <c r="T140" s="330"/>
      <c r="U140" s="330"/>
      <c r="V140" s="330"/>
      <c r="W140" s="330"/>
      <c r="X140" s="330"/>
    </row>
    <row r="141" spans="1:24" ht="15.75" customHeight="1">
      <c r="A141" s="330"/>
      <c r="B141" s="330"/>
      <c r="C141" s="379"/>
      <c r="D141" s="330"/>
      <c r="E141" s="330"/>
      <c r="F141" s="330"/>
      <c r="G141" s="330"/>
      <c r="H141" s="330"/>
      <c r="I141" s="330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0"/>
      <c r="W141" s="330"/>
      <c r="X141" s="330"/>
    </row>
    <row r="142" spans="1:24" ht="15.75" customHeight="1">
      <c r="A142" s="330"/>
      <c r="B142" s="330"/>
      <c r="C142" s="379"/>
      <c r="D142" s="330"/>
      <c r="E142" s="330"/>
      <c r="F142" s="330"/>
      <c r="G142" s="330"/>
      <c r="H142" s="330"/>
      <c r="I142" s="330"/>
      <c r="J142" s="330"/>
      <c r="K142" s="330"/>
      <c r="L142" s="330"/>
      <c r="M142" s="330"/>
      <c r="N142" s="330"/>
      <c r="O142" s="330"/>
      <c r="P142" s="330"/>
      <c r="Q142" s="330"/>
      <c r="R142" s="330"/>
      <c r="S142" s="330"/>
      <c r="T142" s="330"/>
      <c r="U142" s="330"/>
      <c r="V142" s="330"/>
      <c r="W142" s="330"/>
      <c r="X142" s="330"/>
    </row>
    <row r="143" spans="1:24" ht="15.75" customHeight="1">
      <c r="A143" s="330"/>
      <c r="B143" s="330"/>
      <c r="C143" s="379"/>
      <c r="D143" s="330"/>
      <c r="E143" s="330"/>
      <c r="F143" s="330"/>
      <c r="G143" s="330"/>
      <c r="H143" s="330"/>
      <c r="I143" s="330"/>
      <c r="J143" s="330"/>
      <c r="K143" s="330"/>
      <c r="L143" s="330"/>
      <c r="M143" s="330"/>
      <c r="N143" s="330"/>
      <c r="O143" s="330"/>
      <c r="P143" s="330"/>
      <c r="Q143" s="330"/>
      <c r="R143" s="330"/>
      <c r="S143" s="330"/>
      <c r="T143" s="330"/>
      <c r="U143" s="330"/>
      <c r="V143" s="330"/>
      <c r="W143" s="330"/>
      <c r="X143" s="330"/>
    </row>
    <row r="144" spans="1:24" ht="15.75" customHeight="1">
      <c r="A144" s="330"/>
      <c r="B144" s="330"/>
      <c r="C144" s="379"/>
      <c r="D144" s="330"/>
      <c r="E144" s="330"/>
      <c r="F144" s="330"/>
      <c r="G144" s="330"/>
      <c r="H144" s="330"/>
      <c r="I144" s="330"/>
      <c r="J144" s="330"/>
      <c r="K144" s="330"/>
      <c r="L144" s="330"/>
      <c r="M144" s="330"/>
      <c r="N144" s="330"/>
      <c r="O144" s="330"/>
      <c r="P144" s="330"/>
      <c r="Q144" s="330"/>
      <c r="R144" s="330"/>
      <c r="S144" s="330"/>
      <c r="T144" s="330"/>
      <c r="U144" s="330"/>
      <c r="V144" s="330"/>
      <c r="W144" s="330"/>
      <c r="X144" s="330"/>
    </row>
    <row r="145" spans="1:24" ht="15.75" customHeight="1">
      <c r="A145" s="330"/>
      <c r="B145" s="330"/>
      <c r="C145" s="379"/>
      <c r="D145" s="330"/>
      <c r="E145" s="330"/>
      <c r="F145" s="330"/>
      <c r="G145" s="330"/>
      <c r="H145" s="330"/>
      <c r="I145" s="330"/>
      <c r="J145" s="330"/>
      <c r="K145" s="330"/>
      <c r="L145" s="330"/>
      <c r="M145" s="330"/>
      <c r="N145" s="330"/>
      <c r="O145" s="330"/>
      <c r="P145" s="330"/>
      <c r="Q145" s="330"/>
      <c r="R145" s="330"/>
      <c r="S145" s="330"/>
      <c r="T145" s="330"/>
      <c r="U145" s="330"/>
      <c r="V145" s="330"/>
      <c r="W145" s="330"/>
      <c r="X145" s="330"/>
    </row>
    <row r="146" spans="1:24" ht="15.75" customHeight="1">
      <c r="A146" s="330"/>
      <c r="B146" s="330"/>
      <c r="C146" s="379"/>
      <c r="D146" s="330"/>
      <c r="E146" s="330"/>
      <c r="F146" s="330"/>
      <c r="G146" s="330"/>
      <c r="H146" s="330"/>
      <c r="I146" s="330"/>
      <c r="J146" s="330"/>
      <c r="K146" s="330"/>
      <c r="L146" s="330"/>
      <c r="M146" s="330"/>
      <c r="N146" s="330"/>
      <c r="O146" s="330"/>
      <c r="P146" s="330"/>
      <c r="Q146" s="330"/>
      <c r="R146" s="330"/>
      <c r="S146" s="330"/>
      <c r="T146" s="330"/>
      <c r="U146" s="330"/>
      <c r="V146" s="330"/>
      <c r="W146" s="330"/>
      <c r="X146" s="330"/>
    </row>
    <row r="147" spans="1:24" ht="15.75" customHeight="1">
      <c r="A147" s="330"/>
      <c r="B147" s="330"/>
      <c r="C147" s="379"/>
      <c r="D147" s="330"/>
      <c r="E147" s="330"/>
      <c r="F147" s="330"/>
      <c r="G147" s="330"/>
      <c r="H147" s="330"/>
      <c r="I147" s="330"/>
      <c r="J147" s="330"/>
      <c r="K147" s="330"/>
      <c r="L147" s="330"/>
      <c r="M147" s="330"/>
      <c r="N147" s="330"/>
      <c r="O147" s="330"/>
      <c r="P147" s="330"/>
      <c r="Q147" s="330"/>
      <c r="R147" s="330"/>
      <c r="S147" s="330"/>
      <c r="T147" s="330"/>
      <c r="U147" s="330"/>
      <c r="V147" s="330"/>
      <c r="W147" s="330"/>
      <c r="X147" s="330"/>
    </row>
    <row r="148" spans="1:24" ht="15.75" customHeight="1">
      <c r="A148" s="330"/>
      <c r="B148" s="330"/>
      <c r="C148" s="379"/>
      <c r="D148" s="330"/>
      <c r="E148" s="330"/>
      <c r="F148" s="330"/>
      <c r="G148" s="330"/>
      <c r="H148" s="330"/>
      <c r="I148" s="330"/>
      <c r="J148" s="330"/>
      <c r="K148" s="330"/>
      <c r="L148" s="330"/>
      <c r="M148" s="330"/>
      <c r="N148" s="330"/>
      <c r="O148" s="330"/>
      <c r="P148" s="330"/>
      <c r="Q148" s="330"/>
      <c r="R148" s="330"/>
      <c r="S148" s="330"/>
      <c r="T148" s="330"/>
      <c r="U148" s="330"/>
      <c r="V148" s="330"/>
      <c r="W148" s="330"/>
      <c r="X148" s="330"/>
    </row>
    <row r="149" spans="1:24" ht="15.75" customHeight="1">
      <c r="A149" s="330"/>
      <c r="B149" s="330"/>
      <c r="C149" s="379"/>
      <c r="D149" s="330"/>
      <c r="E149" s="330"/>
      <c r="F149" s="330"/>
      <c r="G149" s="330"/>
      <c r="H149" s="330"/>
      <c r="I149" s="330"/>
      <c r="J149" s="330"/>
      <c r="K149" s="330"/>
      <c r="L149" s="330"/>
      <c r="M149" s="330"/>
      <c r="N149" s="330"/>
      <c r="O149" s="330"/>
      <c r="P149" s="330"/>
      <c r="Q149" s="330"/>
      <c r="R149" s="330"/>
      <c r="S149" s="330"/>
      <c r="T149" s="330"/>
      <c r="U149" s="330"/>
      <c r="V149" s="330"/>
      <c r="W149" s="330"/>
      <c r="X149" s="330"/>
    </row>
    <row r="150" spans="1:24" ht="15.75" customHeight="1">
      <c r="A150" s="330"/>
      <c r="B150" s="330"/>
      <c r="C150" s="379"/>
      <c r="D150" s="330"/>
      <c r="E150" s="330"/>
      <c r="F150" s="330"/>
      <c r="G150" s="330"/>
      <c r="H150" s="330"/>
      <c r="I150" s="330"/>
      <c r="J150" s="330"/>
      <c r="K150" s="330"/>
      <c r="L150" s="330"/>
      <c r="M150" s="330"/>
      <c r="N150" s="330"/>
      <c r="O150" s="330"/>
      <c r="P150" s="330"/>
      <c r="Q150" s="330"/>
      <c r="R150" s="330"/>
      <c r="S150" s="330"/>
      <c r="T150" s="330"/>
      <c r="U150" s="330"/>
      <c r="V150" s="330"/>
      <c r="W150" s="330"/>
      <c r="X150" s="330"/>
    </row>
    <row r="151" spans="1:24" ht="15.75" customHeight="1">
      <c r="A151" s="330"/>
      <c r="B151" s="330"/>
      <c r="C151" s="379"/>
      <c r="D151" s="330"/>
      <c r="E151" s="330"/>
      <c r="F151" s="330"/>
      <c r="G151" s="330"/>
      <c r="H151" s="330"/>
      <c r="I151" s="330"/>
      <c r="J151" s="330"/>
      <c r="K151" s="330"/>
      <c r="L151" s="330"/>
      <c r="M151" s="330"/>
      <c r="N151" s="330"/>
      <c r="O151" s="330"/>
      <c r="P151" s="330"/>
      <c r="Q151" s="330"/>
      <c r="R151" s="330"/>
      <c r="S151" s="330"/>
      <c r="T151" s="330"/>
      <c r="U151" s="330"/>
      <c r="V151" s="330"/>
      <c r="W151" s="330"/>
      <c r="X151" s="330"/>
    </row>
    <row r="152" spans="1:24" ht="15.75" customHeight="1">
      <c r="A152" s="330"/>
      <c r="B152" s="330"/>
      <c r="C152" s="379"/>
      <c r="D152" s="330"/>
      <c r="E152" s="330"/>
      <c r="F152" s="330"/>
      <c r="G152" s="330"/>
      <c r="H152" s="330"/>
      <c r="I152" s="330"/>
      <c r="J152" s="330"/>
      <c r="K152" s="330"/>
      <c r="L152" s="330"/>
      <c r="M152" s="330"/>
      <c r="N152" s="330"/>
      <c r="O152" s="330"/>
      <c r="P152" s="330"/>
      <c r="Q152" s="330"/>
      <c r="R152" s="330"/>
      <c r="S152" s="330"/>
      <c r="T152" s="330"/>
      <c r="U152" s="330"/>
      <c r="V152" s="330"/>
      <c r="W152" s="330"/>
      <c r="X152" s="330"/>
    </row>
    <row r="153" spans="1:24" ht="15.75" customHeight="1">
      <c r="A153" s="330"/>
      <c r="B153" s="330"/>
      <c r="C153" s="379"/>
      <c r="D153" s="330"/>
      <c r="E153" s="330"/>
      <c r="F153" s="330"/>
      <c r="G153" s="330"/>
      <c r="H153" s="330"/>
      <c r="I153" s="330"/>
      <c r="J153" s="330"/>
      <c r="K153" s="330"/>
      <c r="L153" s="330"/>
      <c r="M153" s="330"/>
      <c r="N153" s="330"/>
      <c r="O153" s="330"/>
      <c r="P153" s="330"/>
      <c r="Q153" s="330"/>
      <c r="R153" s="330"/>
      <c r="S153" s="330"/>
      <c r="T153" s="330"/>
      <c r="U153" s="330"/>
      <c r="V153" s="330"/>
      <c r="W153" s="330"/>
      <c r="X153" s="330"/>
    </row>
    <row r="154" spans="1:24" ht="15.75" customHeight="1">
      <c r="A154" s="330"/>
      <c r="B154" s="330"/>
      <c r="C154" s="379"/>
      <c r="D154" s="330"/>
      <c r="E154" s="330"/>
      <c r="F154" s="330"/>
      <c r="G154" s="330"/>
      <c r="H154" s="330"/>
      <c r="I154" s="330"/>
      <c r="J154" s="330"/>
      <c r="K154" s="330"/>
      <c r="L154" s="330"/>
      <c r="M154" s="330"/>
      <c r="N154" s="330"/>
      <c r="O154" s="330"/>
      <c r="P154" s="330"/>
      <c r="Q154" s="330"/>
      <c r="R154" s="330"/>
      <c r="S154" s="330"/>
      <c r="T154" s="330"/>
      <c r="U154" s="330"/>
      <c r="V154" s="330"/>
      <c r="W154" s="330"/>
      <c r="X154" s="330"/>
    </row>
    <row r="155" spans="1:24" ht="15.75" customHeight="1">
      <c r="A155" s="330"/>
      <c r="B155" s="330"/>
      <c r="C155" s="379"/>
      <c r="D155" s="330"/>
      <c r="E155" s="330"/>
      <c r="F155" s="330"/>
      <c r="G155" s="330"/>
      <c r="H155" s="330"/>
      <c r="I155" s="330"/>
      <c r="J155" s="330"/>
      <c r="K155" s="330"/>
      <c r="L155" s="330"/>
      <c r="M155" s="330"/>
      <c r="N155" s="330"/>
      <c r="O155" s="330"/>
      <c r="P155" s="330"/>
      <c r="Q155" s="330"/>
      <c r="R155" s="330"/>
      <c r="S155" s="330"/>
      <c r="T155" s="330"/>
      <c r="U155" s="330"/>
      <c r="V155" s="330"/>
      <c r="W155" s="330"/>
      <c r="X155" s="330"/>
    </row>
    <row r="156" spans="1:24" ht="15.75" customHeight="1">
      <c r="A156" s="330"/>
      <c r="B156" s="330"/>
      <c r="C156" s="379"/>
      <c r="D156" s="330"/>
      <c r="E156" s="330"/>
      <c r="F156" s="330"/>
      <c r="G156" s="330"/>
      <c r="H156" s="330"/>
      <c r="I156" s="330"/>
      <c r="J156" s="330"/>
      <c r="K156" s="330"/>
      <c r="L156" s="330"/>
      <c r="M156" s="330"/>
      <c r="N156" s="330"/>
      <c r="O156" s="330"/>
      <c r="P156" s="330"/>
      <c r="Q156" s="330"/>
      <c r="R156" s="330"/>
      <c r="S156" s="330"/>
      <c r="T156" s="330"/>
      <c r="U156" s="330"/>
      <c r="V156" s="330"/>
      <c r="W156" s="330"/>
      <c r="X156" s="330"/>
    </row>
    <row r="157" spans="1:24" ht="15.75" customHeight="1">
      <c r="A157" s="330"/>
      <c r="B157" s="330"/>
      <c r="C157" s="379"/>
      <c r="D157" s="330"/>
      <c r="E157" s="330"/>
      <c r="F157" s="330"/>
      <c r="G157" s="330"/>
      <c r="H157" s="330"/>
      <c r="I157" s="330"/>
      <c r="J157" s="330"/>
      <c r="K157" s="330"/>
      <c r="L157" s="330"/>
      <c r="M157" s="330"/>
      <c r="N157" s="330"/>
      <c r="O157" s="330"/>
      <c r="P157" s="330"/>
      <c r="Q157" s="330"/>
      <c r="R157" s="330"/>
      <c r="S157" s="330"/>
      <c r="T157" s="330"/>
      <c r="U157" s="330"/>
      <c r="V157" s="330"/>
      <c r="W157" s="330"/>
      <c r="X157" s="330"/>
    </row>
    <row r="158" spans="1:24" ht="15.75" customHeight="1">
      <c r="A158" s="330"/>
      <c r="B158" s="330"/>
      <c r="C158" s="379"/>
      <c r="D158" s="330"/>
      <c r="E158" s="330"/>
      <c r="F158" s="330"/>
      <c r="G158" s="330"/>
      <c r="H158" s="330"/>
      <c r="I158" s="330"/>
      <c r="J158" s="330"/>
      <c r="K158" s="330"/>
      <c r="L158" s="330"/>
      <c r="M158" s="330"/>
      <c r="N158" s="330"/>
      <c r="O158" s="330"/>
      <c r="P158" s="330"/>
      <c r="Q158" s="330"/>
      <c r="R158" s="330"/>
      <c r="S158" s="330"/>
      <c r="T158" s="330"/>
      <c r="U158" s="330"/>
      <c r="V158" s="330"/>
      <c r="W158" s="330"/>
      <c r="X158" s="330"/>
    </row>
    <row r="159" spans="1:24" ht="15.75" customHeight="1">
      <c r="A159" s="330"/>
      <c r="B159" s="330"/>
      <c r="C159" s="379"/>
      <c r="D159" s="330"/>
      <c r="E159" s="330"/>
      <c r="F159" s="330"/>
      <c r="G159" s="330"/>
      <c r="H159" s="330"/>
      <c r="I159" s="330"/>
      <c r="J159" s="330"/>
      <c r="K159" s="330"/>
      <c r="L159" s="330"/>
      <c r="M159" s="330"/>
      <c r="N159" s="330"/>
      <c r="O159" s="330"/>
      <c r="P159" s="330"/>
      <c r="Q159" s="330"/>
      <c r="R159" s="330"/>
      <c r="S159" s="330"/>
      <c r="T159" s="330"/>
      <c r="U159" s="330"/>
      <c r="V159" s="330"/>
      <c r="W159" s="330"/>
      <c r="X159" s="330"/>
    </row>
    <row r="160" spans="1:24" ht="15.75" customHeight="1">
      <c r="A160" s="330"/>
      <c r="B160" s="330"/>
      <c r="C160" s="379"/>
      <c r="D160" s="330"/>
      <c r="E160" s="330"/>
      <c r="F160" s="330"/>
      <c r="G160" s="330"/>
      <c r="H160" s="330"/>
      <c r="I160" s="330"/>
      <c r="J160" s="330"/>
      <c r="K160" s="330"/>
      <c r="L160" s="330"/>
      <c r="M160" s="330"/>
      <c r="N160" s="330"/>
      <c r="O160" s="330"/>
      <c r="P160" s="330"/>
      <c r="Q160" s="330"/>
      <c r="R160" s="330"/>
      <c r="S160" s="330"/>
      <c r="T160" s="330"/>
      <c r="U160" s="330"/>
      <c r="V160" s="330"/>
      <c r="W160" s="330"/>
      <c r="X160" s="330"/>
    </row>
    <row r="161" spans="1:24" ht="15.75" customHeight="1">
      <c r="A161" s="330"/>
      <c r="B161" s="330"/>
      <c r="C161" s="379"/>
      <c r="D161" s="330"/>
      <c r="E161" s="330"/>
      <c r="F161" s="330"/>
      <c r="G161" s="330"/>
      <c r="H161" s="330"/>
      <c r="I161" s="330"/>
      <c r="J161" s="330"/>
      <c r="K161" s="330"/>
      <c r="L161" s="330"/>
      <c r="M161" s="330"/>
      <c r="N161" s="330"/>
      <c r="O161" s="330"/>
      <c r="P161" s="330"/>
      <c r="Q161" s="330"/>
      <c r="R161" s="330"/>
      <c r="S161" s="330"/>
      <c r="T161" s="330"/>
      <c r="U161" s="330"/>
      <c r="V161" s="330"/>
      <c r="W161" s="330"/>
      <c r="X161" s="330"/>
    </row>
    <row r="162" spans="1:24" ht="15.75" customHeight="1">
      <c r="A162" s="330"/>
      <c r="B162" s="330"/>
      <c r="C162" s="379"/>
      <c r="D162" s="330"/>
      <c r="E162" s="330"/>
      <c r="F162" s="330"/>
      <c r="G162" s="330"/>
      <c r="H162" s="330"/>
      <c r="I162" s="330"/>
      <c r="J162" s="330"/>
      <c r="K162" s="330"/>
      <c r="L162" s="330"/>
      <c r="M162" s="330"/>
      <c r="N162" s="330"/>
      <c r="O162" s="330"/>
      <c r="P162" s="330"/>
      <c r="Q162" s="330"/>
      <c r="R162" s="330"/>
      <c r="S162" s="330"/>
      <c r="T162" s="330"/>
      <c r="U162" s="330"/>
      <c r="V162" s="330"/>
      <c r="W162" s="330"/>
      <c r="X162" s="330"/>
    </row>
    <row r="163" spans="1:24" ht="15.75" customHeight="1">
      <c r="A163" s="330"/>
      <c r="B163" s="330"/>
      <c r="C163" s="379"/>
      <c r="D163" s="330"/>
      <c r="E163" s="330"/>
      <c r="F163" s="330"/>
      <c r="G163" s="330"/>
      <c r="H163" s="330"/>
      <c r="I163" s="330"/>
      <c r="J163" s="330"/>
      <c r="K163" s="330"/>
      <c r="L163" s="330"/>
      <c r="M163" s="330"/>
      <c r="N163" s="330"/>
      <c r="O163" s="330"/>
      <c r="P163" s="330"/>
      <c r="Q163" s="330"/>
      <c r="R163" s="330"/>
      <c r="S163" s="330"/>
      <c r="T163" s="330"/>
      <c r="U163" s="330"/>
      <c r="V163" s="330"/>
      <c r="W163" s="330"/>
      <c r="X163" s="330"/>
    </row>
    <row r="164" spans="1:24" ht="15.75" customHeight="1">
      <c r="A164" s="330"/>
      <c r="B164" s="330"/>
      <c r="C164" s="379"/>
      <c r="D164" s="330"/>
      <c r="E164" s="330"/>
      <c r="F164" s="330"/>
      <c r="G164" s="330"/>
      <c r="H164" s="330"/>
      <c r="I164" s="330"/>
      <c r="J164" s="330"/>
      <c r="K164" s="330"/>
      <c r="L164" s="330"/>
      <c r="M164" s="330"/>
      <c r="N164" s="330"/>
      <c r="O164" s="330"/>
      <c r="P164" s="330"/>
      <c r="Q164" s="330"/>
      <c r="R164" s="330"/>
      <c r="S164" s="330"/>
      <c r="T164" s="330"/>
      <c r="U164" s="330"/>
      <c r="V164" s="330"/>
      <c r="W164" s="330"/>
      <c r="X164" s="330"/>
    </row>
    <row r="165" spans="1:24" ht="15.75" customHeight="1">
      <c r="A165" s="330"/>
      <c r="B165" s="330"/>
      <c r="C165" s="379"/>
      <c r="D165" s="330"/>
      <c r="E165" s="330"/>
      <c r="F165" s="330"/>
      <c r="G165" s="330"/>
      <c r="H165" s="330"/>
      <c r="I165" s="330"/>
      <c r="J165" s="330"/>
      <c r="K165" s="330"/>
      <c r="L165" s="330"/>
      <c r="M165" s="330"/>
      <c r="N165" s="330"/>
      <c r="O165" s="330"/>
      <c r="P165" s="330"/>
      <c r="Q165" s="330"/>
      <c r="R165" s="330"/>
      <c r="S165" s="330"/>
      <c r="T165" s="330"/>
      <c r="U165" s="330"/>
      <c r="V165" s="330"/>
      <c r="W165" s="330"/>
      <c r="X165" s="330"/>
    </row>
    <row r="166" spans="1:24" ht="15.75" customHeight="1">
      <c r="A166" s="330"/>
      <c r="B166" s="330"/>
      <c r="C166" s="379"/>
      <c r="D166" s="330"/>
      <c r="E166" s="330"/>
      <c r="F166" s="330"/>
      <c r="G166" s="330"/>
      <c r="H166" s="330"/>
      <c r="I166" s="330"/>
      <c r="J166" s="330"/>
      <c r="K166" s="330"/>
      <c r="L166" s="330"/>
      <c r="M166" s="330"/>
      <c r="N166" s="330"/>
      <c r="O166" s="330"/>
      <c r="P166" s="330"/>
      <c r="Q166" s="330"/>
      <c r="R166" s="330"/>
      <c r="S166" s="330"/>
      <c r="T166" s="330"/>
      <c r="U166" s="330"/>
      <c r="V166" s="330"/>
      <c r="W166" s="330"/>
      <c r="X166" s="330"/>
    </row>
    <row r="167" spans="1:24" ht="15.75" customHeight="1">
      <c r="A167" s="330"/>
      <c r="B167" s="330"/>
      <c r="C167" s="379"/>
      <c r="D167" s="330"/>
      <c r="E167" s="330"/>
      <c r="F167" s="330"/>
      <c r="G167" s="330"/>
      <c r="H167" s="330"/>
      <c r="I167" s="330"/>
      <c r="J167" s="330"/>
      <c r="K167" s="330"/>
      <c r="L167" s="330"/>
      <c r="M167" s="330"/>
      <c r="N167" s="330"/>
      <c r="O167" s="330"/>
      <c r="P167" s="330"/>
      <c r="Q167" s="330"/>
      <c r="R167" s="330"/>
      <c r="S167" s="330"/>
      <c r="T167" s="330"/>
      <c r="U167" s="330"/>
      <c r="V167" s="330"/>
      <c r="W167" s="330"/>
      <c r="X167" s="330"/>
    </row>
    <row r="168" spans="1:24" ht="15.75" customHeight="1">
      <c r="A168" s="330"/>
      <c r="B168" s="330"/>
      <c r="C168" s="379"/>
      <c r="D168" s="330"/>
      <c r="E168" s="330"/>
      <c r="F168" s="330"/>
      <c r="G168" s="330"/>
      <c r="H168" s="330"/>
      <c r="I168" s="330"/>
      <c r="J168" s="330"/>
      <c r="K168" s="330"/>
      <c r="L168" s="330"/>
      <c r="M168" s="330"/>
      <c r="N168" s="330"/>
      <c r="O168" s="330"/>
      <c r="P168" s="330"/>
      <c r="Q168" s="330"/>
      <c r="R168" s="330"/>
      <c r="S168" s="330"/>
      <c r="T168" s="330"/>
      <c r="U168" s="330"/>
      <c r="V168" s="330"/>
      <c r="W168" s="330"/>
      <c r="X168" s="330"/>
    </row>
    <row r="169" spans="1:24" ht="15.75" customHeight="1">
      <c r="A169" s="330"/>
      <c r="B169" s="330"/>
      <c r="C169" s="379"/>
      <c r="D169" s="330"/>
      <c r="E169" s="330"/>
      <c r="F169" s="330"/>
      <c r="G169" s="330"/>
      <c r="H169" s="330"/>
      <c r="I169" s="330"/>
      <c r="J169" s="330"/>
      <c r="K169" s="330"/>
      <c r="L169" s="330"/>
      <c r="M169" s="330"/>
      <c r="N169" s="330"/>
      <c r="O169" s="330"/>
      <c r="P169" s="330"/>
      <c r="Q169" s="330"/>
      <c r="R169" s="330"/>
      <c r="S169" s="330"/>
      <c r="T169" s="330"/>
      <c r="U169" s="330"/>
      <c r="V169" s="330"/>
      <c r="W169" s="330"/>
      <c r="X169" s="330"/>
    </row>
    <row r="170" spans="1:24" ht="15.75" customHeight="1">
      <c r="A170" s="330"/>
      <c r="B170" s="330"/>
      <c r="C170" s="379"/>
      <c r="D170" s="330"/>
      <c r="E170" s="330"/>
      <c r="F170" s="330"/>
      <c r="G170" s="330"/>
      <c r="H170" s="330"/>
      <c r="I170" s="330"/>
      <c r="J170" s="330"/>
      <c r="K170" s="330"/>
      <c r="L170" s="330"/>
      <c r="M170" s="330"/>
      <c r="N170" s="330"/>
      <c r="O170" s="330"/>
      <c r="P170" s="330"/>
      <c r="Q170" s="330"/>
      <c r="R170" s="330"/>
      <c r="S170" s="330"/>
      <c r="T170" s="330"/>
      <c r="U170" s="330"/>
      <c r="V170" s="330"/>
      <c r="W170" s="330"/>
      <c r="X170" s="330"/>
    </row>
    <row r="171" spans="1:24" ht="15.75" customHeight="1">
      <c r="A171" s="330"/>
      <c r="B171" s="330"/>
      <c r="C171" s="379"/>
      <c r="D171" s="330"/>
      <c r="E171" s="330"/>
      <c r="F171" s="330"/>
      <c r="G171" s="330"/>
      <c r="H171" s="330"/>
      <c r="I171" s="330"/>
      <c r="J171" s="330"/>
      <c r="K171" s="330"/>
      <c r="L171" s="330"/>
      <c r="M171" s="330"/>
      <c r="N171" s="330"/>
      <c r="O171" s="330"/>
      <c r="P171" s="330"/>
      <c r="Q171" s="330"/>
      <c r="R171" s="330"/>
      <c r="S171" s="330"/>
      <c r="T171" s="330"/>
      <c r="U171" s="330"/>
      <c r="V171" s="330"/>
      <c r="W171" s="330"/>
      <c r="X171" s="330"/>
    </row>
    <row r="172" spans="1:24" ht="15.75" customHeight="1">
      <c r="A172" s="330"/>
      <c r="B172" s="330"/>
      <c r="C172" s="379"/>
      <c r="D172" s="330"/>
      <c r="E172" s="330"/>
      <c r="F172" s="330"/>
      <c r="G172" s="330"/>
      <c r="H172" s="330"/>
      <c r="I172" s="330"/>
      <c r="J172" s="330"/>
      <c r="K172" s="330"/>
      <c r="L172" s="330"/>
      <c r="M172" s="330"/>
      <c r="N172" s="330"/>
      <c r="O172" s="330"/>
      <c r="P172" s="330"/>
      <c r="Q172" s="330"/>
      <c r="R172" s="330"/>
      <c r="S172" s="330"/>
      <c r="T172" s="330"/>
      <c r="U172" s="330"/>
      <c r="V172" s="330"/>
      <c r="W172" s="330"/>
      <c r="X172" s="330"/>
    </row>
    <row r="173" spans="1:24" ht="15.75" customHeight="1">
      <c r="A173" s="330"/>
      <c r="B173" s="330"/>
      <c r="C173" s="379"/>
      <c r="D173" s="330"/>
      <c r="E173" s="330"/>
      <c r="F173" s="330"/>
      <c r="G173" s="330"/>
      <c r="H173" s="330"/>
      <c r="I173" s="330"/>
      <c r="J173" s="330"/>
      <c r="K173" s="330"/>
      <c r="L173" s="330"/>
      <c r="M173" s="330"/>
      <c r="N173" s="330"/>
      <c r="O173" s="330"/>
      <c r="P173" s="330"/>
      <c r="Q173" s="330"/>
      <c r="R173" s="330"/>
      <c r="S173" s="330"/>
      <c r="T173" s="330"/>
      <c r="U173" s="330"/>
      <c r="V173" s="330"/>
      <c r="W173" s="330"/>
      <c r="X173" s="330"/>
    </row>
    <row r="174" spans="1:24" ht="15.75" customHeight="1">
      <c r="A174" s="330"/>
      <c r="B174" s="330"/>
      <c r="C174" s="379"/>
      <c r="D174" s="330"/>
      <c r="E174" s="330"/>
      <c r="F174" s="330"/>
      <c r="G174" s="330"/>
      <c r="H174" s="330"/>
      <c r="I174" s="330"/>
      <c r="J174" s="330"/>
      <c r="K174" s="330"/>
      <c r="L174" s="330"/>
      <c r="M174" s="330"/>
      <c r="N174" s="330"/>
      <c r="O174" s="330"/>
      <c r="P174" s="330"/>
      <c r="Q174" s="330"/>
      <c r="R174" s="330"/>
      <c r="S174" s="330"/>
      <c r="T174" s="330"/>
      <c r="U174" s="330"/>
      <c r="V174" s="330"/>
      <c r="W174" s="330"/>
      <c r="X174" s="330"/>
    </row>
    <row r="175" spans="1:24" ht="15.75" customHeight="1">
      <c r="A175" s="330"/>
      <c r="B175" s="330"/>
      <c r="C175" s="379"/>
      <c r="D175" s="330"/>
      <c r="E175" s="330"/>
      <c r="F175" s="330"/>
      <c r="G175" s="330"/>
      <c r="H175" s="330"/>
      <c r="I175" s="330"/>
      <c r="J175" s="330"/>
      <c r="K175" s="330"/>
      <c r="L175" s="330"/>
      <c r="M175" s="330"/>
      <c r="N175" s="330"/>
      <c r="O175" s="330"/>
      <c r="P175" s="330"/>
      <c r="Q175" s="330"/>
      <c r="R175" s="330"/>
      <c r="S175" s="330"/>
      <c r="T175" s="330"/>
      <c r="U175" s="330"/>
      <c r="V175" s="330"/>
      <c r="W175" s="330"/>
      <c r="X175" s="330"/>
    </row>
    <row r="176" spans="1:24" ht="15.75" customHeight="1">
      <c r="A176" s="330"/>
      <c r="B176" s="330"/>
      <c r="C176" s="379"/>
      <c r="D176" s="330"/>
      <c r="E176" s="330"/>
      <c r="F176" s="330"/>
      <c r="G176" s="330"/>
      <c r="H176" s="330"/>
      <c r="I176" s="330"/>
      <c r="J176" s="330"/>
      <c r="K176" s="330"/>
      <c r="L176" s="330"/>
      <c r="M176" s="330"/>
      <c r="N176" s="330"/>
      <c r="O176" s="330"/>
      <c r="P176" s="330"/>
      <c r="Q176" s="330"/>
      <c r="R176" s="330"/>
      <c r="S176" s="330"/>
      <c r="T176" s="330"/>
      <c r="U176" s="330"/>
      <c r="V176" s="330"/>
      <c r="W176" s="330"/>
      <c r="X176" s="330"/>
    </row>
    <row r="177" spans="1:24" ht="15.75" customHeight="1">
      <c r="A177" s="330"/>
      <c r="B177" s="330"/>
      <c r="C177" s="379"/>
      <c r="D177" s="330"/>
      <c r="E177" s="330"/>
      <c r="F177" s="330"/>
      <c r="G177" s="330"/>
      <c r="H177" s="330"/>
      <c r="I177" s="330"/>
      <c r="J177" s="330"/>
      <c r="K177" s="330"/>
      <c r="L177" s="330"/>
      <c r="M177" s="330"/>
      <c r="N177" s="330"/>
      <c r="O177" s="330"/>
      <c r="P177" s="330"/>
      <c r="Q177" s="330"/>
      <c r="R177" s="330"/>
      <c r="S177" s="330"/>
      <c r="T177" s="330"/>
      <c r="U177" s="330"/>
      <c r="V177" s="330"/>
      <c r="W177" s="330"/>
      <c r="X177" s="330"/>
    </row>
    <row r="178" spans="1:24" ht="15.75" customHeight="1">
      <c r="A178" s="330"/>
      <c r="B178" s="330"/>
      <c r="C178" s="379"/>
      <c r="D178" s="330"/>
      <c r="E178" s="330"/>
      <c r="F178" s="330"/>
      <c r="G178" s="330"/>
      <c r="H178" s="330"/>
      <c r="I178" s="330"/>
      <c r="J178" s="330"/>
      <c r="K178" s="330"/>
      <c r="L178" s="330"/>
      <c r="M178" s="330"/>
      <c r="N178" s="330"/>
      <c r="O178" s="330"/>
      <c r="P178" s="330"/>
      <c r="Q178" s="330"/>
      <c r="R178" s="330"/>
      <c r="S178" s="330"/>
      <c r="T178" s="330"/>
      <c r="U178" s="330"/>
      <c r="V178" s="330"/>
      <c r="W178" s="330"/>
      <c r="X178" s="330"/>
    </row>
    <row r="179" spans="1:24" ht="15.75" customHeight="1">
      <c r="A179" s="330"/>
      <c r="B179" s="330"/>
      <c r="C179" s="379"/>
      <c r="D179" s="330"/>
      <c r="E179" s="330"/>
      <c r="F179" s="330"/>
      <c r="G179" s="330"/>
      <c r="H179" s="330"/>
      <c r="I179" s="330"/>
      <c r="J179" s="330"/>
      <c r="K179" s="330"/>
      <c r="L179" s="330"/>
      <c r="M179" s="330"/>
      <c r="N179" s="330"/>
      <c r="O179" s="330"/>
      <c r="P179" s="330"/>
      <c r="Q179" s="330"/>
      <c r="R179" s="330"/>
      <c r="S179" s="330"/>
      <c r="T179" s="330"/>
      <c r="U179" s="330"/>
      <c r="V179" s="330"/>
      <c r="W179" s="330"/>
      <c r="X179" s="330"/>
    </row>
    <row r="180" spans="1:24" ht="15.75" customHeight="1">
      <c r="A180" s="330"/>
      <c r="B180" s="330"/>
      <c r="C180" s="379"/>
      <c r="D180" s="330"/>
      <c r="E180" s="330"/>
      <c r="F180" s="330"/>
      <c r="G180" s="330"/>
      <c r="H180" s="330"/>
      <c r="I180" s="330"/>
      <c r="J180" s="330"/>
      <c r="K180" s="330"/>
      <c r="L180" s="330"/>
      <c r="M180" s="330"/>
      <c r="N180" s="330"/>
      <c r="O180" s="330"/>
      <c r="P180" s="330"/>
      <c r="Q180" s="330"/>
      <c r="R180" s="330"/>
      <c r="S180" s="330"/>
      <c r="T180" s="330"/>
      <c r="U180" s="330"/>
      <c r="V180" s="330"/>
      <c r="W180" s="330"/>
      <c r="X180" s="330"/>
    </row>
    <row r="181" spans="1:24" ht="15.75" customHeight="1">
      <c r="A181" s="330"/>
      <c r="B181" s="330"/>
      <c r="C181" s="379"/>
      <c r="D181" s="330"/>
      <c r="E181" s="330"/>
      <c r="F181" s="330"/>
      <c r="G181" s="330"/>
      <c r="H181" s="330"/>
      <c r="I181" s="330"/>
      <c r="J181" s="330"/>
      <c r="K181" s="330"/>
      <c r="L181" s="330"/>
      <c r="M181" s="330"/>
      <c r="N181" s="330"/>
      <c r="O181" s="330"/>
      <c r="P181" s="330"/>
      <c r="Q181" s="330"/>
      <c r="R181" s="330"/>
      <c r="S181" s="330"/>
      <c r="T181" s="330"/>
      <c r="U181" s="330"/>
      <c r="V181" s="330"/>
      <c r="W181" s="330"/>
      <c r="X181" s="330"/>
    </row>
    <row r="182" spans="1:24" ht="15.75" customHeight="1">
      <c r="A182" s="330"/>
      <c r="B182" s="330"/>
      <c r="C182" s="379"/>
      <c r="D182" s="330"/>
      <c r="E182" s="330"/>
      <c r="F182" s="330"/>
      <c r="G182" s="330"/>
      <c r="H182" s="330"/>
      <c r="I182" s="330"/>
      <c r="J182" s="330"/>
      <c r="K182" s="330"/>
      <c r="L182" s="330"/>
      <c r="M182" s="330"/>
      <c r="N182" s="330"/>
      <c r="O182" s="330"/>
      <c r="P182" s="330"/>
      <c r="Q182" s="330"/>
      <c r="R182" s="330"/>
      <c r="S182" s="330"/>
      <c r="T182" s="330"/>
      <c r="U182" s="330"/>
      <c r="V182" s="330"/>
      <c r="W182" s="330"/>
      <c r="X182" s="330"/>
    </row>
    <row r="183" spans="1:24" ht="15.75" customHeight="1">
      <c r="A183" s="330"/>
      <c r="B183" s="330"/>
      <c r="C183" s="379"/>
      <c r="D183" s="330"/>
      <c r="E183" s="330"/>
      <c r="F183" s="330"/>
      <c r="G183" s="330"/>
      <c r="H183" s="330"/>
      <c r="I183" s="330"/>
      <c r="J183" s="330"/>
      <c r="K183" s="330"/>
      <c r="L183" s="330"/>
      <c r="M183" s="330"/>
      <c r="N183" s="330"/>
      <c r="O183" s="330"/>
      <c r="P183" s="330"/>
      <c r="Q183" s="330"/>
      <c r="R183" s="330"/>
      <c r="S183" s="330"/>
      <c r="T183" s="330"/>
      <c r="U183" s="330"/>
      <c r="V183" s="330"/>
      <c r="W183" s="330"/>
      <c r="X183" s="330"/>
    </row>
    <row r="184" spans="1:24" ht="15.75" customHeight="1">
      <c r="A184" s="330"/>
      <c r="B184" s="330"/>
      <c r="C184" s="379"/>
      <c r="D184" s="330"/>
      <c r="E184" s="330"/>
      <c r="F184" s="330"/>
      <c r="G184" s="330"/>
      <c r="H184" s="330"/>
      <c r="I184" s="330"/>
      <c r="J184" s="330"/>
      <c r="K184" s="330"/>
      <c r="L184" s="330"/>
      <c r="M184" s="330"/>
      <c r="N184" s="330"/>
      <c r="O184" s="330"/>
      <c r="P184" s="330"/>
      <c r="Q184" s="330"/>
      <c r="R184" s="330"/>
      <c r="S184" s="330"/>
      <c r="T184" s="330"/>
      <c r="U184" s="330"/>
      <c r="V184" s="330"/>
      <c r="W184" s="330"/>
      <c r="X184" s="330"/>
    </row>
    <row r="185" spans="1:24" ht="15.75" customHeight="1">
      <c r="A185" s="330"/>
      <c r="B185" s="330"/>
      <c r="C185" s="379"/>
      <c r="D185" s="330"/>
      <c r="E185" s="330"/>
      <c r="F185" s="330"/>
      <c r="G185" s="330"/>
      <c r="H185" s="330"/>
      <c r="I185" s="330"/>
      <c r="J185" s="330"/>
      <c r="K185" s="330"/>
      <c r="L185" s="330"/>
      <c r="M185" s="330"/>
      <c r="N185" s="330"/>
      <c r="O185" s="330"/>
      <c r="P185" s="330"/>
      <c r="Q185" s="330"/>
      <c r="R185" s="330"/>
      <c r="S185" s="330"/>
      <c r="T185" s="330"/>
      <c r="U185" s="330"/>
      <c r="V185" s="330"/>
      <c r="W185" s="330"/>
      <c r="X185" s="330"/>
    </row>
    <row r="186" spans="1:24" ht="15.75" customHeight="1">
      <c r="A186" s="330"/>
      <c r="B186" s="330"/>
      <c r="C186" s="379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  <c r="T186" s="330"/>
      <c r="U186" s="330"/>
      <c r="V186" s="330"/>
      <c r="W186" s="330"/>
      <c r="X186" s="330"/>
    </row>
    <row r="187" spans="1:24" ht="15.75" customHeight="1">
      <c r="A187" s="330"/>
      <c r="B187" s="330"/>
      <c r="C187" s="379"/>
      <c r="D187" s="330"/>
      <c r="E187" s="330"/>
      <c r="F187" s="330"/>
      <c r="G187" s="330"/>
      <c r="H187" s="330"/>
      <c r="I187" s="330"/>
      <c r="J187" s="330"/>
      <c r="K187" s="330"/>
      <c r="L187" s="330"/>
      <c r="M187" s="330"/>
      <c r="N187" s="330"/>
      <c r="O187" s="330"/>
      <c r="P187" s="330"/>
      <c r="Q187" s="330"/>
      <c r="R187" s="330"/>
      <c r="S187" s="330"/>
      <c r="T187" s="330"/>
      <c r="U187" s="330"/>
      <c r="V187" s="330"/>
      <c r="W187" s="330"/>
      <c r="X187" s="330"/>
    </row>
    <row r="188" spans="1:24" ht="15.75" customHeight="1">
      <c r="A188" s="330"/>
      <c r="B188" s="330"/>
      <c r="C188" s="379"/>
      <c r="D188" s="330"/>
      <c r="E188" s="330"/>
      <c r="F188" s="330"/>
      <c r="G188" s="330"/>
      <c r="H188" s="330"/>
      <c r="I188" s="330"/>
      <c r="J188" s="330"/>
      <c r="K188" s="330"/>
      <c r="L188" s="330"/>
      <c r="M188" s="330"/>
      <c r="N188" s="330"/>
      <c r="O188" s="330"/>
      <c r="P188" s="330"/>
      <c r="Q188" s="330"/>
      <c r="R188" s="330"/>
      <c r="S188" s="330"/>
      <c r="T188" s="330"/>
      <c r="U188" s="330"/>
      <c r="V188" s="330"/>
      <c r="W188" s="330"/>
      <c r="X188" s="330"/>
    </row>
    <row r="189" spans="1:24" ht="15.75" customHeight="1">
      <c r="A189" s="330"/>
      <c r="B189" s="330"/>
      <c r="C189" s="379"/>
      <c r="D189" s="330"/>
      <c r="E189" s="330"/>
      <c r="F189" s="330"/>
      <c r="G189" s="330"/>
      <c r="H189" s="330"/>
      <c r="I189" s="330"/>
      <c r="J189" s="330"/>
      <c r="K189" s="330"/>
      <c r="L189" s="330"/>
      <c r="M189" s="330"/>
      <c r="N189" s="330"/>
      <c r="O189" s="330"/>
      <c r="P189" s="330"/>
      <c r="Q189" s="330"/>
      <c r="R189" s="330"/>
      <c r="S189" s="330"/>
      <c r="T189" s="330"/>
      <c r="U189" s="330"/>
      <c r="V189" s="330"/>
      <c r="W189" s="330"/>
      <c r="X189" s="330"/>
    </row>
    <row r="190" spans="1:24" ht="15.75" customHeight="1">
      <c r="A190" s="330"/>
      <c r="B190" s="330"/>
      <c r="C190" s="379"/>
      <c r="D190" s="330"/>
      <c r="E190" s="330"/>
      <c r="F190" s="330"/>
      <c r="G190" s="330"/>
      <c r="H190" s="330"/>
      <c r="I190" s="330"/>
      <c r="J190" s="330"/>
      <c r="K190" s="330"/>
      <c r="L190" s="330"/>
      <c r="M190" s="330"/>
      <c r="N190" s="330"/>
      <c r="O190" s="330"/>
      <c r="P190" s="330"/>
      <c r="Q190" s="330"/>
      <c r="R190" s="330"/>
      <c r="S190" s="330"/>
      <c r="T190" s="330"/>
      <c r="U190" s="330"/>
      <c r="V190" s="330"/>
      <c r="W190" s="330"/>
      <c r="X190" s="330"/>
    </row>
    <row r="191" spans="1:24" ht="15.75" customHeight="1">
      <c r="A191" s="330"/>
      <c r="B191" s="330"/>
      <c r="C191" s="379"/>
      <c r="D191" s="330"/>
      <c r="E191" s="330"/>
      <c r="F191" s="330"/>
      <c r="G191" s="330"/>
      <c r="H191" s="330"/>
      <c r="I191" s="330"/>
      <c r="J191" s="330"/>
      <c r="K191" s="330"/>
      <c r="L191" s="330"/>
      <c r="M191" s="330"/>
      <c r="N191" s="330"/>
      <c r="O191" s="330"/>
      <c r="P191" s="330"/>
      <c r="Q191" s="330"/>
      <c r="R191" s="330"/>
      <c r="S191" s="330"/>
      <c r="T191" s="330"/>
      <c r="U191" s="330"/>
      <c r="V191" s="330"/>
      <c r="W191" s="330"/>
      <c r="X191" s="330"/>
    </row>
    <row r="192" spans="1:24" ht="15.75" customHeight="1">
      <c r="A192" s="330"/>
      <c r="B192" s="330"/>
      <c r="C192" s="379"/>
      <c r="D192" s="330"/>
      <c r="E192" s="330"/>
      <c r="F192" s="330"/>
      <c r="G192" s="330"/>
      <c r="H192" s="330"/>
      <c r="I192" s="330"/>
      <c r="J192" s="330"/>
      <c r="K192" s="330"/>
      <c r="L192" s="330"/>
      <c r="M192" s="330"/>
      <c r="N192" s="330"/>
      <c r="O192" s="330"/>
      <c r="P192" s="330"/>
      <c r="Q192" s="330"/>
      <c r="R192" s="330"/>
      <c r="S192" s="330"/>
      <c r="T192" s="330"/>
      <c r="U192" s="330"/>
      <c r="V192" s="330"/>
      <c r="W192" s="330"/>
      <c r="X192" s="330"/>
    </row>
    <row r="193" spans="1:24" ht="15.75" customHeight="1">
      <c r="A193" s="330"/>
      <c r="B193" s="330"/>
      <c r="C193" s="379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  <c r="O193" s="330"/>
      <c r="P193" s="330"/>
      <c r="Q193" s="330"/>
      <c r="R193" s="330"/>
      <c r="S193" s="330"/>
      <c r="T193" s="330"/>
      <c r="U193" s="330"/>
      <c r="V193" s="330"/>
      <c r="W193" s="330"/>
      <c r="X193" s="330"/>
    </row>
    <row r="194" spans="1:24" ht="15.75" customHeight="1">
      <c r="A194" s="330"/>
      <c r="B194" s="330"/>
      <c r="C194" s="379"/>
      <c r="D194" s="330"/>
      <c r="E194" s="330"/>
      <c r="F194" s="330"/>
      <c r="G194" s="330"/>
      <c r="H194" s="330"/>
      <c r="I194" s="330"/>
      <c r="J194" s="330"/>
      <c r="K194" s="330"/>
      <c r="L194" s="330"/>
      <c r="M194" s="330"/>
      <c r="N194" s="330"/>
      <c r="O194" s="330"/>
      <c r="P194" s="330"/>
      <c r="Q194" s="330"/>
      <c r="R194" s="330"/>
      <c r="S194" s="330"/>
      <c r="T194" s="330"/>
      <c r="U194" s="330"/>
      <c r="V194" s="330"/>
      <c r="W194" s="330"/>
      <c r="X194" s="330"/>
    </row>
    <row r="195" spans="1:24" ht="15.75" customHeight="1">
      <c r="A195" s="330"/>
      <c r="B195" s="330"/>
      <c r="C195" s="379"/>
      <c r="D195" s="330"/>
      <c r="E195" s="330"/>
      <c r="F195" s="330"/>
      <c r="G195" s="330"/>
      <c r="H195" s="330"/>
      <c r="I195" s="330"/>
      <c r="J195" s="330"/>
      <c r="K195" s="330"/>
      <c r="L195" s="330"/>
      <c r="M195" s="330"/>
      <c r="N195" s="330"/>
      <c r="O195" s="330"/>
      <c r="P195" s="330"/>
      <c r="Q195" s="330"/>
      <c r="R195" s="330"/>
      <c r="S195" s="330"/>
      <c r="T195" s="330"/>
      <c r="U195" s="330"/>
      <c r="V195" s="330"/>
      <c r="W195" s="330"/>
      <c r="X195" s="330"/>
    </row>
    <row r="196" spans="1:24" ht="15.75" customHeight="1">
      <c r="A196" s="330"/>
      <c r="B196" s="330"/>
      <c r="C196" s="379"/>
      <c r="D196" s="330"/>
      <c r="E196" s="330"/>
      <c r="F196" s="330"/>
      <c r="G196" s="330"/>
      <c r="H196" s="330"/>
      <c r="I196" s="330"/>
      <c r="J196" s="330"/>
      <c r="K196" s="330"/>
      <c r="L196" s="330"/>
      <c r="M196" s="330"/>
      <c r="N196" s="330"/>
      <c r="O196" s="330"/>
      <c r="P196" s="330"/>
      <c r="Q196" s="330"/>
      <c r="R196" s="330"/>
      <c r="S196" s="330"/>
      <c r="T196" s="330"/>
      <c r="U196" s="330"/>
      <c r="V196" s="330"/>
      <c r="W196" s="330"/>
      <c r="X196" s="330"/>
    </row>
    <row r="197" spans="1:24" ht="15.75" customHeight="1">
      <c r="A197" s="330"/>
      <c r="B197" s="330"/>
      <c r="C197" s="379"/>
      <c r="D197" s="330"/>
      <c r="E197" s="330"/>
      <c r="F197" s="330"/>
      <c r="G197" s="330"/>
      <c r="H197" s="330"/>
      <c r="I197" s="330"/>
      <c r="J197" s="330"/>
      <c r="K197" s="330"/>
      <c r="L197" s="330"/>
      <c r="M197" s="330"/>
      <c r="N197" s="330"/>
      <c r="O197" s="330"/>
      <c r="P197" s="330"/>
      <c r="Q197" s="330"/>
      <c r="R197" s="330"/>
      <c r="S197" s="330"/>
      <c r="T197" s="330"/>
      <c r="U197" s="330"/>
      <c r="V197" s="330"/>
      <c r="W197" s="330"/>
      <c r="X197" s="330"/>
    </row>
    <row r="198" spans="1:24" ht="15.75" customHeight="1">
      <c r="A198" s="330"/>
      <c r="B198" s="330"/>
      <c r="C198" s="379"/>
      <c r="D198" s="330"/>
      <c r="E198" s="330"/>
      <c r="F198" s="330"/>
      <c r="G198" s="330"/>
      <c r="H198" s="330"/>
      <c r="I198" s="330"/>
      <c r="J198" s="330"/>
      <c r="K198" s="330"/>
      <c r="L198" s="330"/>
      <c r="M198" s="330"/>
      <c r="N198" s="330"/>
      <c r="O198" s="330"/>
      <c r="P198" s="330"/>
      <c r="Q198" s="330"/>
      <c r="R198" s="330"/>
      <c r="S198" s="330"/>
      <c r="T198" s="330"/>
      <c r="U198" s="330"/>
      <c r="V198" s="330"/>
      <c r="W198" s="330"/>
      <c r="X198" s="330"/>
    </row>
    <row r="199" spans="1:24" ht="15.75" customHeight="1">
      <c r="A199" s="330"/>
      <c r="B199" s="330"/>
      <c r="C199" s="379"/>
      <c r="D199" s="330"/>
      <c r="E199" s="330"/>
      <c r="F199" s="330"/>
      <c r="G199" s="330"/>
      <c r="H199" s="330"/>
      <c r="I199" s="330"/>
      <c r="J199" s="330"/>
      <c r="K199" s="330"/>
      <c r="L199" s="330"/>
      <c r="M199" s="330"/>
      <c r="N199" s="330"/>
      <c r="O199" s="330"/>
      <c r="P199" s="330"/>
      <c r="Q199" s="330"/>
      <c r="R199" s="330"/>
      <c r="S199" s="330"/>
      <c r="T199" s="330"/>
      <c r="U199" s="330"/>
      <c r="V199" s="330"/>
      <c r="W199" s="330"/>
      <c r="X199" s="330"/>
    </row>
    <row r="200" spans="1:24" ht="15.75" customHeight="1">
      <c r="A200" s="330"/>
      <c r="B200" s="330"/>
      <c r="C200" s="379"/>
      <c r="D200" s="330"/>
      <c r="E200" s="330"/>
      <c r="F200" s="330"/>
      <c r="G200" s="330"/>
      <c r="H200" s="330"/>
      <c r="I200" s="330"/>
      <c r="J200" s="330"/>
      <c r="K200" s="330"/>
      <c r="L200" s="330"/>
      <c r="M200" s="330"/>
      <c r="N200" s="330"/>
      <c r="O200" s="330"/>
      <c r="P200" s="330"/>
      <c r="Q200" s="330"/>
      <c r="R200" s="330"/>
      <c r="S200" s="330"/>
      <c r="T200" s="330"/>
      <c r="U200" s="330"/>
      <c r="V200" s="330"/>
      <c r="W200" s="330"/>
      <c r="X200" s="330"/>
    </row>
    <row r="201" spans="1:24" ht="15.75" customHeight="1">
      <c r="A201" s="330"/>
      <c r="B201" s="330"/>
      <c r="C201" s="379"/>
      <c r="D201" s="330"/>
      <c r="E201" s="330"/>
      <c r="F201" s="330"/>
      <c r="G201" s="330"/>
      <c r="H201" s="330"/>
      <c r="I201" s="330"/>
      <c r="J201" s="330"/>
      <c r="K201" s="330"/>
      <c r="L201" s="330"/>
      <c r="M201" s="330"/>
      <c r="N201" s="330"/>
      <c r="O201" s="330"/>
      <c r="P201" s="330"/>
      <c r="Q201" s="330"/>
      <c r="R201" s="330"/>
      <c r="S201" s="330"/>
      <c r="T201" s="330"/>
      <c r="U201" s="330"/>
      <c r="V201" s="330"/>
      <c r="W201" s="330"/>
      <c r="X201" s="330"/>
    </row>
    <row r="202" spans="1:24" ht="15.75" customHeight="1">
      <c r="A202" s="330"/>
      <c r="B202" s="330"/>
      <c r="C202" s="379"/>
      <c r="D202" s="330"/>
      <c r="E202" s="330"/>
      <c r="F202" s="330"/>
      <c r="G202" s="330"/>
      <c r="H202" s="330"/>
      <c r="I202" s="330"/>
      <c r="J202" s="330"/>
      <c r="K202" s="330"/>
      <c r="L202" s="330"/>
      <c r="M202" s="330"/>
      <c r="N202" s="330"/>
      <c r="O202" s="330"/>
      <c r="P202" s="330"/>
      <c r="Q202" s="330"/>
      <c r="R202" s="330"/>
      <c r="S202" s="330"/>
      <c r="T202" s="330"/>
      <c r="U202" s="330"/>
      <c r="V202" s="330"/>
      <c r="W202" s="330"/>
      <c r="X202" s="330"/>
    </row>
    <row r="203" spans="1:24" ht="15.75" customHeight="1">
      <c r="A203" s="330"/>
      <c r="B203" s="330"/>
      <c r="C203" s="379"/>
      <c r="D203" s="330"/>
      <c r="E203" s="330"/>
      <c r="F203" s="330"/>
      <c r="G203" s="330"/>
      <c r="H203" s="330"/>
      <c r="I203" s="330"/>
      <c r="J203" s="330"/>
      <c r="K203" s="330"/>
      <c r="L203" s="330"/>
      <c r="M203" s="330"/>
      <c r="N203" s="330"/>
      <c r="O203" s="330"/>
      <c r="P203" s="330"/>
      <c r="Q203" s="330"/>
      <c r="R203" s="330"/>
      <c r="S203" s="330"/>
      <c r="T203" s="330"/>
      <c r="U203" s="330"/>
      <c r="V203" s="330"/>
      <c r="W203" s="330"/>
      <c r="X203" s="330"/>
    </row>
    <row r="204" spans="1:24" ht="15.75" customHeight="1">
      <c r="A204" s="330"/>
      <c r="B204" s="330"/>
      <c r="C204" s="379"/>
      <c r="D204" s="330"/>
      <c r="E204" s="330"/>
      <c r="F204" s="330"/>
      <c r="G204" s="330"/>
      <c r="H204" s="330"/>
      <c r="I204" s="330"/>
      <c r="J204" s="330"/>
      <c r="K204" s="330"/>
      <c r="L204" s="330"/>
      <c r="M204" s="330"/>
      <c r="N204" s="330"/>
      <c r="O204" s="330"/>
      <c r="P204" s="330"/>
      <c r="Q204" s="330"/>
      <c r="R204" s="330"/>
      <c r="S204" s="330"/>
      <c r="T204" s="330"/>
      <c r="U204" s="330"/>
      <c r="V204" s="330"/>
      <c r="W204" s="330"/>
      <c r="X204" s="330"/>
    </row>
    <row r="205" spans="1:24" ht="15.75" customHeight="1">
      <c r="A205" s="330"/>
      <c r="B205" s="330"/>
      <c r="C205" s="379"/>
      <c r="D205" s="330"/>
      <c r="E205" s="330"/>
      <c r="F205" s="330"/>
      <c r="G205" s="330"/>
      <c r="H205" s="330"/>
      <c r="I205" s="330"/>
      <c r="J205" s="330"/>
      <c r="K205" s="330"/>
      <c r="L205" s="330"/>
      <c r="M205" s="330"/>
      <c r="N205" s="330"/>
      <c r="O205" s="330"/>
      <c r="P205" s="330"/>
      <c r="Q205" s="330"/>
      <c r="R205" s="330"/>
      <c r="S205" s="330"/>
      <c r="T205" s="330"/>
      <c r="U205" s="330"/>
      <c r="V205" s="330"/>
      <c r="W205" s="330"/>
      <c r="X205" s="330"/>
    </row>
    <row r="206" spans="1:24" ht="15.75" customHeight="1">
      <c r="A206" s="330"/>
      <c r="B206" s="330"/>
      <c r="C206" s="379"/>
      <c r="D206" s="330"/>
      <c r="E206" s="330"/>
      <c r="F206" s="330"/>
      <c r="G206" s="330"/>
      <c r="H206" s="330"/>
      <c r="I206" s="330"/>
      <c r="J206" s="330"/>
      <c r="K206" s="330"/>
      <c r="L206" s="330"/>
      <c r="M206" s="330"/>
      <c r="N206" s="330"/>
      <c r="O206" s="330"/>
      <c r="P206" s="330"/>
      <c r="Q206" s="330"/>
      <c r="R206" s="330"/>
      <c r="S206" s="330"/>
      <c r="T206" s="330"/>
      <c r="U206" s="330"/>
      <c r="V206" s="330"/>
      <c r="W206" s="330"/>
      <c r="X206" s="330"/>
    </row>
    <row r="207" spans="1:24" ht="15.75" customHeight="1">
      <c r="A207" s="330"/>
      <c r="B207" s="330"/>
      <c r="C207" s="379"/>
      <c r="D207" s="330"/>
      <c r="E207" s="330"/>
      <c r="F207" s="330"/>
      <c r="G207" s="330"/>
      <c r="H207" s="330"/>
      <c r="I207" s="330"/>
      <c r="J207" s="330"/>
      <c r="K207" s="330"/>
      <c r="L207" s="330"/>
      <c r="M207" s="330"/>
      <c r="N207" s="330"/>
      <c r="O207" s="330"/>
      <c r="P207" s="330"/>
      <c r="Q207" s="330"/>
      <c r="R207" s="330"/>
      <c r="S207" s="330"/>
      <c r="T207" s="330"/>
      <c r="U207" s="330"/>
      <c r="V207" s="330"/>
      <c r="W207" s="330"/>
      <c r="X207" s="330"/>
    </row>
    <row r="208" spans="1:24" ht="15.75" customHeight="1">
      <c r="A208" s="330"/>
      <c r="B208" s="330"/>
      <c r="C208" s="379"/>
      <c r="D208" s="330"/>
      <c r="E208" s="330"/>
      <c r="F208" s="330"/>
      <c r="G208" s="330"/>
      <c r="H208" s="330"/>
      <c r="I208" s="330"/>
      <c r="J208" s="330"/>
      <c r="K208" s="330"/>
      <c r="L208" s="330"/>
      <c r="M208" s="330"/>
      <c r="N208" s="330"/>
      <c r="O208" s="330"/>
      <c r="P208" s="330"/>
      <c r="Q208" s="330"/>
      <c r="R208" s="330"/>
      <c r="S208" s="330"/>
      <c r="T208" s="330"/>
      <c r="U208" s="330"/>
      <c r="V208" s="330"/>
      <c r="W208" s="330"/>
      <c r="X208" s="330"/>
    </row>
    <row r="209" spans="1:24" ht="15.75" customHeight="1">
      <c r="A209" s="330"/>
      <c r="B209" s="330"/>
      <c r="C209" s="379"/>
      <c r="D209" s="330"/>
      <c r="E209" s="330"/>
      <c r="F209" s="330"/>
      <c r="G209" s="330"/>
      <c r="H209" s="330"/>
      <c r="I209" s="330"/>
      <c r="J209" s="330"/>
      <c r="K209" s="330"/>
      <c r="L209" s="330"/>
      <c r="M209" s="330"/>
      <c r="N209" s="330"/>
      <c r="O209" s="330"/>
      <c r="P209" s="330"/>
      <c r="Q209" s="330"/>
      <c r="R209" s="330"/>
      <c r="S209" s="330"/>
      <c r="T209" s="330"/>
      <c r="U209" s="330"/>
      <c r="V209" s="330"/>
      <c r="W209" s="330"/>
      <c r="X209" s="330"/>
    </row>
    <row r="210" spans="1:24" ht="15.75" customHeight="1">
      <c r="A210" s="330"/>
      <c r="B210" s="330"/>
      <c r="C210" s="379"/>
      <c r="D210" s="330"/>
      <c r="E210" s="330"/>
      <c r="F210" s="330"/>
      <c r="G210" s="330"/>
      <c r="H210" s="330"/>
      <c r="I210" s="330"/>
      <c r="J210" s="330"/>
      <c r="K210" s="330"/>
      <c r="L210" s="330"/>
      <c r="M210" s="330"/>
      <c r="N210" s="330"/>
      <c r="O210" s="330"/>
      <c r="P210" s="330"/>
      <c r="Q210" s="330"/>
      <c r="R210" s="330"/>
      <c r="S210" s="330"/>
      <c r="T210" s="330"/>
      <c r="U210" s="330"/>
      <c r="V210" s="330"/>
      <c r="W210" s="330"/>
      <c r="X210" s="330"/>
    </row>
    <row r="211" spans="1:24" ht="15.75" customHeight="1">
      <c r="A211" s="330"/>
      <c r="B211" s="330"/>
      <c r="C211" s="379"/>
      <c r="D211" s="330"/>
      <c r="E211" s="330"/>
      <c r="F211" s="330"/>
      <c r="G211" s="330"/>
      <c r="H211" s="330"/>
      <c r="I211" s="330"/>
      <c r="J211" s="330"/>
      <c r="K211" s="330"/>
      <c r="L211" s="330"/>
      <c r="M211" s="330"/>
      <c r="N211" s="330"/>
      <c r="O211" s="330"/>
      <c r="P211" s="330"/>
      <c r="Q211" s="330"/>
      <c r="R211" s="330"/>
      <c r="S211" s="330"/>
      <c r="T211" s="330"/>
      <c r="U211" s="330"/>
      <c r="V211" s="330"/>
      <c r="W211" s="330"/>
      <c r="X211" s="330"/>
    </row>
    <row r="212" spans="1:24" ht="15.75" customHeight="1">
      <c r="A212" s="330"/>
      <c r="B212" s="330"/>
      <c r="C212" s="379"/>
      <c r="D212" s="330"/>
      <c r="E212" s="330"/>
      <c r="F212" s="330"/>
      <c r="G212" s="330"/>
      <c r="H212" s="330"/>
      <c r="I212" s="330"/>
      <c r="J212" s="330"/>
      <c r="K212" s="330"/>
      <c r="L212" s="330"/>
      <c r="M212" s="330"/>
      <c r="N212" s="330"/>
      <c r="O212" s="330"/>
      <c r="P212" s="330"/>
      <c r="Q212" s="330"/>
      <c r="R212" s="330"/>
      <c r="S212" s="330"/>
      <c r="T212" s="330"/>
      <c r="U212" s="330"/>
      <c r="V212" s="330"/>
      <c r="W212" s="330"/>
      <c r="X212" s="330"/>
    </row>
    <row r="213" spans="1:24" ht="15.75" customHeight="1">
      <c r="A213" s="330"/>
      <c r="B213" s="330"/>
      <c r="C213" s="379"/>
      <c r="D213" s="330"/>
      <c r="E213" s="330"/>
      <c r="F213" s="330"/>
      <c r="G213" s="330"/>
      <c r="H213" s="330"/>
      <c r="I213" s="330"/>
      <c r="J213" s="330"/>
      <c r="K213" s="330"/>
      <c r="L213" s="330"/>
      <c r="M213" s="330"/>
      <c r="N213" s="330"/>
      <c r="O213" s="330"/>
      <c r="P213" s="330"/>
      <c r="Q213" s="330"/>
      <c r="R213" s="330"/>
      <c r="S213" s="330"/>
      <c r="T213" s="330"/>
      <c r="U213" s="330"/>
      <c r="V213" s="330"/>
      <c r="W213" s="330"/>
      <c r="X213" s="330"/>
    </row>
    <row r="214" spans="1:24" ht="15.75" customHeight="1">
      <c r="A214" s="330"/>
      <c r="B214" s="330"/>
      <c r="C214" s="379"/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330"/>
      <c r="W214" s="330"/>
      <c r="X214" s="330"/>
    </row>
    <row r="215" spans="1:24" ht="15.75" customHeight="1">
      <c r="A215" s="330"/>
      <c r="B215" s="330"/>
      <c r="C215" s="379"/>
      <c r="D215" s="330"/>
      <c r="E215" s="330"/>
      <c r="F215" s="330"/>
      <c r="G215" s="330"/>
      <c r="H215" s="330"/>
      <c r="I215" s="330"/>
      <c r="J215" s="330"/>
      <c r="K215" s="330"/>
      <c r="L215" s="330"/>
      <c r="M215" s="330"/>
      <c r="N215" s="330"/>
      <c r="O215" s="330"/>
      <c r="P215" s="330"/>
      <c r="Q215" s="330"/>
      <c r="R215" s="330"/>
      <c r="S215" s="330"/>
      <c r="T215" s="330"/>
      <c r="U215" s="330"/>
      <c r="V215" s="330"/>
      <c r="W215" s="330"/>
      <c r="X215" s="330"/>
    </row>
    <row r="216" spans="1:24" ht="15.75" customHeight="1">
      <c r="A216" s="330"/>
      <c r="B216" s="330"/>
      <c r="C216" s="379"/>
      <c r="D216" s="330"/>
      <c r="E216" s="330"/>
      <c r="F216" s="330"/>
      <c r="G216" s="330"/>
      <c r="H216" s="330"/>
      <c r="I216" s="330"/>
      <c r="J216" s="330"/>
      <c r="K216" s="330"/>
      <c r="L216" s="330"/>
      <c r="M216" s="330"/>
      <c r="N216" s="330"/>
      <c r="O216" s="330"/>
      <c r="P216" s="330"/>
      <c r="Q216" s="330"/>
      <c r="R216" s="330"/>
      <c r="S216" s="330"/>
      <c r="T216" s="330"/>
      <c r="U216" s="330"/>
      <c r="V216" s="330"/>
      <c r="W216" s="330"/>
      <c r="X216" s="330"/>
    </row>
    <row r="217" spans="1:24" ht="15.75" customHeight="1">
      <c r="A217" s="330"/>
      <c r="B217" s="330"/>
      <c r="C217" s="379"/>
      <c r="D217" s="330"/>
      <c r="E217" s="330"/>
      <c r="F217" s="330"/>
      <c r="G217" s="330"/>
      <c r="H217" s="330"/>
      <c r="I217" s="330"/>
      <c r="J217" s="330"/>
      <c r="K217" s="330"/>
      <c r="L217" s="330"/>
      <c r="M217" s="330"/>
      <c r="N217" s="330"/>
      <c r="O217" s="330"/>
      <c r="P217" s="330"/>
      <c r="Q217" s="330"/>
      <c r="R217" s="330"/>
      <c r="S217" s="330"/>
      <c r="T217" s="330"/>
      <c r="U217" s="330"/>
      <c r="V217" s="330"/>
      <c r="W217" s="330"/>
      <c r="X217" s="330"/>
    </row>
    <row r="218" spans="1:24" ht="15.75" customHeight="1">
      <c r="A218" s="330"/>
      <c r="B218" s="330"/>
      <c r="C218" s="379"/>
      <c r="D218" s="330"/>
      <c r="E218" s="330"/>
      <c r="F218" s="330"/>
      <c r="G218" s="330"/>
      <c r="H218" s="330"/>
      <c r="I218" s="330"/>
      <c r="J218" s="330"/>
      <c r="K218" s="330"/>
      <c r="L218" s="330"/>
      <c r="M218" s="330"/>
      <c r="N218" s="330"/>
      <c r="O218" s="330"/>
      <c r="P218" s="330"/>
      <c r="Q218" s="330"/>
      <c r="R218" s="330"/>
      <c r="S218" s="330"/>
      <c r="T218" s="330"/>
      <c r="U218" s="330"/>
      <c r="V218" s="330"/>
      <c r="W218" s="330"/>
      <c r="X218" s="330"/>
    </row>
    <row r="219" spans="1:24" ht="15.75" customHeight="1">
      <c r="A219" s="330"/>
      <c r="B219" s="330"/>
      <c r="C219" s="379"/>
      <c r="D219" s="330"/>
      <c r="E219" s="330"/>
      <c r="F219" s="330"/>
      <c r="G219" s="330"/>
      <c r="H219" s="330"/>
      <c r="I219" s="330"/>
      <c r="J219" s="330"/>
      <c r="K219" s="330"/>
      <c r="L219" s="330"/>
      <c r="M219" s="330"/>
      <c r="N219" s="330"/>
      <c r="O219" s="330"/>
      <c r="P219" s="330"/>
      <c r="Q219" s="330"/>
      <c r="R219" s="330"/>
      <c r="S219" s="330"/>
      <c r="T219" s="330"/>
      <c r="U219" s="330"/>
      <c r="V219" s="330"/>
      <c r="W219" s="330"/>
      <c r="X219" s="330"/>
    </row>
    <row r="220" spans="1:24" ht="15.75" customHeight="1">
      <c r="A220" s="330"/>
      <c r="B220" s="330"/>
      <c r="C220" s="379"/>
      <c r="D220" s="330"/>
      <c r="E220" s="330"/>
      <c r="F220" s="330"/>
      <c r="G220" s="330"/>
      <c r="H220" s="330"/>
      <c r="I220" s="330"/>
      <c r="J220" s="330"/>
      <c r="K220" s="330"/>
      <c r="L220" s="330"/>
      <c r="M220" s="330"/>
      <c r="N220" s="330"/>
      <c r="O220" s="330"/>
      <c r="P220" s="330"/>
      <c r="Q220" s="330"/>
      <c r="R220" s="330"/>
      <c r="S220" s="330"/>
      <c r="T220" s="330"/>
      <c r="U220" s="330"/>
      <c r="V220" s="330"/>
      <c r="W220" s="330"/>
      <c r="X220" s="330"/>
    </row>
    <row r="221" spans="1:24" ht="15.75" customHeight="1">
      <c r="A221" s="330"/>
      <c r="B221" s="330"/>
      <c r="C221" s="379"/>
      <c r="D221" s="330"/>
      <c r="E221" s="330"/>
      <c r="F221" s="330"/>
      <c r="G221" s="330"/>
      <c r="H221" s="330"/>
      <c r="I221" s="330"/>
      <c r="J221" s="330"/>
      <c r="K221" s="330"/>
      <c r="L221" s="330"/>
      <c r="M221" s="330"/>
      <c r="N221" s="330"/>
      <c r="O221" s="330"/>
      <c r="P221" s="330"/>
      <c r="Q221" s="330"/>
      <c r="R221" s="330"/>
      <c r="S221" s="330"/>
      <c r="T221" s="330"/>
      <c r="U221" s="330"/>
      <c r="V221" s="330"/>
      <c r="W221" s="330"/>
      <c r="X221" s="330"/>
    </row>
    <row r="222" spans="1:24" ht="15.75" customHeight="1">
      <c r="A222" s="330"/>
      <c r="B222" s="330"/>
      <c r="C222" s="379"/>
      <c r="D222" s="330"/>
      <c r="E222" s="330"/>
      <c r="F222" s="330"/>
      <c r="G222" s="330"/>
      <c r="H222" s="330"/>
      <c r="I222" s="330"/>
      <c r="J222" s="330"/>
      <c r="K222" s="330"/>
      <c r="L222" s="330"/>
      <c r="M222" s="330"/>
      <c r="N222" s="330"/>
      <c r="O222" s="330"/>
      <c r="P222" s="330"/>
      <c r="Q222" s="330"/>
      <c r="R222" s="330"/>
      <c r="S222" s="330"/>
      <c r="T222" s="330"/>
      <c r="U222" s="330"/>
      <c r="V222" s="330"/>
      <c r="W222" s="330"/>
      <c r="X222" s="330"/>
    </row>
    <row r="223" spans="1:24" ht="15.75" customHeight="1">
      <c r="A223" s="330"/>
      <c r="B223" s="330"/>
      <c r="C223" s="379"/>
      <c r="D223" s="330"/>
      <c r="E223" s="330"/>
      <c r="F223" s="330"/>
      <c r="G223" s="330"/>
      <c r="H223" s="330"/>
      <c r="I223" s="330"/>
      <c r="J223" s="330"/>
      <c r="K223" s="330"/>
      <c r="L223" s="330"/>
      <c r="M223" s="330"/>
      <c r="N223" s="330"/>
      <c r="O223" s="330"/>
      <c r="P223" s="330"/>
      <c r="Q223" s="330"/>
      <c r="R223" s="330"/>
      <c r="S223" s="330"/>
      <c r="T223" s="330"/>
      <c r="U223" s="330"/>
      <c r="V223" s="330"/>
      <c r="W223" s="330"/>
      <c r="X223" s="330"/>
    </row>
    <row r="224" spans="1:24" ht="15.75" customHeight="1">
      <c r="A224" s="330"/>
      <c r="B224" s="330"/>
      <c r="C224" s="379"/>
      <c r="D224" s="330"/>
      <c r="E224" s="330"/>
      <c r="F224" s="330"/>
      <c r="G224" s="330"/>
      <c r="H224" s="330"/>
      <c r="I224" s="330"/>
      <c r="J224" s="330"/>
      <c r="K224" s="330"/>
      <c r="L224" s="330"/>
      <c r="M224" s="330"/>
      <c r="N224" s="330"/>
      <c r="O224" s="330"/>
      <c r="P224" s="330"/>
      <c r="Q224" s="330"/>
      <c r="R224" s="330"/>
      <c r="S224" s="330"/>
      <c r="T224" s="330"/>
      <c r="U224" s="330"/>
      <c r="V224" s="330"/>
      <c r="W224" s="330"/>
      <c r="X224" s="330"/>
    </row>
    <row r="225" spans="1:24" ht="15.75" customHeight="1">
      <c r="A225" s="330"/>
      <c r="B225" s="330"/>
      <c r="C225" s="379"/>
      <c r="D225" s="330"/>
      <c r="E225" s="330"/>
      <c r="F225" s="330"/>
      <c r="G225" s="330"/>
      <c r="H225" s="330"/>
      <c r="I225" s="330"/>
      <c r="J225" s="330"/>
      <c r="K225" s="330"/>
      <c r="L225" s="330"/>
      <c r="M225" s="330"/>
      <c r="N225" s="330"/>
      <c r="O225" s="330"/>
      <c r="P225" s="330"/>
      <c r="Q225" s="330"/>
      <c r="R225" s="330"/>
      <c r="S225" s="330"/>
      <c r="T225" s="330"/>
      <c r="U225" s="330"/>
      <c r="V225" s="330"/>
      <c r="W225" s="330"/>
      <c r="X225" s="330"/>
    </row>
    <row r="226" spans="1:24" ht="15.75" customHeight="1">
      <c r="A226" s="330"/>
      <c r="B226" s="330"/>
      <c r="C226" s="379"/>
      <c r="D226" s="330"/>
      <c r="E226" s="330"/>
      <c r="F226" s="330"/>
      <c r="G226" s="330"/>
      <c r="H226" s="330"/>
      <c r="I226" s="330"/>
      <c r="J226" s="330"/>
      <c r="K226" s="330"/>
      <c r="L226" s="330"/>
      <c r="M226" s="330"/>
      <c r="N226" s="330"/>
      <c r="O226" s="330"/>
      <c r="P226" s="330"/>
      <c r="Q226" s="330"/>
      <c r="R226" s="330"/>
      <c r="S226" s="330"/>
      <c r="T226" s="330"/>
      <c r="U226" s="330"/>
      <c r="V226" s="330"/>
      <c r="W226" s="330"/>
      <c r="X226" s="330"/>
    </row>
    <row r="227" spans="1:24" ht="15.75" customHeight="1">
      <c r="A227" s="330"/>
      <c r="B227" s="330"/>
      <c r="C227" s="379"/>
      <c r="D227" s="330"/>
      <c r="E227" s="330"/>
      <c r="F227" s="330"/>
      <c r="G227" s="330"/>
      <c r="H227" s="330"/>
      <c r="I227" s="330"/>
      <c r="J227" s="330"/>
      <c r="K227" s="330"/>
      <c r="L227" s="330"/>
      <c r="M227" s="330"/>
      <c r="N227" s="330"/>
      <c r="O227" s="330"/>
      <c r="P227" s="330"/>
      <c r="Q227" s="330"/>
      <c r="R227" s="330"/>
      <c r="S227" s="330"/>
      <c r="T227" s="330"/>
      <c r="U227" s="330"/>
      <c r="V227" s="330"/>
      <c r="W227" s="330"/>
      <c r="X227" s="330"/>
    </row>
    <row r="228" spans="1:24" ht="15.75" customHeight="1">
      <c r="A228" s="330"/>
      <c r="B228" s="330"/>
      <c r="C228" s="379"/>
      <c r="D228" s="330"/>
      <c r="E228" s="330"/>
      <c r="F228" s="330"/>
      <c r="G228" s="330"/>
      <c r="H228" s="330"/>
      <c r="I228" s="330"/>
      <c r="J228" s="330"/>
      <c r="K228" s="330"/>
      <c r="L228" s="330"/>
      <c r="M228" s="330"/>
      <c r="N228" s="330"/>
      <c r="O228" s="330"/>
      <c r="P228" s="330"/>
      <c r="Q228" s="330"/>
      <c r="R228" s="330"/>
      <c r="S228" s="330"/>
      <c r="T228" s="330"/>
      <c r="U228" s="330"/>
      <c r="V228" s="330"/>
      <c r="W228" s="330"/>
      <c r="X228" s="330"/>
    </row>
    <row r="229" spans="1:24" ht="15.75" customHeight="1">
      <c r="A229" s="330"/>
      <c r="B229" s="330"/>
      <c r="C229" s="379"/>
      <c r="D229" s="330"/>
      <c r="E229" s="330"/>
      <c r="F229" s="330"/>
      <c r="G229" s="330"/>
      <c r="H229" s="330"/>
      <c r="I229" s="330"/>
      <c r="J229" s="330"/>
      <c r="K229" s="330"/>
      <c r="L229" s="330"/>
      <c r="M229" s="330"/>
      <c r="N229" s="330"/>
      <c r="O229" s="330"/>
      <c r="P229" s="330"/>
      <c r="Q229" s="330"/>
      <c r="R229" s="330"/>
      <c r="S229" s="330"/>
      <c r="T229" s="330"/>
      <c r="U229" s="330"/>
      <c r="V229" s="330"/>
      <c r="W229" s="330"/>
      <c r="X229" s="330"/>
    </row>
    <row r="230" spans="1:24" ht="15.75" customHeight="1">
      <c r="A230" s="330"/>
      <c r="B230" s="330"/>
      <c r="C230" s="379"/>
      <c r="D230" s="330"/>
      <c r="E230" s="330"/>
      <c r="F230" s="330"/>
      <c r="G230" s="330"/>
      <c r="H230" s="330"/>
      <c r="I230" s="330"/>
      <c r="J230" s="330"/>
      <c r="K230" s="330"/>
      <c r="L230" s="330"/>
      <c r="M230" s="330"/>
      <c r="N230" s="330"/>
      <c r="O230" s="330"/>
      <c r="P230" s="330"/>
      <c r="Q230" s="330"/>
      <c r="R230" s="330"/>
      <c r="S230" s="330"/>
      <c r="T230" s="330"/>
      <c r="U230" s="330"/>
      <c r="V230" s="330"/>
      <c r="W230" s="330"/>
      <c r="X230" s="330"/>
    </row>
    <row r="231" spans="1:24" ht="15.75" customHeight="1">
      <c r="A231" s="330"/>
      <c r="B231" s="330"/>
      <c r="C231" s="379"/>
      <c r="D231" s="330"/>
      <c r="E231" s="330"/>
      <c r="F231" s="330"/>
      <c r="G231" s="330"/>
      <c r="H231" s="330"/>
      <c r="I231" s="330"/>
      <c r="J231" s="330"/>
      <c r="K231" s="330"/>
      <c r="L231" s="330"/>
      <c r="M231" s="330"/>
      <c r="N231" s="330"/>
      <c r="O231" s="330"/>
      <c r="P231" s="330"/>
      <c r="Q231" s="330"/>
      <c r="R231" s="330"/>
      <c r="S231" s="330"/>
      <c r="T231" s="330"/>
      <c r="U231" s="330"/>
      <c r="V231" s="330"/>
      <c r="W231" s="330"/>
      <c r="X231" s="330"/>
    </row>
    <row r="232" spans="1:24" ht="15.75" customHeight="1">
      <c r="A232" s="330"/>
      <c r="B232" s="330"/>
      <c r="C232" s="379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N232" s="330"/>
      <c r="O232" s="330"/>
      <c r="P232" s="330"/>
      <c r="Q232" s="330"/>
      <c r="R232" s="330"/>
      <c r="S232" s="330"/>
      <c r="T232" s="330"/>
      <c r="U232" s="330"/>
      <c r="V232" s="330"/>
      <c r="W232" s="330"/>
      <c r="X232" s="330"/>
    </row>
    <row r="233" spans="1:24" ht="15.75" customHeight="1">
      <c r="A233" s="330"/>
      <c r="B233" s="330"/>
      <c r="C233" s="379"/>
      <c r="D233" s="330"/>
      <c r="E233" s="330"/>
      <c r="F233" s="330"/>
      <c r="G233" s="330"/>
      <c r="H233" s="330"/>
      <c r="I233" s="330"/>
      <c r="J233" s="330"/>
      <c r="K233" s="330"/>
      <c r="L233" s="330"/>
      <c r="M233" s="330"/>
      <c r="N233" s="330"/>
      <c r="O233" s="330"/>
      <c r="P233" s="330"/>
      <c r="Q233" s="330"/>
      <c r="R233" s="330"/>
      <c r="S233" s="330"/>
      <c r="T233" s="330"/>
      <c r="U233" s="330"/>
      <c r="V233" s="330"/>
      <c r="W233" s="330"/>
      <c r="X233" s="330"/>
    </row>
    <row r="234" spans="1:24" ht="15.75" customHeight="1">
      <c r="A234" s="330"/>
      <c r="B234" s="330"/>
      <c r="C234" s="379"/>
      <c r="D234" s="330"/>
      <c r="E234" s="330"/>
      <c r="F234" s="330"/>
      <c r="G234" s="330"/>
      <c r="H234" s="330"/>
      <c r="I234" s="330"/>
      <c r="J234" s="330"/>
      <c r="K234" s="330"/>
      <c r="L234" s="330"/>
      <c r="M234" s="330"/>
      <c r="N234" s="330"/>
      <c r="O234" s="330"/>
      <c r="P234" s="330"/>
      <c r="Q234" s="330"/>
      <c r="R234" s="330"/>
      <c r="S234" s="330"/>
      <c r="T234" s="330"/>
      <c r="U234" s="330"/>
      <c r="V234" s="330"/>
      <c r="W234" s="330"/>
      <c r="X234" s="330"/>
    </row>
    <row r="235" spans="1:24" ht="15.75" customHeight="1">
      <c r="A235" s="330"/>
      <c r="B235" s="330"/>
      <c r="C235" s="379"/>
      <c r="D235" s="330"/>
      <c r="E235" s="330"/>
      <c r="F235" s="330"/>
      <c r="G235" s="330"/>
      <c r="H235" s="330"/>
      <c r="I235" s="330"/>
      <c r="J235" s="330"/>
      <c r="K235" s="330"/>
      <c r="L235" s="330"/>
      <c r="M235" s="330"/>
      <c r="N235" s="330"/>
      <c r="O235" s="330"/>
      <c r="P235" s="330"/>
      <c r="Q235" s="330"/>
      <c r="R235" s="330"/>
      <c r="S235" s="330"/>
      <c r="T235" s="330"/>
      <c r="U235" s="330"/>
      <c r="V235" s="330"/>
      <c r="W235" s="330"/>
      <c r="X235" s="330"/>
    </row>
    <row r="236" spans="1:24" ht="15.75" customHeight="1">
      <c r="A236" s="330"/>
      <c r="B236" s="330"/>
      <c r="C236" s="379"/>
      <c r="D236" s="330"/>
      <c r="E236" s="330"/>
      <c r="F236" s="330"/>
      <c r="G236" s="330"/>
      <c r="H236" s="330"/>
      <c r="I236" s="330"/>
      <c r="J236" s="330"/>
      <c r="K236" s="330"/>
      <c r="L236" s="330"/>
      <c r="M236" s="330"/>
      <c r="N236" s="330"/>
      <c r="O236" s="330"/>
      <c r="P236" s="330"/>
      <c r="Q236" s="330"/>
      <c r="R236" s="330"/>
      <c r="S236" s="330"/>
      <c r="T236" s="330"/>
      <c r="U236" s="330"/>
      <c r="V236" s="330"/>
      <c r="W236" s="330"/>
      <c r="X236" s="330"/>
    </row>
    <row r="237" spans="1:24" ht="15.75" customHeight="1">
      <c r="A237" s="330"/>
      <c r="B237" s="330"/>
      <c r="C237" s="379"/>
      <c r="D237" s="330"/>
      <c r="E237" s="330"/>
      <c r="F237" s="330"/>
      <c r="G237" s="330"/>
      <c r="H237" s="330"/>
      <c r="I237" s="330"/>
      <c r="J237" s="330"/>
      <c r="K237" s="330"/>
      <c r="L237" s="330"/>
      <c r="M237" s="330"/>
      <c r="N237" s="330"/>
      <c r="O237" s="330"/>
      <c r="P237" s="330"/>
      <c r="Q237" s="330"/>
      <c r="R237" s="330"/>
      <c r="S237" s="330"/>
      <c r="T237" s="330"/>
      <c r="U237" s="330"/>
      <c r="V237" s="330"/>
      <c r="W237" s="330"/>
      <c r="X237" s="330"/>
    </row>
    <row r="238" spans="1:24" ht="15.75" customHeight="1">
      <c r="A238" s="330"/>
      <c r="B238" s="330"/>
      <c r="C238" s="379"/>
      <c r="D238" s="330"/>
      <c r="E238" s="330"/>
      <c r="F238" s="330"/>
      <c r="G238" s="330"/>
      <c r="H238" s="330"/>
      <c r="I238" s="330"/>
      <c r="J238" s="330"/>
      <c r="K238" s="330"/>
      <c r="L238" s="330"/>
      <c r="M238" s="330"/>
      <c r="N238" s="330"/>
      <c r="O238" s="330"/>
      <c r="P238" s="330"/>
      <c r="Q238" s="330"/>
      <c r="R238" s="330"/>
      <c r="S238" s="330"/>
      <c r="T238" s="330"/>
      <c r="U238" s="330"/>
      <c r="V238" s="330"/>
      <c r="W238" s="330"/>
      <c r="X238" s="330"/>
    </row>
    <row r="239" spans="1:24" ht="15.75" customHeight="1">
      <c r="A239" s="330"/>
      <c r="B239" s="330"/>
      <c r="C239" s="379"/>
      <c r="D239" s="330"/>
      <c r="E239" s="330"/>
      <c r="F239" s="330"/>
      <c r="G239" s="330"/>
      <c r="H239" s="330"/>
      <c r="I239" s="330"/>
      <c r="J239" s="330"/>
      <c r="K239" s="330"/>
      <c r="L239" s="330"/>
      <c r="M239" s="330"/>
      <c r="N239" s="330"/>
      <c r="O239" s="330"/>
      <c r="P239" s="330"/>
      <c r="Q239" s="330"/>
      <c r="R239" s="330"/>
      <c r="S239" s="330"/>
      <c r="T239" s="330"/>
      <c r="U239" s="330"/>
      <c r="V239" s="330"/>
      <c r="W239" s="330"/>
      <c r="X239" s="330"/>
    </row>
    <row r="240" spans="1:24" ht="15.75" customHeight="1">
      <c r="A240" s="330"/>
      <c r="B240" s="330"/>
      <c r="C240" s="379"/>
      <c r="D240" s="330"/>
      <c r="E240" s="330"/>
      <c r="F240" s="330"/>
      <c r="G240" s="330"/>
      <c r="H240" s="330"/>
      <c r="I240" s="330"/>
      <c r="J240" s="330"/>
      <c r="K240" s="330"/>
      <c r="L240" s="330"/>
      <c r="M240" s="330"/>
      <c r="N240" s="330"/>
      <c r="O240" s="330"/>
      <c r="P240" s="330"/>
      <c r="Q240" s="330"/>
      <c r="R240" s="330"/>
      <c r="S240" s="330"/>
      <c r="T240" s="330"/>
      <c r="U240" s="330"/>
      <c r="V240" s="330"/>
      <c r="W240" s="330"/>
      <c r="X240" s="330"/>
    </row>
    <row r="241" spans="1:24" ht="15.75" customHeight="1">
      <c r="A241" s="330"/>
      <c r="B241" s="330"/>
      <c r="C241" s="379"/>
      <c r="D241" s="330"/>
      <c r="E241" s="330"/>
      <c r="F241" s="330"/>
      <c r="G241" s="330"/>
      <c r="H241" s="330"/>
      <c r="I241" s="330"/>
      <c r="J241" s="330"/>
      <c r="K241" s="330"/>
      <c r="L241" s="330"/>
      <c r="M241" s="330"/>
      <c r="N241" s="330"/>
      <c r="O241" s="330"/>
      <c r="P241" s="330"/>
      <c r="Q241" s="330"/>
      <c r="R241" s="330"/>
      <c r="S241" s="330"/>
      <c r="T241" s="330"/>
      <c r="U241" s="330"/>
      <c r="V241" s="330"/>
      <c r="W241" s="330"/>
      <c r="X241" s="330"/>
    </row>
    <row r="242" spans="1:24" ht="15.75" customHeight="1">
      <c r="A242" s="330"/>
      <c r="B242" s="330"/>
      <c r="C242" s="379"/>
      <c r="D242" s="330"/>
      <c r="E242" s="330"/>
      <c r="F242" s="330"/>
      <c r="G242" s="330"/>
      <c r="H242" s="330"/>
      <c r="I242" s="330"/>
      <c r="J242" s="330"/>
      <c r="K242" s="330"/>
      <c r="L242" s="330"/>
      <c r="M242" s="330"/>
      <c r="N242" s="330"/>
      <c r="O242" s="330"/>
      <c r="P242" s="330"/>
      <c r="Q242" s="330"/>
      <c r="R242" s="330"/>
      <c r="S242" s="330"/>
      <c r="T242" s="330"/>
      <c r="U242" s="330"/>
      <c r="V242" s="330"/>
      <c r="W242" s="330"/>
      <c r="X242" s="330"/>
    </row>
    <row r="243" spans="1:24" ht="15.75" customHeight="1">
      <c r="A243" s="330"/>
      <c r="B243" s="330"/>
      <c r="C243" s="379"/>
      <c r="D243" s="330"/>
      <c r="E243" s="330"/>
      <c r="F243" s="330"/>
      <c r="G243" s="330"/>
      <c r="H243" s="330"/>
      <c r="I243" s="330"/>
      <c r="J243" s="330"/>
      <c r="K243" s="330"/>
      <c r="L243" s="330"/>
      <c r="M243" s="330"/>
      <c r="N243" s="330"/>
      <c r="O243" s="330"/>
      <c r="P243" s="330"/>
      <c r="Q243" s="330"/>
      <c r="R243" s="330"/>
      <c r="S243" s="330"/>
      <c r="T243" s="330"/>
      <c r="U243" s="330"/>
      <c r="V243" s="330"/>
      <c r="W243" s="330"/>
      <c r="X243" s="330"/>
    </row>
    <row r="244" spans="1:24" ht="15.75" customHeight="1">
      <c r="A244" s="330"/>
      <c r="B244" s="330"/>
      <c r="C244" s="379"/>
      <c r="D244" s="330"/>
      <c r="E244" s="330"/>
      <c r="F244" s="330"/>
      <c r="G244" s="330"/>
      <c r="H244" s="330"/>
      <c r="I244" s="330"/>
      <c r="J244" s="330"/>
      <c r="K244" s="330"/>
      <c r="L244" s="330"/>
      <c r="M244" s="330"/>
      <c r="N244" s="330"/>
      <c r="O244" s="330"/>
      <c r="P244" s="330"/>
      <c r="Q244" s="330"/>
      <c r="R244" s="330"/>
      <c r="S244" s="330"/>
      <c r="T244" s="330"/>
      <c r="U244" s="330"/>
      <c r="V244" s="330"/>
      <c r="W244" s="330"/>
      <c r="X244" s="330"/>
    </row>
    <row r="245" spans="1:24" ht="15.75" customHeight="1">
      <c r="A245" s="330"/>
      <c r="B245" s="330"/>
      <c r="C245" s="379"/>
      <c r="D245" s="330"/>
      <c r="E245" s="330"/>
      <c r="F245" s="330"/>
      <c r="G245" s="330"/>
      <c r="H245" s="330"/>
      <c r="I245" s="330"/>
      <c r="J245" s="330"/>
      <c r="K245" s="330"/>
      <c r="L245" s="330"/>
      <c r="M245" s="330"/>
      <c r="N245" s="330"/>
      <c r="O245" s="330"/>
      <c r="P245" s="330"/>
      <c r="Q245" s="330"/>
      <c r="R245" s="330"/>
      <c r="S245" s="330"/>
      <c r="T245" s="330"/>
      <c r="U245" s="330"/>
      <c r="V245" s="330"/>
      <c r="W245" s="330"/>
      <c r="X245" s="330"/>
    </row>
    <row r="246" spans="1:24" ht="15.75" customHeight="1">
      <c r="A246" s="330"/>
      <c r="B246" s="330"/>
      <c r="C246" s="379"/>
      <c r="D246" s="330"/>
      <c r="E246" s="330"/>
      <c r="F246" s="330"/>
      <c r="G246" s="330"/>
      <c r="H246" s="330"/>
      <c r="I246" s="330"/>
      <c r="J246" s="330"/>
      <c r="K246" s="330"/>
      <c r="L246" s="330"/>
      <c r="M246" s="330"/>
      <c r="N246" s="330"/>
      <c r="O246" s="330"/>
      <c r="P246" s="330"/>
      <c r="Q246" s="330"/>
      <c r="R246" s="330"/>
      <c r="S246" s="330"/>
      <c r="T246" s="330"/>
      <c r="U246" s="330"/>
      <c r="V246" s="330"/>
      <c r="W246" s="330"/>
      <c r="X246" s="330"/>
    </row>
    <row r="247" spans="1:24" ht="15.75" customHeight="1">
      <c r="A247" s="330"/>
      <c r="B247" s="330"/>
      <c r="C247" s="379"/>
      <c r="D247" s="330"/>
      <c r="E247" s="330"/>
      <c r="F247" s="330"/>
      <c r="G247" s="330"/>
      <c r="H247" s="330"/>
      <c r="I247" s="330"/>
      <c r="J247" s="330"/>
      <c r="K247" s="330"/>
      <c r="L247" s="330"/>
      <c r="M247" s="330"/>
      <c r="N247" s="330"/>
      <c r="O247" s="330"/>
      <c r="P247" s="330"/>
      <c r="Q247" s="330"/>
      <c r="R247" s="330"/>
      <c r="S247" s="330"/>
      <c r="T247" s="330"/>
      <c r="U247" s="330"/>
      <c r="V247" s="330"/>
      <c r="W247" s="330"/>
      <c r="X247" s="330"/>
    </row>
    <row r="248" spans="1:24" ht="15.75" customHeight="1">
      <c r="A248" s="330"/>
      <c r="B248" s="330"/>
      <c r="C248" s="379"/>
      <c r="D248" s="330"/>
      <c r="E248" s="330"/>
      <c r="F248" s="330"/>
      <c r="G248" s="330"/>
      <c r="H248" s="330"/>
      <c r="I248" s="330"/>
      <c r="J248" s="330"/>
      <c r="K248" s="330"/>
      <c r="L248" s="330"/>
      <c r="M248" s="330"/>
      <c r="N248" s="330"/>
      <c r="O248" s="330"/>
      <c r="P248" s="330"/>
      <c r="Q248" s="330"/>
      <c r="R248" s="330"/>
      <c r="S248" s="330"/>
      <c r="T248" s="330"/>
      <c r="U248" s="330"/>
      <c r="V248" s="330"/>
      <c r="W248" s="330"/>
      <c r="X248" s="330"/>
    </row>
    <row r="249" spans="1:24" ht="15.75" customHeight="1">
      <c r="A249" s="330"/>
      <c r="B249" s="330"/>
      <c r="C249" s="379"/>
      <c r="D249" s="330"/>
      <c r="E249" s="330"/>
      <c r="F249" s="330"/>
      <c r="G249" s="330"/>
      <c r="H249" s="330"/>
      <c r="I249" s="330"/>
      <c r="J249" s="330"/>
      <c r="K249" s="330"/>
      <c r="L249" s="330"/>
      <c r="M249" s="330"/>
      <c r="N249" s="330"/>
      <c r="O249" s="330"/>
      <c r="P249" s="330"/>
      <c r="Q249" s="330"/>
      <c r="R249" s="330"/>
      <c r="S249" s="330"/>
      <c r="T249" s="330"/>
      <c r="U249" s="330"/>
      <c r="V249" s="330"/>
      <c r="W249" s="330"/>
      <c r="X249" s="330"/>
    </row>
    <row r="250" spans="1:24" ht="15.75" customHeight="1">
      <c r="A250" s="330"/>
      <c r="B250" s="330"/>
      <c r="C250" s="379"/>
      <c r="D250" s="330"/>
      <c r="E250" s="330"/>
      <c r="F250" s="330"/>
      <c r="G250" s="330"/>
      <c r="H250" s="330"/>
      <c r="I250" s="330"/>
      <c r="J250" s="330"/>
      <c r="K250" s="330"/>
      <c r="L250" s="330"/>
      <c r="M250" s="330"/>
      <c r="N250" s="330"/>
      <c r="O250" s="330"/>
      <c r="P250" s="330"/>
      <c r="Q250" s="330"/>
      <c r="R250" s="330"/>
      <c r="S250" s="330"/>
      <c r="T250" s="330"/>
      <c r="U250" s="330"/>
      <c r="V250" s="330"/>
      <c r="W250" s="330"/>
      <c r="X250" s="330"/>
    </row>
    <row r="251" spans="1:24" ht="15.75" customHeight="1">
      <c r="A251" s="330"/>
      <c r="B251" s="330"/>
      <c r="C251" s="379"/>
      <c r="D251" s="330"/>
      <c r="E251" s="330"/>
      <c r="F251" s="330"/>
      <c r="G251" s="330"/>
      <c r="H251" s="330"/>
      <c r="I251" s="330"/>
      <c r="J251" s="330"/>
      <c r="K251" s="330"/>
      <c r="L251" s="330"/>
      <c r="M251" s="330"/>
      <c r="N251" s="330"/>
      <c r="O251" s="330"/>
      <c r="P251" s="330"/>
      <c r="Q251" s="330"/>
      <c r="R251" s="330"/>
      <c r="S251" s="330"/>
      <c r="T251" s="330"/>
      <c r="U251" s="330"/>
      <c r="V251" s="330"/>
      <c r="W251" s="330"/>
      <c r="X251" s="330"/>
    </row>
    <row r="252" spans="1:24" ht="15.75" customHeight="1">
      <c r="A252" s="330"/>
      <c r="B252" s="330"/>
      <c r="C252" s="379"/>
      <c r="D252" s="330"/>
      <c r="E252" s="330"/>
      <c r="F252" s="330"/>
      <c r="G252" s="330"/>
      <c r="H252" s="330"/>
      <c r="I252" s="330"/>
      <c r="J252" s="330"/>
      <c r="K252" s="330"/>
      <c r="L252" s="330"/>
      <c r="M252" s="330"/>
      <c r="N252" s="330"/>
      <c r="O252" s="330"/>
      <c r="P252" s="330"/>
      <c r="Q252" s="330"/>
      <c r="R252" s="330"/>
      <c r="S252" s="330"/>
      <c r="T252" s="330"/>
      <c r="U252" s="330"/>
      <c r="V252" s="330"/>
      <c r="W252" s="330"/>
      <c r="X252" s="330"/>
    </row>
    <row r="253" spans="1:24" ht="15.75" customHeight="1">
      <c r="A253" s="330"/>
      <c r="B253" s="330"/>
      <c r="C253" s="379"/>
      <c r="D253" s="330"/>
      <c r="E253" s="330"/>
      <c r="F253" s="330"/>
      <c r="G253" s="330"/>
      <c r="H253" s="330"/>
      <c r="I253" s="330"/>
      <c r="J253" s="330"/>
      <c r="K253" s="330"/>
      <c r="L253" s="330"/>
      <c r="M253" s="330"/>
      <c r="N253" s="330"/>
      <c r="O253" s="330"/>
      <c r="P253" s="330"/>
      <c r="Q253" s="330"/>
      <c r="R253" s="330"/>
      <c r="S253" s="330"/>
      <c r="T253" s="330"/>
      <c r="U253" s="330"/>
      <c r="V253" s="330"/>
      <c r="W253" s="330"/>
      <c r="X253" s="330"/>
    </row>
    <row r="254" spans="1:24" ht="15.75" customHeight="1">
      <c r="A254" s="330"/>
      <c r="B254" s="330"/>
      <c r="C254" s="379"/>
      <c r="D254" s="330"/>
      <c r="E254" s="330"/>
      <c r="F254" s="330"/>
      <c r="G254" s="330"/>
      <c r="H254" s="330"/>
      <c r="I254" s="330"/>
      <c r="J254" s="330"/>
      <c r="K254" s="330"/>
      <c r="L254" s="330"/>
      <c r="M254" s="330"/>
      <c r="N254" s="330"/>
      <c r="O254" s="330"/>
      <c r="P254" s="330"/>
      <c r="Q254" s="330"/>
      <c r="R254" s="330"/>
      <c r="S254" s="330"/>
      <c r="T254" s="330"/>
      <c r="U254" s="330"/>
      <c r="V254" s="330"/>
      <c r="W254" s="330"/>
      <c r="X254" s="330"/>
    </row>
    <row r="255" spans="1:24" ht="15.75" customHeight="1">
      <c r="A255" s="330"/>
      <c r="B255" s="330"/>
      <c r="C255" s="379"/>
      <c r="D255" s="330"/>
      <c r="E255" s="330"/>
      <c r="F255" s="330"/>
      <c r="G255" s="330"/>
      <c r="H255" s="330"/>
      <c r="I255" s="330"/>
      <c r="J255" s="330"/>
      <c r="K255" s="330"/>
      <c r="L255" s="330"/>
      <c r="M255" s="330"/>
      <c r="N255" s="330"/>
      <c r="O255" s="330"/>
      <c r="P255" s="330"/>
      <c r="Q255" s="330"/>
      <c r="R255" s="330"/>
      <c r="S255" s="330"/>
      <c r="T255" s="330"/>
      <c r="U255" s="330"/>
      <c r="V255" s="330"/>
      <c r="W255" s="330"/>
      <c r="X255" s="330"/>
    </row>
    <row r="256" spans="1:24" ht="15.75" customHeight="1">
      <c r="A256" s="330"/>
      <c r="B256" s="330"/>
      <c r="C256" s="379"/>
      <c r="D256" s="330"/>
      <c r="E256" s="330"/>
      <c r="F256" s="330"/>
      <c r="G256" s="330"/>
      <c r="H256" s="330"/>
      <c r="I256" s="330"/>
      <c r="J256" s="330"/>
      <c r="K256" s="330"/>
      <c r="L256" s="330"/>
      <c r="M256" s="330"/>
      <c r="N256" s="330"/>
      <c r="O256" s="330"/>
      <c r="P256" s="330"/>
      <c r="Q256" s="330"/>
      <c r="R256" s="330"/>
      <c r="S256" s="330"/>
      <c r="T256" s="330"/>
      <c r="U256" s="330"/>
      <c r="V256" s="330"/>
      <c r="W256" s="330"/>
      <c r="X256" s="330"/>
    </row>
    <row r="257" spans="1:24" ht="15.75" customHeight="1">
      <c r="A257" s="330"/>
      <c r="B257" s="330"/>
      <c r="C257" s="379"/>
      <c r="D257" s="330"/>
      <c r="E257" s="330"/>
      <c r="F257" s="330"/>
      <c r="G257" s="330"/>
      <c r="H257" s="330"/>
      <c r="I257" s="330"/>
      <c r="J257" s="330"/>
      <c r="K257" s="330"/>
      <c r="L257" s="330"/>
      <c r="M257" s="330"/>
      <c r="N257" s="330"/>
      <c r="O257" s="330"/>
      <c r="P257" s="330"/>
      <c r="Q257" s="330"/>
      <c r="R257" s="330"/>
      <c r="S257" s="330"/>
      <c r="T257" s="330"/>
      <c r="U257" s="330"/>
      <c r="V257" s="330"/>
      <c r="W257" s="330"/>
      <c r="X257" s="330"/>
    </row>
    <row r="258" spans="1:24" ht="15.75" customHeight="1">
      <c r="A258" s="330"/>
      <c r="B258" s="330"/>
      <c r="C258" s="379"/>
      <c r="D258" s="330"/>
      <c r="E258" s="330"/>
      <c r="F258" s="330"/>
      <c r="G258" s="330"/>
      <c r="H258" s="330"/>
      <c r="I258" s="330"/>
      <c r="J258" s="330"/>
      <c r="K258" s="330"/>
      <c r="L258" s="330"/>
      <c r="M258" s="330"/>
      <c r="N258" s="330"/>
      <c r="O258" s="330"/>
      <c r="P258" s="330"/>
      <c r="Q258" s="330"/>
      <c r="R258" s="330"/>
      <c r="S258" s="330"/>
      <c r="T258" s="330"/>
      <c r="U258" s="330"/>
      <c r="V258" s="330"/>
      <c r="W258" s="330"/>
      <c r="X258" s="330"/>
    </row>
    <row r="259" spans="1:24" ht="15.75" customHeight="1">
      <c r="A259" s="330"/>
      <c r="B259" s="330"/>
      <c r="C259" s="379"/>
      <c r="D259" s="330"/>
      <c r="E259" s="330"/>
      <c r="F259" s="330"/>
      <c r="G259" s="330"/>
      <c r="H259" s="330"/>
      <c r="I259" s="330"/>
      <c r="J259" s="330"/>
      <c r="K259" s="330"/>
      <c r="L259" s="330"/>
      <c r="M259" s="330"/>
      <c r="N259" s="330"/>
      <c r="O259" s="330"/>
      <c r="P259" s="330"/>
      <c r="Q259" s="330"/>
      <c r="R259" s="330"/>
      <c r="S259" s="330"/>
      <c r="T259" s="330"/>
      <c r="U259" s="330"/>
      <c r="V259" s="330"/>
      <c r="W259" s="330"/>
      <c r="X259" s="330"/>
    </row>
    <row r="260" spans="1:24" ht="15.75" customHeight="1">
      <c r="A260" s="330"/>
      <c r="B260" s="330"/>
      <c r="C260" s="379"/>
      <c r="D260" s="330"/>
      <c r="E260" s="330"/>
      <c r="F260" s="330"/>
      <c r="G260" s="330"/>
      <c r="H260" s="330"/>
      <c r="I260" s="330"/>
      <c r="J260" s="330"/>
      <c r="K260" s="330"/>
      <c r="L260" s="330"/>
      <c r="M260" s="330"/>
      <c r="N260" s="330"/>
      <c r="O260" s="330"/>
      <c r="P260" s="330"/>
      <c r="Q260" s="330"/>
      <c r="R260" s="330"/>
      <c r="S260" s="330"/>
      <c r="T260" s="330"/>
      <c r="U260" s="330"/>
      <c r="V260" s="330"/>
      <c r="W260" s="330"/>
      <c r="X260" s="330"/>
    </row>
    <row r="261" spans="1:24" ht="15.75" customHeight="1">
      <c r="A261" s="330"/>
      <c r="B261" s="330"/>
      <c r="C261" s="379"/>
      <c r="D261" s="330"/>
      <c r="E261" s="330"/>
      <c r="F261" s="330"/>
      <c r="G261" s="330"/>
      <c r="H261" s="330"/>
      <c r="I261" s="330"/>
      <c r="J261" s="330"/>
      <c r="K261" s="330"/>
      <c r="L261" s="330"/>
      <c r="M261" s="330"/>
      <c r="N261" s="330"/>
      <c r="O261" s="330"/>
      <c r="P261" s="330"/>
      <c r="Q261" s="330"/>
      <c r="R261" s="330"/>
      <c r="S261" s="330"/>
      <c r="T261" s="330"/>
      <c r="U261" s="330"/>
      <c r="V261" s="330"/>
      <c r="W261" s="330"/>
      <c r="X261" s="330"/>
    </row>
    <row r="262" spans="1:24" ht="15.75" customHeight="1">
      <c r="A262" s="330"/>
      <c r="B262" s="330"/>
      <c r="C262" s="379"/>
      <c r="D262" s="330"/>
      <c r="E262" s="330"/>
      <c r="F262" s="330"/>
      <c r="G262" s="330"/>
      <c r="H262" s="330"/>
      <c r="I262" s="330"/>
      <c r="J262" s="330"/>
      <c r="K262" s="330"/>
      <c r="L262" s="330"/>
      <c r="M262" s="330"/>
      <c r="N262" s="330"/>
      <c r="O262" s="330"/>
      <c r="P262" s="330"/>
      <c r="Q262" s="330"/>
      <c r="R262" s="330"/>
      <c r="S262" s="330"/>
      <c r="T262" s="330"/>
      <c r="U262" s="330"/>
      <c r="V262" s="330"/>
      <c r="W262" s="330"/>
      <c r="X262" s="330"/>
    </row>
    <row r="263" spans="1:24" ht="15.75" customHeight="1">
      <c r="A263" s="330"/>
      <c r="B263" s="330"/>
      <c r="C263" s="379"/>
      <c r="D263" s="330"/>
      <c r="E263" s="330"/>
      <c r="F263" s="330"/>
      <c r="G263" s="330"/>
      <c r="H263" s="330"/>
      <c r="I263" s="330"/>
      <c r="J263" s="330"/>
      <c r="K263" s="330"/>
      <c r="L263" s="330"/>
      <c r="M263" s="330"/>
      <c r="N263" s="330"/>
      <c r="O263" s="330"/>
      <c r="P263" s="330"/>
      <c r="Q263" s="330"/>
      <c r="R263" s="330"/>
      <c r="S263" s="330"/>
      <c r="T263" s="330"/>
      <c r="U263" s="330"/>
      <c r="V263" s="330"/>
      <c r="W263" s="330"/>
      <c r="X263" s="330"/>
    </row>
    <row r="264" spans="1:24" ht="15.75" customHeight="1">
      <c r="A264" s="330"/>
      <c r="B264" s="330"/>
      <c r="C264" s="379"/>
      <c r="D264" s="330"/>
      <c r="E264" s="330"/>
      <c r="F264" s="330"/>
      <c r="G264" s="330"/>
      <c r="H264" s="330"/>
      <c r="I264" s="330"/>
      <c r="J264" s="330"/>
      <c r="K264" s="330"/>
      <c r="L264" s="330"/>
      <c r="M264" s="330"/>
      <c r="N264" s="330"/>
      <c r="O264" s="330"/>
      <c r="P264" s="330"/>
      <c r="Q264" s="330"/>
      <c r="R264" s="330"/>
      <c r="S264" s="330"/>
      <c r="T264" s="330"/>
      <c r="U264" s="330"/>
      <c r="V264" s="330"/>
      <c r="W264" s="330"/>
      <c r="X264" s="330"/>
    </row>
    <row r="265" spans="1:24" ht="15.75" customHeight="1">
      <c r="A265" s="330"/>
      <c r="B265" s="330"/>
      <c r="C265" s="379"/>
      <c r="D265" s="330"/>
      <c r="E265" s="330"/>
      <c r="F265" s="330"/>
      <c r="G265" s="330"/>
      <c r="H265" s="330"/>
      <c r="I265" s="330"/>
      <c r="J265" s="330"/>
      <c r="K265" s="330"/>
      <c r="L265" s="330"/>
      <c r="M265" s="330"/>
      <c r="N265" s="330"/>
      <c r="O265" s="330"/>
      <c r="P265" s="330"/>
      <c r="Q265" s="330"/>
      <c r="R265" s="330"/>
      <c r="S265" s="330"/>
      <c r="T265" s="330"/>
      <c r="U265" s="330"/>
      <c r="V265" s="330"/>
      <c r="W265" s="330"/>
      <c r="X265" s="330"/>
    </row>
    <row r="266" spans="1:24" ht="15.75" customHeight="1">
      <c r="A266" s="330"/>
      <c r="B266" s="330"/>
      <c r="C266" s="379"/>
      <c r="D266" s="330"/>
      <c r="E266" s="330"/>
      <c r="F266" s="330"/>
      <c r="G266" s="330"/>
      <c r="H266" s="330"/>
      <c r="I266" s="330"/>
      <c r="J266" s="330"/>
      <c r="K266" s="330"/>
      <c r="L266" s="330"/>
      <c r="M266" s="330"/>
      <c r="N266" s="330"/>
      <c r="O266" s="330"/>
      <c r="P266" s="330"/>
      <c r="Q266" s="330"/>
      <c r="R266" s="330"/>
      <c r="S266" s="330"/>
      <c r="T266" s="330"/>
      <c r="U266" s="330"/>
      <c r="V266" s="330"/>
      <c r="W266" s="330"/>
      <c r="X266" s="330"/>
    </row>
    <row r="267" spans="1:24" ht="15.75" customHeight="1">
      <c r="A267" s="330"/>
      <c r="B267" s="330"/>
      <c r="C267" s="379"/>
      <c r="D267" s="330"/>
      <c r="E267" s="330"/>
      <c r="F267" s="330"/>
      <c r="G267" s="330"/>
      <c r="H267" s="330"/>
      <c r="I267" s="330"/>
      <c r="J267" s="330"/>
      <c r="K267" s="330"/>
      <c r="L267" s="330"/>
      <c r="M267" s="330"/>
      <c r="N267" s="330"/>
      <c r="O267" s="330"/>
      <c r="P267" s="330"/>
      <c r="Q267" s="330"/>
      <c r="R267" s="330"/>
      <c r="S267" s="330"/>
      <c r="T267" s="330"/>
      <c r="U267" s="330"/>
      <c r="V267" s="330"/>
      <c r="W267" s="330"/>
      <c r="X267" s="330"/>
    </row>
    <row r="268" spans="1:24" ht="15.75" customHeight="1">
      <c r="A268" s="330"/>
      <c r="B268" s="330"/>
      <c r="C268" s="379"/>
      <c r="D268" s="330"/>
      <c r="E268" s="330"/>
      <c r="F268" s="330"/>
      <c r="G268" s="330"/>
      <c r="H268" s="330"/>
      <c r="I268" s="330"/>
      <c r="J268" s="330"/>
      <c r="K268" s="330"/>
      <c r="L268" s="330"/>
      <c r="M268" s="330"/>
      <c r="N268" s="330"/>
      <c r="O268" s="330"/>
      <c r="P268" s="330"/>
      <c r="Q268" s="330"/>
      <c r="R268" s="330"/>
      <c r="S268" s="330"/>
      <c r="T268" s="330"/>
      <c r="U268" s="330"/>
      <c r="V268" s="330"/>
      <c r="W268" s="330"/>
      <c r="X268" s="330"/>
    </row>
    <row r="269" spans="1:24" ht="15.75" customHeight="1">
      <c r="A269" s="330"/>
      <c r="B269" s="330"/>
      <c r="C269" s="379"/>
      <c r="D269" s="330"/>
      <c r="E269" s="330"/>
      <c r="F269" s="330"/>
      <c r="G269" s="330"/>
      <c r="H269" s="330"/>
      <c r="I269" s="330"/>
      <c r="J269" s="330"/>
      <c r="K269" s="330"/>
      <c r="L269" s="330"/>
      <c r="M269" s="330"/>
      <c r="N269" s="330"/>
      <c r="O269" s="330"/>
      <c r="P269" s="330"/>
      <c r="Q269" s="330"/>
      <c r="R269" s="330"/>
      <c r="S269" s="330"/>
      <c r="T269" s="330"/>
      <c r="U269" s="330"/>
      <c r="V269" s="330"/>
      <c r="W269" s="330"/>
      <c r="X269" s="330"/>
    </row>
    <row r="270" spans="1:24" ht="15.75" customHeight="1">
      <c r="A270" s="330"/>
      <c r="B270" s="330"/>
      <c r="C270" s="379"/>
      <c r="D270" s="330"/>
      <c r="E270" s="330"/>
      <c r="F270" s="330"/>
      <c r="G270" s="330"/>
      <c r="H270" s="330"/>
      <c r="I270" s="330"/>
      <c r="J270" s="330"/>
      <c r="K270" s="330"/>
      <c r="L270" s="330"/>
      <c r="M270" s="330"/>
      <c r="N270" s="330"/>
      <c r="O270" s="330"/>
      <c r="P270" s="330"/>
      <c r="Q270" s="330"/>
      <c r="R270" s="330"/>
      <c r="S270" s="330"/>
      <c r="T270" s="330"/>
      <c r="U270" s="330"/>
      <c r="V270" s="330"/>
      <c r="W270" s="330"/>
      <c r="X270" s="330"/>
    </row>
    <row r="271" spans="1:24" ht="15.75" customHeight="1">
      <c r="A271" s="330"/>
      <c r="B271" s="330"/>
      <c r="C271" s="379"/>
      <c r="D271" s="330"/>
      <c r="E271" s="330"/>
      <c r="F271" s="330"/>
      <c r="G271" s="330"/>
      <c r="H271" s="330"/>
      <c r="I271" s="330"/>
      <c r="J271" s="330"/>
      <c r="K271" s="330"/>
      <c r="L271" s="330"/>
      <c r="M271" s="330"/>
      <c r="N271" s="330"/>
      <c r="O271" s="330"/>
      <c r="P271" s="330"/>
      <c r="Q271" s="330"/>
      <c r="R271" s="330"/>
      <c r="S271" s="330"/>
      <c r="T271" s="330"/>
      <c r="U271" s="330"/>
      <c r="V271" s="330"/>
      <c r="W271" s="330"/>
      <c r="X271" s="330"/>
    </row>
    <row r="272" spans="1:24" ht="15.75" customHeight="1">
      <c r="A272" s="330"/>
      <c r="B272" s="330"/>
      <c r="C272" s="379"/>
      <c r="D272" s="330"/>
      <c r="E272" s="330"/>
      <c r="F272" s="330"/>
      <c r="G272" s="330"/>
      <c r="H272" s="330"/>
      <c r="I272" s="330"/>
      <c r="J272" s="330"/>
      <c r="K272" s="330"/>
      <c r="L272" s="330"/>
      <c r="M272" s="330"/>
      <c r="N272" s="330"/>
      <c r="O272" s="330"/>
      <c r="P272" s="330"/>
      <c r="Q272" s="330"/>
      <c r="R272" s="330"/>
      <c r="S272" s="330"/>
      <c r="T272" s="330"/>
      <c r="U272" s="330"/>
      <c r="V272" s="330"/>
      <c r="W272" s="330"/>
      <c r="X272" s="330"/>
    </row>
    <row r="273" spans="1:24" ht="15.75" customHeight="1">
      <c r="A273" s="330"/>
      <c r="B273" s="330"/>
      <c r="C273" s="379"/>
      <c r="D273" s="330"/>
      <c r="E273" s="330"/>
      <c r="F273" s="330"/>
      <c r="G273" s="330"/>
      <c r="H273" s="330"/>
      <c r="I273" s="330"/>
      <c r="J273" s="330"/>
      <c r="K273" s="330"/>
      <c r="L273" s="330"/>
      <c r="M273" s="330"/>
      <c r="N273" s="330"/>
      <c r="O273" s="330"/>
      <c r="P273" s="330"/>
      <c r="Q273" s="330"/>
      <c r="R273" s="330"/>
      <c r="S273" s="330"/>
      <c r="T273" s="330"/>
      <c r="U273" s="330"/>
      <c r="V273" s="330"/>
      <c r="W273" s="330"/>
      <c r="X273" s="330"/>
    </row>
    <row r="274" spans="1:24" ht="15.75" customHeight="1">
      <c r="A274" s="330"/>
      <c r="B274" s="330"/>
      <c r="C274" s="379"/>
      <c r="D274" s="330"/>
      <c r="E274" s="330"/>
      <c r="F274" s="330"/>
      <c r="G274" s="330"/>
      <c r="H274" s="330"/>
      <c r="I274" s="330"/>
      <c r="J274" s="330"/>
      <c r="K274" s="330"/>
      <c r="L274" s="330"/>
      <c r="M274" s="330"/>
      <c r="N274" s="330"/>
      <c r="O274" s="330"/>
      <c r="P274" s="330"/>
      <c r="Q274" s="330"/>
      <c r="R274" s="330"/>
      <c r="S274" s="330"/>
      <c r="T274" s="330"/>
      <c r="U274" s="330"/>
      <c r="V274" s="330"/>
      <c r="W274" s="330"/>
      <c r="X274" s="330"/>
    </row>
    <row r="275" spans="1:24" ht="15.75" customHeight="1">
      <c r="A275" s="330"/>
      <c r="B275" s="330"/>
      <c r="C275" s="379"/>
      <c r="D275" s="330"/>
      <c r="E275" s="330"/>
      <c r="F275" s="330"/>
      <c r="G275" s="330"/>
      <c r="H275" s="330"/>
      <c r="I275" s="330"/>
      <c r="J275" s="330"/>
      <c r="K275" s="330"/>
      <c r="L275" s="330"/>
      <c r="M275" s="330"/>
      <c r="N275" s="330"/>
      <c r="O275" s="330"/>
      <c r="P275" s="330"/>
      <c r="Q275" s="330"/>
      <c r="R275" s="330"/>
      <c r="S275" s="330"/>
      <c r="T275" s="330"/>
      <c r="U275" s="330"/>
      <c r="V275" s="330"/>
      <c r="W275" s="330"/>
      <c r="X275" s="330"/>
    </row>
    <row r="276" spans="1:24" ht="15.75" customHeight="1">
      <c r="A276" s="330"/>
      <c r="B276" s="330"/>
      <c r="C276" s="379"/>
      <c r="D276" s="330"/>
      <c r="E276" s="330"/>
      <c r="F276" s="330"/>
      <c r="G276" s="330"/>
      <c r="H276" s="330"/>
      <c r="I276" s="330"/>
      <c r="J276" s="330"/>
      <c r="K276" s="330"/>
      <c r="L276" s="330"/>
      <c r="M276" s="330"/>
      <c r="N276" s="330"/>
      <c r="O276" s="330"/>
      <c r="P276" s="330"/>
      <c r="Q276" s="330"/>
      <c r="R276" s="330"/>
      <c r="S276" s="330"/>
      <c r="T276" s="330"/>
      <c r="U276" s="330"/>
      <c r="V276" s="330"/>
      <c r="W276" s="330"/>
      <c r="X276" s="330"/>
    </row>
    <row r="277" spans="1:24" ht="15.75" customHeight="1">
      <c r="A277" s="330"/>
      <c r="B277" s="330"/>
      <c r="C277" s="379"/>
      <c r="D277" s="330"/>
      <c r="E277" s="330"/>
      <c r="F277" s="330"/>
      <c r="G277" s="330"/>
      <c r="H277" s="330"/>
      <c r="I277" s="330"/>
      <c r="J277" s="330"/>
      <c r="K277" s="330"/>
      <c r="L277" s="330"/>
      <c r="M277" s="330"/>
      <c r="N277" s="330"/>
      <c r="O277" s="330"/>
      <c r="P277" s="330"/>
      <c r="Q277" s="330"/>
      <c r="R277" s="330"/>
      <c r="S277" s="330"/>
      <c r="T277" s="330"/>
      <c r="U277" s="330"/>
      <c r="V277" s="330"/>
      <c r="W277" s="330"/>
      <c r="X277" s="330"/>
    </row>
    <row r="278" spans="1:24" ht="15.75" customHeight="1">
      <c r="A278" s="330"/>
      <c r="B278" s="330"/>
      <c r="C278" s="379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N278" s="330"/>
      <c r="O278" s="330"/>
      <c r="P278" s="330"/>
      <c r="Q278" s="330"/>
      <c r="R278" s="330"/>
      <c r="S278" s="330"/>
      <c r="T278" s="330"/>
      <c r="U278" s="330"/>
      <c r="V278" s="330"/>
      <c r="W278" s="330"/>
      <c r="X278" s="330"/>
    </row>
    <row r="279" spans="1:24" ht="15.75" customHeight="1">
      <c r="A279" s="330"/>
      <c r="B279" s="330"/>
      <c r="C279" s="379"/>
      <c r="D279" s="330"/>
      <c r="E279" s="330"/>
      <c r="F279" s="330"/>
      <c r="G279" s="330"/>
      <c r="H279" s="330"/>
      <c r="I279" s="330"/>
      <c r="J279" s="330"/>
      <c r="K279" s="330"/>
      <c r="L279" s="330"/>
      <c r="M279" s="330"/>
      <c r="N279" s="330"/>
      <c r="O279" s="330"/>
      <c r="P279" s="330"/>
      <c r="Q279" s="330"/>
      <c r="R279" s="330"/>
      <c r="S279" s="330"/>
      <c r="T279" s="330"/>
      <c r="U279" s="330"/>
      <c r="V279" s="330"/>
      <c r="W279" s="330"/>
      <c r="X279" s="330"/>
    </row>
    <row r="280" spans="1:24" ht="15.75" customHeight="1">
      <c r="A280" s="330"/>
      <c r="B280" s="330"/>
      <c r="C280" s="379"/>
      <c r="D280" s="330"/>
      <c r="E280" s="330"/>
      <c r="F280" s="330"/>
      <c r="G280" s="330"/>
      <c r="H280" s="330"/>
      <c r="I280" s="330"/>
      <c r="J280" s="330"/>
      <c r="K280" s="330"/>
      <c r="L280" s="330"/>
      <c r="M280" s="330"/>
      <c r="N280" s="330"/>
      <c r="O280" s="330"/>
      <c r="P280" s="330"/>
      <c r="Q280" s="330"/>
      <c r="R280" s="330"/>
      <c r="S280" s="330"/>
      <c r="T280" s="330"/>
      <c r="U280" s="330"/>
      <c r="V280" s="330"/>
      <c r="W280" s="330"/>
      <c r="X280" s="330"/>
    </row>
    <row r="281" spans="1:24" ht="15.75" customHeight="1">
      <c r="A281" s="330"/>
      <c r="B281" s="330"/>
      <c r="C281" s="379"/>
      <c r="D281" s="330"/>
      <c r="E281" s="330"/>
      <c r="F281" s="330"/>
      <c r="G281" s="330"/>
      <c r="H281" s="330"/>
      <c r="I281" s="330"/>
      <c r="J281" s="330"/>
      <c r="K281" s="330"/>
      <c r="L281" s="330"/>
      <c r="M281" s="330"/>
      <c r="N281" s="330"/>
      <c r="O281" s="330"/>
      <c r="P281" s="330"/>
      <c r="Q281" s="330"/>
      <c r="R281" s="330"/>
      <c r="S281" s="330"/>
      <c r="T281" s="330"/>
      <c r="U281" s="330"/>
      <c r="V281" s="330"/>
      <c r="W281" s="330"/>
      <c r="X281" s="330"/>
    </row>
    <row r="282" spans="1:24" ht="15.75" customHeight="1">
      <c r="A282" s="330"/>
      <c r="B282" s="330"/>
      <c r="C282" s="379"/>
      <c r="D282" s="330"/>
      <c r="E282" s="330"/>
      <c r="F282" s="330"/>
      <c r="G282" s="330"/>
      <c r="H282" s="330"/>
      <c r="I282" s="330"/>
      <c r="J282" s="330"/>
      <c r="K282" s="330"/>
      <c r="L282" s="330"/>
      <c r="M282" s="330"/>
      <c r="N282" s="330"/>
      <c r="O282" s="330"/>
      <c r="P282" s="330"/>
      <c r="Q282" s="330"/>
      <c r="R282" s="330"/>
      <c r="S282" s="330"/>
      <c r="T282" s="330"/>
      <c r="U282" s="330"/>
      <c r="V282" s="330"/>
      <c r="W282" s="330"/>
      <c r="X282" s="330"/>
    </row>
    <row r="283" spans="1:24" ht="15.75" customHeight="1">
      <c r="A283" s="330"/>
      <c r="B283" s="330"/>
      <c r="C283" s="379"/>
      <c r="D283" s="330"/>
      <c r="E283" s="330"/>
      <c r="F283" s="330"/>
      <c r="G283" s="330"/>
      <c r="H283" s="330"/>
      <c r="I283" s="330"/>
      <c r="J283" s="330"/>
      <c r="K283" s="330"/>
      <c r="L283" s="330"/>
      <c r="M283" s="330"/>
      <c r="N283" s="330"/>
      <c r="O283" s="330"/>
      <c r="P283" s="330"/>
      <c r="Q283" s="330"/>
      <c r="R283" s="330"/>
      <c r="S283" s="330"/>
      <c r="T283" s="330"/>
      <c r="U283" s="330"/>
      <c r="V283" s="330"/>
      <c r="W283" s="330"/>
      <c r="X283" s="330"/>
    </row>
    <row r="284" spans="1:24" ht="15.75" customHeight="1">
      <c r="A284" s="330"/>
      <c r="B284" s="330"/>
      <c r="C284" s="379"/>
      <c r="D284" s="330"/>
      <c r="E284" s="330"/>
      <c r="F284" s="330"/>
      <c r="G284" s="330"/>
      <c r="H284" s="330"/>
      <c r="I284" s="330"/>
      <c r="J284" s="330"/>
      <c r="K284" s="330"/>
      <c r="L284" s="330"/>
      <c r="M284" s="330"/>
      <c r="N284" s="330"/>
      <c r="O284" s="330"/>
      <c r="P284" s="330"/>
      <c r="Q284" s="330"/>
      <c r="R284" s="330"/>
      <c r="S284" s="330"/>
      <c r="T284" s="330"/>
      <c r="U284" s="330"/>
      <c r="V284" s="330"/>
      <c r="W284" s="330"/>
      <c r="X284" s="330"/>
    </row>
    <row r="285" spans="1:24" ht="15.75" customHeight="1">
      <c r="A285" s="330"/>
      <c r="B285" s="330"/>
      <c r="C285" s="379"/>
      <c r="D285" s="330"/>
      <c r="E285" s="330"/>
      <c r="F285" s="330"/>
      <c r="G285" s="330"/>
      <c r="H285" s="330"/>
      <c r="I285" s="330"/>
      <c r="J285" s="330"/>
      <c r="K285" s="330"/>
      <c r="L285" s="330"/>
      <c r="M285" s="330"/>
      <c r="N285" s="330"/>
      <c r="O285" s="330"/>
      <c r="P285" s="330"/>
      <c r="Q285" s="330"/>
      <c r="R285" s="330"/>
      <c r="S285" s="330"/>
      <c r="T285" s="330"/>
      <c r="U285" s="330"/>
      <c r="V285" s="330"/>
      <c r="W285" s="330"/>
      <c r="X285" s="330"/>
    </row>
    <row r="286" spans="1:24" ht="15.75" customHeight="1">
      <c r="A286" s="330"/>
      <c r="B286" s="330"/>
      <c r="C286" s="379"/>
      <c r="D286" s="330"/>
      <c r="E286" s="330"/>
      <c r="F286" s="330"/>
      <c r="G286" s="330"/>
      <c r="H286" s="330"/>
      <c r="I286" s="330"/>
      <c r="J286" s="330"/>
      <c r="K286" s="330"/>
      <c r="L286" s="330"/>
      <c r="M286" s="330"/>
      <c r="N286" s="330"/>
      <c r="O286" s="330"/>
      <c r="P286" s="330"/>
      <c r="Q286" s="330"/>
      <c r="R286" s="330"/>
      <c r="S286" s="330"/>
      <c r="T286" s="330"/>
      <c r="U286" s="330"/>
      <c r="V286" s="330"/>
      <c r="W286" s="330"/>
      <c r="X286" s="330"/>
    </row>
    <row r="287" spans="1:24" ht="15.75" customHeight="1">
      <c r="A287" s="330"/>
      <c r="B287" s="330"/>
      <c r="C287" s="379"/>
      <c r="D287" s="330"/>
      <c r="E287" s="330"/>
      <c r="F287" s="330"/>
      <c r="G287" s="330"/>
      <c r="H287" s="330"/>
      <c r="I287" s="330"/>
      <c r="J287" s="330"/>
      <c r="K287" s="330"/>
      <c r="L287" s="330"/>
      <c r="M287" s="330"/>
      <c r="N287" s="330"/>
      <c r="O287" s="330"/>
      <c r="P287" s="330"/>
      <c r="Q287" s="330"/>
      <c r="R287" s="330"/>
      <c r="S287" s="330"/>
      <c r="T287" s="330"/>
      <c r="U287" s="330"/>
      <c r="V287" s="330"/>
      <c r="W287" s="330"/>
      <c r="X287" s="330"/>
    </row>
    <row r="288" spans="1:24" ht="15.75" customHeight="1">
      <c r="A288" s="330"/>
      <c r="B288" s="330"/>
      <c r="C288" s="379"/>
      <c r="D288" s="330"/>
      <c r="E288" s="330"/>
      <c r="F288" s="330"/>
      <c r="G288" s="330"/>
      <c r="H288" s="330"/>
      <c r="I288" s="330"/>
      <c r="J288" s="330"/>
      <c r="K288" s="330"/>
      <c r="L288" s="330"/>
      <c r="M288" s="330"/>
      <c r="N288" s="330"/>
      <c r="O288" s="330"/>
      <c r="P288" s="330"/>
      <c r="Q288" s="330"/>
      <c r="R288" s="330"/>
      <c r="S288" s="330"/>
      <c r="T288" s="330"/>
      <c r="U288" s="330"/>
      <c r="V288" s="330"/>
      <c r="W288" s="330"/>
      <c r="X288" s="330"/>
    </row>
    <row r="289" spans="1:24" ht="15.75" customHeight="1">
      <c r="A289" s="330"/>
      <c r="B289" s="330"/>
      <c r="C289" s="379"/>
      <c r="D289" s="330"/>
      <c r="E289" s="330"/>
      <c r="F289" s="330"/>
      <c r="G289" s="330"/>
      <c r="H289" s="330"/>
      <c r="I289" s="330"/>
      <c r="J289" s="330"/>
      <c r="K289" s="330"/>
      <c r="L289" s="330"/>
      <c r="M289" s="330"/>
      <c r="N289" s="330"/>
      <c r="O289" s="330"/>
      <c r="P289" s="330"/>
      <c r="Q289" s="330"/>
      <c r="R289" s="330"/>
      <c r="S289" s="330"/>
      <c r="T289" s="330"/>
      <c r="U289" s="330"/>
      <c r="V289" s="330"/>
      <c r="W289" s="330"/>
      <c r="X289" s="330"/>
    </row>
    <row r="290" spans="1:24" ht="15.75" customHeight="1">
      <c r="A290" s="330"/>
      <c r="B290" s="330"/>
      <c r="C290" s="379"/>
      <c r="D290" s="330"/>
      <c r="E290" s="330"/>
      <c r="F290" s="330"/>
      <c r="G290" s="330"/>
      <c r="H290" s="330"/>
      <c r="I290" s="330"/>
      <c r="J290" s="330"/>
      <c r="K290" s="330"/>
      <c r="L290" s="330"/>
      <c r="M290" s="330"/>
      <c r="N290" s="330"/>
      <c r="O290" s="330"/>
      <c r="P290" s="330"/>
      <c r="Q290" s="330"/>
      <c r="R290" s="330"/>
      <c r="S290" s="330"/>
      <c r="T290" s="330"/>
      <c r="U290" s="330"/>
      <c r="V290" s="330"/>
      <c r="W290" s="330"/>
      <c r="X290" s="330"/>
    </row>
    <row r="291" spans="1:24" ht="15.75" customHeight="1">
      <c r="A291" s="330"/>
      <c r="B291" s="330"/>
      <c r="C291" s="379"/>
      <c r="D291" s="330"/>
      <c r="E291" s="330"/>
      <c r="F291" s="330"/>
      <c r="G291" s="330"/>
      <c r="H291" s="330"/>
      <c r="I291" s="330"/>
      <c r="J291" s="330"/>
      <c r="K291" s="330"/>
      <c r="L291" s="330"/>
      <c r="M291" s="330"/>
      <c r="N291" s="330"/>
      <c r="O291" s="330"/>
      <c r="P291" s="330"/>
      <c r="Q291" s="330"/>
      <c r="R291" s="330"/>
      <c r="S291" s="330"/>
      <c r="T291" s="330"/>
      <c r="U291" s="330"/>
      <c r="V291" s="330"/>
      <c r="W291" s="330"/>
      <c r="X291" s="330"/>
    </row>
    <row r="292" spans="1:24" ht="15.75" customHeight="1">
      <c r="A292" s="330"/>
      <c r="B292" s="330"/>
      <c r="C292" s="379"/>
      <c r="D292" s="330"/>
      <c r="E292" s="330"/>
      <c r="F292" s="330"/>
      <c r="G292" s="330"/>
      <c r="H292" s="330"/>
      <c r="I292" s="330"/>
      <c r="J292" s="330"/>
      <c r="K292" s="330"/>
      <c r="L292" s="330"/>
      <c r="M292" s="330"/>
      <c r="N292" s="330"/>
      <c r="O292" s="330"/>
      <c r="P292" s="330"/>
      <c r="Q292" s="330"/>
      <c r="R292" s="330"/>
      <c r="S292" s="330"/>
      <c r="T292" s="330"/>
      <c r="U292" s="330"/>
      <c r="V292" s="330"/>
      <c r="W292" s="330"/>
      <c r="X292" s="330"/>
    </row>
    <row r="293" spans="1:24" ht="15.75" customHeight="1">
      <c r="A293" s="330"/>
      <c r="B293" s="330"/>
      <c r="C293" s="379"/>
      <c r="D293" s="330"/>
      <c r="E293" s="330"/>
      <c r="F293" s="330"/>
      <c r="G293" s="330"/>
      <c r="H293" s="330"/>
      <c r="I293" s="330"/>
      <c r="J293" s="330"/>
      <c r="K293" s="330"/>
      <c r="L293" s="330"/>
      <c r="M293" s="330"/>
      <c r="N293" s="330"/>
      <c r="O293" s="330"/>
      <c r="P293" s="330"/>
      <c r="Q293" s="330"/>
      <c r="R293" s="330"/>
      <c r="S293" s="330"/>
      <c r="T293" s="330"/>
      <c r="U293" s="330"/>
      <c r="V293" s="330"/>
      <c r="W293" s="330"/>
      <c r="X293" s="330"/>
    </row>
    <row r="294" spans="1:24" ht="15.75" customHeight="1">
      <c r="A294" s="330"/>
      <c r="B294" s="330"/>
      <c r="C294" s="379"/>
      <c r="D294" s="330"/>
      <c r="E294" s="330"/>
      <c r="F294" s="330"/>
      <c r="G294" s="330"/>
      <c r="H294" s="330"/>
      <c r="I294" s="330"/>
      <c r="J294" s="330"/>
      <c r="K294" s="330"/>
      <c r="L294" s="330"/>
      <c r="M294" s="330"/>
      <c r="N294" s="330"/>
      <c r="O294" s="330"/>
      <c r="P294" s="330"/>
      <c r="Q294" s="330"/>
      <c r="R294" s="330"/>
      <c r="S294" s="330"/>
      <c r="T294" s="330"/>
      <c r="U294" s="330"/>
      <c r="V294" s="330"/>
      <c r="W294" s="330"/>
      <c r="X294" s="330"/>
    </row>
    <row r="295" spans="1:24" ht="15.75" customHeight="1">
      <c r="A295" s="330"/>
      <c r="B295" s="330"/>
      <c r="C295" s="379"/>
      <c r="D295" s="330"/>
      <c r="E295" s="330"/>
      <c r="F295" s="330"/>
      <c r="G295" s="330"/>
      <c r="H295" s="330"/>
      <c r="I295" s="330"/>
      <c r="J295" s="330"/>
      <c r="K295" s="330"/>
      <c r="L295" s="330"/>
      <c r="M295" s="330"/>
      <c r="N295" s="330"/>
      <c r="O295" s="330"/>
      <c r="P295" s="330"/>
      <c r="Q295" s="330"/>
      <c r="R295" s="330"/>
      <c r="S295" s="330"/>
      <c r="T295" s="330"/>
      <c r="U295" s="330"/>
      <c r="V295" s="330"/>
      <c r="W295" s="330"/>
      <c r="X295" s="330"/>
    </row>
    <row r="296" spans="1:24" ht="15.75" customHeight="1">
      <c r="A296" s="330"/>
      <c r="B296" s="330"/>
      <c r="C296" s="379"/>
      <c r="D296" s="330"/>
      <c r="E296" s="330"/>
      <c r="F296" s="330"/>
      <c r="G296" s="330"/>
      <c r="H296" s="330"/>
      <c r="I296" s="330"/>
      <c r="J296" s="330"/>
      <c r="K296" s="330"/>
      <c r="L296" s="330"/>
      <c r="M296" s="330"/>
      <c r="N296" s="330"/>
      <c r="O296" s="330"/>
      <c r="P296" s="330"/>
      <c r="Q296" s="330"/>
      <c r="R296" s="330"/>
      <c r="S296" s="330"/>
      <c r="T296" s="330"/>
      <c r="U296" s="330"/>
      <c r="V296" s="330"/>
      <c r="W296" s="330"/>
      <c r="X296" s="330"/>
    </row>
    <row r="297" spans="1:24" ht="15.75" customHeight="1">
      <c r="A297" s="330"/>
      <c r="B297" s="330"/>
      <c r="C297" s="379"/>
      <c r="D297" s="330"/>
      <c r="E297" s="330"/>
      <c r="F297" s="330"/>
      <c r="G297" s="330"/>
      <c r="H297" s="330"/>
      <c r="I297" s="330"/>
      <c r="J297" s="330"/>
      <c r="K297" s="330"/>
      <c r="L297" s="330"/>
      <c r="M297" s="330"/>
      <c r="N297" s="330"/>
      <c r="O297" s="330"/>
      <c r="P297" s="330"/>
      <c r="Q297" s="330"/>
      <c r="R297" s="330"/>
      <c r="S297" s="330"/>
      <c r="T297" s="330"/>
      <c r="U297" s="330"/>
      <c r="V297" s="330"/>
      <c r="W297" s="330"/>
      <c r="X297" s="330"/>
    </row>
    <row r="298" spans="1:24" ht="15.75" customHeight="1">
      <c r="A298" s="330"/>
      <c r="B298" s="330"/>
      <c r="C298" s="379"/>
      <c r="D298" s="330"/>
      <c r="E298" s="330"/>
      <c r="F298" s="330"/>
      <c r="G298" s="330"/>
      <c r="H298" s="330"/>
      <c r="I298" s="330"/>
      <c r="J298" s="330"/>
      <c r="K298" s="330"/>
      <c r="L298" s="330"/>
      <c r="M298" s="330"/>
      <c r="N298" s="330"/>
      <c r="O298" s="330"/>
      <c r="P298" s="330"/>
      <c r="Q298" s="330"/>
      <c r="R298" s="330"/>
      <c r="S298" s="330"/>
      <c r="T298" s="330"/>
      <c r="U298" s="330"/>
      <c r="V298" s="330"/>
      <c r="W298" s="330"/>
      <c r="X298" s="330"/>
    </row>
    <row r="299" spans="1:24" ht="15.75" customHeight="1">
      <c r="A299" s="330"/>
      <c r="B299" s="330"/>
      <c r="C299" s="379"/>
      <c r="D299" s="330"/>
      <c r="E299" s="330"/>
      <c r="F299" s="330"/>
      <c r="G299" s="330"/>
      <c r="H299" s="330"/>
      <c r="I299" s="330"/>
      <c r="J299" s="330"/>
      <c r="K299" s="330"/>
      <c r="L299" s="330"/>
      <c r="M299" s="330"/>
      <c r="N299" s="330"/>
      <c r="O299" s="330"/>
      <c r="P299" s="330"/>
      <c r="Q299" s="330"/>
      <c r="R299" s="330"/>
      <c r="S299" s="330"/>
      <c r="T299" s="330"/>
      <c r="U299" s="330"/>
      <c r="V299" s="330"/>
      <c r="W299" s="330"/>
      <c r="X299" s="330"/>
    </row>
    <row r="300" spans="1:24" ht="15.75" customHeight="1">
      <c r="A300" s="330"/>
      <c r="B300" s="330"/>
      <c r="C300" s="379"/>
      <c r="D300" s="330"/>
      <c r="E300" s="330"/>
      <c r="F300" s="330"/>
      <c r="G300" s="330"/>
      <c r="H300" s="330"/>
      <c r="I300" s="330"/>
      <c r="J300" s="330"/>
      <c r="K300" s="330"/>
      <c r="L300" s="330"/>
      <c r="M300" s="330"/>
      <c r="N300" s="330"/>
      <c r="O300" s="330"/>
      <c r="P300" s="330"/>
      <c r="Q300" s="330"/>
      <c r="R300" s="330"/>
      <c r="S300" s="330"/>
      <c r="T300" s="330"/>
      <c r="U300" s="330"/>
      <c r="V300" s="330"/>
      <c r="W300" s="330"/>
      <c r="X300" s="330"/>
    </row>
    <row r="301" spans="1:24" ht="15.75" customHeight="1">
      <c r="A301" s="330"/>
      <c r="B301" s="330"/>
      <c r="C301" s="379"/>
      <c r="D301" s="330"/>
      <c r="E301" s="330"/>
      <c r="F301" s="330"/>
      <c r="G301" s="330"/>
      <c r="H301" s="330"/>
      <c r="I301" s="330"/>
      <c r="J301" s="330"/>
      <c r="K301" s="330"/>
      <c r="L301" s="330"/>
      <c r="M301" s="330"/>
      <c r="N301" s="330"/>
      <c r="O301" s="330"/>
      <c r="P301" s="330"/>
      <c r="Q301" s="330"/>
      <c r="R301" s="330"/>
      <c r="S301" s="330"/>
      <c r="T301" s="330"/>
      <c r="U301" s="330"/>
      <c r="V301" s="330"/>
      <c r="W301" s="330"/>
      <c r="X301" s="330"/>
    </row>
    <row r="302" spans="1:24" ht="15.75" customHeight="1">
      <c r="A302" s="330"/>
      <c r="B302" s="330"/>
      <c r="C302" s="379"/>
      <c r="D302" s="330"/>
      <c r="E302" s="330"/>
      <c r="F302" s="330"/>
      <c r="G302" s="330"/>
      <c r="H302" s="330"/>
      <c r="I302" s="330"/>
      <c r="J302" s="330"/>
      <c r="K302" s="330"/>
      <c r="L302" s="330"/>
      <c r="M302" s="330"/>
      <c r="N302" s="330"/>
      <c r="O302" s="330"/>
      <c r="P302" s="330"/>
      <c r="Q302" s="330"/>
      <c r="R302" s="330"/>
      <c r="S302" s="330"/>
      <c r="T302" s="330"/>
      <c r="U302" s="330"/>
      <c r="V302" s="330"/>
      <c r="W302" s="330"/>
      <c r="X302" s="330"/>
    </row>
    <row r="303" spans="1:24" ht="15.75" customHeight="1">
      <c r="A303" s="330"/>
      <c r="B303" s="330"/>
      <c r="C303" s="379"/>
      <c r="D303" s="330"/>
      <c r="E303" s="330"/>
      <c r="F303" s="330"/>
      <c r="G303" s="330"/>
      <c r="H303" s="330"/>
      <c r="I303" s="330"/>
      <c r="J303" s="330"/>
      <c r="K303" s="330"/>
      <c r="L303" s="330"/>
      <c r="M303" s="330"/>
      <c r="N303" s="330"/>
      <c r="O303" s="330"/>
      <c r="P303" s="330"/>
      <c r="Q303" s="330"/>
      <c r="R303" s="330"/>
      <c r="S303" s="330"/>
      <c r="T303" s="330"/>
      <c r="U303" s="330"/>
      <c r="V303" s="330"/>
      <c r="W303" s="330"/>
      <c r="X303" s="330"/>
    </row>
    <row r="304" spans="1:24" ht="15.75" customHeight="1">
      <c r="A304" s="330"/>
      <c r="B304" s="330"/>
      <c r="C304" s="379"/>
      <c r="D304" s="330"/>
      <c r="E304" s="330"/>
      <c r="F304" s="330"/>
      <c r="G304" s="330"/>
      <c r="H304" s="330"/>
      <c r="I304" s="330"/>
      <c r="J304" s="330"/>
      <c r="K304" s="330"/>
      <c r="L304" s="330"/>
      <c r="M304" s="330"/>
      <c r="N304" s="330"/>
      <c r="O304" s="330"/>
      <c r="P304" s="330"/>
      <c r="Q304" s="330"/>
      <c r="R304" s="330"/>
      <c r="S304" s="330"/>
      <c r="T304" s="330"/>
      <c r="U304" s="330"/>
      <c r="V304" s="330"/>
      <c r="W304" s="330"/>
      <c r="X304" s="330"/>
    </row>
    <row r="305" spans="1:24" ht="15.75" customHeight="1">
      <c r="A305" s="330"/>
      <c r="B305" s="330"/>
      <c r="C305" s="379"/>
      <c r="D305" s="330"/>
      <c r="E305" s="330"/>
      <c r="F305" s="330"/>
      <c r="G305" s="330"/>
      <c r="H305" s="330"/>
      <c r="I305" s="330"/>
      <c r="J305" s="330"/>
      <c r="K305" s="330"/>
      <c r="L305" s="330"/>
      <c r="M305" s="330"/>
      <c r="N305" s="330"/>
      <c r="O305" s="330"/>
      <c r="P305" s="330"/>
      <c r="Q305" s="330"/>
      <c r="R305" s="330"/>
      <c r="S305" s="330"/>
      <c r="T305" s="330"/>
      <c r="U305" s="330"/>
      <c r="V305" s="330"/>
      <c r="W305" s="330"/>
      <c r="X305" s="330"/>
    </row>
    <row r="306" spans="1:24" ht="15.75" customHeight="1">
      <c r="A306" s="330"/>
      <c r="B306" s="330"/>
      <c r="C306" s="379"/>
      <c r="D306" s="330"/>
      <c r="E306" s="330"/>
      <c r="F306" s="330"/>
      <c r="G306" s="330"/>
      <c r="H306" s="330"/>
      <c r="I306" s="330"/>
      <c r="J306" s="330"/>
      <c r="K306" s="330"/>
      <c r="L306" s="330"/>
      <c r="M306" s="330"/>
      <c r="N306" s="330"/>
      <c r="O306" s="330"/>
      <c r="P306" s="330"/>
      <c r="Q306" s="330"/>
      <c r="R306" s="330"/>
      <c r="S306" s="330"/>
      <c r="T306" s="330"/>
      <c r="U306" s="330"/>
      <c r="V306" s="330"/>
      <c r="W306" s="330"/>
      <c r="X306" s="330"/>
    </row>
    <row r="307" spans="1:24" ht="15.75" customHeight="1">
      <c r="A307" s="330"/>
      <c r="B307" s="330"/>
      <c r="C307" s="379"/>
      <c r="D307" s="330"/>
      <c r="E307" s="330"/>
      <c r="F307" s="330"/>
      <c r="G307" s="330"/>
      <c r="H307" s="330"/>
      <c r="I307" s="330"/>
      <c r="J307" s="330"/>
      <c r="K307" s="330"/>
      <c r="L307" s="330"/>
      <c r="M307" s="330"/>
      <c r="N307" s="330"/>
      <c r="O307" s="330"/>
      <c r="P307" s="330"/>
      <c r="Q307" s="330"/>
      <c r="R307" s="330"/>
      <c r="S307" s="330"/>
      <c r="T307" s="330"/>
      <c r="U307" s="330"/>
      <c r="V307" s="330"/>
      <c r="W307" s="330"/>
      <c r="X307" s="330"/>
    </row>
    <row r="308" spans="1:24" ht="15.75" customHeight="1">
      <c r="A308" s="330"/>
      <c r="B308" s="330"/>
      <c r="C308" s="379"/>
      <c r="D308" s="330"/>
      <c r="E308" s="330"/>
      <c r="F308" s="330"/>
      <c r="G308" s="330"/>
      <c r="H308" s="330"/>
      <c r="I308" s="330"/>
      <c r="J308" s="330"/>
      <c r="K308" s="330"/>
      <c r="L308" s="330"/>
      <c r="M308" s="330"/>
      <c r="N308" s="330"/>
      <c r="O308" s="330"/>
      <c r="P308" s="330"/>
      <c r="Q308" s="330"/>
      <c r="R308" s="330"/>
      <c r="S308" s="330"/>
      <c r="T308" s="330"/>
      <c r="U308" s="330"/>
      <c r="V308" s="330"/>
      <c r="W308" s="330"/>
      <c r="X308" s="330"/>
    </row>
    <row r="309" spans="1:24" ht="15.75" customHeight="1">
      <c r="A309" s="330"/>
      <c r="B309" s="330"/>
      <c r="C309" s="379"/>
      <c r="D309" s="330"/>
      <c r="E309" s="330"/>
      <c r="F309" s="330"/>
      <c r="G309" s="330"/>
      <c r="H309" s="330"/>
      <c r="I309" s="330"/>
      <c r="J309" s="330"/>
      <c r="K309" s="330"/>
      <c r="L309" s="330"/>
      <c r="M309" s="330"/>
      <c r="N309" s="330"/>
      <c r="O309" s="330"/>
      <c r="P309" s="330"/>
      <c r="Q309" s="330"/>
      <c r="R309" s="330"/>
      <c r="S309" s="330"/>
      <c r="T309" s="330"/>
      <c r="U309" s="330"/>
      <c r="V309" s="330"/>
      <c r="W309" s="330"/>
      <c r="X309" s="330"/>
    </row>
    <row r="310" spans="1:24" ht="15.75" customHeight="1">
      <c r="A310" s="330"/>
      <c r="B310" s="330"/>
      <c r="C310" s="379"/>
      <c r="D310" s="330"/>
      <c r="E310" s="330"/>
      <c r="F310" s="330"/>
      <c r="G310" s="330"/>
      <c r="H310" s="330"/>
      <c r="I310" s="330"/>
      <c r="J310" s="330"/>
      <c r="K310" s="330"/>
      <c r="L310" s="330"/>
      <c r="M310" s="330"/>
      <c r="N310" s="330"/>
      <c r="O310" s="330"/>
      <c r="P310" s="330"/>
      <c r="Q310" s="330"/>
      <c r="R310" s="330"/>
      <c r="S310" s="330"/>
      <c r="T310" s="330"/>
      <c r="U310" s="330"/>
      <c r="V310" s="330"/>
      <c r="W310" s="330"/>
      <c r="X310" s="330"/>
    </row>
    <row r="311" spans="1:24" ht="15.75" customHeight="1">
      <c r="A311" s="330"/>
      <c r="B311" s="330"/>
      <c r="C311" s="379"/>
      <c r="D311" s="330"/>
      <c r="E311" s="330"/>
      <c r="F311" s="330"/>
      <c r="G311" s="330"/>
      <c r="H311" s="330"/>
      <c r="I311" s="330"/>
      <c r="J311" s="330"/>
      <c r="K311" s="330"/>
      <c r="L311" s="330"/>
      <c r="M311" s="330"/>
      <c r="N311" s="330"/>
      <c r="O311" s="330"/>
      <c r="P311" s="330"/>
      <c r="Q311" s="330"/>
      <c r="R311" s="330"/>
      <c r="S311" s="330"/>
      <c r="T311" s="330"/>
      <c r="U311" s="330"/>
      <c r="V311" s="330"/>
      <c r="W311" s="330"/>
      <c r="X311" s="330"/>
    </row>
    <row r="312" spans="1:24" ht="15.75" customHeight="1">
      <c r="A312" s="330"/>
      <c r="B312" s="330"/>
      <c r="C312" s="379"/>
      <c r="D312" s="330"/>
      <c r="E312" s="330"/>
      <c r="F312" s="330"/>
      <c r="G312" s="330"/>
      <c r="H312" s="330"/>
      <c r="I312" s="330"/>
      <c r="J312" s="330"/>
      <c r="K312" s="330"/>
      <c r="L312" s="330"/>
      <c r="M312" s="330"/>
      <c r="N312" s="330"/>
      <c r="O312" s="330"/>
      <c r="P312" s="330"/>
      <c r="Q312" s="330"/>
      <c r="R312" s="330"/>
      <c r="S312" s="330"/>
      <c r="T312" s="330"/>
      <c r="U312" s="330"/>
      <c r="V312" s="330"/>
      <c r="W312" s="330"/>
      <c r="X312" s="330"/>
    </row>
    <row r="313" spans="1:24" ht="15.75" customHeight="1">
      <c r="A313" s="330"/>
      <c r="B313" s="330"/>
      <c r="C313" s="379"/>
      <c r="D313" s="330"/>
      <c r="E313" s="330"/>
      <c r="F313" s="330"/>
      <c r="G313" s="330"/>
      <c r="H313" s="330"/>
      <c r="I313" s="330"/>
      <c r="J313" s="330"/>
      <c r="K313" s="330"/>
      <c r="L313" s="330"/>
      <c r="M313" s="330"/>
      <c r="N313" s="330"/>
      <c r="O313" s="330"/>
      <c r="P313" s="330"/>
      <c r="Q313" s="330"/>
      <c r="R313" s="330"/>
      <c r="S313" s="330"/>
      <c r="T313" s="330"/>
      <c r="U313" s="330"/>
      <c r="V313" s="330"/>
      <c r="W313" s="330"/>
      <c r="X313" s="330"/>
    </row>
    <row r="314" spans="1:24" ht="15.75" customHeight="1">
      <c r="A314" s="330"/>
      <c r="B314" s="330"/>
      <c r="C314" s="379"/>
      <c r="D314" s="330"/>
      <c r="E314" s="330"/>
      <c r="F314" s="330"/>
      <c r="G314" s="330"/>
      <c r="H314" s="330"/>
      <c r="I314" s="330"/>
      <c r="J314" s="330"/>
      <c r="K314" s="330"/>
      <c r="L314" s="330"/>
      <c r="M314" s="330"/>
      <c r="N314" s="330"/>
      <c r="O314" s="330"/>
      <c r="P314" s="330"/>
      <c r="Q314" s="330"/>
      <c r="R314" s="330"/>
      <c r="S314" s="330"/>
      <c r="T314" s="330"/>
      <c r="U314" s="330"/>
      <c r="V314" s="330"/>
      <c r="W314" s="330"/>
      <c r="X314" s="330"/>
    </row>
    <row r="315" spans="1:24" ht="15.75" customHeight="1">
      <c r="A315" s="330"/>
      <c r="B315" s="330"/>
      <c r="C315" s="379"/>
      <c r="D315" s="330"/>
      <c r="E315" s="330"/>
      <c r="F315" s="330"/>
      <c r="G315" s="330"/>
      <c r="H315" s="330"/>
      <c r="I315" s="330"/>
      <c r="J315" s="330"/>
      <c r="K315" s="330"/>
      <c r="L315" s="330"/>
      <c r="M315" s="330"/>
      <c r="N315" s="330"/>
      <c r="O315" s="330"/>
      <c r="P315" s="330"/>
      <c r="Q315" s="330"/>
      <c r="R315" s="330"/>
      <c r="S315" s="330"/>
      <c r="T315" s="330"/>
      <c r="U315" s="330"/>
      <c r="V315" s="330"/>
      <c r="W315" s="330"/>
      <c r="X315" s="330"/>
    </row>
    <row r="316" spans="1:24" ht="15.75" customHeight="1">
      <c r="A316" s="330"/>
      <c r="B316" s="330"/>
      <c r="C316" s="379"/>
      <c r="D316" s="330"/>
      <c r="E316" s="330"/>
      <c r="F316" s="330"/>
      <c r="G316" s="330"/>
      <c r="H316" s="330"/>
      <c r="I316" s="330"/>
      <c r="J316" s="330"/>
      <c r="K316" s="330"/>
      <c r="L316" s="330"/>
      <c r="M316" s="330"/>
      <c r="N316" s="330"/>
      <c r="O316" s="330"/>
      <c r="P316" s="330"/>
      <c r="Q316" s="330"/>
      <c r="R316" s="330"/>
      <c r="S316" s="330"/>
      <c r="T316" s="330"/>
      <c r="U316" s="330"/>
      <c r="V316" s="330"/>
      <c r="W316" s="330"/>
      <c r="X316" s="330"/>
    </row>
    <row r="317" spans="1:24" ht="15.75" customHeight="1">
      <c r="A317" s="330"/>
      <c r="B317" s="330"/>
      <c r="C317" s="379"/>
      <c r="D317" s="330"/>
      <c r="E317" s="330"/>
      <c r="F317" s="330"/>
      <c r="G317" s="330"/>
      <c r="H317" s="330"/>
      <c r="I317" s="330"/>
      <c r="J317" s="330"/>
      <c r="K317" s="330"/>
      <c r="L317" s="330"/>
      <c r="M317" s="330"/>
      <c r="N317" s="330"/>
      <c r="O317" s="330"/>
      <c r="P317" s="330"/>
      <c r="Q317" s="330"/>
      <c r="R317" s="330"/>
      <c r="S317" s="330"/>
      <c r="T317" s="330"/>
      <c r="U317" s="330"/>
      <c r="V317" s="330"/>
      <c r="W317" s="330"/>
      <c r="X317" s="330"/>
    </row>
    <row r="318" spans="1:24" ht="15.75" customHeight="1">
      <c r="A318" s="330"/>
      <c r="B318" s="330"/>
      <c r="C318" s="379"/>
      <c r="D318" s="330"/>
      <c r="E318" s="330"/>
      <c r="F318" s="330"/>
      <c r="G318" s="330"/>
      <c r="H318" s="330"/>
      <c r="I318" s="330"/>
      <c r="J318" s="330"/>
      <c r="K318" s="330"/>
      <c r="L318" s="330"/>
      <c r="M318" s="330"/>
      <c r="N318" s="330"/>
      <c r="O318" s="330"/>
      <c r="P318" s="330"/>
      <c r="Q318" s="330"/>
      <c r="R318" s="330"/>
      <c r="S318" s="330"/>
      <c r="T318" s="330"/>
      <c r="U318" s="330"/>
      <c r="V318" s="330"/>
      <c r="W318" s="330"/>
      <c r="X318" s="330"/>
    </row>
    <row r="319" spans="1:24" ht="15.75" customHeight="1">
      <c r="A319" s="330"/>
      <c r="B319" s="330"/>
      <c r="C319" s="379"/>
      <c r="D319" s="330"/>
      <c r="E319" s="330"/>
      <c r="F319" s="330"/>
      <c r="G319" s="330"/>
      <c r="H319" s="330"/>
      <c r="I319" s="330"/>
      <c r="J319" s="330"/>
      <c r="K319" s="330"/>
      <c r="L319" s="330"/>
      <c r="M319" s="330"/>
      <c r="N319" s="330"/>
      <c r="O319" s="330"/>
      <c r="P319" s="330"/>
      <c r="Q319" s="330"/>
      <c r="R319" s="330"/>
      <c r="S319" s="330"/>
      <c r="T319" s="330"/>
      <c r="U319" s="330"/>
      <c r="V319" s="330"/>
      <c r="W319" s="330"/>
      <c r="X319" s="330"/>
    </row>
    <row r="320" spans="1:24" ht="15.75" customHeight="1">
      <c r="A320" s="330"/>
      <c r="B320" s="330"/>
      <c r="C320" s="379"/>
      <c r="D320" s="330"/>
      <c r="E320" s="330"/>
      <c r="F320" s="330"/>
      <c r="G320" s="330"/>
      <c r="H320" s="330"/>
      <c r="I320" s="330"/>
      <c r="J320" s="330"/>
      <c r="K320" s="330"/>
      <c r="L320" s="330"/>
      <c r="M320" s="330"/>
      <c r="N320" s="330"/>
      <c r="O320" s="330"/>
      <c r="P320" s="330"/>
      <c r="Q320" s="330"/>
      <c r="R320" s="330"/>
      <c r="S320" s="330"/>
      <c r="T320" s="330"/>
      <c r="U320" s="330"/>
      <c r="V320" s="330"/>
      <c r="W320" s="330"/>
      <c r="X320" s="330"/>
    </row>
    <row r="321" spans="1:24" ht="15.75" customHeight="1">
      <c r="A321" s="330"/>
      <c r="B321" s="330"/>
      <c r="C321" s="379"/>
      <c r="D321" s="330"/>
      <c r="E321" s="330"/>
      <c r="F321" s="330"/>
      <c r="G321" s="330"/>
      <c r="H321" s="330"/>
      <c r="I321" s="330"/>
      <c r="J321" s="330"/>
      <c r="K321" s="330"/>
      <c r="L321" s="330"/>
      <c r="M321" s="330"/>
      <c r="N321" s="330"/>
      <c r="O321" s="330"/>
      <c r="P321" s="330"/>
      <c r="Q321" s="330"/>
      <c r="R321" s="330"/>
      <c r="S321" s="330"/>
      <c r="T321" s="330"/>
      <c r="U321" s="330"/>
      <c r="V321" s="330"/>
      <c r="W321" s="330"/>
      <c r="X321" s="330"/>
    </row>
    <row r="322" spans="1:24" ht="15.75" customHeight="1">
      <c r="A322" s="330"/>
      <c r="B322" s="330"/>
      <c r="C322" s="379"/>
      <c r="D322" s="330"/>
      <c r="E322" s="330"/>
      <c r="F322" s="330"/>
      <c r="G322" s="330"/>
      <c r="H322" s="330"/>
      <c r="I322" s="330"/>
      <c r="J322" s="330"/>
      <c r="K322" s="330"/>
      <c r="L322" s="330"/>
      <c r="M322" s="330"/>
      <c r="N322" s="330"/>
      <c r="O322" s="330"/>
      <c r="P322" s="330"/>
      <c r="Q322" s="330"/>
      <c r="R322" s="330"/>
      <c r="S322" s="330"/>
      <c r="T322" s="330"/>
      <c r="U322" s="330"/>
      <c r="V322" s="330"/>
      <c r="W322" s="330"/>
      <c r="X322" s="330"/>
    </row>
    <row r="323" spans="1:24" ht="15.75" customHeight="1">
      <c r="A323" s="330"/>
      <c r="B323" s="330"/>
      <c r="C323" s="379"/>
      <c r="D323" s="330"/>
      <c r="E323" s="330"/>
      <c r="F323" s="330"/>
      <c r="G323" s="330"/>
      <c r="H323" s="330"/>
      <c r="I323" s="330"/>
      <c r="J323" s="330"/>
      <c r="K323" s="330"/>
      <c r="L323" s="330"/>
      <c r="M323" s="330"/>
      <c r="N323" s="330"/>
      <c r="O323" s="330"/>
      <c r="P323" s="330"/>
      <c r="Q323" s="330"/>
      <c r="R323" s="330"/>
      <c r="S323" s="330"/>
      <c r="T323" s="330"/>
      <c r="U323" s="330"/>
      <c r="V323" s="330"/>
      <c r="W323" s="330"/>
      <c r="X323" s="330"/>
    </row>
    <row r="324" spans="1:24" ht="15.75" customHeight="1">
      <c r="A324" s="330"/>
      <c r="B324" s="330"/>
      <c r="C324" s="379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N324" s="330"/>
      <c r="O324" s="330"/>
      <c r="P324" s="330"/>
      <c r="Q324" s="330"/>
      <c r="R324" s="330"/>
      <c r="S324" s="330"/>
      <c r="T324" s="330"/>
      <c r="U324" s="330"/>
      <c r="V324" s="330"/>
      <c r="W324" s="330"/>
      <c r="X324" s="330"/>
    </row>
    <row r="325" spans="1:24" ht="15.75" customHeight="1"/>
    <row r="326" spans="1:24" ht="15.75" customHeight="1"/>
    <row r="327" spans="1:24" ht="15.75" customHeight="1"/>
    <row r="328" spans="1:24" ht="15.75" customHeight="1"/>
    <row r="329" spans="1:24" ht="15.75" customHeight="1"/>
    <row r="330" spans="1:24" ht="15.75" customHeight="1"/>
    <row r="331" spans="1:24" ht="15.75" customHeight="1"/>
    <row r="332" spans="1:24" ht="15.75" customHeight="1"/>
    <row r="333" spans="1:24" ht="15.75" customHeight="1"/>
    <row r="334" spans="1:24" ht="15.75" customHeight="1"/>
    <row r="335" spans="1:24" ht="15.75" customHeight="1"/>
    <row r="336" spans="1:24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A2348"/>
  <sheetViews>
    <sheetView rightToLeft="1" tabSelected="1" zoomScale="80" zoomScaleNormal="80" workbookViewId="0">
      <pane ySplit="1" topLeftCell="A1322" activePane="bottomLeft" state="frozen"/>
      <selection pane="bottomLeft" activeCell="I1548" sqref="G1548:I1563"/>
    </sheetView>
  </sheetViews>
  <sheetFormatPr baseColWidth="10" defaultColWidth="14.5" defaultRowHeight="15" customHeight="1"/>
  <cols>
    <col min="1" max="1" width="11" customWidth="1"/>
    <col min="2" max="2" width="8.6640625" customWidth="1"/>
    <col min="3" max="3" width="12.5" customWidth="1"/>
    <col min="4" max="5" width="15.5" customWidth="1"/>
    <col min="6" max="6" width="28.83203125" style="252" customWidth="1"/>
    <col min="7" max="7" width="8" customWidth="1"/>
    <col min="8" max="9" width="7.5" customWidth="1"/>
    <col min="10" max="10" width="10.33203125" customWidth="1"/>
    <col min="11" max="11" width="21.83203125" customWidth="1"/>
    <col min="12" max="12" width="74" customWidth="1"/>
    <col min="13" max="16" width="8.6640625" customWidth="1"/>
    <col min="17" max="18" width="8.6640625" hidden="1" customWidth="1"/>
    <col min="19" max="27" width="8.6640625" customWidth="1"/>
  </cols>
  <sheetData>
    <row r="1" spans="1:27" ht="33.75" customHeight="1">
      <c r="A1" s="130" t="s">
        <v>343</v>
      </c>
      <c r="B1" s="131" t="s">
        <v>341</v>
      </c>
      <c r="C1" s="131" t="s">
        <v>449</v>
      </c>
      <c r="D1" s="131" t="s">
        <v>450</v>
      </c>
      <c r="E1" s="131" t="s">
        <v>451</v>
      </c>
      <c r="F1" s="242" t="s">
        <v>452</v>
      </c>
      <c r="G1" s="131" t="s">
        <v>453</v>
      </c>
      <c r="H1" s="131" t="s">
        <v>454</v>
      </c>
      <c r="I1" s="131" t="s">
        <v>455</v>
      </c>
      <c r="J1" s="131" t="s">
        <v>348</v>
      </c>
      <c r="K1" s="131" t="s">
        <v>456</v>
      </c>
      <c r="L1" s="132" t="s">
        <v>457</v>
      </c>
      <c r="M1" s="424" t="s">
        <v>1467</v>
      </c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</row>
    <row r="2" spans="1:27">
      <c r="A2" s="17" t="s">
        <v>458</v>
      </c>
      <c r="B2" s="133">
        <f>SUMIFS('لیست واریزی کل خیرین'!B:B,'لیست واریزی کل خیرین'!D:D,Table1[[#This Row],[نام]],'لیست واریزی کل خیرین'!E:E,Table1[[#This Row],[نام خانوادگی]])</f>
        <v>22</v>
      </c>
      <c r="C2" s="134" t="s">
        <v>518</v>
      </c>
      <c r="D2" s="134" t="s">
        <v>519</v>
      </c>
      <c r="E2" s="135" t="s">
        <v>353</v>
      </c>
      <c r="F2" s="243">
        <v>5029081026862940</v>
      </c>
      <c r="G2" s="137" t="s">
        <v>462</v>
      </c>
      <c r="H2" s="138">
        <f t="shared" ref="H2:H65" si="0">IF(G2="","",VLOOKUP(G2,mah,2,0))</f>
        <v>3</v>
      </c>
      <c r="I2" s="137">
        <v>1401</v>
      </c>
      <c r="J2" s="137"/>
      <c r="K2" s="139">
        <v>2000000</v>
      </c>
      <c r="L2" s="140"/>
      <c r="Q2" s="3" t="s">
        <v>463</v>
      </c>
      <c r="R2" s="3">
        <v>1</v>
      </c>
    </row>
    <row r="3" spans="1:27">
      <c r="A3" s="17" t="s">
        <v>458</v>
      </c>
      <c r="B3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3" s="134" t="s">
        <v>483</v>
      </c>
      <c r="D3" s="134" t="s">
        <v>484</v>
      </c>
      <c r="E3" s="135" t="s">
        <v>350</v>
      </c>
      <c r="F3" s="243">
        <v>6104337871897400</v>
      </c>
      <c r="G3" s="137" t="s">
        <v>462</v>
      </c>
      <c r="H3" s="138">
        <f t="shared" si="0"/>
        <v>3</v>
      </c>
      <c r="I3" s="137">
        <v>1401</v>
      </c>
      <c r="J3" s="137"/>
      <c r="K3" s="139">
        <v>5000000</v>
      </c>
      <c r="L3" s="140"/>
      <c r="Q3" s="3" t="s">
        <v>468</v>
      </c>
      <c r="R3" s="3">
        <v>2</v>
      </c>
    </row>
    <row r="4" spans="1:27">
      <c r="A4" s="17" t="s">
        <v>458</v>
      </c>
      <c r="B4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4" s="134" t="s">
        <v>522</v>
      </c>
      <c r="D4" s="134" t="s">
        <v>523</v>
      </c>
      <c r="E4" s="135" t="s">
        <v>517</v>
      </c>
      <c r="F4" s="243" t="s">
        <v>524</v>
      </c>
      <c r="G4" s="137" t="s">
        <v>462</v>
      </c>
      <c r="H4" s="138">
        <f t="shared" si="0"/>
        <v>3</v>
      </c>
      <c r="I4" s="137">
        <v>1401</v>
      </c>
      <c r="J4" s="137"/>
      <c r="K4" s="139">
        <v>4570</v>
      </c>
      <c r="L4" s="140"/>
      <c r="Q4" s="3" t="s">
        <v>462</v>
      </c>
      <c r="R4" s="3">
        <v>3</v>
      </c>
    </row>
    <row r="5" spans="1:27">
      <c r="A5" s="17" t="s">
        <v>458</v>
      </c>
      <c r="B5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5" s="134" t="s">
        <v>497</v>
      </c>
      <c r="D5" s="134" t="s">
        <v>513</v>
      </c>
      <c r="E5" s="135" t="s">
        <v>514</v>
      </c>
      <c r="F5" s="243">
        <v>6037697598049570</v>
      </c>
      <c r="G5" s="137" t="s">
        <v>462</v>
      </c>
      <c r="H5" s="138">
        <f t="shared" si="0"/>
        <v>3</v>
      </c>
      <c r="I5" s="137">
        <v>1401</v>
      </c>
      <c r="J5" s="137"/>
      <c r="K5" s="139">
        <v>10000000</v>
      </c>
      <c r="L5" s="140"/>
      <c r="Q5" s="3" t="s">
        <v>474</v>
      </c>
      <c r="R5" s="3">
        <v>4</v>
      </c>
    </row>
    <row r="6" spans="1:27">
      <c r="A6" s="17" t="s">
        <v>458</v>
      </c>
      <c r="B6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6" s="134" t="s">
        <v>469</v>
      </c>
      <c r="D6" s="134" t="s">
        <v>470</v>
      </c>
      <c r="E6" s="135" t="s">
        <v>350</v>
      </c>
      <c r="F6" s="243">
        <v>6104337649628050</v>
      </c>
      <c r="G6" s="137" t="s">
        <v>462</v>
      </c>
      <c r="H6" s="138">
        <f t="shared" si="0"/>
        <v>3</v>
      </c>
      <c r="I6" s="137">
        <v>1401</v>
      </c>
      <c r="J6" s="137"/>
      <c r="K6" s="139">
        <v>10000000</v>
      </c>
      <c r="L6" s="140"/>
      <c r="Q6" s="3" t="s">
        <v>477</v>
      </c>
      <c r="R6" s="3">
        <v>5</v>
      </c>
    </row>
    <row r="7" spans="1:27">
      <c r="A7" s="17" t="s">
        <v>458</v>
      </c>
      <c r="B7" s="133">
        <f>SUMIFS('لیست واریزی کل خیرین'!B:B,'لیست واریزی کل خیرین'!D:D,Table1[[#This Row],[نام]],'لیست واریزی کل خیرین'!E:E,Table1[[#This Row],[نام خانوادگی]])</f>
        <v>2</v>
      </c>
      <c r="C7" s="134" t="s">
        <v>464</v>
      </c>
      <c r="D7" s="134" t="s">
        <v>465</v>
      </c>
      <c r="E7" s="135" t="s">
        <v>466</v>
      </c>
      <c r="F7" s="243" t="s">
        <v>467</v>
      </c>
      <c r="G7" s="137" t="s">
        <v>462</v>
      </c>
      <c r="H7" s="138">
        <f t="shared" si="0"/>
        <v>3</v>
      </c>
      <c r="I7" s="137">
        <v>1401</v>
      </c>
      <c r="J7" s="137"/>
      <c r="K7" s="139">
        <v>20000000</v>
      </c>
      <c r="L7" s="140"/>
      <c r="Q7" s="3" t="s">
        <v>479</v>
      </c>
      <c r="R7" s="3">
        <v>6</v>
      </c>
    </row>
    <row r="8" spans="1:27">
      <c r="A8" s="17" t="s">
        <v>458</v>
      </c>
      <c r="B8" s="133">
        <f>SUMIFS('لیست واریزی کل خیرین'!B:B,'لیست واریزی کل خیرین'!D:D,Table1[[#This Row],[نام]],'لیست واریزی کل خیرین'!E:E,Table1[[#This Row],[نام خانوادگی]])</f>
        <v>4</v>
      </c>
      <c r="C8" s="134" t="s">
        <v>471</v>
      </c>
      <c r="D8" s="134" t="s">
        <v>472</v>
      </c>
      <c r="E8" s="135" t="s">
        <v>473</v>
      </c>
      <c r="F8" s="243">
        <v>6219861021865570</v>
      </c>
      <c r="G8" s="137" t="s">
        <v>462</v>
      </c>
      <c r="H8" s="138">
        <f t="shared" si="0"/>
        <v>3</v>
      </c>
      <c r="I8" s="137">
        <v>1401</v>
      </c>
      <c r="J8" s="137"/>
      <c r="K8" s="139">
        <v>2000000</v>
      </c>
      <c r="L8" s="140"/>
      <c r="Q8" s="3" t="s">
        <v>482</v>
      </c>
      <c r="R8" s="3">
        <v>7</v>
      </c>
    </row>
    <row r="9" spans="1:27">
      <c r="A9" s="17" t="s">
        <v>458</v>
      </c>
      <c r="B9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9" s="134" t="s">
        <v>486</v>
      </c>
      <c r="D9" s="134" t="s">
        <v>487</v>
      </c>
      <c r="E9" s="135" t="s">
        <v>350</v>
      </c>
      <c r="F9" s="243">
        <v>6037691526531220</v>
      </c>
      <c r="G9" s="137" t="s">
        <v>462</v>
      </c>
      <c r="H9" s="138">
        <f t="shared" si="0"/>
        <v>3</v>
      </c>
      <c r="I9" s="137">
        <v>1401</v>
      </c>
      <c r="J9" s="137"/>
      <c r="K9" s="139">
        <v>5000000</v>
      </c>
      <c r="L9" s="140"/>
      <c r="Q9" s="3" t="s">
        <v>485</v>
      </c>
      <c r="R9" s="3">
        <v>8</v>
      </c>
    </row>
    <row r="10" spans="1:27" ht="16">
      <c r="A10" s="17" t="s">
        <v>458</v>
      </c>
      <c r="B10" s="133">
        <f>SUMIFS('لیست واریزی کل خیرین'!B:B,'لیست واریزی کل خیرین'!D:D,Table1[[#This Row],[نام]],'لیست واریزی کل خیرین'!E:E,Table1[[#This Row],[نام خانوادگی]])</f>
        <v>11</v>
      </c>
      <c r="C10" s="141" t="s">
        <v>494</v>
      </c>
      <c r="D10" s="141" t="s">
        <v>495</v>
      </c>
      <c r="E10" s="135" t="s">
        <v>491</v>
      </c>
      <c r="F10" s="243">
        <v>6063731028949880</v>
      </c>
      <c r="G10" s="137" t="s">
        <v>462</v>
      </c>
      <c r="H10" s="138">
        <f t="shared" si="0"/>
        <v>3</v>
      </c>
      <c r="I10" s="137">
        <v>1401</v>
      </c>
      <c r="J10" s="142"/>
      <c r="K10" s="139">
        <v>20000000</v>
      </c>
      <c r="L10" s="143"/>
      <c r="Q10" s="3" t="s">
        <v>488</v>
      </c>
      <c r="R10" s="3">
        <v>9</v>
      </c>
    </row>
    <row r="11" spans="1:27">
      <c r="A11" s="17" t="s">
        <v>458</v>
      </c>
      <c r="B11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11" s="134" t="s">
        <v>480</v>
      </c>
      <c r="D11" s="134" t="s">
        <v>481</v>
      </c>
      <c r="E11" s="135" t="s">
        <v>350</v>
      </c>
      <c r="F11" s="243">
        <v>6037991947370220</v>
      </c>
      <c r="G11" s="137" t="s">
        <v>462</v>
      </c>
      <c r="H11" s="138">
        <f t="shared" si="0"/>
        <v>3</v>
      </c>
      <c r="I11" s="137">
        <v>1401</v>
      </c>
      <c r="J11" s="137"/>
      <c r="K11" s="139">
        <v>5000000</v>
      </c>
      <c r="L11" s="140"/>
      <c r="Q11" s="3" t="s">
        <v>493</v>
      </c>
      <c r="R11" s="3">
        <v>10</v>
      </c>
    </row>
    <row r="12" spans="1:27">
      <c r="A12" s="17" t="s">
        <v>458</v>
      </c>
      <c r="B12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12" s="134" t="s">
        <v>480</v>
      </c>
      <c r="D12" s="134" t="s">
        <v>481</v>
      </c>
      <c r="E12" s="135" t="s">
        <v>514</v>
      </c>
      <c r="F12" s="243">
        <v>6037991947370220</v>
      </c>
      <c r="G12" s="137" t="s">
        <v>462</v>
      </c>
      <c r="H12" s="138">
        <f t="shared" si="0"/>
        <v>3</v>
      </c>
      <c r="I12" s="137">
        <v>1401</v>
      </c>
      <c r="J12" s="137"/>
      <c r="K12" s="139">
        <v>5000000</v>
      </c>
      <c r="L12" s="140" t="s">
        <v>515</v>
      </c>
      <c r="Q12" s="3" t="s">
        <v>496</v>
      </c>
      <c r="R12" s="3">
        <v>11</v>
      </c>
    </row>
    <row r="13" spans="1:27">
      <c r="A13" s="17" t="s">
        <v>458</v>
      </c>
      <c r="B13" s="133">
        <f>SUMIFS('لیست واریزی کل خیرین'!B:B,'لیست واریزی کل خیرین'!D:D,Table1[[#This Row],[نام]],'لیست واریزی کل خیرین'!E:E,Table1[[#This Row],[نام خانوادگی]])</f>
        <v>18</v>
      </c>
      <c r="C13" s="134" t="s">
        <v>509</v>
      </c>
      <c r="D13" s="134" t="s">
        <v>510</v>
      </c>
      <c r="E13" s="135" t="s">
        <v>506</v>
      </c>
      <c r="F13" s="243">
        <v>5.0541616101177901E+17</v>
      </c>
      <c r="G13" s="137" t="s">
        <v>462</v>
      </c>
      <c r="H13" s="138">
        <f t="shared" si="0"/>
        <v>3</v>
      </c>
      <c r="I13" s="137">
        <v>1401</v>
      </c>
      <c r="J13" s="137"/>
      <c r="K13" s="139">
        <v>50000000</v>
      </c>
      <c r="L13" s="140"/>
      <c r="Q13" s="3" t="s">
        <v>499</v>
      </c>
      <c r="R13" s="3">
        <v>12</v>
      </c>
    </row>
    <row r="14" spans="1:27" ht="16">
      <c r="A14" s="17" t="s">
        <v>458</v>
      </c>
      <c r="B14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14" s="141" t="s">
        <v>497</v>
      </c>
      <c r="D14" s="141" t="s">
        <v>498</v>
      </c>
      <c r="E14" s="135" t="s">
        <v>491</v>
      </c>
      <c r="F14" s="243">
        <v>5022291500410800</v>
      </c>
      <c r="G14" s="137" t="s">
        <v>462</v>
      </c>
      <c r="H14" s="138">
        <f t="shared" si="0"/>
        <v>3</v>
      </c>
      <c r="I14" s="137">
        <v>1401</v>
      </c>
      <c r="J14" s="142"/>
      <c r="K14" s="139">
        <v>5000000</v>
      </c>
      <c r="L14" s="143"/>
    </row>
    <row r="15" spans="1:27" ht="16">
      <c r="A15" s="17" t="s">
        <v>458</v>
      </c>
      <c r="B15" s="133">
        <f>SUMIFS('لیست واریزی کل خیرین'!B:B,'لیست واریزی کل خیرین'!D:D,Table1[[#This Row],[نام]],'لیست واریزی کل خیرین'!E:E,Table1[[#This Row],[نام خانوادگی]])</f>
        <v>14</v>
      </c>
      <c r="C15" s="141" t="s">
        <v>202</v>
      </c>
      <c r="D15" s="141" t="s">
        <v>502</v>
      </c>
      <c r="E15" s="135" t="s">
        <v>491</v>
      </c>
      <c r="F15" s="243">
        <v>5057851003297340</v>
      </c>
      <c r="G15" s="137" t="s">
        <v>462</v>
      </c>
      <c r="H15" s="138">
        <f t="shared" si="0"/>
        <v>3</v>
      </c>
      <c r="I15" s="137">
        <v>1401</v>
      </c>
      <c r="J15" s="142"/>
      <c r="K15" s="139">
        <v>10000000</v>
      </c>
      <c r="L15" s="143"/>
    </row>
    <row r="16" spans="1:27" ht="16">
      <c r="A16" s="17" t="s">
        <v>458</v>
      </c>
      <c r="B16" s="133">
        <f>SUMIFS('لیست واریزی کل خیرین'!B:B,'لیست واریزی کل خیرین'!D:D,Table1[[#This Row],[نام]],'لیست واریزی کل خیرین'!E:E,Table1[[#This Row],[نام خانوادگی]])</f>
        <v>17</v>
      </c>
      <c r="C16" s="141" t="s">
        <v>507</v>
      </c>
      <c r="D16" s="141" t="s">
        <v>508</v>
      </c>
      <c r="E16" s="135" t="s">
        <v>506</v>
      </c>
      <c r="F16" s="243">
        <v>6104337850364350</v>
      </c>
      <c r="G16" s="137" t="s">
        <v>462</v>
      </c>
      <c r="H16" s="138">
        <f t="shared" si="0"/>
        <v>3</v>
      </c>
      <c r="I16" s="137">
        <v>1401</v>
      </c>
      <c r="J16" s="142"/>
      <c r="K16" s="139">
        <v>15000000</v>
      </c>
      <c r="L16" s="143"/>
    </row>
    <row r="17" spans="1:12" ht="16">
      <c r="A17" s="17" t="s">
        <v>458</v>
      </c>
      <c r="B17" s="133">
        <f>SUMIFS('لیست واریزی کل خیرین'!B:B,'لیست واریزی کل خیرین'!D:D,Table1[[#This Row],[نام]],'لیست واریزی کل خیرین'!E:E,Table1[[#This Row],[نام خانوادگی]])</f>
        <v>16</v>
      </c>
      <c r="C17" s="141" t="s">
        <v>497</v>
      </c>
      <c r="D17" s="141" t="s">
        <v>505</v>
      </c>
      <c r="E17" s="135" t="s">
        <v>506</v>
      </c>
      <c r="F17" s="243">
        <v>6037998112152490</v>
      </c>
      <c r="G17" s="137" t="s">
        <v>462</v>
      </c>
      <c r="H17" s="138">
        <f t="shared" si="0"/>
        <v>3</v>
      </c>
      <c r="I17" s="137">
        <v>1401</v>
      </c>
      <c r="J17" s="142"/>
      <c r="K17" s="139">
        <v>3000000</v>
      </c>
      <c r="L17" s="143" t="s">
        <v>1468</v>
      </c>
    </row>
    <row r="18" spans="1:12">
      <c r="A18" s="17" t="s">
        <v>458</v>
      </c>
      <c r="B18" s="133">
        <f>SUMIFS('لیست واریزی کل خیرین'!B:B,'لیست واریزی کل خیرین'!D:D,Table1[[#This Row],[نام]],'لیست واریزی کل خیرین'!E:E,Table1[[#This Row],[نام خانوادگی]])</f>
        <v>6</v>
      </c>
      <c r="C18" s="134" t="s">
        <v>207</v>
      </c>
      <c r="D18" s="134" t="s">
        <v>478</v>
      </c>
      <c r="E18" s="135" t="s">
        <v>461</v>
      </c>
      <c r="F18" s="243">
        <v>6037697540254170</v>
      </c>
      <c r="G18" s="137" t="s">
        <v>462</v>
      </c>
      <c r="H18" s="138">
        <f t="shared" si="0"/>
        <v>3</v>
      </c>
      <c r="I18" s="137">
        <v>1401</v>
      </c>
      <c r="J18" s="137"/>
      <c r="K18" s="139">
        <v>5000000</v>
      </c>
      <c r="L18" s="140"/>
    </row>
    <row r="19" spans="1:12" ht="15.75" customHeight="1">
      <c r="A19" s="17" t="s">
        <v>458</v>
      </c>
      <c r="B19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19" s="134" t="s">
        <v>489</v>
      </c>
      <c r="D19" s="134" t="s">
        <v>490</v>
      </c>
      <c r="E19" s="135" t="s">
        <v>491</v>
      </c>
      <c r="F19" s="243" t="s">
        <v>492</v>
      </c>
      <c r="G19" s="137" t="s">
        <v>462</v>
      </c>
      <c r="H19" s="138">
        <f t="shared" si="0"/>
        <v>3</v>
      </c>
      <c r="I19" s="137">
        <v>1401</v>
      </c>
      <c r="J19" s="137"/>
      <c r="K19" s="139">
        <v>100000000</v>
      </c>
      <c r="L19" s="140"/>
    </row>
    <row r="20" spans="1:12" ht="15.75" customHeight="1">
      <c r="A20" s="17" t="s">
        <v>458</v>
      </c>
      <c r="B20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20" s="134" t="s">
        <v>459</v>
      </c>
      <c r="D20" s="134" t="s">
        <v>460</v>
      </c>
      <c r="E20" s="135" t="s">
        <v>461</v>
      </c>
      <c r="F20" s="243">
        <v>6037697647873780</v>
      </c>
      <c r="G20" s="137" t="s">
        <v>462</v>
      </c>
      <c r="H20" s="138">
        <f t="shared" si="0"/>
        <v>3</v>
      </c>
      <c r="I20" s="137">
        <v>1401</v>
      </c>
      <c r="J20" s="137"/>
      <c r="K20" s="139">
        <v>30000000</v>
      </c>
      <c r="L20" s="140"/>
    </row>
    <row r="21" spans="1:12" ht="15.75" customHeight="1">
      <c r="A21" s="17" t="s">
        <v>458</v>
      </c>
      <c r="B21" s="133">
        <f>SUMIFS('لیست واریزی کل خیرین'!B:B,'لیست واریزی کل خیرین'!D:D,Table1[[#This Row],[نام]],'لیست واریزی کل خیرین'!E:E,Table1[[#This Row],[نام خانوادگی]])</f>
        <v>15</v>
      </c>
      <c r="C21" s="141" t="s">
        <v>503</v>
      </c>
      <c r="D21" s="141" t="s">
        <v>504</v>
      </c>
      <c r="E21" s="135" t="s">
        <v>351</v>
      </c>
      <c r="F21" s="243">
        <v>5894631848058950</v>
      </c>
      <c r="G21" s="137" t="s">
        <v>462</v>
      </c>
      <c r="H21" s="138">
        <f t="shared" si="0"/>
        <v>3</v>
      </c>
      <c r="I21" s="137">
        <v>1401</v>
      </c>
      <c r="J21" s="142"/>
      <c r="K21" s="139">
        <v>10000000</v>
      </c>
      <c r="L21" s="143"/>
    </row>
    <row r="22" spans="1:12" ht="15.75" customHeight="1">
      <c r="A22" s="17" t="s">
        <v>458</v>
      </c>
      <c r="B22" s="133">
        <f>SUMIFS('لیست واریزی کل خیرین'!B:B,'لیست واریزی کل خیرین'!D:D,Table1[[#This Row],[نام]],'لیست واریزی کل خیرین'!E:E,Table1[[#This Row],[نام خانوادگی]])</f>
        <v>20</v>
      </c>
      <c r="C22" s="134" t="s">
        <v>494</v>
      </c>
      <c r="D22" s="134" t="s">
        <v>511</v>
      </c>
      <c r="E22" s="135" t="s">
        <v>506</v>
      </c>
      <c r="F22" s="243" t="s">
        <v>512</v>
      </c>
      <c r="G22" s="137" t="s">
        <v>462</v>
      </c>
      <c r="H22" s="138">
        <f t="shared" si="0"/>
        <v>3</v>
      </c>
      <c r="I22" s="137">
        <v>1401</v>
      </c>
      <c r="J22" s="137"/>
      <c r="K22" s="139">
        <v>20000000</v>
      </c>
      <c r="L22" s="140"/>
    </row>
    <row r="23" spans="1:12" ht="15.75" customHeight="1">
      <c r="A23" s="17" t="s">
        <v>458</v>
      </c>
      <c r="B23" s="133">
        <f>SUMIFS('لیست واریزی کل خیرین'!B:B,'لیست واریزی کل خیرین'!D:D,Table1[[#This Row],[نام]],'لیست واریزی کل خیرین'!E:E,Table1[[#This Row],[نام خانوادگی]])</f>
        <v>13</v>
      </c>
      <c r="C23" s="141" t="s">
        <v>486</v>
      </c>
      <c r="D23" s="141" t="s">
        <v>500</v>
      </c>
      <c r="E23" s="135" t="s">
        <v>351</v>
      </c>
      <c r="F23" s="243">
        <v>6219861052116010</v>
      </c>
      <c r="G23" s="137" t="s">
        <v>462</v>
      </c>
      <c r="H23" s="138">
        <f t="shared" si="0"/>
        <v>3</v>
      </c>
      <c r="I23" s="137">
        <v>1401</v>
      </c>
      <c r="J23" s="142"/>
      <c r="K23" s="139">
        <v>2500000</v>
      </c>
      <c r="L23" s="143" t="s">
        <v>501</v>
      </c>
    </row>
    <row r="24" spans="1:12" ht="15.75" customHeight="1">
      <c r="A24" s="17" t="s">
        <v>458</v>
      </c>
      <c r="B24" s="133">
        <f>SUMIFS('لیست واریزی کل خیرین'!B:B,'لیست واریزی کل خیرین'!D:D,Table1[[#This Row],[نام]],'لیست واریزی کل خیرین'!E:E,Table1[[#This Row],[نام خانوادگی]])</f>
        <v>5</v>
      </c>
      <c r="C24" s="134" t="s">
        <v>475</v>
      </c>
      <c r="D24" s="134" t="s">
        <v>476</v>
      </c>
      <c r="E24" s="135" t="s">
        <v>473</v>
      </c>
      <c r="F24" s="243">
        <v>5859831202663190</v>
      </c>
      <c r="G24" s="137" t="s">
        <v>462</v>
      </c>
      <c r="H24" s="138">
        <f t="shared" si="0"/>
        <v>3</v>
      </c>
      <c r="I24" s="137">
        <v>1401</v>
      </c>
      <c r="J24" s="137"/>
      <c r="K24" s="139">
        <v>5000000</v>
      </c>
      <c r="L24" s="140"/>
    </row>
    <row r="25" spans="1:12" ht="15.75" customHeight="1">
      <c r="A25" s="17" t="s">
        <v>458</v>
      </c>
      <c r="B25" s="133">
        <f>SUMIFS('لیست واریزی کل خیرین'!B:B,'لیست واریزی کل خیرین'!D:D,Table1[[#This Row],[نام]],'لیست واریزی کل خیرین'!E:E,Table1[[#This Row],[نام خانوادگی]])</f>
        <v>21</v>
      </c>
      <c r="C25" s="134" t="s">
        <v>497</v>
      </c>
      <c r="D25" s="134" t="s">
        <v>516</v>
      </c>
      <c r="E25" s="135" t="s">
        <v>517</v>
      </c>
      <c r="F25" s="243">
        <v>5022291029404080</v>
      </c>
      <c r="G25" s="137" t="s">
        <v>462</v>
      </c>
      <c r="H25" s="138">
        <f t="shared" si="0"/>
        <v>3</v>
      </c>
      <c r="I25" s="137">
        <v>1401</v>
      </c>
      <c r="J25" s="137"/>
      <c r="K25" s="139">
        <v>5000000</v>
      </c>
      <c r="L25" s="140"/>
    </row>
    <row r="26" spans="1:12" ht="15.75" customHeight="1">
      <c r="A26" s="17" t="s">
        <v>458</v>
      </c>
      <c r="B26" s="133">
        <f>SUMIFS('لیست واریزی کل خیرین'!B:B,'لیست واریزی کل خیرین'!D:D,Table1[[#This Row],[نام]],'لیست واریزی کل خیرین'!E:E,Table1[[#This Row],[نام خانوادگی]])</f>
        <v>23</v>
      </c>
      <c r="C26" s="137" t="s">
        <v>588</v>
      </c>
      <c r="D26" s="137" t="s">
        <v>521</v>
      </c>
      <c r="E26" s="135" t="s">
        <v>353</v>
      </c>
      <c r="F26" s="243">
        <v>5022291049723550</v>
      </c>
      <c r="G26" s="137" t="s">
        <v>462</v>
      </c>
      <c r="H26" s="138">
        <f t="shared" si="0"/>
        <v>3</v>
      </c>
      <c r="I26" s="137">
        <v>1401</v>
      </c>
      <c r="J26" s="137"/>
      <c r="K26" s="139">
        <v>10000000</v>
      </c>
      <c r="L26" s="140"/>
    </row>
    <row r="27" spans="1:12" ht="15.75" customHeight="1">
      <c r="A27" s="17" t="s">
        <v>458</v>
      </c>
      <c r="B27" s="133">
        <f>SUMIFS('لیست واریزی کل خیرین'!B:B,'لیست واریزی کل خیرین'!D:D,Table1[[#This Row],[نام]],'لیست واریزی کل خیرین'!E:E,Table1[[#This Row],[نام خانوادگی]])</f>
        <v>28</v>
      </c>
      <c r="C27" s="134" t="s">
        <v>545</v>
      </c>
      <c r="D27" s="134" t="s">
        <v>546</v>
      </c>
      <c r="E27" s="135" t="s">
        <v>547</v>
      </c>
      <c r="F27" s="243">
        <v>6037997170998600</v>
      </c>
      <c r="G27" s="137" t="s">
        <v>474</v>
      </c>
      <c r="H27" s="138">
        <f t="shared" si="0"/>
        <v>4</v>
      </c>
      <c r="I27" s="137">
        <v>1401</v>
      </c>
      <c r="J27" s="137"/>
      <c r="K27" s="139">
        <v>10000000</v>
      </c>
      <c r="L27" s="140" t="s">
        <v>548</v>
      </c>
    </row>
    <row r="28" spans="1:12" ht="15.75" customHeight="1">
      <c r="A28" s="17" t="s">
        <v>458</v>
      </c>
      <c r="B28" s="133">
        <f>SUMIFS('لیست واریزی کل خیرین'!B:B,'لیست واریزی کل خیرین'!D:D,Table1[[#This Row],[نام]],'لیست واریزی کل خیرین'!E:E,Table1[[#This Row],[نام خانوادگی]])</f>
        <v>22</v>
      </c>
      <c r="C28" s="134" t="s">
        <v>518</v>
      </c>
      <c r="D28" s="134" t="s">
        <v>519</v>
      </c>
      <c r="E28" s="135" t="s">
        <v>559</v>
      </c>
      <c r="F28" s="243">
        <v>5029081026862940</v>
      </c>
      <c r="G28" s="137" t="s">
        <v>474</v>
      </c>
      <c r="H28" s="138">
        <f t="shared" si="0"/>
        <v>4</v>
      </c>
      <c r="I28" s="137">
        <v>1401</v>
      </c>
      <c r="J28" s="137"/>
      <c r="K28" s="139">
        <v>2000000</v>
      </c>
      <c r="L28" s="140"/>
    </row>
    <row r="29" spans="1:12" ht="15.75" customHeight="1">
      <c r="A29" s="17" t="s">
        <v>458</v>
      </c>
      <c r="B29" s="133">
        <f>SUMIFS('لیست واریزی کل خیرین'!B:B,'لیست واریزی کل خیرین'!D:D,Table1[[#This Row],[نام]],'لیست واریزی کل خیرین'!E:E,Table1[[#This Row],[نام خانوادگی]])</f>
        <v>30</v>
      </c>
      <c r="C29" s="134" t="s">
        <v>552</v>
      </c>
      <c r="D29" s="134" t="s">
        <v>553</v>
      </c>
      <c r="E29" s="135" t="s">
        <v>551</v>
      </c>
      <c r="F29" s="243">
        <v>5022291042872230</v>
      </c>
      <c r="G29" s="137" t="s">
        <v>474</v>
      </c>
      <c r="H29" s="138">
        <f t="shared" si="0"/>
        <v>4</v>
      </c>
      <c r="I29" s="137">
        <v>1401</v>
      </c>
      <c r="J29" s="137"/>
      <c r="K29" s="139">
        <v>10000000</v>
      </c>
      <c r="L29" s="140"/>
    </row>
    <row r="30" spans="1:12" ht="15.75" customHeight="1">
      <c r="A30" s="17" t="s">
        <v>458</v>
      </c>
      <c r="B30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30" s="134" t="s">
        <v>483</v>
      </c>
      <c r="D30" s="134" t="s">
        <v>484</v>
      </c>
      <c r="E30" s="183" t="s">
        <v>540</v>
      </c>
      <c r="F30" s="243">
        <v>6104337604787130</v>
      </c>
      <c r="G30" s="137" t="s">
        <v>474</v>
      </c>
      <c r="H30" s="138">
        <f t="shared" si="0"/>
        <v>4</v>
      </c>
      <c r="I30" s="137">
        <v>1401</v>
      </c>
      <c r="J30" s="137"/>
      <c r="K30" s="139">
        <v>5000000</v>
      </c>
      <c r="L30" s="140"/>
    </row>
    <row r="31" spans="1:12" ht="15.75" customHeight="1">
      <c r="A31" s="17" t="s">
        <v>458</v>
      </c>
      <c r="B31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31" s="134" t="s">
        <v>522</v>
      </c>
      <c r="D31" s="134" t="s">
        <v>523</v>
      </c>
      <c r="E31" s="135" t="s">
        <v>568</v>
      </c>
      <c r="F31" s="243" t="s">
        <v>524</v>
      </c>
      <c r="G31" s="137" t="s">
        <v>474</v>
      </c>
      <c r="H31" s="138">
        <f t="shared" si="0"/>
        <v>4</v>
      </c>
      <c r="I31" s="137">
        <v>1401</v>
      </c>
      <c r="J31" s="137"/>
      <c r="K31" s="139">
        <v>61172</v>
      </c>
      <c r="L31" s="140"/>
    </row>
    <row r="32" spans="1:12" ht="15.75" customHeight="1">
      <c r="A32" s="17" t="s">
        <v>458</v>
      </c>
      <c r="B32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32" s="134" t="s">
        <v>497</v>
      </c>
      <c r="D32" s="134" t="s">
        <v>513</v>
      </c>
      <c r="E32" s="135" t="s">
        <v>559</v>
      </c>
      <c r="F32" s="243">
        <v>6037697598049570</v>
      </c>
      <c r="G32" s="137" t="s">
        <v>474</v>
      </c>
      <c r="H32" s="138">
        <f t="shared" si="0"/>
        <v>4</v>
      </c>
      <c r="I32" s="137">
        <v>1401</v>
      </c>
      <c r="J32" s="137"/>
      <c r="K32" s="139">
        <v>10000000</v>
      </c>
      <c r="L32" s="140"/>
    </row>
    <row r="33" spans="1:12" ht="15.75" customHeight="1">
      <c r="A33" s="17" t="s">
        <v>458</v>
      </c>
      <c r="B33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33" s="134" t="s">
        <v>469</v>
      </c>
      <c r="D33" s="134" t="s">
        <v>470</v>
      </c>
      <c r="E33" s="135" t="s">
        <v>542</v>
      </c>
      <c r="F33" s="243">
        <v>6104337649628050</v>
      </c>
      <c r="G33" s="137" t="s">
        <v>474</v>
      </c>
      <c r="H33" s="138">
        <f t="shared" si="0"/>
        <v>4</v>
      </c>
      <c r="I33" s="137">
        <v>1401</v>
      </c>
      <c r="J33" s="137"/>
      <c r="K33" s="139">
        <v>10000000</v>
      </c>
      <c r="L33" s="140"/>
    </row>
    <row r="34" spans="1:12" ht="15.75" customHeight="1">
      <c r="B34" s="133">
        <f>SUMIFS('لیست واریزی کل خیرین'!B:B,'لیست واریزی کل خیرین'!D:D,Table1[[#This Row],[نام]],'لیست واریزی کل خیرین'!E:E,Table1[[#This Row],[نام خانوادگی]])</f>
        <v>2</v>
      </c>
      <c r="C34" s="134" t="s">
        <v>464</v>
      </c>
      <c r="D34" s="134" t="s">
        <v>465</v>
      </c>
      <c r="E34" s="135" t="s">
        <v>537</v>
      </c>
      <c r="F34" s="243" t="s">
        <v>538</v>
      </c>
      <c r="G34" s="137" t="s">
        <v>474</v>
      </c>
      <c r="H34" s="138">
        <f t="shared" si="0"/>
        <v>4</v>
      </c>
      <c r="I34" s="137">
        <v>1401</v>
      </c>
      <c r="J34" s="137"/>
      <c r="K34" s="139">
        <v>5000000</v>
      </c>
      <c r="L34" s="140"/>
    </row>
    <row r="35" spans="1:12" ht="15.75" customHeight="1">
      <c r="A35" s="17" t="s">
        <v>458</v>
      </c>
      <c r="B35" s="133">
        <f>SUMIFS('لیست واریزی کل خیرین'!B:B,'لیست واریزی کل خیرین'!D:D,Table1[[#This Row],[نام]],'لیست واریزی کل خیرین'!E:E,Table1[[#This Row],[نام خانوادگی]])</f>
        <v>2</v>
      </c>
      <c r="C35" s="134" t="s">
        <v>464</v>
      </c>
      <c r="D35" s="134" t="s">
        <v>465</v>
      </c>
      <c r="E35" s="135" t="s">
        <v>554</v>
      </c>
      <c r="F35" s="243" t="s">
        <v>555</v>
      </c>
      <c r="G35" s="137" t="s">
        <v>474</v>
      </c>
      <c r="H35" s="138">
        <f t="shared" si="0"/>
        <v>4</v>
      </c>
      <c r="I35" s="137">
        <v>1401</v>
      </c>
      <c r="J35" s="137"/>
      <c r="K35" s="139">
        <v>15000000</v>
      </c>
      <c r="L35" s="140" t="s">
        <v>515</v>
      </c>
    </row>
    <row r="36" spans="1:12" ht="15.75" customHeight="1">
      <c r="A36" s="17" t="s">
        <v>458</v>
      </c>
      <c r="B36" s="133">
        <f>SUMIFS('لیست واریزی کل خیرین'!B:B,'لیست واریزی کل خیرین'!D:D,Table1[[#This Row],[نام]],'لیست واریزی کل خیرین'!E:E,Table1[[#This Row],[نام خانوادگی]])</f>
        <v>4</v>
      </c>
      <c r="C36" s="134" t="s">
        <v>471</v>
      </c>
      <c r="D36" s="134" t="s">
        <v>472</v>
      </c>
      <c r="E36" s="135" t="s">
        <v>539</v>
      </c>
      <c r="F36" s="243">
        <v>6219861021865570</v>
      </c>
      <c r="G36" s="137" t="s">
        <v>474</v>
      </c>
      <c r="H36" s="138">
        <f t="shared" si="0"/>
        <v>4</v>
      </c>
      <c r="I36" s="137">
        <v>1401</v>
      </c>
      <c r="J36" s="137"/>
      <c r="K36" s="139">
        <v>2000000</v>
      </c>
      <c r="L36" s="140"/>
    </row>
    <row r="37" spans="1:12" ht="15.75" customHeight="1">
      <c r="A37" s="17" t="s">
        <v>458</v>
      </c>
      <c r="B37" s="133">
        <f>SUMIFS('لیست واریزی کل خیرین'!B:B,'لیست واریزی کل خیرین'!D:D,Table1[[#This Row],[نام]],'لیست واریزی کل خیرین'!E:E,Table1[[#This Row],[نام خانوادگی]])</f>
        <v>26</v>
      </c>
      <c r="C37" s="134" t="s">
        <v>207</v>
      </c>
      <c r="D37" s="134" t="s">
        <v>534</v>
      </c>
      <c r="E37" s="135" t="s">
        <v>535</v>
      </c>
      <c r="F37" s="243">
        <v>6037991767359810</v>
      </c>
      <c r="G37" s="137" t="s">
        <v>474</v>
      </c>
      <c r="H37" s="138">
        <f t="shared" si="0"/>
        <v>4</v>
      </c>
      <c r="I37" s="137">
        <v>1401</v>
      </c>
      <c r="J37" s="137"/>
      <c r="K37" s="139">
        <v>10000000</v>
      </c>
      <c r="L37" s="140"/>
    </row>
    <row r="38" spans="1:12" ht="15.75" customHeight="1">
      <c r="A38" s="17" t="s">
        <v>458</v>
      </c>
      <c r="B38" s="133">
        <f>SUMIFS('لیست واریزی کل خیرین'!B:B,'لیست واریزی کل خیرین'!D:D,Table1[[#This Row],[نام]],'لیست واریزی کل خیرین'!E:E,Table1[[#This Row],[نام خانوادگی]])</f>
        <v>25</v>
      </c>
      <c r="C38" s="134" t="s">
        <v>532</v>
      </c>
      <c r="D38" s="134" t="s">
        <v>533</v>
      </c>
      <c r="E38" s="135" t="s">
        <v>357</v>
      </c>
      <c r="F38" s="243">
        <v>6037997248149000</v>
      </c>
      <c r="G38" s="137" t="s">
        <v>474</v>
      </c>
      <c r="H38" s="138">
        <f t="shared" si="0"/>
        <v>4</v>
      </c>
      <c r="I38" s="137">
        <v>1401</v>
      </c>
      <c r="J38" s="137"/>
      <c r="K38" s="139">
        <v>30000000</v>
      </c>
      <c r="L38" s="140"/>
    </row>
    <row r="39" spans="1:12" ht="15.75" customHeight="1">
      <c r="A39" s="17" t="s">
        <v>458</v>
      </c>
      <c r="B39" s="133">
        <f>SUMIFS('لیست واریزی کل خیرین'!B:B,'لیست واریزی کل خیرین'!D:D,Table1[[#This Row],[نام]],'لیست واریزی کل خیرین'!E:E,Table1[[#This Row],[نام خانوادگی]])</f>
        <v>39</v>
      </c>
      <c r="C39" s="134" t="s">
        <v>207</v>
      </c>
      <c r="D39" s="134" t="s">
        <v>525</v>
      </c>
      <c r="E39" s="135" t="s">
        <v>526</v>
      </c>
      <c r="F39" s="243">
        <v>6037697608050220</v>
      </c>
      <c r="G39" s="137" t="s">
        <v>474</v>
      </c>
      <c r="H39" s="138">
        <f t="shared" si="0"/>
        <v>4</v>
      </c>
      <c r="I39" s="137">
        <v>1401</v>
      </c>
      <c r="J39" s="137"/>
      <c r="K39" s="139">
        <v>16000000</v>
      </c>
      <c r="L39" s="140" t="s">
        <v>527</v>
      </c>
    </row>
    <row r="40" spans="1:12" ht="15.75" customHeight="1">
      <c r="A40" s="17" t="s">
        <v>458</v>
      </c>
      <c r="B40" s="133">
        <f>SUMIFS('لیست واریزی کل خیرین'!B:B,'لیست واریزی کل خیرین'!D:D,Table1[[#This Row],[نام]],'لیست واریزی کل خیرین'!E:E,Table1[[#This Row],[نام خانوادگی]])</f>
        <v>24</v>
      </c>
      <c r="C40" s="134" t="s">
        <v>529</v>
      </c>
      <c r="D40" s="134" t="s">
        <v>530</v>
      </c>
      <c r="E40" s="135" t="s">
        <v>528</v>
      </c>
      <c r="F40" s="243">
        <v>5022291304273110</v>
      </c>
      <c r="G40" s="137" t="s">
        <v>474</v>
      </c>
      <c r="H40" s="138">
        <f t="shared" si="0"/>
        <v>4</v>
      </c>
      <c r="I40" s="137">
        <v>1401</v>
      </c>
      <c r="J40" s="137" t="s">
        <v>531</v>
      </c>
      <c r="K40" s="139">
        <v>5000000</v>
      </c>
      <c r="L40" s="140"/>
    </row>
    <row r="41" spans="1:12" ht="15.75" customHeight="1">
      <c r="A41" s="17" t="s">
        <v>458</v>
      </c>
      <c r="B41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41" s="134" t="s">
        <v>486</v>
      </c>
      <c r="D41" s="134" t="s">
        <v>487</v>
      </c>
      <c r="E41" s="135" t="s">
        <v>537</v>
      </c>
      <c r="F41" s="243">
        <v>6037691526531220</v>
      </c>
      <c r="G41" s="137" t="s">
        <v>474</v>
      </c>
      <c r="H41" s="138">
        <f t="shared" si="0"/>
        <v>4</v>
      </c>
      <c r="I41" s="137">
        <v>1401</v>
      </c>
      <c r="J41" s="137"/>
      <c r="K41" s="139">
        <v>5000000</v>
      </c>
      <c r="L41" s="140"/>
    </row>
    <row r="42" spans="1:12" ht="15.75" customHeight="1">
      <c r="A42" s="17" t="s">
        <v>458</v>
      </c>
      <c r="B42" s="133">
        <f>SUMIFS('لیست واریزی کل خیرین'!B:B,'لیست واریزی کل خیرین'!D:D,Table1[[#This Row],[نام]],'لیست واریزی کل خیرین'!E:E,Table1[[#This Row],[نام خانوادگی]])</f>
        <v>11</v>
      </c>
      <c r="C42" s="134" t="s">
        <v>494</v>
      </c>
      <c r="D42" s="134" t="s">
        <v>495</v>
      </c>
      <c r="E42" s="135" t="s">
        <v>536</v>
      </c>
      <c r="F42" s="243">
        <v>6063731028949880</v>
      </c>
      <c r="G42" s="137" t="s">
        <v>474</v>
      </c>
      <c r="H42" s="138">
        <f t="shared" si="0"/>
        <v>4</v>
      </c>
      <c r="I42" s="137">
        <v>1401</v>
      </c>
      <c r="J42" s="137"/>
      <c r="K42" s="139">
        <v>20000000</v>
      </c>
      <c r="L42" s="140"/>
    </row>
    <row r="43" spans="1:12" ht="15.75" customHeight="1">
      <c r="A43" s="17" t="s">
        <v>458</v>
      </c>
      <c r="B43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43" s="134" t="s">
        <v>480</v>
      </c>
      <c r="D43" s="134" t="s">
        <v>481</v>
      </c>
      <c r="E43" s="183" t="s">
        <v>743</v>
      </c>
      <c r="F43" s="243">
        <v>6037991947370220</v>
      </c>
      <c r="G43" s="137" t="s">
        <v>474</v>
      </c>
      <c r="H43" s="138">
        <f t="shared" si="0"/>
        <v>4</v>
      </c>
      <c r="I43" s="137">
        <v>1401</v>
      </c>
      <c r="J43" s="137"/>
      <c r="K43" s="139">
        <v>5000000</v>
      </c>
      <c r="L43" s="140"/>
    </row>
    <row r="44" spans="1:12" ht="15.75" customHeight="1">
      <c r="A44" s="17" t="s">
        <v>458</v>
      </c>
      <c r="B44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44" s="134" t="s">
        <v>497</v>
      </c>
      <c r="D44" s="134" t="s">
        <v>498</v>
      </c>
      <c r="E44" s="135" t="s">
        <v>528</v>
      </c>
      <c r="F44" s="243">
        <v>5022291500410800</v>
      </c>
      <c r="G44" s="137" t="s">
        <v>474</v>
      </c>
      <c r="H44" s="138">
        <f t="shared" si="0"/>
        <v>4</v>
      </c>
      <c r="I44" s="137">
        <v>1401</v>
      </c>
      <c r="J44" s="137"/>
      <c r="K44" s="139">
        <v>3000000</v>
      </c>
      <c r="L44" s="140"/>
    </row>
    <row r="45" spans="1:12" ht="15.75" customHeight="1">
      <c r="A45" s="17" t="s">
        <v>458</v>
      </c>
      <c r="B45" s="133">
        <f>SUMIFS('لیست واریزی کل خیرین'!B:B,'لیست واریزی کل خیرین'!D:D,Table1[[#This Row],[نام]],'لیست واریزی کل خیرین'!E:E,Table1[[#This Row],[نام خانوادگی]])</f>
        <v>14</v>
      </c>
      <c r="C45" s="134" t="s">
        <v>202</v>
      </c>
      <c r="D45" s="134" t="s">
        <v>502</v>
      </c>
      <c r="E45" s="135" t="s">
        <v>558</v>
      </c>
      <c r="F45" s="243">
        <v>5859831113825420</v>
      </c>
      <c r="G45" s="137" t="s">
        <v>474</v>
      </c>
      <c r="H45" s="138">
        <f t="shared" si="0"/>
        <v>4</v>
      </c>
      <c r="I45" s="137">
        <v>1401</v>
      </c>
      <c r="J45" s="137"/>
      <c r="K45" s="139">
        <v>10000000</v>
      </c>
      <c r="L45" s="140"/>
    </row>
    <row r="46" spans="1:12" ht="15.75" customHeight="1">
      <c r="A46" s="17" t="s">
        <v>458</v>
      </c>
      <c r="B46" s="172">
        <f>SUMIFS('لیست واریزی کل خیرین'!B:B,'لیست واریزی کل خیرین'!D:D,Table1[[#This Row],[نام]],'لیست واریزی کل خیرین'!E:E,Table1[[#This Row],[نام خانوادگی]])</f>
        <v>17</v>
      </c>
      <c r="C46" s="182" t="s">
        <v>507</v>
      </c>
      <c r="D46" s="182" t="s">
        <v>508</v>
      </c>
      <c r="E46" s="173" t="s">
        <v>566</v>
      </c>
      <c r="F46" s="247">
        <v>6104337850364350</v>
      </c>
      <c r="G46" s="137" t="s">
        <v>474</v>
      </c>
      <c r="H46" s="177">
        <f t="shared" si="0"/>
        <v>4</v>
      </c>
      <c r="I46" s="175">
        <v>1401</v>
      </c>
      <c r="J46" s="175"/>
      <c r="K46" s="179">
        <v>15000000</v>
      </c>
      <c r="L46" s="181" t="s">
        <v>567</v>
      </c>
    </row>
    <row r="47" spans="1:12" ht="36.75" customHeight="1">
      <c r="A47" s="17" t="s">
        <v>458</v>
      </c>
      <c r="B47" s="133">
        <f>SUMIFS('لیست واریزی کل خیرین'!B:B,'لیست واریزی کل خیرین'!D:D,Table1[[#This Row],[نام]],'لیست واریزی کل خیرین'!E:E,Table1[[#This Row],[نام خانوادگی]])</f>
        <v>16</v>
      </c>
      <c r="C47" s="141" t="s">
        <v>497</v>
      </c>
      <c r="D47" s="141" t="s">
        <v>505</v>
      </c>
      <c r="E47" s="135" t="s">
        <v>565</v>
      </c>
      <c r="F47" s="243">
        <v>6037998112152490</v>
      </c>
      <c r="G47" s="137" t="s">
        <v>474</v>
      </c>
      <c r="H47" s="138">
        <f t="shared" si="0"/>
        <v>4</v>
      </c>
      <c r="I47" s="137">
        <v>1401</v>
      </c>
      <c r="J47" s="137"/>
      <c r="K47" s="139">
        <v>3000000</v>
      </c>
      <c r="L47" s="425" t="s">
        <v>1469</v>
      </c>
    </row>
    <row r="48" spans="1:12" ht="15.75" customHeight="1">
      <c r="A48" s="17" t="s">
        <v>458</v>
      </c>
      <c r="B48" s="133">
        <f>SUMIFS('لیست واریزی کل خیرین'!B:B,'لیست واریزی کل خیرین'!D:D,Table1[[#This Row],[نام]],'لیست واریزی کل خیرین'!E:E,Table1[[#This Row],[نام خانوادگی]])</f>
        <v>31</v>
      </c>
      <c r="C48" s="134" t="s">
        <v>556</v>
      </c>
      <c r="D48" s="134" t="s">
        <v>557</v>
      </c>
      <c r="E48" s="135" t="s">
        <v>554</v>
      </c>
      <c r="F48" s="243">
        <v>6037997344245130</v>
      </c>
      <c r="G48" s="137" t="s">
        <v>474</v>
      </c>
      <c r="H48" s="138">
        <f t="shared" si="0"/>
        <v>4</v>
      </c>
      <c r="I48" s="137">
        <v>1401</v>
      </c>
      <c r="J48" s="137"/>
      <c r="K48" s="139">
        <v>5000000</v>
      </c>
      <c r="L48" s="140"/>
    </row>
    <row r="49" spans="1:12" ht="15.75" customHeight="1">
      <c r="A49" s="17" t="s">
        <v>458</v>
      </c>
      <c r="B49" s="133">
        <f>SUMIFS('لیست واریزی کل خیرین'!B:B,'لیست واریزی کل خیرین'!D:D,Table1[[#This Row],[نام]],'لیست واریزی کل خیرین'!E:E,Table1[[#This Row],[نام خانوادگی]])</f>
        <v>6</v>
      </c>
      <c r="C49" s="134" t="s">
        <v>207</v>
      </c>
      <c r="D49" s="134" t="s">
        <v>478</v>
      </c>
      <c r="E49" s="135" t="s">
        <v>528</v>
      </c>
      <c r="F49" s="243">
        <v>6037697540254170</v>
      </c>
      <c r="G49" s="137" t="s">
        <v>474</v>
      </c>
      <c r="H49" s="138">
        <f t="shared" si="0"/>
        <v>4</v>
      </c>
      <c r="I49" s="137">
        <v>1401</v>
      </c>
      <c r="J49" s="137"/>
      <c r="K49" s="139">
        <v>5000000</v>
      </c>
      <c r="L49" s="140"/>
    </row>
    <row r="50" spans="1:12" ht="15.75" customHeight="1">
      <c r="A50" s="17" t="s">
        <v>458</v>
      </c>
      <c r="B50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50" s="134" t="s">
        <v>489</v>
      </c>
      <c r="D50" s="134" t="s">
        <v>490</v>
      </c>
      <c r="E50" s="135" t="s">
        <v>542</v>
      </c>
      <c r="F50" s="243">
        <v>6221061229152840</v>
      </c>
      <c r="G50" s="137" t="s">
        <v>474</v>
      </c>
      <c r="H50" s="138">
        <f t="shared" si="0"/>
        <v>4</v>
      </c>
      <c r="I50" s="137">
        <v>1401</v>
      </c>
      <c r="J50" s="137"/>
      <c r="K50" s="139">
        <v>100000000</v>
      </c>
      <c r="L50" s="140"/>
    </row>
    <row r="51" spans="1:12" ht="15.75" customHeight="1">
      <c r="A51" s="17" t="s">
        <v>458</v>
      </c>
      <c r="B51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51" s="134" t="s">
        <v>459</v>
      </c>
      <c r="D51" s="134" t="s">
        <v>460</v>
      </c>
      <c r="E51" s="135" t="s">
        <v>541</v>
      </c>
      <c r="F51" s="243">
        <v>6037697647873780</v>
      </c>
      <c r="G51" s="137" t="s">
        <v>474</v>
      </c>
      <c r="H51" s="138">
        <f t="shared" si="0"/>
        <v>4</v>
      </c>
      <c r="I51" s="137">
        <v>1401</v>
      </c>
      <c r="J51" s="137"/>
      <c r="K51" s="139">
        <v>30000000</v>
      </c>
      <c r="L51" s="140"/>
    </row>
    <row r="52" spans="1:12" ht="15.75" customHeight="1">
      <c r="A52" s="17" t="s">
        <v>458</v>
      </c>
      <c r="B52" s="133">
        <f>SUMIFS('لیست واریزی کل خیرین'!B:B,'لیست واریزی کل خیرین'!D:D,Table1[[#This Row],[نام]],'لیست واریزی کل خیرین'!E:E,Table1[[#This Row],[نام خانوادگی]])</f>
        <v>15</v>
      </c>
      <c r="C52" s="134" t="s">
        <v>503</v>
      </c>
      <c r="D52" s="134" t="s">
        <v>504</v>
      </c>
      <c r="E52" s="135" t="s">
        <v>551</v>
      </c>
      <c r="F52" s="243">
        <v>6104338934864440</v>
      </c>
      <c r="G52" s="137" t="s">
        <v>474</v>
      </c>
      <c r="H52" s="138">
        <f t="shared" si="0"/>
        <v>4</v>
      </c>
      <c r="I52" s="137">
        <v>1401</v>
      </c>
      <c r="J52" s="137"/>
      <c r="K52" s="139">
        <v>10000000</v>
      </c>
      <c r="L52" s="140"/>
    </row>
    <row r="53" spans="1:12" ht="15.75" customHeight="1">
      <c r="A53" s="17" t="s">
        <v>458</v>
      </c>
      <c r="B53" s="133">
        <f>SUMIFS('لیست واریزی کل خیرین'!B:B,'لیست واریزی کل خیرین'!D:D,Table1[[#This Row],[نام]],'لیست واریزی کل خیرین'!E:E,Table1[[#This Row],[نام خانوادگی]])</f>
        <v>38</v>
      </c>
      <c r="C53" s="134" t="s">
        <v>560</v>
      </c>
      <c r="D53" s="134" t="s">
        <v>561</v>
      </c>
      <c r="E53" s="183" t="s">
        <v>744</v>
      </c>
      <c r="F53" s="245" t="s">
        <v>531</v>
      </c>
      <c r="G53" s="137" t="s">
        <v>474</v>
      </c>
      <c r="H53" s="138">
        <f t="shared" si="0"/>
        <v>4</v>
      </c>
      <c r="I53" s="137">
        <v>1401</v>
      </c>
      <c r="J53" s="137"/>
      <c r="K53" s="139">
        <v>3000000</v>
      </c>
      <c r="L53" s="140"/>
    </row>
    <row r="54" spans="1:12" ht="15.75" customHeight="1">
      <c r="A54" s="17" t="s">
        <v>458</v>
      </c>
      <c r="B54" s="133">
        <f>SUMIFS('لیست واریزی کل خیرین'!B:B,'لیست واریزی کل خیرین'!D:D,Table1[[#This Row],[نام]],'لیست واریزی کل خیرین'!E:E,Table1[[#This Row],[نام خانوادگی]])</f>
        <v>20</v>
      </c>
      <c r="C54" s="134" t="s">
        <v>494</v>
      </c>
      <c r="D54" s="144" t="s">
        <v>511</v>
      </c>
      <c r="E54" s="135" t="s">
        <v>562</v>
      </c>
      <c r="F54" s="243">
        <v>6221061229152840</v>
      </c>
      <c r="G54" s="137" t="s">
        <v>474</v>
      </c>
      <c r="H54" s="138">
        <f t="shared" si="0"/>
        <v>4</v>
      </c>
      <c r="I54" s="137">
        <v>1401</v>
      </c>
      <c r="J54" s="137"/>
      <c r="K54" s="139">
        <v>20000000</v>
      </c>
      <c r="L54" s="140" t="s">
        <v>563</v>
      </c>
    </row>
    <row r="55" spans="1:12" ht="15.75" customHeight="1">
      <c r="A55" s="17" t="s">
        <v>458</v>
      </c>
      <c r="B55" s="133">
        <f>SUMIFS('لیست واریزی کل خیرین'!B:B,'لیست واریزی کل خیرین'!D:D,Table1[[#This Row],[نام]],'لیست واریزی کل خیرین'!E:E,Table1[[#This Row],[نام خانوادگی]])</f>
        <v>13</v>
      </c>
      <c r="C55" s="141" t="s">
        <v>486</v>
      </c>
      <c r="D55" s="141" t="s">
        <v>500</v>
      </c>
      <c r="E55" s="135" t="s">
        <v>351</v>
      </c>
      <c r="F55" s="243">
        <v>6219861052116010</v>
      </c>
      <c r="G55" s="137" t="s">
        <v>474</v>
      </c>
      <c r="H55" s="138">
        <f t="shared" si="0"/>
        <v>4</v>
      </c>
      <c r="I55" s="137">
        <v>1401</v>
      </c>
      <c r="J55" s="142"/>
      <c r="K55" s="139">
        <v>2500000</v>
      </c>
      <c r="L55" s="143" t="s">
        <v>501</v>
      </c>
    </row>
    <row r="56" spans="1:12" ht="15.75" customHeight="1">
      <c r="A56" s="17" t="s">
        <v>458</v>
      </c>
      <c r="B56" s="133">
        <f>SUMIFS('لیست واریزی کل خیرین'!B:B,'لیست واریزی کل خیرین'!D:D,Table1[[#This Row],[نام]],'لیست واریزی کل خیرین'!E:E,Table1[[#This Row],[نام خانوادگی]])</f>
        <v>29</v>
      </c>
      <c r="C56" s="134" t="s">
        <v>549</v>
      </c>
      <c r="D56" s="134" t="s">
        <v>550</v>
      </c>
      <c r="E56" s="135" t="s">
        <v>547</v>
      </c>
      <c r="F56" s="243">
        <v>6037697540254170</v>
      </c>
      <c r="G56" s="137" t="s">
        <v>474</v>
      </c>
      <c r="H56" s="138">
        <f t="shared" si="0"/>
        <v>4</v>
      </c>
      <c r="I56" s="137">
        <v>1401</v>
      </c>
      <c r="J56" s="137"/>
      <c r="K56" s="139">
        <v>10000000</v>
      </c>
      <c r="L56" s="140"/>
    </row>
    <row r="57" spans="1:12" ht="15.75" customHeight="1">
      <c r="A57" s="17" t="s">
        <v>458</v>
      </c>
      <c r="B57" s="133">
        <f>SUMIFS('لیست واریزی کل خیرین'!B:B,'لیست واریزی کل خیرین'!D:D,Table1[[#This Row],[نام]],'لیست واریزی کل خیرین'!E:E,Table1[[#This Row],[نام خانوادگی]])</f>
        <v>5</v>
      </c>
      <c r="C57" s="134" t="s">
        <v>475</v>
      </c>
      <c r="D57" s="134" t="s">
        <v>476</v>
      </c>
      <c r="E57" s="135" t="s">
        <v>539</v>
      </c>
      <c r="F57" s="243">
        <v>5859831202663190</v>
      </c>
      <c r="G57" s="137" t="s">
        <v>474</v>
      </c>
      <c r="H57" s="138">
        <f t="shared" si="0"/>
        <v>4</v>
      </c>
      <c r="I57" s="137">
        <v>1401</v>
      </c>
      <c r="J57" s="137"/>
      <c r="K57" s="139">
        <v>5000000</v>
      </c>
      <c r="L57" s="140"/>
    </row>
    <row r="58" spans="1:12" ht="15.75" customHeight="1">
      <c r="A58" s="17" t="s">
        <v>458</v>
      </c>
      <c r="B58" s="133">
        <f>SUMIFS('لیست واریزی کل خیرین'!B:B,'لیست واریزی کل خیرین'!D:D,Table1[[#This Row],[نام]],'لیست واریزی کل خیرین'!E:E,Table1[[#This Row],[نام خانوادگی]])</f>
        <v>21</v>
      </c>
      <c r="C58" s="134" t="s">
        <v>497</v>
      </c>
      <c r="D58" s="134" t="s">
        <v>516</v>
      </c>
      <c r="E58" s="135" t="s">
        <v>558</v>
      </c>
      <c r="F58" s="243">
        <v>5022291029404080</v>
      </c>
      <c r="G58" s="137" t="s">
        <v>474</v>
      </c>
      <c r="H58" s="138">
        <f t="shared" si="0"/>
        <v>4</v>
      </c>
      <c r="I58" s="137">
        <v>1401</v>
      </c>
      <c r="J58" s="137"/>
      <c r="K58" s="139">
        <v>5000000</v>
      </c>
      <c r="L58" s="140"/>
    </row>
    <row r="59" spans="1:12" ht="15.75" customHeight="1">
      <c r="A59" s="171" t="s">
        <v>458</v>
      </c>
      <c r="B59" s="166">
        <f>SUMIFS('لیست واریزی کل خیرین'!B:B,'لیست واریزی کل خیرین'!D:D,Table1[[#This Row],[نام]],'لیست واریزی کل خیرین'!E:E,Table1[[#This Row],[نام خانوادگی]])</f>
        <v>23</v>
      </c>
      <c r="C59" s="137" t="s">
        <v>588</v>
      </c>
      <c r="D59" s="137" t="s">
        <v>521</v>
      </c>
      <c r="E59" s="174" t="s">
        <v>562</v>
      </c>
      <c r="F59" s="244" t="s">
        <v>564</v>
      </c>
      <c r="G59" s="137" t="s">
        <v>474</v>
      </c>
      <c r="H59" s="178">
        <f t="shared" si="0"/>
        <v>4</v>
      </c>
      <c r="I59" s="176">
        <v>1401</v>
      </c>
      <c r="J59" s="176"/>
      <c r="K59" s="180">
        <v>10000000</v>
      </c>
      <c r="L59" s="146"/>
    </row>
    <row r="60" spans="1:12" ht="15.75" customHeight="1">
      <c r="A60" s="17" t="s">
        <v>458</v>
      </c>
      <c r="B60" s="133">
        <f>SUMIFS('لیست واریزی کل خیرین'!B:B,'لیست واریزی کل خیرین'!D:D,Table1[[#This Row],[نام]],'لیست واریزی کل خیرین'!E:E,Table1[[#This Row],[نام خانوادگی]])</f>
        <v>27</v>
      </c>
      <c r="C60" s="134" t="s">
        <v>543</v>
      </c>
      <c r="D60" s="134" t="s">
        <v>544</v>
      </c>
      <c r="E60" s="135" t="s">
        <v>542</v>
      </c>
      <c r="F60" s="243">
        <v>6104337758811140</v>
      </c>
      <c r="G60" s="137" t="s">
        <v>474</v>
      </c>
      <c r="H60" s="138">
        <f t="shared" si="0"/>
        <v>4</v>
      </c>
      <c r="I60" s="137">
        <v>1401</v>
      </c>
      <c r="J60" s="137"/>
      <c r="K60" s="139">
        <v>5000000</v>
      </c>
      <c r="L60" s="146"/>
    </row>
    <row r="61" spans="1:12" ht="15.75" customHeight="1">
      <c r="A61" s="17" t="s">
        <v>458</v>
      </c>
      <c r="B61" s="133">
        <f>SUMIFS('لیست واریزی کل خیرین'!B:B,'لیست واریزی کل خیرین'!D:D,Table1[[#This Row],[نام]],'لیست واریزی کل خیرین'!E:E,Table1[[#This Row],[نام خانوادگی]])</f>
        <v>28</v>
      </c>
      <c r="C61" s="134" t="s">
        <v>545</v>
      </c>
      <c r="D61" s="134" t="s">
        <v>546</v>
      </c>
      <c r="E61" s="135" t="s">
        <v>361</v>
      </c>
      <c r="F61" s="243" t="s">
        <v>580</v>
      </c>
      <c r="G61" s="137" t="s">
        <v>477</v>
      </c>
      <c r="H61" s="138">
        <f t="shared" si="0"/>
        <v>5</v>
      </c>
      <c r="I61" s="137">
        <v>1401</v>
      </c>
      <c r="J61" s="137"/>
      <c r="K61" s="139">
        <v>500000</v>
      </c>
      <c r="L61" s="140"/>
    </row>
    <row r="62" spans="1:12" ht="15.75" customHeight="1">
      <c r="A62" s="17" t="s">
        <v>458</v>
      </c>
      <c r="B62" s="133">
        <f>SUMIFS('لیست واریزی کل خیرین'!B:B,'لیست واریزی کل خیرین'!D:D,Table1[[#This Row],[نام]],'لیست واریزی کل خیرین'!E:E,Table1[[#This Row],[نام خانوادگی]])</f>
        <v>28</v>
      </c>
      <c r="C62" s="134" t="s">
        <v>545</v>
      </c>
      <c r="D62" s="134" t="s">
        <v>546</v>
      </c>
      <c r="E62" s="135" t="s">
        <v>585</v>
      </c>
      <c r="F62" s="243" t="s">
        <v>580</v>
      </c>
      <c r="G62" s="137" t="s">
        <v>477</v>
      </c>
      <c r="H62" s="138">
        <f t="shared" si="0"/>
        <v>5</v>
      </c>
      <c r="I62" s="137">
        <v>1401</v>
      </c>
      <c r="J62" s="137"/>
      <c r="K62" s="139">
        <v>10500000</v>
      </c>
      <c r="L62" s="140"/>
    </row>
    <row r="63" spans="1:12" ht="15.75" customHeight="1">
      <c r="A63" s="17" t="s">
        <v>458</v>
      </c>
      <c r="B63" s="133">
        <f>SUMIFS('لیست واریزی کل خیرین'!B:B,'لیست واریزی کل خیرین'!D:D,Table1[[#This Row],[نام]],'لیست واریزی کل خیرین'!E:E,Table1[[#This Row],[نام خانوادگی]])</f>
        <v>28</v>
      </c>
      <c r="C63" s="134" t="s">
        <v>545</v>
      </c>
      <c r="D63" s="134" t="s">
        <v>546</v>
      </c>
      <c r="E63" s="135" t="s">
        <v>593</v>
      </c>
      <c r="F63" s="243" t="s">
        <v>580</v>
      </c>
      <c r="G63" s="137" t="s">
        <v>477</v>
      </c>
      <c r="H63" s="138">
        <f t="shared" si="0"/>
        <v>5</v>
      </c>
      <c r="I63" s="137">
        <v>1401</v>
      </c>
      <c r="J63" s="137"/>
      <c r="K63" s="139">
        <v>1000000</v>
      </c>
      <c r="L63" s="140"/>
    </row>
    <row r="64" spans="1:12" ht="15.75" customHeight="1">
      <c r="A64" s="17" t="s">
        <v>458</v>
      </c>
      <c r="B64" s="133">
        <f>SUMIFS('لیست واریزی کل خیرین'!B:B,'لیست واریزی کل خیرین'!D:D,Table1[[#This Row],[نام]],'لیست واریزی کل خیرین'!E:E,Table1[[#This Row],[نام خانوادگی]])</f>
        <v>28</v>
      </c>
      <c r="C64" s="134" t="s">
        <v>545</v>
      </c>
      <c r="D64" s="134" t="s">
        <v>546</v>
      </c>
      <c r="E64" s="135" t="s">
        <v>608</v>
      </c>
      <c r="F64" s="243" t="s">
        <v>580</v>
      </c>
      <c r="G64" s="137" t="s">
        <v>477</v>
      </c>
      <c r="H64" s="138">
        <f t="shared" si="0"/>
        <v>5</v>
      </c>
      <c r="I64" s="137">
        <v>1401</v>
      </c>
      <c r="J64" s="137"/>
      <c r="K64" s="139">
        <v>1000000</v>
      </c>
      <c r="L64" s="140"/>
    </row>
    <row r="65" spans="1:12" ht="15.75" customHeight="1">
      <c r="A65" s="17" t="s">
        <v>458</v>
      </c>
      <c r="B65" s="133">
        <f>SUMIFS('لیست واریزی کل خیرین'!B:B,'لیست واریزی کل خیرین'!D:D,Table1[[#This Row],[نام]],'لیست واریزی کل خیرین'!E:E,Table1[[#This Row],[نام خانوادگی]])</f>
        <v>34</v>
      </c>
      <c r="C65" s="134" t="s">
        <v>588</v>
      </c>
      <c r="D65" s="134" t="s">
        <v>589</v>
      </c>
      <c r="E65" s="135" t="s">
        <v>590</v>
      </c>
      <c r="F65" s="243">
        <v>5859831018931560</v>
      </c>
      <c r="G65" s="137" t="s">
        <v>477</v>
      </c>
      <c r="H65" s="138">
        <f t="shared" si="0"/>
        <v>5</v>
      </c>
      <c r="I65" s="137">
        <v>1401</v>
      </c>
      <c r="J65" s="137"/>
      <c r="K65" s="139">
        <v>5000000</v>
      </c>
      <c r="L65" s="140" t="s">
        <v>591</v>
      </c>
    </row>
    <row r="66" spans="1:12" ht="15.75" customHeight="1">
      <c r="A66" s="17" t="s">
        <v>458</v>
      </c>
      <c r="B66" s="133">
        <f>SUMIFS('لیست واریزی کل خیرین'!B:B,'لیست واریزی کل خیرین'!D:D,Table1[[#This Row],[نام]],'لیست واریزی کل خیرین'!E:E,Table1[[#This Row],[نام خانوادگی]])</f>
        <v>22</v>
      </c>
      <c r="C66" s="134" t="s">
        <v>518</v>
      </c>
      <c r="D66" s="134" t="s">
        <v>519</v>
      </c>
      <c r="E66" s="135" t="s">
        <v>610</v>
      </c>
      <c r="F66" s="243" t="s">
        <v>611</v>
      </c>
      <c r="G66" s="137" t="s">
        <v>477</v>
      </c>
      <c r="H66" s="138">
        <f t="shared" ref="H66:H129" si="1">IF(G66="","",VLOOKUP(G66,mah,2,0))</f>
        <v>5</v>
      </c>
      <c r="I66" s="137">
        <v>1401</v>
      </c>
      <c r="J66" s="137"/>
      <c r="K66" s="139">
        <v>2000000</v>
      </c>
      <c r="L66" s="140"/>
    </row>
    <row r="67" spans="1:12" ht="15.75" customHeight="1">
      <c r="A67" s="17" t="s">
        <v>458</v>
      </c>
      <c r="B67" s="133">
        <f>SUMIFS('لیست واریزی کل خیرین'!B:B,'لیست واریزی کل خیرین'!D:D,Table1[[#This Row],[نام]],'لیست واریزی کل خیرین'!E:E,Table1[[#This Row],[نام خانوادگی]])</f>
        <v>32</v>
      </c>
      <c r="C67" s="134" t="s">
        <v>574</v>
      </c>
      <c r="D67" s="134" t="s">
        <v>575</v>
      </c>
      <c r="E67" s="135" t="s">
        <v>576</v>
      </c>
      <c r="F67" s="243" t="s">
        <v>577</v>
      </c>
      <c r="G67" s="137" t="s">
        <v>477</v>
      </c>
      <c r="H67" s="138">
        <f t="shared" si="1"/>
        <v>5</v>
      </c>
      <c r="I67" s="137">
        <v>1401</v>
      </c>
      <c r="J67" s="137"/>
      <c r="K67" s="139">
        <v>5000000</v>
      </c>
      <c r="L67" s="140"/>
    </row>
    <row r="68" spans="1:12" ht="15.75" customHeight="1">
      <c r="A68" s="17" t="s">
        <v>458</v>
      </c>
      <c r="B68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68" s="134" t="s">
        <v>483</v>
      </c>
      <c r="D68" s="134" t="s">
        <v>484</v>
      </c>
      <c r="E68" s="135" t="s">
        <v>594</v>
      </c>
      <c r="F68" s="243" t="s">
        <v>599</v>
      </c>
      <c r="G68" s="137" t="s">
        <v>477</v>
      </c>
      <c r="H68" s="138">
        <f t="shared" si="1"/>
        <v>5</v>
      </c>
      <c r="I68" s="137">
        <v>1401</v>
      </c>
      <c r="J68" s="137"/>
      <c r="K68" s="139">
        <v>5000000</v>
      </c>
      <c r="L68" s="140"/>
    </row>
    <row r="69" spans="1:12" ht="15.75" customHeight="1">
      <c r="A69" s="17" t="s">
        <v>458</v>
      </c>
      <c r="B69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69" s="134" t="s">
        <v>522</v>
      </c>
      <c r="D69" s="134" t="s">
        <v>523</v>
      </c>
      <c r="E69" s="135" t="s">
        <v>593</v>
      </c>
      <c r="F69" s="243" t="s">
        <v>524</v>
      </c>
      <c r="G69" s="137" t="s">
        <v>477</v>
      </c>
      <c r="H69" s="138">
        <f t="shared" si="1"/>
        <v>5</v>
      </c>
      <c r="I69" s="137">
        <v>1401</v>
      </c>
      <c r="J69" s="137"/>
      <c r="K69" s="139">
        <v>5033530</v>
      </c>
      <c r="L69" s="140"/>
    </row>
    <row r="70" spans="1:12" ht="15.75" customHeight="1">
      <c r="A70" s="17" t="s">
        <v>458</v>
      </c>
      <c r="B70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70" s="134" t="s">
        <v>497</v>
      </c>
      <c r="D70" s="134" t="s">
        <v>513</v>
      </c>
      <c r="E70" s="135" t="s">
        <v>566</v>
      </c>
      <c r="F70" s="243">
        <v>6037697598049570</v>
      </c>
      <c r="G70" s="137" t="s">
        <v>477</v>
      </c>
      <c r="H70" s="138">
        <f t="shared" si="1"/>
        <v>5</v>
      </c>
      <c r="I70" s="137">
        <v>1401</v>
      </c>
      <c r="J70" s="137"/>
      <c r="K70" s="139">
        <v>10000000</v>
      </c>
      <c r="L70" s="140"/>
    </row>
    <row r="71" spans="1:12" ht="15.75" customHeight="1">
      <c r="A71" s="17" t="s">
        <v>458</v>
      </c>
      <c r="B71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71" s="134" t="s">
        <v>469</v>
      </c>
      <c r="D71" s="134" t="s">
        <v>470</v>
      </c>
      <c r="E71" s="137"/>
      <c r="F71" s="243"/>
      <c r="G71" s="137" t="s">
        <v>477</v>
      </c>
      <c r="H71" s="138">
        <f t="shared" si="1"/>
        <v>5</v>
      </c>
      <c r="I71" s="137">
        <v>1401</v>
      </c>
      <c r="J71" s="139">
        <v>10000000</v>
      </c>
      <c r="K71" s="139">
        <v>10000000</v>
      </c>
      <c r="L71" s="140" t="s">
        <v>616</v>
      </c>
    </row>
    <row r="72" spans="1:12" ht="15.75" customHeight="1">
      <c r="A72" s="17" t="s">
        <v>458</v>
      </c>
      <c r="B72" s="133">
        <f>SUMIFS('لیست واریزی کل خیرین'!B:B,'لیست واریزی کل خیرین'!D:D,Table1[[#This Row],[نام]],'لیست واریزی کل خیرین'!E:E,Table1[[#This Row],[نام خانوادگی]])</f>
        <v>2</v>
      </c>
      <c r="C72" s="134" t="s">
        <v>464</v>
      </c>
      <c r="D72" s="134" t="s">
        <v>465</v>
      </c>
      <c r="E72" s="135" t="s">
        <v>374</v>
      </c>
      <c r="F72" s="243" t="s">
        <v>492</v>
      </c>
      <c r="G72" s="137" t="s">
        <v>477</v>
      </c>
      <c r="H72" s="138">
        <f t="shared" si="1"/>
        <v>5</v>
      </c>
      <c r="I72" s="137">
        <v>1401</v>
      </c>
      <c r="J72" s="139">
        <v>4000000</v>
      </c>
      <c r="K72" s="139">
        <v>4000000</v>
      </c>
      <c r="L72" s="140" t="s">
        <v>592</v>
      </c>
    </row>
    <row r="73" spans="1:12" ht="15.75" customHeight="1">
      <c r="A73" s="17"/>
      <c r="B73" s="133">
        <f>SUMIFS('لیست واریزی کل خیرین'!B:B,'لیست واریزی کل خیرین'!D:D,Table1[[#This Row],[نام]],'لیست واریزی کل خیرین'!E:E,Table1[[#This Row],[نام خانوادگی]])</f>
        <v>2</v>
      </c>
      <c r="C73" s="137" t="s">
        <v>464</v>
      </c>
      <c r="D73" s="152" t="s">
        <v>465</v>
      </c>
      <c r="E73" s="135" t="s">
        <v>912</v>
      </c>
      <c r="F73" s="249" t="s">
        <v>835</v>
      </c>
      <c r="G73" s="137" t="s">
        <v>477</v>
      </c>
      <c r="H73" s="138">
        <f t="shared" si="1"/>
        <v>5</v>
      </c>
      <c r="I73" s="137">
        <v>1401</v>
      </c>
      <c r="J73" s="137"/>
      <c r="K73" s="139">
        <v>6000000</v>
      </c>
      <c r="L73" s="140" t="s">
        <v>913</v>
      </c>
    </row>
    <row r="74" spans="1:12" ht="15.75" customHeight="1">
      <c r="A74" s="17" t="s">
        <v>458</v>
      </c>
      <c r="B74" s="133">
        <f>SUMIFS('لیست واریزی کل خیرین'!B:B,'لیست واریزی کل خیرین'!D:D,Table1[[#This Row],[نام]],'لیست واریزی کل خیرین'!E:E,Table1[[#This Row],[نام خانوادگی]])</f>
        <v>4</v>
      </c>
      <c r="C74" s="134" t="s">
        <v>471</v>
      </c>
      <c r="D74" s="134" t="s">
        <v>472</v>
      </c>
      <c r="E74" s="135" t="s">
        <v>578</v>
      </c>
      <c r="F74" s="243">
        <v>6219861021865570</v>
      </c>
      <c r="G74" s="137" t="s">
        <v>477</v>
      </c>
      <c r="H74" s="138">
        <f t="shared" si="1"/>
        <v>5</v>
      </c>
      <c r="I74" s="137">
        <v>1401</v>
      </c>
      <c r="J74" s="137"/>
      <c r="K74" s="139">
        <v>2000000</v>
      </c>
      <c r="L74" s="140"/>
    </row>
    <row r="75" spans="1:12" ht="15.75" customHeight="1">
      <c r="A75" s="17" t="s">
        <v>458</v>
      </c>
      <c r="B75" s="133">
        <f>SUMIFS('لیست واریزی کل خیرین'!B:B,'لیست واریزی کل خیرین'!D:D,Table1[[#This Row],[نام]],'لیست واریزی کل خیرین'!E:E,Table1[[#This Row],[نام خانوادگی]])</f>
        <v>25</v>
      </c>
      <c r="C75" s="134" t="s">
        <v>532</v>
      </c>
      <c r="D75" s="134" t="s">
        <v>533</v>
      </c>
      <c r="E75" s="135" t="s">
        <v>562</v>
      </c>
      <c r="F75" s="243" t="s">
        <v>569</v>
      </c>
      <c r="G75" s="137" t="s">
        <v>477</v>
      </c>
      <c r="H75" s="138">
        <f t="shared" si="1"/>
        <v>5</v>
      </c>
      <c r="I75" s="137">
        <v>1401</v>
      </c>
      <c r="J75" s="137"/>
      <c r="K75" s="139">
        <v>30000000</v>
      </c>
      <c r="L75" s="140"/>
    </row>
    <row r="76" spans="1:12" ht="15.75" customHeight="1">
      <c r="A76" s="17" t="s">
        <v>458</v>
      </c>
      <c r="B76" s="133">
        <f>SUMIFS('لیست واریزی کل خیرین'!B:B,'لیست واریزی کل خیرین'!D:D,Table1[[#This Row],[نام]],'لیست واریزی کل خیرین'!E:E,Table1[[#This Row],[نام خانوادگی]])</f>
        <v>39</v>
      </c>
      <c r="C76" s="134" t="s">
        <v>207</v>
      </c>
      <c r="D76" s="134" t="s">
        <v>525</v>
      </c>
      <c r="E76" s="135" t="s">
        <v>526</v>
      </c>
      <c r="F76" s="243">
        <v>6037697608050220</v>
      </c>
      <c r="G76" s="137" t="s">
        <v>477</v>
      </c>
      <c r="H76" s="138">
        <f t="shared" si="1"/>
        <v>5</v>
      </c>
      <c r="I76" s="137">
        <v>1401</v>
      </c>
      <c r="J76" s="137"/>
      <c r="K76" s="139">
        <v>16000000</v>
      </c>
      <c r="L76" s="140" t="s">
        <v>527</v>
      </c>
    </row>
    <row r="77" spans="1:12" ht="15.75" customHeight="1">
      <c r="A77" s="17" t="s">
        <v>458</v>
      </c>
      <c r="B77" s="133">
        <f>SUMIFS('لیست واریزی کل خیرین'!B:B,'لیست واریزی کل خیرین'!D:D,Table1[[#This Row],[نام]],'لیست واریزی کل خیرین'!E:E,Table1[[#This Row],[نام خانوادگی]])</f>
        <v>24</v>
      </c>
      <c r="C77" s="134" t="s">
        <v>529</v>
      </c>
      <c r="D77" s="134" t="s">
        <v>530</v>
      </c>
      <c r="E77" s="135" t="s">
        <v>327</v>
      </c>
      <c r="F77" s="243" t="s">
        <v>571</v>
      </c>
      <c r="G77" s="137" t="s">
        <v>477</v>
      </c>
      <c r="H77" s="138">
        <f t="shared" si="1"/>
        <v>5</v>
      </c>
      <c r="I77" s="137">
        <v>1401</v>
      </c>
      <c r="J77" s="137"/>
      <c r="K77" s="139">
        <v>5000000</v>
      </c>
      <c r="L77" s="140" t="s">
        <v>563</v>
      </c>
    </row>
    <row r="78" spans="1:12" ht="15.75" customHeight="1">
      <c r="A78" s="17" t="s">
        <v>458</v>
      </c>
      <c r="B78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78" s="134" t="s">
        <v>486</v>
      </c>
      <c r="D78" s="134" t="s">
        <v>487</v>
      </c>
      <c r="E78" s="135" t="s">
        <v>594</v>
      </c>
      <c r="F78" s="243" t="s">
        <v>595</v>
      </c>
      <c r="G78" s="137" t="s">
        <v>477</v>
      </c>
      <c r="H78" s="138">
        <f t="shared" si="1"/>
        <v>5</v>
      </c>
      <c r="I78" s="137">
        <v>1401</v>
      </c>
      <c r="J78" s="137"/>
      <c r="K78" s="139">
        <v>5000000</v>
      </c>
      <c r="L78" s="140"/>
    </row>
    <row r="79" spans="1:12" ht="15.75" customHeight="1">
      <c r="A79" s="17" t="s">
        <v>458</v>
      </c>
      <c r="B79" s="133">
        <f>SUMIFS('لیست واریزی کل خیرین'!B:B,'لیست واریزی کل خیرین'!D:D,Table1[[#This Row],[نام]],'لیست واریزی کل خیرین'!E:E,Table1[[#This Row],[نام خانوادگی]])</f>
        <v>11</v>
      </c>
      <c r="C79" s="141" t="s">
        <v>494</v>
      </c>
      <c r="D79" s="141" t="s">
        <v>495</v>
      </c>
      <c r="E79" s="135" t="s">
        <v>572</v>
      </c>
      <c r="F79" s="243" t="s">
        <v>573</v>
      </c>
      <c r="G79" s="137" t="s">
        <v>477</v>
      </c>
      <c r="H79" s="138">
        <f t="shared" si="1"/>
        <v>5</v>
      </c>
      <c r="I79" s="137">
        <v>1401</v>
      </c>
      <c r="J79" s="137"/>
      <c r="K79" s="139">
        <v>30000000</v>
      </c>
      <c r="L79" s="140"/>
    </row>
    <row r="80" spans="1:12" ht="15.75" customHeight="1">
      <c r="A80" s="17" t="s">
        <v>458</v>
      </c>
      <c r="B80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80" s="134" t="s">
        <v>480</v>
      </c>
      <c r="D80" s="134" t="s">
        <v>481</v>
      </c>
      <c r="E80" s="135" t="s">
        <v>361</v>
      </c>
      <c r="F80" s="243" t="s">
        <v>579</v>
      </c>
      <c r="G80" s="137" t="s">
        <v>477</v>
      </c>
      <c r="H80" s="138">
        <f t="shared" si="1"/>
        <v>5</v>
      </c>
      <c r="I80" s="137">
        <v>1401</v>
      </c>
      <c r="J80" s="137"/>
      <c r="K80" s="139">
        <v>5000000</v>
      </c>
      <c r="L80" s="140"/>
    </row>
    <row r="81" spans="1:12" ht="15.75" customHeight="1">
      <c r="A81" s="17" t="s">
        <v>458</v>
      </c>
      <c r="B81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81" s="134" t="s">
        <v>480</v>
      </c>
      <c r="D81" s="134" t="s">
        <v>481</v>
      </c>
      <c r="E81" s="135" t="s">
        <v>605</v>
      </c>
      <c r="F81" s="243" t="s">
        <v>579</v>
      </c>
      <c r="G81" s="137" t="s">
        <v>477</v>
      </c>
      <c r="H81" s="138">
        <f t="shared" si="1"/>
        <v>5</v>
      </c>
      <c r="I81" s="137">
        <v>1401</v>
      </c>
      <c r="J81" s="137"/>
      <c r="K81" s="139">
        <v>10000000</v>
      </c>
      <c r="L81" s="140"/>
    </row>
    <row r="82" spans="1:12" ht="15.75" customHeight="1">
      <c r="A82" s="17" t="s">
        <v>458</v>
      </c>
      <c r="B82" s="133">
        <f>SUMIFS('لیست واریزی کل خیرین'!B:B,'لیست واریزی کل خیرین'!D:D,Table1[[#This Row],[نام]],'لیست واریزی کل خیرین'!E:E,Table1[[#This Row],[نام خانوادگی]])</f>
        <v>18</v>
      </c>
      <c r="C82" s="134" t="s">
        <v>509</v>
      </c>
      <c r="D82" s="134" t="s">
        <v>510</v>
      </c>
      <c r="E82" s="135" t="s">
        <v>606</v>
      </c>
      <c r="F82" s="243" t="s">
        <v>607</v>
      </c>
      <c r="G82" s="137" t="s">
        <v>477</v>
      </c>
      <c r="H82" s="138">
        <f t="shared" si="1"/>
        <v>5</v>
      </c>
      <c r="I82" s="137">
        <v>1401</v>
      </c>
      <c r="J82" s="137"/>
      <c r="K82" s="139">
        <v>40000000</v>
      </c>
      <c r="L82" s="140"/>
    </row>
    <row r="83" spans="1:12" ht="15.75" customHeight="1">
      <c r="A83" s="17" t="s">
        <v>458</v>
      </c>
      <c r="B83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83" s="145" t="s">
        <v>497</v>
      </c>
      <c r="D83" s="145" t="s">
        <v>498</v>
      </c>
      <c r="E83" s="135" t="s">
        <v>526</v>
      </c>
      <c r="F83" s="243">
        <v>5022291500410800</v>
      </c>
      <c r="G83" s="137" t="s">
        <v>477</v>
      </c>
      <c r="H83" s="138">
        <f t="shared" si="1"/>
        <v>5</v>
      </c>
      <c r="I83" s="137">
        <v>1401</v>
      </c>
      <c r="J83" s="137"/>
      <c r="K83" s="139">
        <v>3000000</v>
      </c>
      <c r="L83" s="140"/>
    </row>
    <row r="84" spans="1:12" ht="15.75" customHeight="1">
      <c r="A84" s="17" t="s">
        <v>458</v>
      </c>
      <c r="B84" s="133">
        <f>SUMIFS('لیست واریزی کل خیرین'!B:B,'لیست واریزی کل خیرین'!D:D,Table1[[#This Row],[نام]],'لیست واریزی کل خیرین'!E:E,Table1[[#This Row],[نام خانوادگی]])</f>
        <v>14</v>
      </c>
      <c r="C84" s="134" t="s">
        <v>202</v>
      </c>
      <c r="D84" s="134" t="s">
        <v>502</v>
      </c>
      <c r="E84" s="135" t="s">
        <v>600</v>
      </c>
      <c r="F84" s="243" t="s">
        <v>601</v>
      </c>
      <c r="G84" s="137" t="s">
        <v>477</v>
      </c>
      <c r="H84" s="138">
        <f t="shared" si="1"/>
        <v>5</v>
      </c>
      <c r="I84" s="137">
        <v>1401</v>
      </c>
      <c r="J84" s="137"/>
      <c r="K84" s="139">
        <v>10000000</v>
      </c>
      <c r="L84" s="140"/>
    </row>
    <row r="85" spans="1:12" ht="15.75" customHeight="1">
      <c r="A85" s="17" t="s">
        <v>458</v>
      </c>
      <c r="B85" s="133">
        <f>SUMIFS('لیست واریزی کل خیرین'!B:B,'لیست واریزی کل خیرین'!D:D,Table1[[#This Row],[نام]],'لیست واریزی کل خیرین'!E:E,Table1[[#This Row],[نام خانوادگی]])</f>
        <v>36</v>
      </c>
      <c r="C85" s="134" t="s">
        <v>602</v>
      </c>
      <c r="D85" s="134" t="s">
        <v>603</v>
      </c>
      <c r="E85" s="135" t="s">
        <v>604</v>
      </c>
      <c r="F85" s="243" t="s">
        <v>492</v>
      </c>
      <c r="G85" s="137" t="s">
        <v>477</v>
      </c>
      <c r="H85" s="138">
        <f t="shared" si="1"/>
        <v>5</v>
      </c>
      <c r="I85" s="137">
        <v>1401</v>
      </c>
      <c r="J85" s="137"/>
      <c r="K85" s="139">
        <v>300000000</v>
      </c>
      <c r="L85" s="140"/>
    </row>
    <row r="86" spans="1:12" ht="15.75" customHeight="1">
      <c r="A86" s="17" t="s">
        <v>458</v>
      </c>
      <c r="B86" s="133">
        <f>SUMIFS('لیست واریزی کل خیرین'!B:B,'لیست واریزی کل خیرین'!D:D,Table1[[#This Row],[نام]],'لیست واریزی کل خیرین'!E:E,Table1[[#This Row],[نام خانوادگی]])</f>
        <v>17</v>
      </c>
      <c r="C86" s="141" t="s">
        <v>507</v>
      </c>
      <c r="D86" s="141" t="s">
        <v>508</v>
      </c>
      <c r="E86" s="135" t="s">
        <v>566</v>
      </c>
      <c r="F86" s="243">
        <v>6104337850364350</v>
      </c>
      <c r="G86" s="137" t="s">
        <v>477</v>
      </c>
      <c r="H86" s="138">
        <f t="shared" si="1"/>
        <v>5</v>
      </c>
      <c r="I86" s="137">
        <v>1401</v>
      </c>
      <c r="J86" s="137"/>
      <c r="K86" s="139">
        <v>15000000</v>
      </c>
      <c r="L86" s="140" t="s">
        <v>567</v>
      </c>
    </row>
    <row r="87" spans="1:12" ht="37.5" customHeight="1">
      <c r="A87" s="17" t="s">
        <v>458</v>
      </c>
      <c r="B87" s="133">
        <f>SUMIFS('لیست واریزی کل خیرین'!B:B,'لیست واریزی کل خیرین'!D:D,Table1[[#This Row],[نام]],'لیست واریزی کل خیرین'!E:E,Table1[[#This Row],[نام خانوادگی]])</f>
        <v>16</v>
      </c>
      <c r="C87" s="141" t="s">
        <v>497</v>
      </c>
      <c r="D87" s="141" t="s">
        <v>505</v>
      </c>
      <c r="E87" s="135" t="s">
        <v>565</v>
      </c>
      <c r="F87" s="243">
        <v>6037998112152490</v>
      </c>
      <c r="G87" s="137" t="s">
        <v>477</v>
      </c>
      <c r="H87" s="138">
        <f t="shared" si="1"/>
        <v>5</v>
      </c>
      <c r="I87" s="137">
        <v>1401</v>
      </c>
      <c r="J87" s="137"/>
      <c r="K87" s="139">
        <v>3000000</v>
      </c>
      <c r="L87" s="425" t="s">
        <v>1469</v>
      </c>
    </row>
    <row r="88" spans="1:12" ht="15.75" customHeight="1">
      <c r="A88" s="17" t="s">
        <v>458</v>
      </c>
      <c r="B88" s="133">
        <f>SUMIFS('لیست واریزی کل خیرین'!B:B,'لیست واریزی کل خیرین'!D:D,Table1[[#This Row],[نام]],'لیست واریزی کل خیرین'!E:E,Table1[[#This Row],[نام خانوادگی]])</f>
        <v>6</v>
      </c>
      <c r="C88" s="134" t="s">
        <v>207</v>
      </c>
      <c r="D88" s="134" t="s">
        <v>478</v>
      </c>
      <c r="E88" s="183" t="s">
        <v>745</v>
      </c>
      <c r="F88" s="243" t="s">
        <v>570</v>
      </c>
      <c r="G88" s="137" t="s">
        <v>477</v>
      </c>
      <c r="H88" s="138">
        <f t="shared" si="1"/>
        <v>5</v>
      </c>
      <c r="I88" s="137">
        <v>1401</v>
      </c>
      <c r="J88" s="137"/>
      <c r="K88" s="139">
        <v>5000000</v>
      </c>
      <c r="L88" s="140"/>
    </row>
    <row r="89" spans="1:12" ht="15.75" customHeight="1">
      <c r="A89" s="17" t="s">
        <v>458</v>
      </c>
      <c r="B89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89" s="134" t="s">
        <v>489</v>
      </c>
      <c r="D89" s="134" t="s">
        <v>490</v>
      </c>
      <c r="E89" s="135" t="s">
        <v>370</v>
      </c>
      <c r="F89" s="243" t="s">
        <v>620</v>
      </c>
      <c r="G89" s="137" t="s">
        <v>477</v>
      </c>
      <c r="H89" s="138">
        <f t="shared" si="1"/>
        <v>5</v>
      </c>
      <c r="I89" s="137">
        <v>1401</v>
      </c>
      <c r="J89" s="137"/>
      <c r="K89" s="139">
        <v>100000000</v>
      </c>
      <c r="L89" s="140"/>
    </row>
    <row r="90" spans="1:12" ht="15.75" customHeight="1">
      <c r="A90" s="17" t="s">
        <v>458</v>
      </c>
      <c r="B90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90" s="134" t="s">
        <v>459</v>
      </c>
      <c r="D90" s="134" t="s">
        <v>460</v>
      </c>
      <c r="E90" s="135" t="s">
        <v>600</v>
      </c>
      <c r="F90" s="243" t="s">
        <v>617</v>
      </c>
      <c r="G90" s="137" t="s">
        <v>477</v>
      </c>
      <c r="H90" s="138">
        <f t="shared" si="1"/>
        <v>5</v>
      </c>
      <c r="I90" s="137">
        <v>1401</v>
      </c>
      <c r="J90" s="137"/>
      <c r="K90" s="139">
        <v>30000000</v>
      </c>
      <c r="L90" s="140"/>
    </row>
    <row r="91" spans="1:12" ht="15.75" customHeight="1">
      <c r="A91" s="17" t="s">
        <v>458</v>
      </c>
      <c r="B91" s="133">
        <f>SUMIFS('لیست واریزی کل خیرین'!B:B,'لیست واریزی کل خیرین'!D:D,Table1[[#This Row],[نام]],'لیست واریزی کل خیرین'!E:E,Table1[[#This Row],[نام خانوادگی]])</f>
        <v>15</v>
      </c>
      <c r="C91" s="134" t="s">
        <v>503</v>
      </c>
      <c r="D91" s="134" t="s">
        <v>504</v>
      </c>
      <c r="E91" s="135" t="s">
        <v>581</v>
      </c>
      <c r="F91" s="243" t="s">
        <v>582</v>
      </c>
      <c r="G91" s="137" t="s">
        <v>477</v>
      </c>
      <c r="H91" s="138">
        <f t="shared" si="1"/>
        <v>5</v>
      </c>
      <c r="I91" s="137">
        <v>1401</v>
      </c>
      <c r="J91" s="137"/>
      <c r="K91" s="139">
        <v>10000000</v>
      </c>
      <c r="L91" s="140"/>
    </row>
    <row r="92" spans="1:12" ht="15.75" customHeight="1">
      <c r="A92" s="17" t="s">
        <v>458</v>
      </c>
      <c r="B92" s="133">
        <f>SUMIFS('لیست واریزی کل خیرین'!B:B,'لیست واریزی کل خیرین'!D:D,Table1[[#This Row],[نام]],'لیست واریزی کل خیرین'!E:E,Table1[[#This Row],[نام خانوادگی]])</f>
        <v>38</v>
      </c>
      <c r="C92" s="134" t="s">
        <v>560</v>
      </c>
      <c r="D92" s="134" t="s">
        <v>561</v>
      </c>
      <c r="E92" s="135" t="s">
        <v>614</v>
      </c>
      <c r="F92" s="243" t="s">
        <v>615</v>
      </c>
      <c r="G92" s="137" t="s">
        <v>477</v>
      </c>
      <c r="H92" s="138">
        <f t="shared" si="1"/>
        <v>5</v>
      </c>
      <c r="I92" s="137">
        <v>1401</v>
      </c>
      <c r="J92" s="137"/>
      <c r="K92" s="139">
        <v>3000000</v>
      </c>
      <c r="L92" s="140"/>
    </row>
    <row r="93" spans="1:12" ht="15.75" customHeight="1">
      <c r="A93" s="17" t="s">
        <v>458</v>
      </c>
      <c r="B93" s="133">
        <f>SUMIFS('لیست واریزی کل خیرین'!B:B,'لیست واریزی کل خیرین'!D:D,Table1[[#This Row],[نام]],'لیست واریزی کل خیرین'!E:E,Table1[[#This Row],[نام خانوادگی]])</f>
        <v>20</v>
      </c>
      <c r="C93" s="134" t="s">
        <v>494</v>
      </c>
      <c r="D93" s="134" t="s">
        <v>511</v>
      </c>
      <c r="E93" s="135" t="s">
        <v>609</v>
      </c>
      <c r="F93" s="243">
        <v>6221061229152840</v>
      </c>
      <c r="G93" s="137" t="s">
        <v>477</v>
      </c>
      <c r="H93" s="138">
        <f t="shared" si="1"/>
        <v>5</v>
      </c>
      <c r="I93" s="137">
        <v>1401</v>
      </c>
      <c r="J93" s="137"/>
      <c r="K93" s="139">
        <v>20000000</v>
      </c>
      <c r="L93" s="140" t="s">
        <v>563</v>
      </c>
    </row>
    <row r="94" spans="1:12" ht="15.75" customHeight="1">
      <c r="A94" s="17" t="s">
        <v>458</v>
      </c>
      <c r="B94" s="133">
        <f>SUMIFS('لیست واریزی کل خیرین'!B:B,'لیست واریزی کل خیرین'!D:D,Table1[[#This Row],[نام]],'لیست واریزی کل خیرین'!E:E,Table1[[#This Row],[نام خانوادگی]])</f>
        <v>13</v>
      </c>
      <c r="C94" s="141" t="s">
        <v>486</v>
      </c>
      <c r="D94" s="141" t="s">
        <v>500</v>
      </c>
      <c r="E94" s="135" t="s">
        <v>351</v>
      </c>
      <c r="F94" s="243">
        <v>6219861052116010</v>
      </c>
      <c r="G94" s="137" t="s">
        <v>477</v>
      </c>
      <c r="H94" s="138">
        <f t="shared" si="1"/>
        <v>5</v>
      </c>
      <c r="I94" s="137">
        <v>1401</v>
      </c>
      <c r="J94" s="142"/>
      <c r="K94" s="139">
        <v>2500000</v>
      </c>
      <c r="L94" s="143" t="s">
        <v>501</v>
      </c>
    </row>
    <row r="95" spans="1:12" ht="15.75" customHeight="1">
      <c r="A95" s="17" t="s">
        <v>458</v>
      </c>
      <c r="B95" s="133">
        <f>SUMIFS('لیست واریزی کل خیرین'!B:B,'لیست واریزی کل خیرین'!D:D,Table1[[#This Row],[نام]],'لیست واریزی کل خیرین'!E:E,Table1[[#This Row],[نام خانوادگی]])</f>
        <v>35</v>
      </c>
      <c r="C95" s="134" t="s">
        <v>596</v>
      </c>
      <c r="D95" s="134" t="s">
        <v>597</v>
      </c>
      <c r="E95" s="135" t="s">
        <v>594</v>
      </c>
      <c r="F95" s="243" t="s">
        <v>598</v>
      </c>
      <c r="G95" s="137" t="s">
        <v>477</v>
      </c>
      <c r="H95" s="138">
        <f t="shared" si="1"/>
        <v>5</v>
      </c>
      <c r="I95" s="137">
        <v>1401</v>
      </c>
      <c r="J95" s="137"/>
      <c r="K95" s="139">
        <v>2000000</v>
      </c>
      <c r="L95" s="140"/>
    </row>
    <row r="96" spans="1:12" ht="15.75" customHeight="1">
      <c r="A96" s="17" t="s">
        <v>458</v>
      </c>
      <c r="B96" s="133">
        <f>SUMIFS('لیست واریزی کل خیرین'!B:B,'لیست واریزی کل خیرین'!D:D,Table1[[#This Row],[نام]],'لیست واریزی کل خیرین'!E:E,Table1[[#This Row],[نام خانوادگی]])</f>
        <v>5</v>
      </c>
      <c r="C96" s="134" t="s">
        <v>475</v>
      </c>
      <c r="D96" s="134" t="s">
        <v>476</v>
      </c>
      <c r="E96" s="135" t="s">
        <v>621</v>
      </c>
      <c r="F96" s="246">
        <v>5859831202663190</v>
      </c>
      <c r="G96" s="137" t="s">
        <v>477</v>
      </c>
      <c r="H96" s="138">
        <f t="shared" si="1"/>
        <v>5</v>
      </c>
      <c r="I96" s="137">
        <v>1401</v>
      </c>
      <c r="J96" s="137"/>
      <c r="K96" s="139">
        <v>5000000</v>
      </c>
      <c r="L96" s="140"/>
    </row>
    <row r="97" spans="1:27" ht="15.75" customHeight="1">
      <c r="A97" s="17" t="s">
        <v>458</v>
      </c>
      <c r="B97" s="133">
        <f>SUMIFS('لیست واریزی کل خیرین'!B:B,'لیست واریزی کل خیرین'!D:D,Table1[[#This Row],[نام]],'لیست واریزی کل خیرین'!E:E,Table1[[#This Row],[نام خانوادگی]])</f>
        <v>21</v>
      </c>
      <c r="C97" s="134" t="s">
        <v>497</v>
      </c>
      <c r="D97" s="134" t="s">
        <v>516</v>
      </c>
      <c r="E97" s="135" t="s">
        <v>618</v>
      </c>
      <c r="F97" s="246" t="s">
        <v>619</v>
      </c>
      <c r="G97" s="137" t="s">
        <v>477</v>
      </c>
      <c r="H97" s="138">
        <f t="shared" si="1"/>
        <v>5</v>
      </c>
      <c r="I97" s="137">
        <v>1401</v>
      </c>
      <c r="J97" s="137"/>
      <c r="K97" s="139">
        <v>5000000</v>
      </c>
      <c r="L97" s="140"/>
    </row>
    <row r="98" spans="1:27" ht="15.75" customHeight="1">
      <c r="A98" s="17" t="s">
        <v>458</v>
      </c>
      <c r="B98" s="133">
        <f>SUMIFS('لیست واریزی کل خیرین'!B:B,'لیست واریزی کل خیرین'!D:D,Table1[[#This Row],[نام]],'لیست واریزی کل خیرین'!E:E,Table1[[#This Row],[نام خانوادگی]])</f>
        <v>23</v>
      </c>
      <c r="C98" s="137" t="s">
        <v>588</v>
      </c>
      <c r="D98" s="137" t="s">
        <v>521</v>
      </c>
      <c r="E98" s="135" t="s">
        <v>622</v>
      </c>
      <c r="F98" s="243">
        <v>6219861917039190</v>
      </c>
      <c r="G98" s="137" t="s">
        <v>477</v>
      </c>
      <c r="H98" s="138">
        <f t="shared" si="1"/>
        <v>5</v>
      </c>
      <c r="I98" s="137">
        <v>1401</v>
      </c>
      <c r="J98" s="137"/>
      <c r="K98" s="139">
        <v>10000000</v>
      </c>
      <c r="L98" s="140"/>
    </row>
    <row r="99" spans="1:27" ht="15.75" customHeight="1">
      <c r="A99" s="17" t="s">
        <v>458</v>
      </c>
      <c r="B99" s="133">
        <f>SUMIFS('لیست واریزی کل خیرین'!B:B,'لیست واریزی کل خیرین'!D:D,Table1[[#This Row],[نام]],'لیست واریزی کل خیرین'!E:E,Table1[[#This Row],[نام خانوادگی]])</f>
        <v>33</v>
      </c>
      <c r="C99" s="134" t="s">
        <v>583</v>
      </c>
      <c r="D99" s="134" t="s">
        <v>584</v>
      </c>
      <c r="E99" s="135" t="s">
        <v>585</v>
      </c>
      <c r="F99" s="243" t="s">
        <v>586</v>
      </c>
      <c r="G99" s="137" t="s">
        <v>477</v>
      </c>
      <c r="H99" s="138">
        <f t="shared" si="1"/>
        <v>5</v>
      </c>
      <c r="I99" s="137">
        <v>1401</v>
      </c>
      <c r="J99" s="137"/>
      <c r="K99" s="139">
        <v>20000000</v>
      </c>
      <c r="L99" s="140" t="s">
        <v>587</v>
      </c>
    </row>
    <row r="100" spans="1:27" ht="15.75" customHeight="1">
      <c r="A100" s="17" t="s">
        <v>458</v>
      </c>
      <c r="B100" s="133">
        <f>SUMIFS('لیست واریزی کل خیرین'!B:B,'لیست واریزی کل خیرین'!D:D,Table1[[#This Row],[نام]],'لیست واریزی کل خیرین'!E:E,Table1[[#This Row],[نام خانوادگی]])</f>
        <v>28</v>
      </c>
      <c r="C100" s="134" t="s">
        <v>545</v>
      </c>
      <c r="D100" s="134" t="s">
        <v>546</v>
      </c>
      <c r="E100" s="135" t="s">
        <v>380</v>
      </c>
      <c r="F100" s="243">
        <v>6037997170998600</v>
      </c>
      <c r="G100" s="137" t="s">
        <v>479</v>
      </c>
      <c r="H100" s="138">
        <f t="shared" si="1"/>
        <v>6</v>
      </c>
      <c r="I100" s="137">
        <v>1401</v>
      </c>
      <c r="J100" s="137"/>
      <c r="K100" s="139">
        <v>4000000</v>
      </c>
      <c r="L100" s="140"/>
    </row>
    <row r="101" spans="1:27" ht="15.75" customHeight="1">
      <c r="A101" s="17" t="s">
        <v>458</v>
      </c>
      <c r="B101" s="133">
        <f>SUMIFS('لیست واریزی کل خیرین'!B:B,'لیست واریزی کل خیرین'!D:D,Table1[[#This Row],[نام]],'لیست واریزی کل خیرین'!E:E,Table1[[#This Row],[نام خانوادگی]])</f>
        <v>34</v>
      </c>
      <c r="C101" s="134" t="s">
        <v>588</v>
      </c>
      <c r="D101" s="134" t="s">
        <v>589</v>
      </c>
      <c r="E101" s="135" t="s">
        <v>590</v>
      </c>
      <c r="F101" s="243">
        <v>5859831018931560</v>
      </c>
      <c r="G101" s="137" t="s">
        <v>479</v>
      </c>
      <c r="H101" s="138">
        <f t="shared" si="1"/>
        <v>6</v>
      </c>
      <c r="I101" s="137">
        <v>1401</v>
      </c>
      <c r="J101" s="137"/>
      <c r="K101" s="139">
        <v>5000000</v>
      </c>
      <c r="L101" s="140" t="s">
        <v>591</v>
      </c>
    </row>
    <row r="102" spans="1:27" ht="15.75" customHeight="1">
      <c r="A102" s="17" t="s">
        <v>458</v>
      </c>
      <c r="B102" s="133">
        <f>SUMIFS('لیست واریزی کل خیرین'!B:B,'لیست واریزی کل خیرین'!D:D,Table1[[#This Row],[نام]],'لیست واریزی کل خیرین'!E:E,Table1[[#This Row],[نام خانوادگی]])</f>
        <v>22</v>
      </c>
      <c r="C102" s="134" t="s">
        <v>518</v>
      </c>
      <c r="D102" s="134" t="s">
        <v>519</v>
      </c>
      <c r="E102" s="135" t="s">
        <v>384</v>
      </c>
      <c r="F102" s="243">
        <v>5029081026862940</v>
      </c>
      <c r="G102" s="137" t="s">
        <v>479</v>
      </c>
      <c r="H102" s="138">
        <f t="shared" si="1"/>
        <v>6</v>
      </c>
      <c r="I102" s="137">
        <v>1401</v>
      </c>
      <c r="J102" s="137"/>
      <c r="K102" s="139">
        <v>2000000</v>
      </c>
      <c r="L102" s="140"/>
    </row>
    <row r="103" spans="1:27" ht="15.75" customHeight="1">
      <c r="A103" s="17" t="s">
        <v>458</v>
      </c>
      <c r="B103" s="133">
        <f>SUMIFS('لیست واریزی کل خیرین'!B:B,'لیست واریزی کل خیرین'!D:D,Table1[[#This Row],[نام]],'لیست واریزی کل خیرین'!E:E,Table1[[#This Row],[نام خانوادگی]])</f>
        <v>42</v>
      </c>
      <c r="C103" s="134" t="s">
        <v>630</v>
      </c>
      <c r="D103" s="134" t="s">
        <v>631</v>
      </c>
      <c r="E103" s="137"/>
      <c r="F103" s="243" t="s">
        <v>802</v>
      </c>
      <c r="G103" s="137" t="s">
        <v>479</v>
      </c>
      <c r="H103" s="138">
        <f t="shared" si="1"/>
        <v>6</v>
      </c>
      <c r="I103" s="137">
        <v>1401</v>
      </c>
      <c r="J103" s="137"/>
      <c r="K103" s="139">
        <v>11500000</v>
      </c>
      <c r="L103" s="140" t="s">
        <v>632</v>
      </c>
    </row>
    <row r="104" spans="1:27" ht="15.75" customHeight="1">
      <c r="A104" s="17" t="s">
        <v>458</v>
      </c>
      <c r="B104" s="133">
        <f>SUMIFS('لیست واریزی کل خیرین'!B:B,'لیست واریزی کل خیرین'!D:D,Table1[[#This Row],[نام]],'لیست واریزی کل خیرین'!E:E,Table1[[#This Row],[نام خانوادگی]])</f>
        <v>41</v>
      </c>
      <c r="C104" s="134" t="s">
        <v>204</v>
      </c>
      <c r="D104" s="134" t="s">
        <v>628</v>
      </c>
      <c r="E104" s="135" t="s">
        <v>629</v>
      </c>
      <c r="F104" s="243">
        <v>6037998200067800</v>
      </c>
      <c r="G104" s="137" t="s">
        <v>479</v>
      </c>
      <c r="H104" s="138">
        <f t="shared" si="1"/>
        <v>6</v>
      </c>
      <c r="I104" s="137">
        <v>1401</v>
      </c>
      <c r="J104" s="137"/>
      <c r="K104" s="139">
        <v>5000000</v>
      </c>
      <c r="L104" s="140"/>
    </row>
    <row r="105" spans="1:27" ht="15.75" customHeight="1">
      <c r="A105" s="17" t="s">
        <v>458</v>
      </c>
      <c r="B105" s="133">
        <f>SUMIFS('لیست واریزی کل خیرین'!B:B,'لیست واریزی کل خیرین'!D:D,Table1[[#This Row],[نام]],'لیست واریزی کل خیرین'!E:E,Table1[[#This Row],[نام خانوادگی]])</f>
        <v>37</v>
      </c>
      <c r="C105" s="134" t="s">
        <v>612</v>
      </c>
      <c r="D105" s="134" t="s">
        <v>613</v>
      </c>
      <c r="E105" s="135" t="s">
        <v>566</v>
      </c>
      <c r="F105" s="243">
        <v>5029081015337950</v>
      </c>
      <c r="G105" s="137" t="s">
        <v>479</v>
      </c>
      <c r="H105" s="138">
        <f t="shared" si="1"/>
        <v>6</v>
      </c>
      <c r="I105" s="137">
        <v>1401</v>
      </c>
      <c r="J105" s="137"/>
      <c r="K105" s="139">
        <v>3000000</v>
      </c>
      <c r="L105" s="140"/>
    </row>
    <row r="106" spans="1:27" ht="15.75" customHeight="1">
      <c r="A106" s="17" t="s">
        <v>458</v>
      </c>
      <c r="B106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106" s="134" t="s">
        <v>483</v>
      </c>
      <c r="D106" s="134" t="s">
        <v>484</v>
      </c>
      <c r="E106" s="135" t="s">
        <v>370</v>
      </c>
      <c r="F106" s="243">
        <v>6104337871897400</v>
      </c>
      <c r="G106" s="137" t="s">
        <v>479</v>
      </c>
      <c r="H106" s="138">
        <f t="shared" si="1"/>
        <v>6</v>
      </c>
      <c r="I106" s="137">
        <v>1401</v>
      </c>
      <c r="J106" s="137"/>
      <c r="K106" s="139">
        <v>5000000</v>
      </c>
      <c r="L106" s="140"/>
    </row>
    <row r="107" spans="1:27" ht="15.75" customHeight="1">
      <c r="A107" s="17" t="s">
        <v>458</v>
      </c>
      <c r="B107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107" s="134" t="s">
        <v>522</v>
      </c>
      <c r="D107" s="134" t="s">
        <v>523</v>
      </c>
      <c r="E107" s="135" t="s">
        <v>653</v>
      </c>
      <c r="F107" s="243" t="s">
        <v>524</v>
      </c>
      <c r="G107" s="175" t="s">
        <v>479</v>
      </c>
      <c r="H107" s="138">
        <f t="shared" si="1"/>
        <v>6</v>
      </c>
      <c r="I107" s="137">
        <v>1401</v>
      </c>
      <c r="J107" s="137"/>
      <c r="K107" s="139">
        <v>7696559</v>
      </c>
      <c r="L107" s="140"/>
    </row>
    <row r="108" spans="1:27" ht="15.75" customHeight="1">
      <c r="A108" s="17" t="s">
        <v>458</v>
      </c>
      <c r="B108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108" s="134" t="s">
        <v>497</v>
      </c>
      <c r="D108" s="134" t="s">
        <v>513</v>
      </c>
      <c r="E108" s="135" t="s">
        <v>384</v>
      </c>
      <c r="F108" s="243">
        <v>6037697598049570</v>
      </c>
      <c r="G108" s="137" t="s">
        <v>479</v>
      </c>
      <c r="H108" s="138">
        <f t="shared" si="1"/>
        <v>6</v>
      </c>
      <c r="I108" s="137">
        <v>1401</v>
      </c>
      <c r="J108" s="137"/>
      <c r="K108" s="139">
        <v>10000000</v>
      </c>
      <c r="L108" s="140" t="s">
        <v>649</v>
      </c>
    </row>
    <row r="109" spans="1:27" ht="15.75" customHeight="1">
      <c r="A109" s="171" t="s">
        <v>458</v>
      </c>
      <c r="B109" s="408">
        <f>SUMIFS('لیست واریزی کل خیرین'!B:B,'لیست واریزی کل خیرین'!D:D,Table1[[#This Row],[نام]],'لیست واریزی کل خیرین'!E:E,Table1[[#This Row],[نام خانوادگی]])</f>
        <v>2</v>
      </c>
      <c r="C109" s="409" t="s">
        <v>464</v>
      </c>
      <c r="D109" s="409" t="s">
        <v>465</v>
      </c>
      <c r="E109" s="412" t="s">
        <v>365</v>
      </c>
      <c r="F109" s="413" t="s">
        <v>555</v>
      </c>
      <c r="G109" s="137" t="s">
        <v>479</v>
      </c>
      <c r="H109" s="415">
        <f t="shared" si="1"/>
        <v>6</v>
      </c>
      <c r="I109" s="416">
        <v>1401</v>
      </c>
      <c r="J109" s="416"/>
      <c r="K109" s="417">
        <v>20000000</v>
      </c>
      <c r="L109" s="418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 ht="15.75" customHeight="1">
      <c r="A110" s="17" t="s">
        <v>458</v>
      </c>
      <c r="B110" s="133">
        <f>SUMIFS('لیست واریزی کل خیرین'!B:B,'لیست واریزی کل خیرین'!D:D,Table1[[#This Row],[نام]],'لیست واریزی کل خیرین'!E:E,Table1[[#This Row],[نام خانوادگی]])</f>
        <v>4</v>
      </c>
      <c r="C110" s="134" t="s">
        <v>471</v>
      </c>
      <c r="D110" s="134" t="s">
        <v>472</v>
      </c>
      <c r="E110" s="174" t="s">
        <v>624</v>
      </c>
      <c r="F110" s="243">
        <v>6221061079430400</v>
      </c>
      <c r="G110" s="137" t="s">
        <v>479</v>
      </c>
      <c r="H110" s="138">
        <f t="shared" si="1"/>
        <v>6</v>
      </c>
      <c r="I110" s="137">
        <v>1401</v>
      </c>
      <c r="J110" s="137"/>
      <c r="K110" s="139">
        <v>2000000</v>
      </c>
      <c r="L110" s="140"/>
    </row>
    <row r="111" spans="1:27" ht="15.75" customHeight="1">
      <c r="A111" s="17" t="s">
        <v>458</v>
      </c>
      <c r="B111" s="133">
        <f>SUMIFS('لیست واریزی کل خیرین'!B:B,'لیست واریزی کل خیرین'!D:D,Table1[[#This Row],[نام]],'لیست واریزی کل خیرین'!E:E,Table1[[#This Row],[نام خانوادگی]])</f>
        <v>25</v>
      </c>
      <c r="C111" s="134" t="s">
        <v>532</v>
      </c>
      <c r="D111" s="134" t="s">
        <v>533</v>
      </c>
      <c r="E111" s="135" t="s">
        <v>625</v>
      </c>
      <c r="F111" s="243">
        <v>6104337811368020</v>
      </c>
      <c r="G111" s="137" t="s">
        <v>479</v>
      </c>
      <c r="H111" s="138">
        <f t="shared" si="1"/>
        <v>6</v>
      </c>
      <c r="I111" s="137">
        <v>1401</v>
      </c>
      <c r="J111" s="137"/>
      <c r="K111" s="139">
        <v>30000000</v>
      </c>
      <c r="L111" s="140"/>
    </row>
    <row r="112" spans="1:27" ht="15.75" customHeight="1">
      <c r="A112" s="17" t="s">
        <v>458</v>
      </c>
      <c r="B112" s="133">
        <f>SUMIFS('لیست واریزی کل خیرین'!B:B,'لیست واریزی کل خیرین'!D:D,Table1[[#This Row],[نام]],'لیست واریزی کل خیرین'!E:E,Table1[[#This Row],[نام خانوادگی]])</f>
        <v>40</v>
      </c>
      <c r="C112" s="134" t="s">
        <v>494</v>
      </c>
      <c r="D112" s="134" t="s">
        <v>533</v>
      </c>
      <c r="E112" s="135" t="s">
        <v>627</v>
      </c>
      <c r="F112" s="243">
        <v>6037697532958630</v>
      </c>
      <c r="G112" s="137" t="s">
        <v>479</v>
      </c>
      <c r="H112" s="138">
        <f t="shared" si="1"/>
        <v>6</v>
      </c>
      <c r="I112" s="137">
        <v>1401</v>
      </c>
      <c r="J112" s="137"/>
      <c r="K112" s="139">
        <v>50000000</v>
      </c>
      <c r="L112" s="140"/>
    </row>
    <row r="113" spans="1:12" ht="15.75" customHeight="1">
      <c r="A113" s="17" t="s">
        <v>458</v>
      </c>
      <c r="B113" s="133">
        <f>SUMIFS('لیست واریزی کل خیرین'!B:B,'لیست واریزی کل خیرین'!D:D,Table1[[#This Row],[نام]],'لیست واریزی کل خیرین'!E:E,Table1[[#This Row],[نام خانوادگی]])</f>
        <v>43</v>
      </c>
      <c r="C113" s="134" t="s">
        <v>503</v>
      </c>
      <c r="D113" s="134" t="s">
        <v>633</v>
      </c>
      <c r="E113" s="135" t="s">
        <v>634</v>
      </c>
      <c r="F113" s="243">
        <v>6104338902497420</v>
      </c>
      <c r="G113" s="137" t="s">
        <v>479</v>
      </c>
      <c r="H113" s="138">
        <f t="shared" si="1"/>
        <v>6</v>
      </c>
      <c r="I113" s="137">
        <v>1401</v>
      </c>
      <c r="J113" s="137"/>
      <c r="K113" s="139">
        <v>3500000</v>
      </c>
      <c r="L113" s="140"/>
    </row>
    <row r="114" spans="1:12" ht="15.75" customHeight="1">
      <c r="A114" s="17" t="s">
        <v>458</v>
      </c>
      <c r="B114" s="172">
        <f>SUMIFS('لیست واریزی کل خیرین'!B:B,'لیست واریزی کل خیرین'!D:D,Table1[[#This Row],[نام]],'لیست واریزی کل خیرین'!E:E,Table1[[#This Row],[نام خانوادگی]])</f>
        <v>24</v>
      </c>
      <c r="C114" s="128" t="s">
        <v>529</v>
      </c>
      <c r="D114" s="145" t="s">
        <v>530</v>
      </c>
      <c r="E114" s="173" t="s">
        <v>387</v>
      </c>
      <c r="F114" s="247">
        <v>5022291044919300</v>
      </c>
      <c r="G114" s="175" t="s">
        <v>479</v>
      </c>
      <c r="H114" s="177">
        <f t="shared" si="1"/>
        <v>6</v>
      </c>
      <c r="I114" s="175">
        <v>1401</v>
      </c>
      <c r="J114" s="175"/>
      <c r="K114" s="179">
        <v>5000000</v>
      </c>
      <c r="L114" s="181"/>
    </row>
    <row r="115" spans="1:12" ht="15.75" customHeight="1">
      <c r="A115" s="17" t="s">
        <v>458</v>
      </c>
      <c r="B115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115" s="134" t="s">
        <v>486</v>
      </c>
      <c r="D115" s="134" t="s">
        <v>487</v>
      </c>
      <c r="E115" s="135" t="s">
        <v>382</v>
      </c>
      <c r="F115" s="243">
        <v>6037691526531220</v>
      </c>
      <c r="G115" s="137" t="s">
        <v>479</v>
      </c>
      <c r="H115" s="138">
        <f t="shared" si="1"/>
        <v>6</v>
      </c>
      <c r="I115" s="137">
        <v>1401</v>
      </c>
      <c r="J115" s="137"/>
      <c r="K115" s="139">
        <v>5000000</v>
      </c>
      <c r="L115" s="140" t="s">
        <v>648</v>
      </c>
    </row>
    <row r="116" spans="1:12" ht="15.75" customHeight="1">
      <c r="A116" s="17" t="s">
        <v>458</v>
      </c>
      <c r="B116" s="133">
        <f>SUMIFS('لیست واریزی کل خیرین'!B:B,'لیست واریزی کل خیرین'!D:D,Table1[[#This Row],[نام]],'لیست واریزی کل خیرین'!E:E,Table1[[#This Row],[نام خانوادگی]])</f>
        <v>11</v>
      </c>
      <c r="C116" s="141" t="s">
        <v>494</v>
      </c>
      <c r="D116" s="141" t="s">
        <v>495</v>
      </c>
      <c r="E116" s="135" t="s">
        <v>626</v>
      </c>
      <c r="F116" s="243">
        <v>6063731028949880</v>
      </c>
      <c r="G116" s="137" t="s">
        <v>479</v>
      </c>
      <c r="H116" s="138">
        <f t="shared" si="1"/>
        <v>6</v>
      </c>
      <c r="I116" s="137">
        <v>1401</v>
      </c>
      <c r="J116" s="137"/>
      <c r="K116" s="139">
        <v>30000000</v>
      </c>
      <c r="L116" s="140"/>
    </row>
    <row r="117" spans="1:12" ht="15.75" customHeight="1">
      <c r="A117" s="17" t="s">
        <v>458</v>
      </c>
      <c r="B117" s="133">
        <f>SUMIFS('لیست واریزی کل خیرین'!B:B,'لیست واریزی کل خیرین'!D:D,Table1[[#This Row],[نام]],'لیست واریزی کل خیرین'!E:E,Table1[[#This Row],[نام خانوادگی]])</f>
        <v>46</v>
      </c>
      <c r="C117" s="134" t="s">
        <v>641</v>
      </c>
      <c r="D117" s="134" t="s">
        <v>642</v>
      </c>
      <c r="E117" s="135" t="s">
        <v>372</v>
      </c>
      <c r="F117" s="243">
        <v>5054161003619120</v>
      </c>
      <c r="G117" s="137" t="s">
        <v>479</v>
      </c>
      <c r="H117" s="138">
        <f t="shared" si="1"/>
        <v>6</v>
      </c>
      <c r="I117" s="137">
        <v>1401</v>
      </c>
      <c r="J117" s="137"/>
      <c r="K117" s="139">
        <v>3000000</v>
      </c>
      <c r="L117" s="140"/>
    </row>
    <row r="118" spans="1:12" ht="15.75" customHeight="1">
      <c r="A118" s="17" t="s">
        <v>458</v>
      </c>
      <c r="B118" s="133">
        <f>SUMIFS('لیست واریزی کل خیرین'!B:B,'لیست واریزی کل خیرین'!D:D,Table1[[#This Row],[نام]],'لیست واریزی کل خیرین'!E:E,Table1[[#This Row],[نام خانوادگی]])</f>
        <v>46</v>
      </c>
      <c r="C118" s="134" t="s">
        <v>641</v>
      </c>
      <c r="D118" s="134" t="s">
        <v>642</v>
      </c>
      <c r="E118" s="135" t="s">
        <v>647</v>
      </c>
      <c r="F118" s="243">
        <v>6037697598049570</v>
      </c>
      <c r="G118" s="137" t="s">
        <v>479</v>
      </c>
      <c r="H118" s="138">
        <f t="shared" si="1"/>
        <v>6</v>
      </c>
      <c r="I118" s="137">
        <v>1401</v>
      </c>
      <c r="J118" s="137"/>
      <c r="K118" s="139">
        <v>2000000</v>
      </c>
      <c r="L118" s="140"/>
    </row>
    <row r="119" spans="1:12" ht="15.75" customHeight="1">
      <c r="A119" s="17" t="s">
        <v>458</v>
      </c>
      <c r="B119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119" s="134" t="s">
        <v>480</v>
      </c>
      <c r="D119" s="134" t="s">
        <v>481</v>
      </c>
      <c r="E119" s="135" t="s">
        <v>643</v>
      </c>
      <c r="F119" s="243">
        <v>6037991947370220</v>
      </c>
      <c r="G119" s="137" t="s">
        <v>479</v>
      </c>
      <c r="H119" s="138">
        <f t="shared" si="1"/>
        <v>6</v>
      </c>
      <c r="I119" s="137">
        <v>1401</v>
      </c>
      <c r="J119" s="137"/>
      <c r="K119" s="139">
        <v>10000000</v>
      </c>
      <c r="L119" s="140"/>
    </row>
    <row r="120" spans="1:12" ht="15.75" customHeight="1">
      <c r="A120" s="17" t="s">
        <v>458</v>
      </c>
      <c r="B120" s="133">
        <f>SUMIFS('لیست واریزی کل خیرین'!B:B,'لیست واریزی کل خیرین'!D:D,Table1[[#This Row],[نام]],'لیست واریزی کل خیرین'!E:E,Table1[[#This Row],[نام خانوادگی]])</f>
        <v>47</v>
      </c>
      <c r="C120" s="134" t="s">
        <v>494</v>
      </c>
      <c r="D120" s="134" t="s">
        <v>645</v>
      </c>
      <c r="E120" s="135" t="s">
        <v>646</v>
      </c>
      <c r="F120" s="243">
        <v>6221061208001210</v>
      </c>
      <c r="G120" s="137" t="s">
        <v>479</v>
      </c>
      <c r="H120" s="138">
        <f t="shared" si="1"/>
        <v>6</v>
      </c>
      <c r="I120" s="137">
        <v>1401</v>
      </c>
      <c r="J120" s="137"/>
      <c r="K120" s="139">
        <v>5000000</v>
      </c>
      <c r="L120" s="140"/>
    </row>
    <row r="121" spans="1:12" ht="15.75" customHeight="1">
      <c r="A121" s="17" t="s">
        <v>458</v>
      </c>
      <c r="B121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121" s="141" t="s">
        <v>497</v>
      </c>
      <c r="D121" s="141" t="s">
        <v>498</v>
      </c>
      <c r="E121" s="135" t="s">
        <v>606</v>
      </c>
      <c r="F121" s="243" t="s">
        <v>623</v>
      </c>
      <c r="G121" s="137" t="s">
        <v>479</v>
      </c>
      <c r="H121" s="138">
        <f t="shared" si="1"/>
        <v>6</v>
      </c>
      <c r="I121" s="137">
        <v>1401</v>
      </c>
      <c r="J121" s="137"/>
      <c r="K121" s="139">
        <v>3000000</v>
      </c>
      <c r="L121" s="140"/>
    </row>
    <row r="122" spans="1:12" ht="15.75" customHeight="1">
      <c r="A122" s="17" t="s">
        <v>458</v>
      </c>
      <c r="B122" s="133">
        <f>SUMIFS('لیست واریزی کل خیرین'!B:B,'لیست واریزی کل خیرین'!D:D,Table1[[#This Row],[نام]],'لیست واریزی کل خیرین'!E:E,Table1[[#This Row],[نام خانوادگی]])</f>
        <v>14</v>
      </c>
      <c r="C122" s="134" t="s">
        <v>202</v>
      </c>
      <c r="D122" s="134" t="s">
        <v>502</v>
      </c>
      <c r="E122" s="135" t="s">
        <v>380</v>
      </c>
      <c r="F122" s="243">
        <v>5022291026904170</v>
      </c>
      <c r="G122" s="137" t="s">
        <v>479</v>
      </c>
      <c r="H122" s="138">
        <f t="shared" si="1"/>
        <v>6</v>
      </c>
      <c r="I122" s="137">
        <v>1401</v>
      </c>
      <c r="J122" s="137"/>
      <c r="K122" s="139">
        <v>10000000</v>
      </c>
      <c r="L122" s="140"/>
    </row>
    <row r="123" spans="1:12" ht="15.75" customHeight="1">
      <c r="A123" s="17" t="s">
        <v>458</v>
      </c>
      <c r="B123" s="133">
        <f>SUMIFS('لیست واریزی کل خیرین'!B:B,'لیست واریزی کل خیرین'!D:D,Table1[[#This Row],[نام]],'لیست واریزی کل خیرین'!E:E,Table1[[#This Row],[نام خانوادگی]])</f>
        <v>36</v>
      </c>
      <c r="C123" s="134" t="s">
        <v>602</v>
      </c>
      <c r="D123" s="134" t="s">
        <v>603</v>
      </c>
      <c r="E123" s="135" t="s">
        <v>640</v>
      </c>
      <c r="F123" s="243">
        <v>8922306683</v>
      </c>
      <c r="G123" s="137" t="s">
        <v>479</v>
      </c>
      <c r="H123" s="138">
        <f t="shared" si="1"/>
        <v>6</v>
      </c>
      <c r="I123" s="137">
        <v>1401</v>
      </c>
      <c r="J123" s="137"/>
      <c r="K123" s="139">
        <v>70000000</v>
      </c>
      <c r="L123" s="140"/>
    </row>
    <row r="124" spans="1:12" ht="15.75" customHeight="1">
      <c r="A124" s="17" t="s">
        <v>458</v>
      </c>
      <c r="B124" s="133">
        <f>SUMIFS('لیست واریزی کل خیرین'!B:B,'لیست واریزی کل خیرین'!D:D,Table1[[#This Row],[نام]],'لیست واریزی کل خیرین'!E:E,Table1[[#This Row],[نام خانوادگی]])</f>
        <v>44</v>
      </c>
      <c r="C124" s="134" t="s">
        <v>635</v>
      </c>
      <c r="D124" s="134" t="s">
        <v>636</v>
      </c>
      <c r="E124" s="135" t="s">
        <v>624</v>
      </c>
      <c r="F124" s="243">
        <v>5894631543100330</v>
      </c>
      <c r="G124" s="137" t="s">
        <v>479</v>
      </c>
      <c r="H124" s="138">
        <f t="shared" si="1"/>
        <v>6</v>
      </c>
      <c r="I124" s="137">
        <v>1401</v>
      </c>
      <c r="J124" s="137"/>
      <c r="K124" s="139">
        <v>10000000</v>
      </c>
      <c r="L124" s="140"/>
    </row>
    <row r="125" spans="1:12" ht="36.75" customHeight="1">
      <c r="A125" s="17" t="s">
        <v>458</v>
      </c>
      <c r="B125" s="133">
        <f>SUMIFS('لیست واریزی کل خیرین'!B:B,'لیست واریزی کل خیرین'!D:D,Table1[[#This Row],[نام]],'لیست واریزی کل خیرین'!E:E,Table1[[#This Row],[نام خانوادگی]])</f>
        <v>16</v>
      </c>
      <c r="C125" s="141" t="s">
        <v>497</v>
      </c>
      <c r="D125" s="141" t="s">
        <v>505</v>
      </c>
      <c r="E125" s="135" t="s">
        <v>565</v>
      </c>
      <c r="F125" s="243">
        <v>6037998112152490</v>
      </c>
      <c r="G125" s="137" t="s">
        <v>479</v>
      </c>
      <c r="H125" s="138">
        <f t="shared" si="1"/>
        <v>6</v>
      </c>
      <c r="I125" s="137">
        <v>1401</v>
      </c>
      <c r="J125" s="137"/>
      <c r="K125" s="139">
        <v>3000000</v>
      </c>
      <c r="L125" s="425" t="s">
        <v>1469</v>
      </c>
    </row>
    <row r="126" spans="1:12" ht="15.75" customHeight="1">
      <c r="A126" s="17" t="s">
        <v>458</v>
      </c>
      <c r="B126" s="133">
        <f>SUMIFS('لیست واریزی کل خیرین'!B:B,'لیست واریزی کل خیرین'!D:D,Table1[[#This Row],[نام]],'لیست واریزی کل خیرین'!E:E,Table1[[#This Row],[نام خانوادگی]])</f>
        <v>6</v>
      </c>
      <c r="C126" s="134" t="s">
        <v>207</v>
      </c>
      <c r="D126" s="134" t="s">
        <v>478</v>
      </c>
      <c r="E126" s="135" t="s">
        <v>618</v>
      </c>
      <c r="F126" s="243">
        <v>6.0377697540254096E+16</v>
      </c>
      <c r="G126" s="137" t="s">
        <v>479</v>
      </c>
      <c r="H126" s="138">
        <f t="shared" si="1"/>
        <v>6</v>
      </c>
      <c r="I126" s="137">
        <v>1401</v>
      </c>
      <c r="J126" s="137"/>
      <c r="K126" s="139">
        <v>5000000</v>
      </c>
      <c r="L126" s="140"/>
    </row>
    <row r="127" spans="1:12" ht="15.75" customHeight="1">
      <c r="A127" s="17" t="s">
        <v>458</v>
      </c>
      <c r="B127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127" s="134" t="s">
        <v>489</v>
      </c>
      <c r="D127" s="134" t="s">
        <v>490</v>
      </c>
      <c r="E127" s="135" t="s">
        <v>370</v>
      </c>
      <c r="F127" s="243" t="s">
        <v>620</v>
      </c>
      <c r="G127" s="137" t="s">
        <v>479</v>
      </c>
      <c r="H127" s="138">
        <f t="shared" si="1"/>
        <v>6</v>
      </c>
      <c r="I127" s="137">
        <v>1401</v>
      </c>
      <c r="J127" s="137"/>
      <c r="K127" s="139">
        <v>100000000</v>
      </c>
      <c r="L127" s="140"/>
    </row>
    <row r="128" spans="1:12" ht="15.75" customHeight="1">
      <c r="A128" s="17" t="s">
        <v>458</v>
      </c>
      <c r="B128" s="133">
        <f>SUMIFS('لیست واریزی کل خیرین'!B:B,'لیست واریزی کل خیرین'!D:D,Table1[[#This Row],[نام]],'لیست واریزی کل خیرین'!E:E,Table1[[#This Row],[نام خانوادگی]])</f>
        <v>15</v>
      </c>
      <c r="C128" s="134" t="s">
        <v>503</v>
      </c>
      <c r="D128" s="134" t="s">
        <v>504</v>
      </c>
      <c r="E128" s="183" t="s">
        <v>418</v>
      </c>
      <c r="F128" s="243" t="s">
        <v>638</v>
      </c>
      <c r="G128" s="137" t="s">
        <v>479</v>
      </c>
      <c r="H128" s="138">
        <f t="shared" si="1"/>
        <v>6</v>
      </c>
      <c r="I128" s="137">
        <v>1401</v>
      </c>
      <c r="J128" s="137"/>
      <c r="K128" s="139">
        <v>10000000</v>
      </c>
      <c r="L128" s="140" t="s">
        <v>639</v>
      </c>
    </row>
    <row r="129" spans="1:13" ht="15.75" customHeight="1">
      <c r="A129" s="17" t="s">
        <v>458</v>
      </c>
      <c r="B129" s="133">
        <f>SUMIFS('لیست واریزی کل خیرین'!B:B,'لیست واریزی کل خیرین'!D:D,Table1[[#This Row],[نام]],'لیست واریزی کل خیرین'!E:E,Table1[[#This Row],[نام خانوادگی]])</f>
        <v>56</v>
      </c>
      <c r="C129" s="134" t="s">
        <v>650</v>
      </c>
      <c r="D129" s="134" t="s">
        <v>651</v>
      </c>
      <c r="E129" s="135" t="s">
        <v>634</v>
      </c>
      <c r="F129" s="243">
        <v>6104337800043160</v>
      </c>
      <c r="G129" s="137" t="s">
        <v>479</v>
      </c>
      <c r="H129" s="138">
        <f t="shared" si="1"/>
        <v>6</v>
      </c>
      <c r="I129" s="137">
        <v>1401</v>
      </c>
      <c r="J129" s="137"/>
      <c r="K129" s="139">
        <v>10000000</v>
      </c>
      <c r="L129" s="140" t="s">
        <v>652</v>
      </c>
    </row>
    <row r="130" spans="1:13" ht="15.75" customHeight="1">
      <c r="A130" s="17" t="s">
        <v>458</v>
      </c>
      <c r="B130" s="133">
        <f>SUMIFS('لیست واریزی کل خیرین'!B:B,'لیست واریزی کل خیرین'!D:D,Table1[[#This Row],[نام]],'لیست واریزی کل خیرین'!E:E,Table1[[#This Row],[نام خانوادگی]])</f>
        <v>20</v>
      </c>
      <c r="C130" s="134" t="s">
        <v>494</v>
      </c>
      <c r="D130" s="134" t="s">
        <v>511</v>
      </c>
      <c r="E130" s="135" t="s">
        <v>643</v>
      </c>
      <c r="F130" s="243" t="s">
        <v>644</v>
      </c>
      <c r="G130" s="137" t="s">
        <v>479</v>
      </c>
      <c r="H130" s="138">
        <f t="shared" ref="H130:H195" si="2">IF(G130="","",VLOOKUP(G130,mah,2,0))</f>
        <v>6</v>
      </c>
      <c r="I130" s="137">
        <v>1401</v>
      </c>
      <c r="J130" s="137"/>
      <c r="K130" s="139">
        <v>20000000</v>
      </c>
      <c r="L130" s="140"/>
    </row>
    <row r="131" spans="1:13" ht="15.75" customHeight="1">
      <c r="A131" s="17" t="s">
        <v>458</v>
      </c>
      <c r="B131" s="133">
        <f>SUMIFS('لیست واریزی کل خیرین'!B:B,'لیست واریزی کل خیرین'!D:D,Table1[[#This Row],[نام]],'لیست واریزی کل خیرین'!E:E,Table1[[#This Row],[نام خانوادگی]])</f>
        <v>45</v>
      </c>
      <c r="C131" s="134" t="s">
        <v>503</v>
      </c>
      <c r="D131" s="134" t="s">
        <v>637</v>
      </c>
      <c r="E131" s="135" t="s">
        <v>327</v>
      </c>
      <c r="F131" s="243">
        <v>6104337334727420</v>
      </c>
      <c r="G131" s="137" t="s">
        <v>479</v>
      </c>
      <c r="H131" s="138">
        <f t="shared" si="2"/>
        <v>6</v>
      </c>
      <c r="I131" s="137">
        <v>1401</v>
      </c>
      <c r="J131" s="137"/>
      <c r="K131" s="139">
        <v>20000000</v>
      </c>
      <c r="L131" s="140"/>
    </row>
    <row r="132" spans="1:13" ht="15.75" customHeight="1">
      <c r="A132" s="17" t="s">
        <v>458</v>
      </c>
      <c r="B132" s="133">
        <f>SUMIFS('لیست واریزی کل خیرین'!B:B,'لیست واریزی کل خیرین'!D:D,Table1[[#This Row],[نام]],'لیست واریزی کل خیرین'!E:E,Table1[[#This Row],[نام خانوادگی]])</f>
        <v>13</v>
      </c>
      <c r="C132" s="141" t="s">
        <v>486</v>
      </c>
      <c r="D132" s="141" t="s">
        <v>500</v>
      </c>
      <c r="E132" s="135" t="s">
        <v>351</v>
      </c>
      <c r="F132" s="243">
        <v>6219861052116010</v>
      </c>
      <c r="G132" s="137" t="s">
        <v>479</v>
      </c>
      <c r="H132" s="138">
        <f t="shared" si="2"/>
        <v>6</v>
      </c>
      <c r="I132" s="137">
        <v>1401</v>
      </c>
      <c r="J132" s="142"/>
      <c r="K132" s="139">
        <v>2500000</v>
      </c>
      <c r="L132" s="143" t="s">
        <v>501</v>
      </c>
    </row>
    <row r="133" spans="1:13" ht="15.75" customHeight="1">
      <c r="A133" s="17" t="s">
        <v>458</v>
      </c>
      <c r="B133" s="133">
        <f>SUMIFS('لیست واریزی کل خیرین'!B:B,'لیست واریزی کل خیرین'!D:D,Table1[[#This Row],[نام]],'لیست واریزی کل خیرین'!E:E,Table1[[#This Row],[نام خانوادگی]])</f>
        <v>35</v>
      </c>
      <c r="C133" s="134" t="s">
        <v>596</v>
      </c>
      <c r="D133" s="134" t="s">
        <v>597</v>
      </c>
      <c r="E133" s="135" t="s">
        <v>372</v>
      </c>
      <c r="F133" s="243">
        <v>6037697561226110</v>
      </c>
      <c r="G133" s="137" t="s">
        <v>479</v>
      </c>
      <c r="H133" s="138">
        <f t="shared" si="2"/>
        <v>6</v>
      </c>
      <c r="I133" s="137">
        <v>1401</v>
      </c>
      <c r="J133" s="137"/>
      <c r="K133" s="139">
        <v>2000000</v>
      </c>
      <c r="L133" s="140"/>
    </row>
    <row r="134" spans="1:13" ht="15.75" customHeight="1">
      <c r="A134" s="17" t="s">
        <v>458</v>
      </c>
      <c r="B134" s="133">
        <f>SUMIFS('لیست واریزی کل خیرین'!B:B,'لیست واریزی کل خیرین'!D:D,Table1[[#This Row],[نام]],'لیست واریزی کل خیرین'!E:E,Table1[[#This Row],[نام خانوادگی]])</f>
        <v>5</v>
      </c>
      <c r="C134" s="134" t="s">
        <v>475</v>
      </c>
      <c r="D134" s="134" t="s">
        <v>476</v>
      </c>
      <c r="E134" s="173" t="s">
        <v>327</v>
      </c>
      <c r="F134" s="243">
        <v>5859831202663190</v>
      </c>
      <c r="G134" s="137" t="s">
        <v>479</v>
      </c>
      <c r="H134" s="138">
        <f t="shared" si="2"/>
        <v>6</v>
      </c>
      <c r="I134" s="137">
        <v>1401</v>
      </c>
      <c r="J134" s="137"/>
      <c r="K134" s="139">
        <v>5000000</v>
      </c>
      <c r="L134" s="140"/>
    </row>
    <row r="135" spans="1:13" ht="15.75" customHeight="1">
      <c r="A135" s="171"/>
      <c r="B135" s="166">
        <f>SUMIFS('لیست واریزی کل خیرین'!B:B,'لیست واریزی کل خیرین'!D:D,Table1[[#This Row],[نام]],'لیست واریزی کل خیرین'!E:E,Table1[[#This Row],[نام خانوادگی]])</f>
        <v>21</v>
      </c>
      <c r="C135" s="176" t="s">
        <v>497</v>
      </c>
      <c r="D135" s="176" t="s">
        <v>516</v>
      </c>
      <c r="E135" s="174" t="s">
        <v>888</v>
      </c>
      <c r="F135" s="244" t="s">
        <v>889</v>
      </c>
      <c r="G135" s="414" t="s">
        <v>479</v>
      </c>
      <c r="H135" s="178">
        <f t="shared" si="2"/>
        <v>6</v>
      </c>
      <c r="I135" s="176">
        <v>1401</v>
      </c>
      <c r="J135" s="176"/>
      <c r="K135" s="180">
        <v>5000000</v>
      </c>
      <c r="L135" s="146" t="s">
        <v>1260</v>
      </c>
    </row>
    <row r="136" spans="1:13" ht="15.75" customHeight="1">
      <c r="A136" s="17" t="s">
        <v>458</v>
      </c>
      <c r="B136" s="133">
        <f>SUMIFS('لیست واریزی کل خیرین'!B:B,'لیست واریزی کل خیرین'!D:D,Table1[[#This Row],[نام]],'لیست واریزی کل خیرین'!E:E,Table1[[#This Row],[نام خانوادگی]])</f>
        <v>23</v>
      </c>
      <c r="C136" s="137" t="s">
        <v>588</v>
      </c>
      <c r="D136" s="137" t="s">
        <v>521</v>
      </c>
      <c r="E136" s="135" t="s">
        <v>622</v>
      </c>
      <c r="F136" s="243">
        <v>6219861917039190</v>
      </c>
      <c r="G136" s="176" t="s">
        <v>479</v>
      </c>
      <c r="H136" s="138">
        <f t="shared" si="2"/>
        <v>6</v>
      </c>
      <c r="I136" s="137">
        <v>1401</v>
      </c>
      <c r="J136" s="137"/>
      <c r="K136" s="139">
        <v>10000000</v>
      </c>
      <c r="L136" s="146"/>
    </row>
    <row r="137" spans="1:13" ht="15.75" customHeight="1">
      <c r="A137" s="17" t="s">
        <v>458</v>
      </c>
      <c r="B137" s="133">
        <f>SUMIFS('لیست واریزی کل خیرین'!B:B,'لیست واریزی کل خیرین'!D:D,Table1[[#This Row],[نام]],'لیست واریزی کل خیرین'!E:E,Table1[[#This Row],[نام خانوادگی]])</f>
        <v>27</v>
      </c>
      <c r="C137" s="134" t="s">
        <v>543</v>
      </c>
      <c r="D137" s="134" t="s">
        <v>544</v>
      </c>
      <c r="E137" s="135" t="s">
        <v>367</v>
      </c>
      <c r="F137" s="243">
        <v>6104337758811140</v>
      </c>
      <c r="G137" s="137" t="s">
        <v>479</v>
      </c>
      <c r="H137" s="138">
        <f t="shared" si="2"/>
        <v>6</v>
      </c>
      <c r="I137" s="137">
        <v>1401</v>
      </c>
      <c r="J137" s="137"/>
      <c r="K137" s="139">
        <v>5000000</v>
      </c>
      <c r="L137" s="140"/>
    </row>
    <row r="138" spans="1:13" ht="15.75" customHeight="1">
      <c r="A138" s="17" t="s">
        <v>458</v>
      </c>
      <c r="B138" s="133">
        <f>SUMIFS('لیست واریزی کل خیرین'!B:B,'لیست واریزی کل خیرین'!D:D,Table1[[#This Row],[نام]],'لیست واریزی کل خیرین'!E:E,Table1[[#This Row],[نام خانوادگی]])</f>
        <v>33</v>
      </c>
      <c r="C138" s="134" t="s">
        <v>583</v>
      </c>
      <c r="D138" s="134" t="s">
        <v>584</v>
      </c>
      <c r="E138" s="135" t="s">
        <v>585</v>
      </c>
      <c r="F138" s="243" t="s">
        <v>586</v>
      </c>
      <c r="G138" s="137" t="s">
        <v>479</v>
      </c>
      <c r="H138" s="138">
        <f t="shared" si="2"/>
        <v>6</v>
      </c>
      <c r="I138" s="137">
        <v>1401</v>
      </c>
      <c r="J138" s="137"/>
      <c r="K138" s="139">
        <v>20000000</v>
      </c>
      <c r="L138" s="140" t="s">
        <v>587</v>
      </c>
    </row>
    <row r="139" spans="1:13" ht="15.75" customHeight="1">
      <c r="A139" s="17"/>
      <c r="B139" s="235">
        <f>SUMIFS('لیست واریزی کل خیرین'!B:B,'لیست واریزی کل خیرین'!D:D,Table1[[#This Row],[نام]],'لیست واریزی کل خیرین'!E:E,Table1[[#This Row],[نام خانوادگی]])</f>
        <v>38</v>
      </c>
      <c r="C139" s="137" t="s">
        <v>560</v>
      </c>
      <c r="D139" s="137" t="s">
        <v>561</v>
      </c>
      <c r="E139" s="135" t="s">
        <v>1343</v>
      </c>
      <c r="F139" s="249" t="s">
        <v>1344</v>
      </c>
      <c r="G139" s="236" t="s">
        <v>479</v>
      </c>
      <c r="H139" s="237">
        <f t="shared" si="2"/>
        <v>6</v>
      </c>
      <c r="I139" s="236">
        <v>1401</v>
      </c>
      <c r="J139" s="236"/>
      <c r="K139" s="238">
        <v>3000000</v>
      </c>
      <c r="L139" s="140" t="s">
        <v>1345</v>
      </c>
    </row>
    <row r="140" spans="1:13" ht="33.75" customHeight="1">
      <c r="A140" s="194"/>
      <c r="B140" s="133">
        <f>SUMIFS('لیست واریزی کل خیرین'!B:B,'لیست واریزی کل خیرین'!D:D,Table1[[#This Row],[نام]],'لیست واریزی کل خیرین'!E:E,Table1[[#This Row],[نام خانوادگی]])</f>
        <v>16</v>
      </c>
      <c r="C140" s="141" t="s">
        <v>497</v>
      </c>
      <c r="D140" s="141" t="s">
        <v>505</v>
      </c>
      <c r="E140" s="135" t="s">
        <v>565</v>
      </c>
      <c r="F140" s="243">
        <v>6037998112152490</v>
      </c>
      <c r="G140" s="137" t="s">
        <v>482</v>
      </c>
      <c r="H140" s="138">
        <f t="shared" si="2"/>
        <v>7</v>
      </c>
      <c r="I140" s="137">
        <v>1401</v>
      </c>
      <c r="J140" s="137"/>
      <c r="K140" s="139">
        <v>3000000</v>
      </c>
      <c r="L140" s="425" t="s">
        <v>1469</v>
      </c>
      <c r="M140" s="426"/>
    </row>
    <row r="141" spans="1:13" ht="15.75" customHeight="1">
      <c r="A141" s="17" t="s">
        <v>458</v>
      </c>
      <c r="B141" s="133">
        <f>SUMIFS('لیست واریزی کل خیرین'!B:B,'لیست واریزی کل خیرین'!D:D,Table1[[#This Row],[نام]],'لیست واریزی کل خیرین'!E:E,Table1[[#This Row],[نام خانوادگی]])</f>
        <v>48</v>
      </c>
      <c r="C141" s="137" t="s">
        <v>494</v>
      </c>
      <c r="D141" s="137" t="s">
        <v>546</v>
      </c>
      <c r="E141" s="135" t="s">
        <v>655</v>
      </c>
      <c r="F141" s="243">
        <v>5022291038702390</v>
      </c>
      <c r="G141" s="137" t="s">
        <v>482</v>
      </c>
      <c r="H141" s="138">
        <f t="shared" si="2"/>
        <v>7</v>
      </c>
      <c r="I141" s="137">
        <v>1401</v>
      </c>
      <c r="J141" s="137"/>
      <c r="K141" s="139">
        <v>40000000</v>
      </c>
      <c r="L141" s="140"/>
    </row>
    <row r="142" spans="1:13" ht="15.75" customHeight="1">
      <c r="A142" s="17" t="s">
        <v>458</v>
      </c>
      <c r="B142" s="133">
        <f>SUMIFS('لیست واریزی کل خیرین'!B:B,'لیست واریزی کل خیرین'!D:D,Table1[[#This Row],[نام]],'لیست واریزی کل خیرین'!E:E,Table1[[#This Row],[نام خانوادگی]])</f>
        <v>28</v>
      </c>
      <c r="C142" s="134" t="s">
        <v>545</v>
      </c>
      <c r="D142" s="134" t="s">
        <v>546</v>
      </c>
      <c r="E142" s="135" t="s">
        <v>410</v>
      </c>
      <c r="F142" s="243">
        <v>5859831018931560</v>
      </c>
      <c r="G142" s="137" t="s">
        <v>482</v>
      </c>
      <c r="H142" s="138">
        <f t="shared" si="2"/>
        <v>7</v>
      </c>
      <c r="I142" s="137">
        <v>1401</v>
      </c>
      <c r="J142" s="137"/>
      <c r="K142" s="139">
        <v>3000000</v>
      </c>
      <c r="L142" s="140"/>
    </row>
    <row r="143" spans="1:13" ht="15.75" customHeight="1">
      <c r="A143" s="17" t="s">
        <v>458</v>
      </c>
      <c r="B143" s="133">
        <f>SUMIFS('لیست واریزی کل خیرین'!B:B,'لیست واریزی کل خیرین'!D:D,Table1[[#This Row],[نام]],'لیست واریزی کل خیرین'!E:E,Table1[[#This Row],[نام خانوادگی]])</f>
        <v>34</v>
      </c>
      <c r="C143" s="134" t="s">
        <v>588</v>
      </c>
      <c r="D143" s="134" t="s">
        <v>589</v>
      </c>
      <c r="E143" s="173" t="s">
        <v>327</v>
      </c>
      <c r="F143" s="243">
        <v>5859831018931560</v>
      </c>
      <c r="G143" s="137" t="s">
        <v>482</v>
      </c>
      <c r="H143" s="138">
        <f t="shared" si="2"/>
        <v>7</v>
      </c>
      <c r="I143" s="137">
        <v>1401</v>
      </c>
      <c r="J143" s="137"/>
      <c r="K143" s="139">
        <v>5000000</v>
      </c>
      <c r="L143" s="140" t="s">
        <v>682</v>
      </c>
    </row>
    <row r="144" spans="1:13" ht="15.75" customHeight="1">
      <c r="A144" s="17" t="s">
        <v>458</v>
      </c>
      <c r="B144" s="133">
        <f>SUMIFS('لیست واریزی کل خیرین'!B:B,'لیست واریزی کل خیرین'!D:D,Table1[[#This Row],[نام]],'لیست واریزی کل خیرین'!E:E,Table1[[#This Row],[نام خانوادگی]])</f>
        <v>22</v>
      </c>
      <c r="C144" s="134" t="s">
        <v>518</v>
      </c>
      <c r="D144" s="134" t="s">
        <v>519</v>
      </c>
      <c r="E144" s="135" t="s">
        <v>665</v>
      </c>
      <c r="F144" s="243">
        <v>5029081026862940</v>
      </c>
      <c r="G144" s="137" t="s">
        <v>482</v>
      </c>
      <c r="H144" s="138">
        <f t="shared" si="2"/>
        <v>7</v>
      </c>
      <c r="I144" s="137">
        <v>1401</v>
      </c>
      <c r="J144" s="137"/>
      <c r="K144" s="139">
        <v>2000000</v>
      </c>
      <c r="L144" s="140"/>
    </row>
    <row r="145" spans="1:12" ht="15.75" customHeight="1">
      <c r="A145" s="17" t="s">
        <v>458</v>
      </c>
      <c r="B145" s="133">
        <f>SUMIFS('لیست واریزی کل خیرین'!B:B,'لیست واریزی کل خیرین'!D:D,Table1[[#This Row],[نام]],'لیست واریزی کل خیرین'!E:E,Table1[[#This Row],[نام خانوادگی]])</f>
        <v>42</v>
      </c>
      <c r="C145" s="134" t="s">
        <v>630</v>
      </c>
      <c r="D145" s="134" t="s">
        <v>631</v>
      </c>
      <c r="E145" s="137"/>
      <c r="F145" s="243" t="s">
        <v>802</v>
      </c>
      <c r="G145" s="137" t="s">
        <v>482</v>
      </c>
      <c r="H145" s="138">
        <f t="shared" si="2"/>
        <v>7</v>
      </c>
      <c r="I145" s="137">
        <v>1401</v>
      </c>
      <c r="J145" s="137"/>
      <c r="K145" s="139">
        <v>12250000</v>
      </c>
      <c r="L145" s="140" t="s">
        <v>662</v>
      </c>
    </row>
    <row r="146" spans="1:12" ht="15.75" customHeight="1">
      <c r="A146" s="17" t="s">
        <v>458</v>
      </c>
      <c r="B146" s="133">
        <f>SUMIFS('لیست واریزی کل خیرین'!B:B,'لیست واریزی کل خیرین'!D:D,Table1[[#This Row],[نام]],'لیست واریزی کل خیرین'!E:E,Table1[[#This Row],[نام خانوادگی]])</f>
        <v>41</v>
      </c>
      <c r="C146" s="134" t="s">
        <v>204</v>
      </c>
      <c r="D146" s="134" t="s">
        <v>628</v>
      </c>
      <c r="E146" s="135" t="s">
        <v>657</v>
      </c>
      <c r="F146" s="243">
        <v>6037998200067800</v>
      </c>
      <c r="G146" s="137" t="s">
        <v>482</v>
      </c>
      <c r="H146" s="138">
        <f t="shared" si="2"/>
        <v>7</v>
      </c>
      <c r="I146" s="137">
        <v>1401</v>
      </c>
      <c r="J146" s="137"/>
      <c r="K146" s="139">
        <v>5000000</v>
      </c>
      <c r="L146" s="140"/>
    </row>
    <row r="147" spans="1:12" ht="15.75" customHeight="1">
      <c r="A147" s="17" t="s">
        <v>458</v>
      </c>
      <c r="B147" s="133">
        <f>SUMIFS('لیست واریزی کل خیرین'!B:B,'لیست واریزی کل خیرین'!D:D,Table1[[#This Row],[نام]],'لیست واریزی کل خیرین'!E:E,Table1[[#This Row],[نام خانوادگی]])</f>
        <v>37</v>
      </c>
      <c r="C147" s="134" t="s">
        <v>612</v>
      </c>
      <c r="D147" s="134" t="s">
        <v>613</v>
      </c>
      <c r="E147" s="135" t="s">
        <v>656</v>
      </c>
      <c r="F147" s="243">
        <v>5029081015337950</v>
      </c>
      <c r="G147" s="137" t="s">
        <v>482</v>
      </c>
      <c r="H147" s="138">
        <f t="shared" si="2"/>
        <v>7</v>
      </c>
      <c r="I147" s="137">
        <v>1401</v>
      </c>
      <c r="J147" s="137"/>
      <c r="K147" s="139">
        <v>3000000</v>
      </c>
      <c r="L147" s="140"/>
    </row>
    <row r="148" spans="1:12" ht="15.75" customHeight="1">
      <c r="A148" s="17" t="s">
        <v>458</v>
      </c>
      <c r="B148" s="133">
        <f>SUMIFS('لیست واریزی کل خیرین'!B:B,'لیست واریزی کل خیرین'!D:D,Table1[[#This Row],[نام]],'لیست واریزی کل خیرین'!E:E,Table1[[#This Row],[نام خانوادگی]])</f>
        <v>32</v>
      </c>
      <c r="C148" s="134" t="s">
        <v>574</v>
      </c>
      <c r="D148" s="134" t="s">
        <v>575</v>
      </c>
      <c r="E148" s="135" t="s">
        <v>565</v>
      </c>
      <c r="F148" s="243">
        <v>6274121183960810</v>
      </c>
      <c r="G148" s="137" t="s">
        <v>482</v>
      </c>
      <c r="H148" s="138">
        <f t="shared" si="2"/>
        <v>7</v>
      </c>
      <c r="I148" s="137">
        <v>1401</v>
      </c>
      <c r="J148" s="137"/>
      <c r="K148" s="139">
        <v>5000000</v>
      </c>
      <c r="L148" s="140"/>
    </row>
    <row r="149" spans="1:12" ht="15.75" customHeight="1">
      <c r="A149" s="17" t="s">
        <v>458</v>
      </c>
      <c r="B149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149" s="134" t="s">
        <v>483</v>
      </c>
      <c r="D149" s="134" t="s">
        <v>484</v>
      </c>
      <c r="E149" s="135" t="s">
        <v>666</v>
      </c>
      <c r="F149" s="243">
        <v>6104337871897400</v>
      </c>
      <c r="G149" s="137" t="s">
        <v>482</v>
      </c>
      <c r="H149" s="138">
        <f t="shared" si="2"/>
        <v>7</v>
      </c>
      <c r="I149" s="137">
        <v>1401</v>
      </c>
      <c r="J149" s="137"/>
      <c r="K149" s="139">
        <v>5000000</v>
      </c>
      <c r="L149" s="140" t="s">
        <v>668</v>
      </c>
    </row>
    <row r="150" spans="1:12" ht="15.75" customHeight="1">
      <c r="A150" s="17" t="s">
        <v>458</v>
      </c>
      <c r="B150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150" s="134" t="s">
        <v>522</v>
      </c>
      <c r="D150" s="134" t="s">
        <v>523</v>
      </c>
      <c r="E150" s="135" t="s">
        <v>412</v>
      </c>
      <c r="F150" s="243" t="s">
        <v>524</v>
      </c>
      <c r="G150" s="137" t="s">
        <v>482</v>
      </c>
      <c r="H150" s="138">
        <f t="shared" si="2"/>
        <v>7</v>
      </c>
      <c r="I150" s="137">
        <v>1401</v>
      </c>
      <c r="J150" s="137"/>
      <c r="K150" s="139">
        <v>14555641</v>
      </c>
      <c r="L150" s="140"/>
    </row>
    <row r="151" spans="1:12" ht="15.75" customHeight="1">
      <c r="A151" s="17" t="s">
        <v>458</v>
      </c>
      <c r="B151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151" s="134" t="s">
        <v>497</v>
      </c>
      <c r="D151" s="134" t="s">
        <v>513</v>
      </c>
      <c r="E151" s="135" t="s">
        <v>384</v>
      </c>
      <c r="F151" s="243">
        <v>6037697598049570</v>
      </c>
      <c r="G151" s="137" t="s">
        <v>482</v>
      </c>
      <c r="H151" s="138">
        <f t="shared" si="2"/>
        <v>7</v>
      </c>
      <c r="I151" s="137">
        <v>1401</v>
      </c>
      <c r="J151" s="137"/>
      <c r="K151" s="139">
        <v>10000000</v>
      </c>
      <c r="L151" s="140" t="s">
        <v>673</v>
      </c>
    </row>
    <row r="152" spans="1:12" ht="15.75" customHeight="1">
      <c r="A152" s="17" t="s">
        <v>458</v>
      </c>
      <c r="B152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152" s="134" t="s">
        <v>497</v>
      </c>
      <c r="D152" s="134" t="s">
        <v>513</v>
      </c>
      <c r="E152" s="135" t="s">
        <v>666</v>
      </c>
      <c r="F152" s="243" t="s">
        <v>667</v>
      </c>
      <c r="G152" s="137" t="s">
        <v>482</v>
      </c>
      <c r="H152" s="138">
        <f t="shared" si="2"/>
        <v>7</v>
      </c>
      <c r="I152" s="137">
        <v>1401</v>
      </c>
      <c r="J152" s="137"/>
      <c r="K152" s="139">
        <v>20000000</v>
      </c>
      <c r="L152" s="140"/>
    </row>
    <row r="153" spans="1:12" ht="15.75" customHeight="1">
      <c r="A153" s="17" t="s">
        <v>458</v>
      </c>
      <c r="B153" s="133">
        <f>SUMIFS('لیست واریزی کل خیرین'!B:B,'لیست واریزی کل خیرین'!D:D,Table1[[#This Row],[نام]],'لیست واریزی کل خیرین'!E:E,Table1[[#This Row],[نام خانوادگی]])</f>
        <v>2</v>
      </c>
      <c r="C153" s="134" t="s">
        <v>464</v>
      </c>
      <c r="D153" s="134" t="s">
        <v>465</v>
      </c>
      <c r="E153" s="135" t="s">
        <v>654</v>
      </c>
      <c r="F153" s="243" t="s">
        <v>555</v>
      </c>
      <c r="G153" s="137" t="s">
        <v>482</v>
      </c>
      <c r="H153" s="138">
        <f t="shared" si="2"/>
        <v>7</v>
      </c>
      <c r="I153" s="137">
        <v>1401</v>
      </c>
      <c r="J153" s="137"/>
      <c r="K153" s="139">
        <v>20000000</v>
      </c>
      <c r="L153" s="140"/>
    </row>
    <row r="154" spans="1:12" ht="15.75" customHeight="1">
      <c r="A154" s="17" t="s">
        <v>458</v>
      </c>
      <c r="B154" s="133">
        <f>SUMIFS('لیست واریزی کل خیرین'!B:B,'لیست واریزی کل خیرین'!D:D,Table1[[#This Row],[نام]],'لیست واریزی کل خیرین'!E:E,Table1[[#This Row],[نام خانوادگی]])</f>
        <v>4</v>
      </c>
      <c r="C154" s="134" t="s">
        <v>471</v>
      </c>
      <c r="D154" s="134" t="s">
        <v>472</v>
      </c>
      <c r="E154" s="135" t="s">
        <v>654</v>
      </c>
      <c r="F154" s="243">
        <v>6221061079430400</v>
      </c>
      <c r="G154" s="137" t="s">
        <v>482</v>
      </c>
      <c r="H154" s="138">
        <f t="shared" si="2"/>
        <v>7</v>
      </c>
      <c r="I154" s="137">
        <v>1401</v>
      </c>
      <c r="J154" s="137"/>
      <c r="K154" s="139">
        <v>2000000</v>
      </c>
      <c r="L154" s="140"/>
    </row>
    <row r="155" spans="1:12" ht="15.75" customHeight="1">
      <c r="A155" s="17" t="s">
        <v>458</v>
      </c>
      <c r="B155" s="133">
        <f>SUMIFS('لیست واریزی کل خیرین'!B:B,'لیست واریزی کل خیرین'!D:D,Table1[[#This Row],[نام]],'لیست واریزی کل خیرین'!E:E,Table1[[#This Row],[نام خانوادگی]])</f>
        <v>53</v>
      </c>
      <c r="C155" s="134" t="s">
        <v>674</v>
      </c>
      <c r="D155" s="134" t="s">
        <v>675</v>
      </c>
      <c r="E155" s="135" t="s">
        <v>382</v>
      </c>
      <c r="F155" s="243">
        <v>6219861023910110</v>
      </c>
      <c r="G155" s="137" t="s">
        <v>482</v>
      </c>
      <c r="H155" s="138">
        <f t="shared" si="2"/>
        <v>7</v>
      </c>
      <c r="I155" s="137">
        <v>1401</v>
      </c>
      <c r="J155" s="137"/>
      <c r="K155" s="139">
        <v>3000000</v>
      </c>
      <c r="L155" s="140" t="s">
        <v>673</v>
      </c>
    </row>
    <row r="156" spans="1:12" ht="15.75" customHeight="1">
      <c r="A156" s="17" t="s">
        <v>458</v>
      </c>
      <c r="B156" s="133">
        <f>SUMIFS('لیست واریزی کل خیرین'!B:B,'لیست واریزی کل خیرین'!D:D,Table1[[#This Row],[نام]],'لیست واریزی کل خیرین'!E:E,Table1[[#This Row],[نام خانوادگی]])</f>
        <v>25</v>
      </c>
      <c r="C156" s="134" t="s">
        <v>532</v>
      </c>
      <c r="D156" s="134" t="s">
        <v>533</v>
      </c>
      <c r="E156" s="135" t="s">
        <v>655</v>
      </c>
      <c r="F156" s="243">
        <v>6037997248149000</v>
      </c>
      <c r="G156" s="137" t="s">
        <v>482</v>
      </c>
      <c r="H156" s="138">
        <f t="shared" si="2"/>
        <v>7</v>
      </c>
      <c r="I156" s="137">
        <v>1401</v>
      </c>
      <c r="J156" s="137"/>
      <c r="K156" s="139">
        <v>30000000</v>
      </c>
      <c r="L156" s="140"/>
    </row>
    <row r="157" spans="1:12" ht="15.75" customHeight="1">
      <c r="A157" s="17" t="s">
        <v>458</v>
      </c>
      <c r="B157" s="133">
        <f>SUMIFS('لیست واریزی کل خیرین'!B:B,'لیست واریزی کل خیرین'!D:D,Table1[[#This Row],[نام]],'لیست واریزی کل خیرین'!E:E,Table1[[#This Row],[نام خانوادگی]])</f>
        <v>40</v>
      </c>
      <c r="C157" s="134" t="s">
        <v>494</v>
      </c>
      <c r="D157" s="134" t="s">
        <v>533</v>
      </c>
      <c r="E157" s="135" t="s">
        <v>677</v>
      </c>
      <c r="F157" s="243">
        <v>5892108833426450</v>
      </c>
      <c r="G157" s="137" t="s">
        <v>482</v>
      </c>
      <c r="H157" s="138">
        <f t="shared" si="2"/>
        <v>7</v>
      </c>
      <c r="I157" s="137">
        <v>1401</v>
      </c>
      <c r="J157" s="137"/>
      <c r="K157" s="139">
        <v>50000000</v>
      </c>
      <c r="L157" s="140"/>
    </row>
    <row r="158" spans="1:12" ht="15.75" customHeight="1">
      <c r="A158" s="17" t="s">
        <v>458</v>
      </c>
      <c r="B158" s="133">
        <f>SUMIFS('لیست واریزی کل خیرین'!B:B,'لیست واریزی کل خیرین'!D:D,Table1[[#This Row],[نام]],'لیست واریزی کل خیرین'!E:E,Table1[[#This Row],[نام خانوادگی]])</f>
        <v>52</v>
      </c>
      <c r="C158" s="134" t="s">
        <v>671</v>
      </c>
      <c r="D158" s="134" t="s">
        <v>672</v>
      </c>
      <c r="E158" s="135" t="s">
        <v>382</v>
      </c>
      <c r="F158" s="243">
        <v>6104337799527970</v>
      </c>
      <c r="G158" s="137" t="s">
        <v>482</v>
      </c>
      <c r="H158" s="138">
        <f t="shared" si="2"/>
        <v>7</v>
      </c>
      <c r="I158" s="137">
        <v>1401</v>
      </c>
      <c r="J158" s="137"/>
      <c r="K158" s="139">
        <v>4000000</v>
      </c>
      <c r="L158" s="140" t="s">
        <v>673</v>
      </c>
    </row>
    <row r="159" spans="1:12" ht="15.75" customHeight="1">
      <c r="A159" s="17" t="s">
        <v>458</v>
      </c>
      <c r="B159" s="172">
        <f>SUMIFS('لیست واریزی کل خیرین'!B:B,'لیست واریزی کل خیرین'!D:D,Table1[[#This Row],[نام]],'لیست واریزی کل خیرین'!E:E,Table1[[#This Row],[نام خانوادگی]])</f>
        <v>24</v>
      </c>
      <c r="C159" s="128" t="s">
        <v>529</v>
      </c>
      <c r="D159" s="145" t="s">
        <v>530</v>
      </c>
      <c r="E159" s="173" t="s">
        <v>688</v>
      </c>
      <c r="F159" s="247" t="s">
        <v>689</v>
      </c>
      <c r="G159" s="137" t="s">
        <v>482</v>
      </c>
      <c r="H159" s="177">
        <f t="shared" si="2"/>
        <v>7</v>
      </c>
      <c r="I159" s="175">
        <v>1401</v>
      </c>
      <c r="J159" s="175"/>
      <c r="K159" s="179">
        <v>5000000</v>
      </c>
      <c r="L159" s="140"/>
    </row>
    <row r="160" spans="1:12" ht="15.75" customHeight="1">
      <c r="A160" s="17" t="s">
        <v>458</v>
      </c>
      <c r="B160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160" s="134" t="s">
        <v>486</v>
      </c>
      <c r="D160" s="134" t="s">
        <v>487</v>
      </c>
      <c r="E160" s="135" t="s">
        <v>382</v>
      </c>
      <c r="F160" s="243">
        <v>6037691526531220</v>
      </c>
      <c r="G160" s="137" t="s">
        <v>482</v>
      </c>
      <c r="H160" s="138">
        <f t="shared" si="2"/>
        <v>7</v>
      </c>
      <c r="I160" s="137">
        <v>1401</v>
      </c>
      <c r="J160" s="137"/>
      <c r="K160" s="139">
        <v>5000000</v>
      </c>
      <c r="L160" s="140" t="s">
        <v>673</v>
      </c>
    </row>
    <row r="161" spans="1:12" ht="15.75" customHeight="1">
      <c r="A161" s="17" t="s">
        <v>458</v>
      </c>
      <c r="B161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161" s="134" t="s">
        <v>486</v>
      </c>
      <c r="D161" s="134" t="s">
        <v>487</v>
      </c>
      <c r="E161" s="135" t="s">
        <v>565</v>
      </c>
      <c r="F161" s="243">
        <v>6037691526531220</v>
      </c>
      <c r="G161" s="137" t="s">
        <v>482</v>
      </c>
      <c r="H161" s="138">
        <f t="shared" si="2"/>
        <v>7</v>
      </c>
      <c r="I161" s="137">
        <v>1401</v>
      </c>
      <c r="J161" s="137"/>
      <c r="K161" s="139">
        <v>15000000</v>
      </c>
      <c r="L161" s="140"/>
    </row>
    <row r="162" spans="1:12" ht="15.75" customHeight="1">
      <c r="A162" s="17" t="s">
        <v>458</v>
      </c>
      <c r="B162" s="133">
        <f>SUMIFS('لیست واریزی کل خیرین'!B:B,'لیست واریزی کل خیرین'!D:D,Table1[[#This Row],[نام]],'لیست واریزی کل خیرین'!E:E,Table1[[#This Row],[نام خانوادگی]])</f>
        <v>11</v>
      </c>
      <c r="C162" s="141" t="s">
        <v>494</v>
      </c>
      <c r="D162" s="141" t="s">
        <v>495</v>
      </c>
      <c r="E162" s="135" t="s">
        <v>394</v>
      </c>
      <c r="F162" s="243">
        <v>6063731028949880</v>
      </c>
      <c r="G162" s="137" t="s">
        <v>482</v>
      </c>
      <c r="H162" s="138">
        <f t="shared" si="2"/>
        <v>7</v>
      </c>
      <c r="I162" s="137">
        <v>1401</v>
      </c>
      <c r="J162" s="137"/>
      <c r="K162" s="139">
        <v>30000000</v>
      </c>
      <c r="L162" s="140"/>
    </row>
    <row r="163" spans="1:12" ht="15.75" customHeight="1">
      <c r="A163" s="17" t="s">
        <v>458</v>
      </c>
      <c r="B163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163" s="134" t="s">
        <v>480</v>
      </c>
      <c r="D163" s="134" t="s">
        <v>481</v>
      </c>
      <c r="E163" s="135" t="s">
        <v>655</v>
      </c>
      <c r="F163" s="243" t="s">
        <v>512</v>
      </c>
      <c r="G163" s="137" t="s">
        <v>482</v>
      </c>
      <c r="H163" s="138">
        <f t="shared" si="2"/>
        <v>7</v>
      </c>
      <c r="I163" s="137">
        <v>1401</v>
      </c>
      <c r="J163" s="137"/>
      <c r="K163" s="139">
        <v>7000000</v>
      </c>
      <c r="L163" s="140" t="s">
        <v>673</v>
      </c>
    </row>
    <row r="164" spans="1:12" ht="15.75" customHeight="1">
      <c r="A164" s="17" t="s">
        <v>458</v>
      </c>
      <c r="B164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164" s="134" t="s">
        <v>480</v>
      </c>
      <c r="D164" s="134" t="s">
        <v>481</v>
      </c>
      <c r="E164" s="135" t="s">
        <v>660</v>
      </c>
      <c r="F164" s="243">
        <v>6.03799199473702E+16</v>
      </c>
      <c r="G164" s="137" t="s">
        <v>482</v>
      </c>
      <c r="H164" s="138">
        <f t="shared" si="2"/>
        <v>7</v>
      </c>
      <c r="I164" s="137">
        <v>1401</v>
      </c>
      <c r="J164" s="137"/>
      <c r="K164" s="139">
        <v>10000000</v>
      </c>
      <c r="L164" s="140"/>
    </row>
    <row r="165" spans="1:12" ht="15.75" customHeight="1">
      <c r="A165" s="17" t="s">
        <v>458</v>
      </c>
      <c r="B165" s="133">
        <f>SUMIFS('لیست واریزی کل خیرین'!B:B,'لیست واریزی کل خیرین'!D:D,Table1[[#This Row],[نام]],'لیست واریزی کل خیرین'!E:E,Table1[[#This Row],[نام خانوادگی]])</f>
        <v>54</v>
      </c>
      <c r="C165" s="134" t="s">
        <v>552</v>
      </c>
      <c r="D165" s="134" t="s">
        <v>676</v>
      </c>
      <c r="E165" s="135" t="s">
        <v>382</v>
      </c>
      <c r="F165" s="243">
        <v>6221061218594960</v>
      </c>
      <c r="G165" s="137" t="s">
        <v>482</v>
      </c>
      <c r="H165" s="138">
        <f t="shared" si="2"/>
        <v>7</v>
      </c>
      <c r="I165" s="137">
        <v>1401</v>
      </c>
      <c r="J165" s="137"/>
      <c r="K165" s="139">
        <v>1000000</v>
      </c>
      <c r="L165" s="140" t="s">
        <v>673</v>
      </c>
    </row>
    <row r="166" spans="1:12" ht="15.75" customHeight="1">
      <c r="A166" s="17" t="s">
        <v>458</v>
      </c>
      <c r="B166" s="133">
        <f>SUMIFS('لیست واریزی کل خیرین'!B:B,'لیست واریزی کل خیرین'!D:D,Table1[[#This Row],[نام]],'لیست واریزی کل خیرین'!E:E,Table1[[#This Row],[نام خانوادگی]])</f>
        <v>47</v>
      </c>
      <c r="C166" s="134" t="s">
        <v>494</v>
      </c>
      <c r="D166" s="134" t="s">
        <v>645</v>
      </c>
      <c r="E166" s="135" t="s">
        <v>679</v>
      </c>
      <c r="F166" s="243">
        <v>6221061208001210</v>
      </c>
      <c r="G166" s="137" t="s">
        <v>482</v>
      </c>
      <c r="H166" s="138">
        <f t="shared" si="2"/>
        <v>7</v>
      </c>
      <c r="I166" s="137">
        <v>1401</v>
      </c>
      <c r="J166" s="137"/>
      <c r="K166" s="139">
        <v>5000000</v>
      </c>
      <c r="L166" s="140"/>
    </row>
    <row r="167" spans="1:12" ht="15.75" customHeight="1">
      <c r="A167" s="17" t="s">
        <v>458</v>
      </c>
      <c r="B167" s="133">
        <f>SUMIFS('لیست واریزی کل خیرین'!B:B,'لیست واریزی کل خیرین'!D:D,Table1[[#This Row],[نام]],'لیست واریزی کل خیرین'!E:E,Table1[[#This Row],[نام خانوادگی]])</f>
        <v>18</v>
      </c>
      <c r="C167" s="134" t="s">
        <v>509</v>
      </c>
      <c r="D167" s="134" t="s">
        <v>510</v>
      </c>
      <c r="E167" s="135" t="s">
        <v>669</v>
      </c>
      <c r="F167" s="243">
        <v>6037697638448540</v>
      </c>
      <c r="G167" s="137" t="s">
        <v>482</v>
      </c>
      <c r="H167" s="138">
        <f t="shared" si="2"/>
        <v>7</v>
      </c>
      <c r="I167" s="137">
        <v>1401</v>
      </c>
      <c r="J167" s="137"/>
      <c r="K167" s="139">
        <v>30000000</v>
      </c>
      <c r="L167" s="140"/>
    </row>
    <row r="168" spans="1:12" ht="15.75" customHeight="1">
      <c r="A168" s="17" t="s">
        <v>458</v>
      </c>
      <c r="B168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168" s="141" t="s">
        <v>497</v>
      </c>
      <c r="D168" s="141" t="s">
        <v>498</v>
      </c>
      <c r="E168" s="135" t="s">
        <v>646</v>
      </c>
      <c r="F168" s="243">
        <v>5022291500410800</v>
      </c>
      <c r="G168" s="137" t="s">
        <v>482</v>
      </c>
      <c r="H168" s="138">
        <f t="shared" si="2"/>
        <v>7</v>
      </c>
      <c r="I168" s="137">
        <v>1401</v>
      </c>
      <c r="J168" s="137"/>
      <c r="K168" s="139">
        <v>3000000</v>
      </c>
      <c r="L168" s="140"/>
    </row>
    <row r="169" spans="1:12" ht="15.75" customHeight="1">
      <c r="A169" s="17" t="s">
        <v>458</v>
      </c>
      <c r="B169" s="133">
        <f>SUMIFS('لیست واریزی کل خیرین'!B:B,'لیست واریزی کل خیرین'!D:D,Table1[[#This Row],[نام]],'لیست واریزی کل خیرین'!E:E,Table1[[#This Row],[نام خانوادگی]])</f>
        <v>14</v>
      </c>
      <c r="C169" s="134" t="s">
        <v>202</v>
      </c>
      <c r="D169" s="134" t="s">
        <v>502</v>
      </c>
      <c r="E169" s="135" t="s">
        <v>665</v>
      </c>
      <c r="F169" s="243">
        <v>5057851003297340</v>
      </c>
      <c r="G169" s="137" t="s">
        <v>482</v>
      </c>
      <c r="H169" s="138">
        <f t="shared" si="2"/>
        <v>7</v>
      </c>
      <c r="I169" s="137">
        <v>1401</v>
      </c>
      <c r="J169" s="137"/>
      <c r="K169" s="139">
        <v>10000000</v>
      </c>
      <c r="L169" s="140"/>
    </row>
    <row r="170" spans="1:12" ht="15.75" customHeight="1">
      <c r="A170" s="17" t="s">
        <v>458</v>
      </c>
      <c r="B170" s="133">
        <f>SUMIFS('لیست واریزی کل خیرین'!B:B,'لیست واریزی کل خیرین'!D:D,Table1[[#This Row],[نام]],'لیست واریزی کل خیرین'!E:E,Table1[[#This Row],[نام خانوادگی]])</f>
        <v>57</v>
      </c>
      <c r="C170" s="134" t="s">
        <v>207</v>
      </c>
      <c r="D170" s="134" t="s">
        <v>678</v>
      </c>
      <c r="E170" s="135" t="s">
        <v>397</v>
      </c>
      <c r="F170" s="243">
        <v>6219861030819080</v>
      </c>
      <c r="G170" s="137" t="s">
        <v>482</v>
      </c>
      <c r="H170" s="138">
        <f t="shared" si="2"/>
        <v>7</v>
      </c>
      <c r="I170" s="137">
        <v>1401</v>
      </c>
      <c r="J170" s="137"/>
      <c r="K170" s="139">
        <v>3000000</v>
      </c>
      <c r="L170" s="140" t="s">
        <v>652</v>
      </c>
    </row>
    <row r="171" spans="1:12" ht="15.75" customHeight="1">
      <c r="A171" s="17" t="s">
        <v>458</v>
      </c>
      <c r="B171" s="133">
        <f>SUMIFS('لیست واریزی کل خیرین'!B:B,'لیست واریزی کل خیرین'!D:D,Table1[[#This Row],[نام]],'لیست واریزی کل خیرین'!E:E,Table1[[#This Row],[نام خانوادگی]])</f>
        <v>50</v>
      </c>
      <c r="C171" s="134" t="s">
        <v>503</v>
      </c>
      <c r="D171" s="134" t="s">
        <v>664</v>
      </c>
      <c r="E171" s="135" t="s">
        <v>665</v>
      </c>
      <c r="F171" s="243">
        <v>6037997283637630</v>
      </c>
      <c r="G171" s="137" t="s">
        <v>482</v>
      </c>
      <c r="H171" s="138">
        <f t="shared" si="2"/>
        <v>7</v>
      </c>
      <c r="I171" s="137">
        <v>1401</v>
      </c>
      <c r="J171" s="137"/>
      <c r="K171" s="139">
        <v>10000000</v>
      </c>
      <c r="L171" s="140"/>
    </row>
    <row r="172" spans="1:12" ht="15.75" customHeight="1">
      <c r="A172" s="17" t="s">
        <v>458</v>
      </c>
      <c r="B172" s="133">
        <f>SUMIFS('لیست واریزی کل خیرین'!B:B,'لیست واریزی کل خیرین'!D:D,Table1[[#This Row],[نام]],'لیست واریزی کل خیرین'!E:E,Table1[[#This Row],[نام خانوادگی]])</f>
        <v>44</v>
      </c>
      <c r="C172" s="134" t="s">
        <v>635</v>
      </c>
      <c r="D172" s="134" t="s">
        <v>636</v>
      </c>
      <c r="E172" s="135" t="s">
        <v>390</v>
      </c>
      <c r="F172" s="243">
        <v>5894631543100330</v>
      </c>
      <c r="G172" s="137" t="s">
        <v>482</v>
      </c>
      <c r="H172" s="138">
        <f t="shared" si="2"/>
        <v>7</v>
      </c>
      <c r="I172" s="137">
        <v>1401</v>
      </c>
      <c r="J172" s="137"/>
      <c r="K172" s="139">
        <v>5000000</v>
      </c>
      <c r="L172" s="140"/>
    </row>
    <row r="173" spans="1:12" ht="15.75" customHeight="1">
      <c r="A173" s="185" t="s">
        <v>458</v>
      </c>
      <c r="B173" s="133">
        <f>SUMIFS('لیست واریزی کل خیرین'!B:B,'لیست واریزی کل خیرین'!D:D,Table1[[#This Row],[نام]],'لیست واریزی کل خیرین'!E:E,Table1[[#This Row],[نام خانوادگی]])</f>
        <v>6</v>
      </c>
      <c r="C173" s="134" t="s">
        <v>207</v>
      </c>
      <c r="D173" s="134" t="s">
        <v>478</v>
      </c>
      <c r="E173" s="135" t="s">
        <v>382</v>
      </c>
      <c r="F173" s="243">
        <v>6037697540254170</v>
      </c>
      <c r="G173" s="137" t="s">
        <v>482</v>
      </c>
      <c r="H173" s="138">
        <f t="shared" si="2"/>
        <v>7</v>
      </c>
      <c r="I173" s="137">
        <v>1401</v>
      </c>
      <c r="J173" s="137"/>
      <c r="K173" s="139">
        <v>2000000</v>
      </c>
      <c r="L173" s="140" t="s">
        <v>673</v>
      </c>
    </row>
    <row r="174" spans="1:12" ht="15.75" customHeight="1">
      <c r="A174" s="17" t="s">
        <v>458</v>
      </c>
      <c r="B174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174" s="134" t="s">
        <v>489</v>
      </c>
      <c r="D174" s="134" t="s">
        <v>490</v>
      </c>
      <c r="E174" s="135" t="s">
        <v>382</v>
      </c>
      <c r="F174" s="243">
        <v>6221061229152840</v>
      </c>
      <c r="G174" s="137" t="s">
        <v>482</v>
      </c>
      <c r="H174" s="138">
        <f t="shared" si="2"/>
        <v>7</v>
      </c>
      <c r="I174" s="137">
        <v>1401</v>
      </c>
      <c r="J174" s="137"/>
      <c r="K174" s="139">
        <v>20000000</v>
      </c>
      <c r="L174" s="140" t="s">
        <v>673</v>
      </c>
    </row>
    <row r="175" spans="1:12" ht="15.75" customHeight="1">
      <c r="A175" s="17" t="s">
        <v>458</v>
      </c>
      <c r="B175" s="133">
        <f>SUMIFS('لیست واریزی کل خیرین'!B:B,'لیست واریزی کل خیرین'!D:D,Table1[[#This Row],[نام]],'لیست واریزی کل خیرین'!E:E,Table1[[#This Row],[نام خانوادگی]])</f>
        <v>55</v>
      </c>
      <c r="C175" s="137" t="s">
        <v>549</v>
      </c>
      <c r="D175" s="137" t="s">
        <v>1293</v>
      </c>
      <c r="E175" s="135" t="s">
        <v>382</v>
      </c>
      <c r="F175" s="243">
        <v>6104337301600240</v>
      </c>
      <c r="G175" s="137" t="s">
        <v>482</v>
      </c>
      <c r="H175" s="138">
        <f t="shared" si="2"/>
        <v>7</v>
      </c>
      <c r="I175" s="137">
        <v>1401</v>
      </c>
      <c r="J175" s="137"/>
      <c r="K175" s="139">
        <v>5000000</v>
      </c>
      <c r="L175" s="140" t="s">
        <v>673</v>
      </c>
    </row>
    <row r="176" spans="1:12" ht="15.75" customHeight="1">
      <c r="A176" s="17" t="s">
        <v>458</v>
      </c>
      <c r="B176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176" s="141" t="s">
        <v>489</v>
      </c>
      <c r="D176" s="134" t="s">
        <v>490</v>
      </c>
      <c r="E176" s="135" t="s">
        <v>680</v>
      </c>
      <c r="F176" s="243" t="s">
        <v>661</v>
      </c>
      <c r="G176" s="137" t="s">
        <v>482</v>
      </c>
      <c r="H176" s="138">
        <f t="shared" si="2"/>
        <v>7</v>
      </c>
      <c r="I176" s="137">
        <v>1401</v>
      </c>
      <c r="J176" s="137"/>
      <c r="K176" s="139">
        <v>100000000</v>
      </c>
      <c r="L176" s="140"/>
    </row>
    <row r="177" spans="1:24" ht="15.75" customHeight="1">
      <c r="A177" s="17" t="s">
        <v>458</v>
      </c>
      <c r="B177" s="133">
        <f>SUMIFS('لیست واریزی کل خیرین'!B:B,'لیست واریزی کل خیرین'!D:D,Table1[[#This Row],[نام]],'لیست واریزی کل خیرین'!E:E,Table1[[#This Row],[نام خانوادگی]])</f>
        <v>51</v>
      </c>
      <c r="C177" s="134" t="s">
        <v>670</v>
      </c>
      <c r="D177" s="134" t="s">
        <v>490</v>
      </c>
      <c r="E177" s="135" t="s">
        <v>669</v>
      </c>
      <c r="F177" s="243">
        <v>6037697574168520</v>
      </c>
      <c r="G177" s="137" t="s">
        <v>482</v>
      </c>
      <c r="H177" s="138">
        <f t="shared" si="2"/>
        <v>7</v>
      </c>
      <c r="I177" s="137">
        <v>1401</v>
      </c>
      <c r="J177" s="137"/>
      <c r="K177" s="139">
        <v>5000000</v>
      </c>
      <c r="L177" s="140"/>
    </row>
    <row r="178" spans="1:24" ht="15.75" customHeight="1">
      <c r="A178" s="17" t="s">
        <v>458</v>
      </c>
      <c r="B178" s="133">
        <f>SUMIFS('لیست واریزی کل خیرین'!B:B,'لیست واریزی کل خیرین'!D:D,Table1[[#This Row],[نام]],'لیست واریزی کل خیرین'!E:E,Table1[[#This Row],[نام خانوادگی]])</f>
        <v>15</v>
      </c>
      <c r="C178" s="134" t="s">
        <v>503</v>
      </c>
      <c r="D178" s="134" t="s">
        <v>504</v>
      </c>
      <c r="E178" s="183" t="s">
        <v>418</v>
      </c>
      <c r="F178" s="243" t="s">
        <v>638</v>
      </c>
      <c r="G178" s="137" t="s">
        <v>482</v>
      </c>
      <c r="H178" s="138">
        <f t="shared" si="2"/>
        <v>7</v>
      </c>
      <c r="I178" s="137">
        <v>1401</v>
      </c>
      <c r="J178" s="137"/>
      <c r="K178" s="139">
        <v>10000000</v>
      </c>
      <c r="L178" s="140" t="s">
        <v>639</v>
      </c>
    </row>
    <row r="179" spans="1:24" ht="15.75" customHeight="1">
      <c r="A179" s="17" t="s">
        <v>458</v>
      </c>
      <c r="B179" s="133">
        <f>SUMIFS('لیست واریزی کل خیرین'!B:B,'لیست واریزی کل خیرین'!D:D,Table1[[#This Row],[نام]],'لیست واریزی کل خیرین'!E:E,Table1[[#This Row],[نام خانوادگی]])</f>
        <v>56</v>
      </c>
      <c r="C179" s="134" t="s">
        <v>650</v>
      </c>
      <c r="D179" s="134" t="s">
        <v>651</v>
      </c>
      <c r="E179" s="174" t="s">
        <v>408</v>
      </c>
      <c r="F179" s="243">
        <v>6104337800043160</v>
      </c>
      <c r="G179" s="137" t="s">
        <v>482</v>
      </c>
      <c r="H179" s="138">
        <f t="shared" si="2"/>
        <v>7</v>
      </c>
      <c r="I179" s="137">
        <v>1401</v>
      </c>
      <c r="J179" s="137"/>
      <c r="K179" s="139">
        <v>5000000</v>
      </c>
      <c r="L179" s="140"/>
    </row>
    <row r="180" spans="1:24" ht="15.75" customHeight="1">
      <c r="A180" s="17" t="s">
        <v>458</v>
      </c>
      <c r="B180" s="133">
        <f>SUMIFS('لیست واریزی کل خیرین'!B:B,'لیست واریزی کل خیرین'!D:D,Table1[[#This Row],[نام]],'لیست واریزی کل خیرین'!E:E,Table1[[#This Row],[نام خانوادگی]])</f>
        <v>20</v>
      </c>
      <c r="C180" s="134" t="s">
        <v>494</v>
      </c>
      <c r="D180" s="134" t="s">
        <v>511</v>
      </c>
      <c r="E180" s="135" t="s">
        <v>412</v>
      </c>
      <c r="F180" s="243" t="s">
        <v>512</v>
      </c>
      <c r="G180" s="137" t="s">
        <v>482</v>
      </c>
      <c r="H180" s="138">
        <f t="shared" si="2"/>
        <v>7</v>
      </c>
      <c r="I180" s="137">
        <v>1401</v>
      </c>
      <c r="J180" s="137"/>
      <c r="K180" s="139">
        <v>70000000</v>
      </c>
      <c r="L180" s="146" t="s">
        <v>673</v>
      </c>
    </row>
    <row r="181" spans="1:24" ht="15.75" customHeight="1">
      <c r="A181" s="17" t="s">
        <v>458</v>
      </c>
      <c r="B181" s="133">
        <f>SUMIFS('لیست واریزی کل خیرین'!B:B,'لیست واریزی کل خیرین'!D:D,Table1[[#This Row],[نام]],'لیست واریزی کل خیرین'!E:E,Table1[[#This Row],[نام خانوادگی]])</f>
        <v>66</v>
      </c>
      <c r="C181" s="137" t="s">
        <v>746</v>
      </c>
      <c r="D181" s="137" t="s">
        <v>747</v>
      </c>
      <c r="E181" s="135" t="s">
        <v>402</v>
      </c>
      <c r="F181" s="243" t="s">
        <v>524</v>
      </c>
      <c r="G181" s="137" t="s">
        <v>482</v>
      </c>
      <c r="H181" s="138">
        <f t="shared" si="2"/>
        <v>7</v>
      </c>
      <c r="I181" s="137">
        <v>1401</v>
      </c>
      <c r="J181" s="137"/>
      <c r="K181" s="139">
        <v>532000</v>
      </c>
      <c r="L181" s="140" t="s">
        <v>406</v>
      </c>
    </row>
    <row r="182" spans="1:24" ht="15.75" customHeight="1">
      <c r="A182" s="17" t="s">
        <v>458</v>
      </c>
      <c r="B182" s="133">
        <f>SUMIFS('لیست واریزی کل خیرین'!B:B,'لیست واریزی کل خیرین'!D:D,Table1[[#This Row],[نام]],'لیست واریزی کل خیرین'!E:E,Table1[[#This Row],[نام خانوادگی]])</f>
        <v>49</v>
      </c>
      <c r="C182" s="134" t="s">
        <v>658</v>
      </c>
      <c r="D182" s="134" t="s">
        <v>659</v>
      </c>
      <c r="E182" s="135" t="s">
        <v>657</v>
      </c>
      <c r="F182" s="243">
        <v>6037691656516870</v>
      </c>
      <c r="G182" s="137" t="s">
        <v>482</v>
      </c>
      <c r="H182" s="138">
        <f t="shared" si="2"/>
        <v>7</v>
      </c>
      <c r="I182" s="137">
        <v>1401</v>
      </c>
      <c r="J182" s="137"/>
      <c r="K182" s="139">
        <v>5000000</v>
      </c>
      <c r="L182" s="140"/>
    </row>
    <row r="183" spans="1:24" ht="15.75" customHeight="1">
      <c r="A183" s="17" t="s">
        <v>458</v>
      </c>
      <c r="B183" s="133">
        <f>SUMIFS('لیست واریزی کل خیرین'!B:B,'لیست واریزی کل خیرین'!D:D,Table1[[#This Row],[نام]],'لیست واریزی کل خیرین'!E:E,Table1[[#This Row],[نام خانوادگی]])</f>
        <v>13</v>
      </c>
      <c r="C183" s="141" t="s">
        <v>486</v>
      </c>
      <c r="D183" s="141" t="s">
        <v>500</v>
      </c>
      <c r="E183" s="135" t="s">
        <v>684</v>
      </c>
      <c r="F183" s="243" t="s">
        <v>685</v>
      </c>
      <c r="G183" s="137" t="s">
        <v>482</v>
      </c>
      <c r="H183" s="138">
        <f t="shared" si="2"/>
        <v>7</v>
      </c>
      <c r="I183" s="137">
        <v>1401</v>
      </c>
      <c r="J183" s="142"/>
      <c r="K183" s="139">
        <v>2500000</v>
      </c>
      <c r="L183" s="143" t="s">
        <v>686</v>
      </c>
      <c r="M183" s="17"/>
      <c r="N183" s="133">
        <f>SUMIFS('لیست واریزی کل خیرین'!S:S,'لیست واریزی کل خیرین'!T:T,'لیست واریزی ماهیانه'!$C183,'لیست واریزی کل خیرین'!U:U,'لیست واریزی ماهیانه'!$D183)</f>
        <v>0</v>
      </c>
      <c r="O183" s="141"/>
      <c r="P183" s="141" t="s">
        <v>500</v>
      </c>
      <c r="Q183" s="135" t="s">
        <v>351</v>
      </c>
      <c r="R183" s="136">
        <v>6219861052116010</v>
      </c>
      <c r="S183" s="137" t="s">
        <v>462</v>
      </c>
      <c r="T183" s="138">
        <f>IF(S183="","",VLOOKUP(S183,mah,2,0))</f>
        <v>3</v>
      </c>
      <c r="U183" s="137">
        <v>1401</v>
      </c>
      <c r="V183" s="142"/>
      <c r="W183" s="139">
        <v>2500000</v>
      </c>
      <c r="X183" s="143" t="s">
        <v>501</v>
      </c>
    </row>
    <row r="184" spans="1:24" ht="15.75" customHeight="1">
      <c r="A184" s="17" t="s">
        <v>458</v>
      </c>
      <c r="B184" s="133">
        <f>SUMIFS('لیست واریزی کل خیرین'!B:B,'لیست واریزی کل خیرین'!D:D,Table1[[#This Row],[نام]],'لیست واریزی کل خیرین'!E:E,Table1[[#This Row],[نام خانوادگی]])</f>
        <v>35</v>
      </c>
      <c r="C184" s="134" t="s">
        <v>596</v>
      </c>
      <c r="D184" s="134" t="s">
        <v>597</v>
      </c>
      <c r="E184" s="135" t="s">
        <v>681</v>
      </c>
      <c r="F184" s="243" t="s">
        <v>598</v>
      </c>
      <c r="G184" s="137" t="s">
        <v>482</v>
      </c>
      <c r="H184" s="138">
        <f t="shared" si="2"/>
        <v>7</v>
      </c>
      <c r="I184" s="137">
        <v>1401</v>
      </c>
      <c r="J184" s="137"/>
      <c r="K184" s="139">
        <v>3000000</v>
      </c>
      <c r="L184" s="140"/>
    </row>
    <row r="185" spans="1:24" ht="15.75" customHeight="1">
      <c r="A185" s="171" t="s">
        <v>458</v>
      </c>
      <c r="B185" s="166">
        <f>SUMIFS('لیست واریزی کل خیرین'!B:B,'لیست واریزی کل خیرین'!D:D,Table1[[#This Row],[نام]],'لیست واریزی کل خیرین'!E:E,Table1[[#This Row],[نام خانوادگی]])</f>
        <v>5</v>
      </c>
      <c r="C185" s="164" t="s">
        <v>475</v>
      </c>
      <c r="D185" s="164" t="s">
        <v>476</v>
      </c>
      <c r="E185" s="174" t="s">
        <v>663</v>
      </c>
      <c r="F185" s="244">
        <v>5859831202663190</v>
      </c>
      <c r="G185" s="137" t="s">
        <v>482</v>
      </c>
      <c r="H185" s="178">
        <f t="shared" si="2"/>
        <v>7</v>
      </c>
      <c r="I185" s="176">
        <v>1401</v>
      </c>
      <c r="J185" s="176"/>
      <c r="K185" s="180">
        <v>5000000</v>
      </c>
      <c r="L185" s="140"/>
    </row>
    <row r="186" spans="1:24" ht="15.75" customHeight="1">
      <c r="A186" s="17"/>
      <c r="B186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186" s="137" t="s">
        <v>497</v>
      </c>
      <c r="D186" s="137" t="s">
        <v>516</v>
      </c>
      <c r="E186" s="135" t="s">
        <v>888</v>
      </c>
      <c r="F186" s="243" t="s">
        <v>889</v>
      </c>
      <c r="G186" s="236" t="s">
        <v>482</v>
      </c>
      <c r="H186" s="138">
        <f t="shared" si="2"/>
        <v>7</v>
      </c>
      <c r="I186" s="137">
        <v>1401</v>
      </c>
      <c r="J186" s="137"/>
      <c r="K186" s="139">
        <v>5000000</v>
      </c>
      <c r="L186" s="140" t="s">
        <v>1260</v>
      </c>
    </row>
    <row r="187" spans="1:24" ht="15.75" customHeight="1">
      <c r="A187" s="17" t="s">
        <v>458</v>
      </c>
      <c r="B187" s="133">
        <f>SUMIFS('لیست واریزی کل خیرین'!B:B,'لیست واریزی کل خیرین'!D:D,Table1[[#This Row],[نام]],'لیست واریزی کل خیرین'!E:E,Table1[[#This Row],[نام خانوادگی]])</f>
        <v>23</v>
      </c>
      <c r="C187" s="137" t="s">
        <v>588</v>
      </c>
      <c r="D187" s="137" t="s">
        <v>521</v>
      </c>
      <c r="E187" s="135" t="s">
        <v>683</v>
      </c>
      <c r="F187" s="243" t="s">
        <v>687</v>
      </c>
      <c r="G187" s="137" t="s">
        <v>482</v>
      </c>
      <c r="H187" s="138">
        <f t="shared" si="2"/>
        <v>7</v>
      </c>
      <c r="I187" s="137">
        <v>1401</v>
      </c>
      <c r="J187" s="137"/>
      <c r="K187" s="139">
        <v>10000000</v>
      </c>
      <c r="L187" s="140"/>
    </row>
    <row r="188" spans="1:24" ht="15.75" customHeight="1">
      <c r="A188" s="17" t="s">
        <v>458</v>
      </c>
      <c r="B188" s="133">
        <f>SUMIFS('لیست واریزی کل خیرین'!B:B,'لیست واریزی کل خیرین'!D:D,Table1[[#This Row],[نام]],'لیست واریزی کل خیرین'!E:E,Table1[[#This Row],[نام خانوادگی]])</f>
        <v>27</v>
      </c>
      <c r="C188" s="134" t="s">
        <v>543</v>
      </c>
      <c r="D188" s="134" t="s">
        <v>544</v>
      </c>
      <c r="E188" s="135" t="s">
        <v>683</v>
      </c>
      <c r="F188" s="243">
        <v>6104337758811140</v>
      </c>
      <c r="G188" s="137" t="s">
        <v>482</v>
      </c>
      <c r="H188" s="138">
        <f t="shared" si="2"/>
        <v>7</v>
      </c>
      <c r="I188" s="137">
        <v>1401</v>
      </c>
      <c r="J188" s="137"/>
      <c r="K188" s="139">
        <v>5000000</v>
      </c>
      <c r="L188" s="140"/>
    </row>
    <row r="189" spans="1:24" ht="15.75" customHeight="1">
      <c r="A189" s="17" t="s">
        <v>458</v>
      </c>
      <c r="B189" s="133">
        <f>SUMIFS('لیست واریزی کل خیرین'!B:B,'لیست واریزی کل خیرین'!D:D,Table1[[#This Row],[نام]],'لیست واریزی کل خیرین'!E:E,Table1[[#This Row],[نام خانوادگی]])</f>
        <v>33</v>
      </c>
      <c r="C189" s="134" t="s">
        <v>583</v>
      </c>
      <c r="D189" s="134" t="s">
        <v>584</v>
      </c>
      <c r="E189" s="135" t="s">
        <v>585</v>
      </c>
      <c r="F189" s="243" t="s">
        <v>586</v>
      </c>
      <c r="G189" s="137" t="s">
        <v>482</v>
      </c>
      <c r="H189" s="138">
        <f t="shared" si="2"/>
        <v>7</v>
      </c>
      <c r="I189" s="137">
        <v>1401</v>
      </c>
      <c r="J189" s="137"/>
      <c r="K189" s="139">
        <v>20000000</v>
      </c>
      <c r="L189" s="140" t="s">
        <v>587</v>
      </c>
    </row>
    <row r="190" spans="1:24" ht="15.75" customHeight="1">
      <c r="A190" s="17"/>
      <c r="B190" s="235">
        <f>SUMIFS('لیست واریزی کل خیرین'!B:B,'لیست واریزی کل خیرین'!D:D,Table1[[#This Row],[نام]],'لیست واریزی کل خیرین'!E:E,Table1[[#This Row],[نام خانوادگی]])</f>
        <v>38</v>
      </c>
      <c r="C190" s="137" t="s">
        <v>560</v>
      </c>
      <c r="D190" s="137" t="s">
        <v>561</v>
      </c>
      <c r="E190" s="135" t="s">
        <v>1343</v>
      </c>
      <c r="F190" s="249" t="s">
        <v>1344</v>
      </c>
      <c r="G190" s="236" t="s">
        <v>482</v>
      </c>
      <c r="H190" s="237">
        <f t="shared" si="2"/>
        <v>7</v>
      </c>
      <c r="I190" s="236">
        <v>1401</v>
      </c>
      <c r="J190" s="236"/>
      <c r="K190" s="238">
        <v>3000000</v>
      </c>
      <c r="L190" s="140" t="s">
        <v>1345</v>
      </c>
    </row>
    <row r="191" spans="1:24" ht="35.25" customHeight="1">
      <c r="A191" s="194"/>
      <c r="B191" s="133">
        <f>SUMIFS('لیست واریزی کل خیرین'!B:B,'لیست واریزی کل خیرین'!D:D,Table1[[#This Row],[نام]],'لیست واریزی کل خیرین'!E:E,Table1[[#This Row],[نام خانوادگی]])</f>
        <v>16</v>
      </c>
      <c r="C191" s="141" t="s">
        <v>497</v>
      </c>
      <c r="D191" s="141" t="s">
        <v>505</v>
      </c>
      <c r="E191" s="135" t="s">
        <v>565</v>
      </c>
      <c r="F191" s="243">
        <v>6037998112152490</v>
      </c>
      <c r="G191" s="137" t="s">
        <v>485</v>
      </c>
      <c r="H191" s="138">
        <f t="shared" ref="H191" si="3">IF(G191="","",VLOOKUP(G191,mah,2,0))</f>
        <v>8</v>
      </c>
      <c r="I191" s="137">
        <v>1401</v>
      </c>
      <c r="J191" s="137"/>
      <c r="K191" s="139">
        <v>3000000</v>
      </c>
      <c r="L191" s="425" t="s">
        <v>1469</v>
      </c>
      <c r="M191" s="426"/>
    </row>
    <row r="192" spans="1:24" ht="15.75" customHeight="1">
      <c r="A192" s="17" t="s">
        <v>458</v>
      </c>
      <c r="B192" s="133">
        <f>SUMIFS('لیست واریزی کل خیرین'!B:B,'لیست واریزی کل خیرین'!D:D,Table1[[#This Row],[نام]],'لیست واریزی کل خیرین'!E:E,Table1[[#This Row],[نام خانوادگی]])</f>
        <v>48</v>
      </c>
      <c r="C192" s="137" t="s">
        <v>494</v>
      </c>
      <c r="D192" s="137" t="s">
        <v>546</v>
      </c>
      <c r="E192" s="135" t="s">
        <v>665</v>
      </c>
      <c r="F192" s="243">
        <v>5022291038702390</v>
      </c>
      <c r="G192" s="137" t="s">
        <v>485</v>
      </c>
      <c r="H192" s="138">
        <f t="shared" si="2"/>
        <v>8</v>
      </c>
      <c r="I192" s="137">
        <v>1401</v>
      </c>
      <c r="J192" s="137"/>
      <c r="K192" s="139">
        <v>40000000</v>
      </c>
      <c r="L192" s="140"/>
    </row>
    <row r="193" spans="1:12" ht="15.75" customHeight="1">
      <c r="A193" s="17" t="s">
        <v>458</v>
      </c>
      <c r="B193" s="172">
        <f>SUMIFS('لیست واریزی کل خیرین'!B:B,'لیست واریزی کل خیرین'!D:D,Table1[[#This Row],[نام]],'لیست واریزی کل خیرین'!E:E,Table1[[#This Row],[نام خانوادگی]])</f>
        <v>34</v>
      </c>
      <c r="C193" s="145" t="s">
        <v>588</v>
      </c>
      <c r="D193" s="145" t="s">
        <v>589</v>
      </c>
      <c r="E193" s="173" t="s">
        <v>327</v>
      </c>
      <c r="F193" s="247">
        <v>5859831018931560</v>
      </c>
      <c r="G193" s="137" t="s">
        <v>485</v>
      </c>
      <c r="H193" s="177">
        <f t="shared" si="2"/>
        <v>8</v>
      </c>
      <c r="I193" s="175">
        <v>1401</v>
      </c>
      <c r="J193" s="175"/>
      <c r="K193" s="179">
        <v>5000000</v>
      </c>
      <c r="L193" s="181" t="s">
        <v>682</v>
      </c>
    </row>
    <row r="194" spans="1:12" ht="15.75" customHeight="1">
      <c r="A194" s="3" t="s">
        <v>458</v>
      </c>
      <c r="B194" s="133">
        <v>62</v>
      </c>
      <c r="C194" s="137" t="s">
        <v>814</v>
      </c>
      <c r="D194" s="137" t="s">
        <v>705</v>
      </c>
      <c r="E194" s="135" t="s">
        <v>441</v>
      </c>
      <c r="F194" s="243" t="s">
        <v>706</v>
      </c>
      <c r="G194" s="137" t="s">
        <v>485</v>
      </c>
      <c r="H194" s="138">
        <f t="shared" si="2"/>
        <v>8</v>
      </c>
      <c r="I194" s="137">
        <v>1401</v>
      </c>
      <c r="J194" s="137"/>
      <c r="K194" s="139">
        <v>10000000</v>
      </c>
      <c r="L194" s="140"/>
    </row>
    <row r="195" spans="1:12" ht="15.75" customHeight="1">
      <c r="A195" s="17" t="s">
        <v>458</v>
      </c>
      <c r="B195" s="133">
        <f>SUMIFS('لیست واریزی کل خیرین'!B:B,'لیست واریزی کل خیرین'!D:D,Table1[[#This Row],[نام]],'لیست واریزی کل خیرین'!E:E,Table1[[#This Row],[نام خانوادگی]])</f>
        <v>22</v>
      </c>
      <c r="C195" s="134" t="s">
        <v>518</v>
      </c>
      <c r="D195" s="134" t="s">
        <v>519</v>
      </c>
      <c r="E195" s="135" t="s">
        <v>710</v>
      </c>
      <c r="F195" s="243" t="s">
        <v>711</v>
      </c>
      <c r="G195" s="137" t="s">
        <v>485</v>
      </c>
      <c r="H195" s="138">
        <f t="shared" si="2"/>
        <v>8</v>
      </c>
      <c r="I195" s="137">
        <v>1401</v>
      </c>
      <c r="J195" s="137"/>
      <c r="K195" s="139">
        <v>2000000</v>
      </c>
      <c r="L195" s="140"/>
    </row>
    <row r="196" spans="1:12" ht="15.75" customHeight="1">
      <c r="A196" s="17" t="s">
        <v>458</v>
      </c>
      <c r="B196" s="133">
        <f>SUMIFS('لیست واریزی کل خیرین'!B:B,'لیست واریزی کل خیرین'!D:D,Table1[[#This Row],[نام]],'لیست واریزی کل خیرین'!E:E,Table1[[#This Row],[نام خانوادگی]])</f>
        <v>42</v>
      </c>
      <c r="C196" s="134" t="s">
        <v>630</v>
      </c>
      <c r="D196" s="134" t="s">
        <v>631</v>
      </c>
      <c r="E196" s="135"/>
      <c r="F196" s="243" t="s">
        <v>802</v>
      </c>
      <c r="G196" s="137" t="s">
        <v>485</v>
      </c>
      <c r="H196" s="138">
        <f t="shared" ref="H196:H260" si="4">IF(G196="","",VLOOKUP(G196,mah,2,0))</f>
        <v>8</v>
      </c>
      <c r="I196" s="137">
        <v>1401</v>
      </c>
      <c r="J196" s="137"/>
      <c r="K196" s="139">
        <v>13625000</v>
      </c>
      <c r="L196" s="188" t="s">
        <v>774</v>
      </c>
    </row>
    <row r="197" spans="1:12" ht="15.75" customHeight="1">
      <c r="A197" s="17" t="s">
        <v>458</v>
      </c>
      <c r="B197" s="133">
        <f>SUMIFS('لیست واریزی کل خیرین'!B:B,'لیست واریزی کل خیرین'!D:D,Table1[[#This Row],[نام]],'لیست واریزی کل خیرین'!E:E,Table1[[#This Row],[نام خانوادگی]])</f>
        <v>41</v>
      </c>
      <c r="C197" s="134" t="s">
        <v>204</v>
      </c>
      <c r="D197" s="134" t="s">
        <v>628</v>
      </c>
      <c r="E197" s="135" t="s">
        <v>692</v>
      </c>
      <c r="F197" s="243">
        <v>6037998200067800</v>
      </c>
      <c r="G197" s="137" t="s">
        <v>485</v>
      </c>
      <c r="H197" s="138">
        <f t="shared" si="4"/>
        <v>8</v>
      </c>
      <c r="I197" s="137">
        <v>1401</v>
      </c>
      <c r="J197" s="137"/>
      <c r="K197" s="139">
        <v>5000000</v>
      </c>
      <c r="L197" s="140"/>
    </row>
    <row r="198" spans="1:12" ht="15.75" customHeight="1">
      <c r="A198" s="17" t="s">
        <v>458</v>
      </c>
      <c r="B198" s="133">
        <f>SUMIFS('لیست واریزی کل خیرین'!B:B,'لیست واریزی کل خیرین'!D:D,Table1[[#This Row],[نام]],'لیست واریزی کل خیرین'!E:E,Table1[[#This Row],[نام خانوادگی]])</f>
        <v>37</v>
      </c>
      <c r="C198" s="134" t="s">
        <v>612</v>
      </c>
      <c r="D198" s="134" t="s">
        <v>613</v>
      </c>
      <c r="E198" s="135" t="s">
        <v>691</v>
      </c>
      <c r="F198" s="243">
        <v>5029081015337950</v>
      </c>
      <c r="G198" s="137" t="s">
        <v>485</v>
      </c>
      <c r="H198" s="138">
        <f t="shared" si="4"/>
        <v>8</v>
      </c>
      <c r="I198" s="137">
        <v>1401</v>
      </c>
      <c r="J198" s="137"/>
      <c r="K198" s="139">
        <v>3000000</v>
      </c>
      <c r="L198" s="140"/>
    </row>
    <row r="199" spans="1:12" ht="15.75" customHeight="1">
      <c r="A199" s="17" t="s">
        <v>458</v>
      </c>
      <c r="B199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199" s="134" t="s">
        <v>483</v>
      </c>
      <c r="D199" s="134" t="s">
        <v>484</v>
      </c>
      <c r="E199" s="135" t="s">
        <v>666</v>
      </c>
      <c r="F199" s="243">
        <v>6104337871897400</v>
      </c>
      <c r="G199" s="137" t="s">
        <v>485</v>
      </c>
      <c r="H199" s="138">
        <f t="shared" si="4"/>
        <v>8</v>
      </c>
      <c r="I199" s="137">
        <v>1401</v>
      </c>
      <c r="J199" s="137"/>
      <c r="K199" s="139">
        <v>5000000</v>
      </c>
      <c r="L199" s="140" t="s">
        <v>668</v>
      </c>
    </row>
    <row r="200" spans="1:12" ht="15.75" customHeight="1">
      <c r="A200" s="17" t="s">
        <v>458</v>
      </c>
      <c r="B200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200" s="134" t="s">
        <v>522</v>
      </c>
      <c r="D200" s="134" t="s">
        <v>523</v>
      </c>
      <c r="E200" s="135" t="s">
        <v>700</v>
      </c>
      <c r="F200" s="243" t="s">
        <v>524</v>
      </c>
      <c r="G200" s="137" t="s">
        <v>485</v>
      </c>
      <c r="H200" s="138">
        <f t="shared" si="4"/>
        <v>8</v>
      </c>
      <c r="I200" s="137">
        <v>1401</v>
      </c>
      <c r="J200" s="137"/>
      <c r="K200" s="139">
        <v>15594672</v>
      </c>
      <c r="L200" s="140"/>
    </row>
    <row r="201" spans="1:12" ht="15.75" customHeight="1">
      <c r="A201" s="17" t="s">
        <v>458</v>
      </c>
      <c r="B201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201" s="134" t="s">
        <v>497</v>
      </c>
      <c r="D201" s="134" t="s">
        <v>513</v>
      </c>
      <c r="E201" s="135" t="s">
        <v>443</v>
      </c>
      <c r="F201" s="243" t="s">
        <v>667</v>
      </c>
      <c r="G201" s="137" t="s">
        <v>485</v>
      </c>
      <c r="H201" s="138">
        <f t="shared" si="4"/>
        <v>8</v>
      </c>
      <c r="I201" s="137">
        <v>1401</v>
      </c>
      <c r="J201" s="137"/>
      <c r="K201" s="139">
        <v>20000000</v>
      </c>
      <c r="L201" s="140"/>
    </row>
    <row r="202" spans="1:12" ht="15.75" customHeight="1">
      <c r="A202" s="17" t="s">
        <v>458</v>
      </c>
      <c r="B202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202" s="134" t="s">
        <v>469</v>
      </c>
      <c r="D202" s="134" t="s">
        <v>470</v>
      </c>
      <c r="E202" s="135" t="s">
        <v>428</v>
      </c>
      <c r="F202" s="243">
        <v>6104337649628050</v>
      </c>
      <c r="G202" s="137" t="s">
        <v>485</v>
      </c>
      <c r="H202" s="138">
        <f t="shared" si="4"/>
        <v>8</v>
      </c>
      <c r="I202" s="137">
        <v>1401</v>
      </c>
      <c r="J202" s="139">
        <v>6012000</v>
      </c>
      <c r="K202" s="139">
        <v>6012000</v>
      </c>
      <c r="L202" s="140" t="s">
        <v>707</v>
      </c>
    </row>
    <row r="203" spans="1:12" ht="15.75" customHeight="1">
      <c r="A203" s="17" t="s">
        <v>458</v>
      </c>
      <c r="B203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203" s="134" t="s">
        <v>469</v>
      </c>
      <c r="D203" s="134" t="s">
        <v>470</v>
      </c>
      <c r="E203" s="135" t="s">
        <v>423</v>
      </c>
      <c r="F203" s="243">
        <v>6104337649628050</v>
      </c>
      <c r="G203" s="137" t="s">
        <v>485</v>
      </c>
      <c r="H203" s="138">
        <f t="shared" si="4"/>
        <v>8</v>
      </c>
      <c r="I203" s="137">
        <v>1401</v>
      </c>
      <c r="J203" s="139">
        <v>5000000</v>
      </c>
      <c r="K203" s="139">
        <v>5000000</v>
      </c>
      <c r="L203" s="140" t="s">
        <v>708</v>
      </c>
    </row>
    <row r="204" spans="1:12" ht="15.75" customHeight="1">
      <c r="A204" s="17" t="s">
        <v>458</v>
      </c>
      <c r="B204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204" s="134" t="s">
        <v>469</v>
      </c>
      <c r="D204" s="134" t="s">
        <v>470</v>
      </c>
      <c r="E204" s="135" t="s">
        <v>430</v>
      </c>
      <c r="F204" s="243">
        <v>6104337649628050</v>
      </c>
      <c r="G204" s="137" t="s">
        <v>485</v>
      </c>
      <c r="H204" s="138">
        <f t="shared" si="4"/>
        <v>8</v>
      </c>
      <c r="I204" s="137">
        <v>1401</v>
      </c>
      <c r="J204" s="139">
        <v>157500</v>
      </c>
      <c r="K204" s="139">
        <v>157500</v>
      </c>
      <c r="L204" s="140" t="s">
        <v>709</v>
      </c>
    </row>
    <row r="205" spans="1:12" ht="15.75" customHeight="1">
      <c r="A205" s="17" t="s">
        <v>458</v>
      </c>
      <c r="B205" s="133">
        <f>SUMIFS('لیست واریزی کل خیرین'!B:B,'لیست واریزی کل خیرین'!D:D,Table1[[#This Row],[نام]],'لیست واریزی کل خیرین'!E:E,Table1[[#This Row],[نام خانوادگی]])</f>
        <v>2</v>
      </c>
      <c r="C205" s="134" t="s">
        <v>464</v>
      </c>
      <c r="D205" s="134" t="s">
        <v>465</v>
      </c>
      <c r="E205" s="135" t="s">
        <v>808</v>
      </c>
      <c r="F205" s="243" t="s">
        <v>555</v>
      </c>
      <c r="G205" s="137" t="s">
        <v>485</v>
      </c>
      <c r="H205" s="138">
        <f t="shared" si="4"/>
        <v>8</v>
      </c>
      <c r="I205" s="137">
        <v>1401</v>
      </c>
      <c r="J205" s="137"/>
      <c r="K205" s="139">
        <v>20000000</v>
      </c>
      <c r="L205" s="140"/>
    </row>
    <row r="206" spans="1:12" ht="15.75" customHeight="1">
      <c r="A206" s="357" t="s">
        <v>458</v>
      </c>
      <c r="B206" s="166">
        <f>SUMIFS('لیست واریزی کل خیرین'!B:B,'لیست واریزی کل خیرین'!D:D,Table1[[#This Row],[نام]],'لیست واریزی کل خیرین'!E:E,Table1[[#This Row],[نام خانوادگی]])</f>
        <v>4</v>
      </c>
      <c r="C206" s="164" t="s">
        <v>471</v>
      </c>
      <c r="D206" s="164" t="s">
        <v>472</v>
      </c>
      <c r="E206" s="174" t="s">
        <v>421</v>
      </c>
      <c r="F206" s="244">
        <v>6219861021865570</v>
      </c>
      <c r="G206" s="137" t="s">
        <v>485</v>
      </c>
      <c r="H206" s="178">
        <f t="shared" si="4"/>
        <v>8</v>
      </c>
      <c r="I206" s="176">
        <v>1401</v>
      </c>
      <c r="J206" s="176"/>
      <c r="K206" s="180">
        <v>2000000</v>
      </c>
      <c r="L206" s="146"/>
    </row>
    <row r="207" spans="1:12" ht="15.75" customHeight="1">
      <c r="A207" s="171" t="s">
        <v>458</v>
      </c>
      <c r="B207" s="133">
        <f>SUMIFS('لیست واریزی کل خیرین'!B:B,'لیست واریزی کل خیرین'!D:D,Table1[[#This Row],[نام]],'لیست واریزی کل خیرین'!E:E,Table1[[#This Row],[نام خانوادگی]])</f>
        <v>25</v>
      </c>
      <c r="C207" s="134" t="s">
        <v>532</v>
      </c>
      <c r="D207" s="134" t="s">
        <v>533</v>
      </c>
      <c r="E207" s="135" t="s">
        <v>690</v>
      </c>
      <c r="F207" s="243">
        <v>6037997248149000</v>
      </c>
      <c r="G207" s="137" t="s">
        <v>485</v>
      </c>
      <c r="H207" s="138">
        <f t="shared" si="4"/>
        <v>8</v>
      </c>
      <c r="I207" s="137">
        <v>1401</v>
      </c>
      <c r="J207" s="137"/>
      <c r="K207" s="139">
        <v>30000000</v>
      </c>
      <c r="L207" s="140"/>
    </row>
    <row r="208" spans="1:12" ht="15.75" customHeight="1">
      <c r="A208" s="171" t="s">
        <v>458</v>
      </c>
      <c r="B208" s="189">
        <f>SUMIFS('لیست واریزی کل خیرین'!B:B,'لیست واریزی کل خیرین'!D:D,Table1[[#This Row],[نام]],'لیست واریزی کل خیرین'!E:E,Table1[[#This Row],[نام خانوادگی]])</f>
        <v>40</v>
      </c>
      <c r="C208" s="190" t="s">
        <v>494</v>
      </c>
      <c r="D208" s="190" t="s">
        <v>533</v>
      </c>
      <c r="E208" s="183" t="s">
        <v>785</v>
      </c>
      <c r="F208" s="243" t="s">
        <v>524</v>
      </c>
      <c r="G208" s="137" t="s">
        <v>485</v>
      </c>
      <c r="H208" s="192">
        <f t="shared" si="4"/>
        <v>8</v>
      </c>
      <c r="I208" s="191">
        <v>1401</v>
      </c>
      <c r="J208" s="191"/>
      <c r="K208" s="193">
        <v>50000000</v>
      </c>
      <c r="L208" s="188"/>
    </row>
    <row r="209" spans="1:12" ht="15.75" customHeight="1">
      <c r="A209" s="171" t="s">
        <v>458</v>
      </c>
      <c r="B209" s="133">
        <f>SUMIFS('لیست واریزی کل خیرین'!B:B,'لیست واریزی کل خیرین'!D:D,Table1[[#This Row],[نام]],'لیست واریزی کل خیرین'!E:E,Table1[[#This Row],[نام خانوادگی]])</f>
        <v>24</v>
      </c>
      <c r="C209" s="137" t="s">
        <v>529</v>
      </c>
      <c r="D209" s="137" t="s">
        <v>530</v>
      </c>
      <c r="E209" s="135" t="s">
        <v>669</v>
      </c>
      <c r="F209" s="243">
        <v>5022291044919300</v>
      </c>
      <c r="G209" s="137" t="s">
        <v>485</v>
      </c>
      <c r="H209" s="138">
        <f t="shared" si="4"/>
        <v>8</v>
      </c>
      <c r="I209" s="137">
        <v>1401</v>
      </c>
      <c r="J209" s="137"/>
      <c r="K209" s="139">
        <v>5000000</v>
      </c>
      <c r="L209" s="140" t="s">
        <v>652</v>
      </c>
    </row>
    <row r="210" spans="1:12" ht="15.75" customHeight="1">
      <c r="A210" s="17" t="s">
        <v>458</v>
      </c>
      <c r="B210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210" s="134" t="s">
        <v>486</v>
      </c>
      <c r="D210" s="134" t="s">
        <v>487</v>
      </c>
      <c r="E210" s="135" t="s">
        <v>684</v>
      </c>
      <c r="F210" s="243" t="s">
        <v>595</v>
      </c>
      <c r="G210" s="137" t="s">
        <v>485</v>
      </c>
      <c r="H210" s="138">
        <f t="shared" si="4"/>
        <v>8</v>
      </c>
      <c r="I210" s="137">
        <v>1401</v>
      </c>
      <c r="J210" s="137"/>
      <c r="K210" s="139">
        <v>10000000</v>
      </c>
      <c r="L210" s="140"/>
    </row>
    <row r="211" spans="1:12" ht="15.75" customHeight="1">
      <c r="A211" s="17" t="s">
        <v>458</v>
      </c>
      <c r="B211" s="133">
        <f>SUMIFS('لیست واریزی کل خیرین'!B:B,'لیست واریزی کل خیرین'!D:D,Table1[[#This Row],[نام]],'لیست واریزی کل خیرین'!E:E,Table1[[#This Row],[نام خانوادگی]])</f>
        <v>11</v>
      </c>
      <c r="C211" s="141" t="s">
        <v>494</v>
      </c>
      <c r="D211" s="141" t="s">
        <v>495</v>
      </c>
      <c r="E211" s="135" t="s">
        <v>416</v>
      </c>
      <c r="F211" s="243">
        <v>6063731028949880</v>
      </c>
      <c r="G211" s="137" t="s">
        <v>485</v>
      </c>
      <c r="H211" s="138">
        <f t="shared" si="4"/>
        <v>8</v>
      </c>
      <c r="I211" s="137">
        <v>1401</v>
      </c>
      <c r="J211" s="137"/>
      <c r="K211" s="139">
        <v>30000000</v>
      </c>
      <c r="L211" s="140"/>
    </row>
    <row r="212" spans="1:12" ht="15.75" customHeight="1">
      <c r="A212" s="17"/>
      <c r="B212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212" s="137" t="s">
        <v>480</v>
      </c>
      <c r="D212" s="137" t="s">
        <v>481</v>
      </c>
      <c r="E212" s="135" t="s">
        <v>879</v>
      </c>
      <c r="F212" s="243" t="s">
        <v>881</v>
      </c>
      <c r="G212" s="137" t="s">
        <v>485</v>
      </c>
      <c r="H212" s="138">
        <f t="shared" si="4"/>
        <v>8</v>
      </c>
      <c r="I212" s="137">
        <v>1401</v>
      </c>
      <c r="J212" s="137"/>
      <c r="K212" s="139">
        <v>10000000</v>
      </c>
      <c r="L212" s="140" t="s">
        <v>880</v>
      </c>
    </row>
    <row r="213" spans="1:12" ht="15.75" customHeight="1">
      <c r="A213" s="17" t="s">
        <v>458</v>
      </c>
      <c r="B213" s="133">
        <f>SUMIFS('لیست واریزی کل خیرین'!B:B,'لیست واریزی کل خیرین'!D:D,Table1[[#This Row],[نام]],'لیست واریزی کل خیرین'!E:E,Table1[[#This Row],[نام خانوادگی]])</f>
        <v>47</v>
      </c>
      <c r="C213" s="134" t="s">
        <v>494</v>
      </c>
      <c r="D213" s="134" t="s">
        <v>645</v>
      </c>
      <c r="E213" s="135" t="s">
        <v>436</v>
      </c>
      <c r="F213" s="243">
        <v>6221061208001210</v>
      </c>
      <c r="G213" s="137" t="s">
        <v>485</v>
      </c>
      <c r="H213" s="138">
        <f t="shared" si="4"/>
        <v>8</v>
      </c>
      <c r="I213" s="137">
        <v>1401</v>
      </c>
      <c r="J213" s="137"/>
      <c r="K213" s="139">
        <v>5000000</v>
      </c>
      <c r="L213" s="140"/>
    </row>
    <row r="214" spans="1:12" ht="15.75" customHeight="1">
      <c r="A214" s="17" t="s">
        <v>458</v>
      </c>
      <c r="B214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214" s="141" t="s">
        <v>497</v>
      </c>
      <c r="D214" s="141" t="s">
        <v>498</v>
      </c>
      <c r="E214" s="135" t="s">
        <v>565</v>
      </c>
      <c r="F214" s="243" t="s">
        <v>623</v>
      </c>
      <c r="G214" s="137" t="s">
        <v>485</v>
      </c>
      <c r="H214" s="138">
        <f t="shared" si="4"/>
        <v>8</v>
      </c>
      <c r="I214" s="137">
        <v>1401</v>
      </c>
      <c r="J214" s="137"/>
      <c r="K214" s="139">
        <v>5000000</v>
      </c>
      <c r="L214" s="140"/>
    </row>
    <row r="215" spans="1:12" ht="15.75" customHeight="1">
      <c r="A215" s="3" t="s">
        <v>458</v>
      </c>
      <c r="B215" s="133">
        <f>SUMIFS('لیست واریزی کل خیرین'!B:B,'لیست واریزی کل خیرین'!D:D,Table1[[#This Row],[نام]],'لیست واریزی کل خیرین'!E:E,Table1[[#This Row],[نام خانوادگی]])</f>
        <v>61</v>
      </c>
      <c r="C215" s="134" t="s">
        <v>702</v>
      </c>
      <c r="D215" s="134" t="s">
        <v>703</v>
      </c>
      <c r="E215" s="135" t="s">
        <v>700</v>
      </c>
      <c r="F215" s="243" t="s">
        <v>704</v>
      </c>
      <c r="G215" s="137" t="s">
        <v>485</v>
      </c>
      <c r="H215" s="138">
        <f t="shared" si="4"/>
        <v>8</v>
      </c>
      <c r="I215" s="137">
        <v>1401</v>
      </c>
      <c r="J215" s="137"/>
      <c r="K215" s="139">
        <v>5000000</v>
      </c>
      <c r="L215" s="140"/>
    </row>
    <row r="216" spans="1:12" ht="15.75" customHeight="1">
      <c r="A216" s="17" t="s">
        <v>458</v>
      </c>
      <c r="B216" s="133">
        <f>SUMIFS('لیست واریزی کل خیرین'!B:B,'لیست واریزی کل خیرین'!D:D,Table1[[#This Row],[نام]],'لیست واریزی کل خیرین'!E:E,Table1[[#This Row],[نام خانوادگی]])</f>
        <v>14</v>
      </c>
      <c r="C216" s="134" t="s">
        <v>202</v>
      </c>
      <c r="D216" s="134" t="s">
        <v>502</v>
      </c>
      <c r="E216" s="135" t="s">
        <v>700</v>
      </c>
      <c r="F216" s="243" t="s">
        <v>701</v>
      </c>
      <c r="G216" s="137" t="s">
        <v>485</v>
      </c>
      <c r="H216" s="138">
        <f t="shared" si="4"/>
        <v>8</v>
      </c>
      <c r="I216" s="137">
        <v>1401</v>
      </c>
      <c r="J216" s="137"/>
      <c r="K216" s="139">
        <v>10000000</v>
      </c>
      <c r="L216" s="140"/>
    </row>
    <row r="217" spans="1:12" ht="15.75" customHeight="1">
      <c r="A217" s="17" t="s">
        <v>458</v>
      </c>
      <c r="B217" s="133">
        <f>SUMIFS('لیست واریزی کل خیرین'!B:B,'لیست واریزی کل خیرین'!D:D,Table1[[#This Row],[نام]],'لیست واریزی کل خیرین'!E:E,Table1[[#This Row],[نام خانوادگی]])</f>
        <v>59</v>
      </c>
      <c r="C217" s="134" t="s">
        <v>695</v>
      </c>
      <c r="D217" s="134" t="s">
        <v>696</v>
      </c>
      <c r="E217" s="135" t="s">
        <v>425</v>
      </c>
      <c r="F217" s="243" t="s">
        <v>697</v>
      </c>
      <c r="G217" s="137" t="s">
        <v>485</v>
      </c>
      <c r="H217" s="138">
        <f t="shared" si="4"/>
        <v>8</v>
      </c>
      <c r="I217" s="137">
        <v>1401</v>
      </c>
      <c r="J217" s="137"/>
      <c r="K217" s="139">
        <v>5000000</v>
      </c>
      <c r="L217" s="140"/>
    </row>
    <row r="218" spans="1:12" ht="15.75" customHeight="1">
      <c r="A218" s="17" t="s">
        <v>458</v>
      </c>
      <c r="B218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218" s="134" t="s">
        <v>489</v>
      </c>
      <c r="D218" s="134" t="s">
        <v>490</v>
      </c>
      <c r="E218" s="135" t="s">
        <v>426</v>
      </c>
      <c r="F218" s="243" t="s">
        <v>693</v>
      </c>
      <c r="G218" s="137" t="s">
        <v>485</v>
      </c>
      <c r="H218" s="138">
        <f t="shared" si="4"/>
        <v>8</v>
      </c>
      <c r="I218" s="137">
        <v>1401</v>
      </c>
      <c r="J218" s="137"/>
      <c r="K218" s="139">
        <v>100000000</v>
      </c>
      <c r="L218" s="140"/>
    </row>
    <row r="219" spans="1:12" ht="15.75" customHeight="1">
      <c r="A219" s="17" t="s">
        <v>458</v>
      </c>
      <c r="B219" s="133">
        <f>SUMIFS('لیست واریزی کل خیرین'!B:B,'لیست واریزی کل خیرین'!D:D,Table1[[#This Row],[نام]],'لیست واریزی کل خیرین'!E:E,Table1[[#This Row],[نام خانوادگی]])</f>
        <v>20</v>
      </c>
      <c r="C219" s="134" t="s">
        <v>494</v>
      </c>
      <c r="D219" s="134" t="s">
        <v>511</v>
      </c>
      <c r="E219" s="174" t="s">
        <v>426</v>
      </c>
      <c r="F219" s="243" t="s">
        <v>693</v>
      </c>
      <c r="G219" s="137" t="s">
        <v>485</v>
      </c>
      <c r="H219" s="138">
        <f t="shared" si="4"/>
        <v>8</v>
      </c>
      <c r="I219" s="137">
        <v>1401</v>
      </c>
      <c r="J219" s="137"/>
      <c r="K219" s="139">
        <v>50000000</v>
      </c>
      <c r="L219" s="140"/>
    </row>
    <row r="220" spans="1:12" ht="15.75" customHeight="1">
      <c r="A220" s="17" t="s">
        <v>458</v>
      </c>
      <c r="B220" s="133">
        <f>SUMIFS('لیست واریزی کل خیرین'!B:B,'لیست واریزی کل خیرین'!D:D,Table1[[#This Row],[نام]],'لیست واریزی کل خیرین'!E:E,Table1[[#This Row],[نام خانوادگی]])</f>
        <v>13</v>
      </c>
      <c r="C220" s="141" t="s">
        <v>486</v>
      </c>
      <c r="D220" s="141" t="s">
        <v>500</v>
      </c>
      <c r="E220" s="135" t="s">
        <v>684</v>
      </c>
      <c r="F220" s="243" t="s">
        <v>685</v>
      </c>
      <c r="G220" s="137" t="s">
        <v>485</v>
      </c>
      <c r="H220" s="138">
        <f t="shared" si="4"/>
        <v>8</v>
      </c>
      <c r="I220" s="137">
        <v>1401</v>
      </c>
      <c r="J220" s="142"/>
      <c r="K220" s="139">
        <v>2500000</v>
      </c>
      <c r="L220" s="143" t="s">
        <v>686</v>
      </c>
    </row>
    <row r="221" spans="1:12" ht="15.75" customHeight="1">
      <c r="A221" s="17" t="s">
        <v>458</v>
      </c>
      <c r="B221" s="133">
        <f>SUMIFS('لیست واریزی کل خیرین'!B:B,'لیست واریزی کل خیرین'!D:D,Table1[[#This Row],[نام]],'لیست واریزی کل خیرین'!E:E,Table1[[#This Row],[نام خانوادگی]])</f>
        <v>35</v>
      </c>
      <c r="C221" s="134" t="s">
        <v>596</v>
      </c>
      <c r="D221" s="134" t="s">
        <v>597</v>
      </c>
      <c r="E221" s="135" t="s">
        <v>443</v>
      </c>
      <c r="F221" s="243">
        <v>6104337835253040</v>
      </c>
      <c r="G221" s="137" t="s">
        <v>485</v>
      </c>
      <c r="H221" s="138">
        <f t="shared" si="4"/>
        <v>8</v>
      </c>
      <c r="I221" s="137">
        <v>1401</v>
      </c>
      <c r="J221" s="137"/>
      <c r="K221" s="139">
        <v>2000000</v>
      </c>
      <c r="L221" s="140"/>
    </row>
    <row r="222" spans="1:12" ht="15.75" customHeight="1">
      <c r="A222" s="17" t="s">
        <v>458</v>
      </c>
      <c r="B222" s="133">
        <f>SUMIFS('لیست واریزی کل خیرین'!B:B,'لیست واریزی کل خیرین'!D:D,Table1[[#This Row],[نام]],'لیست واریزی کل خیرین'!E:E,Table1[[#This Row],[نام خانوادگی]])</f>
        <v>5</v>
      </c>
      <c r="C222" s="134" t="s">
        <v>475</v>
      </c>
      <c r="D222" s="134" t="s">
        <v>476</v>
      </c>
      <c r="E222" s="135" t="s">
        <v>418</v>
      </c>
      <c r="F222" s="243">
        <v>5859831202663190</v>
      </c>
      <c r="G222" s="137" t="s">
        <v>485</v>
      </c>
      <c r="H222" s="138">
        <f t="shared" si="4"/>
        <v>8</v>
      </c>
      <c r="I222" s="137">
        <v>1401</v>
      </c>
      <c r="J222" s="137"/>
      <c r="K222" s="139">
        <v>5000000</v>
      </c>
      <c r="L222" s="140"/>
    </row>
    <row r="223" spans="1:12" ht="15.75" customHeight="1">
      <c r="A223" s="17" t="s">
        <v>458</v>
      </c>
      <c r="B223" s="133">
        <f>SUMIFS('لیست واریزی کل خیرین'!B:B,'لیست واریزی کل خیرین'!D:D,Table1[[#This Row],[نام]],'لیست واریزی کل خیرین'!E:E,Table1[[#This Row],[نام خانوادگی]])</f>
        <v>21</v>
      </c>
      <c r="C223" s="134" t="s">
        <v>497</v>
      </c>
      <c r="D223" s="134" t="s">
        <v>516</v>
      </c>
      <c r="E223" s="135" t="s">
        <v>421</v>
      </c>
      <c r="F223" s="246" t="s">
        <v>619</v>
      </c>
      <c r="G223" s="137" t="s">
        <v>485</v>
      </c>
      <c r="H223" s="138">
        <f t="shared" si="4"/>
        <v>8</v>
      </c>
      <c r="I223" s="137">
        <v>1401</v>
      </c>
      <c r="J223" s="137"/>
      <c r="K223" s="139">
        <v>5000000</v>
      </c>
      <c r="L223" s="140"/>
    </row>
    <row r="224" spans="1:12" ht="15.75" customHeight="1">
      <c r="A224" s="17" t="s">
        <v>458</v>
      </c>
      <c r="B224" s="133">
        <f>SUMIFS('لیست واریزی کل خیرین'!B:B,'لیست واریزی کل خیرین'!D:D,Table1[[#This Row],[نام]],'لیست واریزی کل خیرین'!E:E,Table1[[#This Row],[نام خانوادگی]])</f>
        <v>23</v>
      </c>
      <c r="C224" s="137" t="s">
        <v>588</v>
      </c>
      <c r="D224" s="137" t="s">
        <v>521</v>
      </c>
      <c r="E224" s="183" t="s">
        <v>700</v>
      </c>
      <c r="F224" s="243">
        <v>6219861917039190</v>
      </c>
      <c r="G224" s="137" t="s">
        <v>485</v>
      </c>
      <c r="H224" s="138">
        <f t="shared" si="4"/>
        <v>8</v>
      </c>
      <c r="I224" s="137">
        <v>1401</v>
      </c>
      <c r="J224" s="137"/>
      <c r="K224" s="139">
        <v>10000000</v>
      </c>
      <c r="L224" s="140"/>
    </row>
    <row r="225" spans="1:13" ht="20.25" customHeight="1">
      <c r="A225" s="17"/>
      <c r="B225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225" s="137" t="s">
        <v>543</v>
      </c>
      <c r="D225" s="137" t="s">
        <v>544</v>
      </c>
      <c r="E225" s="135" t="s">
        <v>854</v>
      </c>
      <c r="F225" s="243" t="s">
        <v>856</v>
      </c>
      <c r="G225" s="137" t="s">
        <v>485</v>
      </c>
      <c r="H225" s="138">
        <f t="shared" si="4"/>
        <v>8</v>
      </c>
      <c r="I225" s="137">
        <v>1401</v>
      </c>
      <c r="J225" s="236"/>
      <c r="K225" s="238">
        <v>5000000</v>
      </c>
      <c r="L225" s="140" t="s">
        <v>855</v>
      </c>
    </row>
    <row r="226" spans="1:13" ht="15.75" customHeight="1">
      <c r="A226" s="17" t="s">
        <v>458</v>
      </c>
      <c r="B226" s="133">
        <f>SUMIFS('لیست واریزی کل خیرین'!B:B,'لیست واریزی کل خیرین'!D:D,Table1[[#This Row],[نام]],'لیست واریزی کل خیرین'!E:E,Table1[[#This Row],[نام خانوادگی]])</f>
        <v>60</v>
      </c>
      <c r="C226" s="134" t="s">
        <v>650</v>
      </c>
      <c r="D226" s="134" t="s">
        <v>698</v>
      </c>
      <c r="E226" s="135" t="s">
        <v>426</v>
      </c>
      <c r="F226" s="243" t="s">
        <v>699</v>
      </c>
      <c r="G226" s="137" t="s">
        <v>485</v>
      </c>
      <c r="H226" s="138">
        <f t="shared" si="4"/>
        <v>8</v>
      </c>
      <c r="I226" s="137">
        <v>1401</v>
      </c>
      <c r="J226" s="137"/>
      <c r="K226" s="139">
        <v>40000000</v>
      </c>
      <c r="L226" s="140"/>
    </row>
    <row r="227" spans="1:13" ht="15.75" customHeight="1">
      <c r="A227" s="17" t="s">
        <v>458</v>
      </c>
      <c r="B227" s="133">
        <f>SUMIFS('لیست واریزی کل خیرین'!B:B,'لیست واریزی کل خیرین'!D:D,Table1[[#This Row],[نام]],'لیست واریزی کل خیرین'!E:E,Table1[[#This Row],[نام خانوادگی]])</f>
        <v>33</v>
      </c>
      <c r="C227" s="134" t="s">
        <v>583</v>
      </c>
      <c r="D227" s="134" t="s">
        <v>584</v>
      </c>
      <c r="E227" s="135" t="s">
        <v>423</v>
      </c>
      <c r="F227" s="243" t="s">
        <v>694</v>
      </c>
      <c r="G227" s="137" t="s">
        <v>485</v>
      </c>
      <c r="H227" s="138">
        <f t="shared" si="4"/>
        <v>8</v>
      </c>
      <c r="I227" s="137">
        <v>1401</v>
      </c>
      <c r="J227" s="137"/>
      <c r="K227" s="139">
        <v>20000000</v>
      </c>
      <c r="L227" s="140"/>
    </row>
    <row r="228" spans="1:13" ht="15.75" customHeight="1">
      <c r="A228" s="17"/>
      <c r="B228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228" s="137" t="s">
        <v>503</v>
      </c>
      <c r="D228" s="137" t="s">
        <v>504</v>
      </c>
      <c r="E228" s="135" t="s">
        <v>1283</v>
      </c>
      <c r="F228" s="249" t="s">
        <v>1287</v>
      </c>
      <c r="G228" s="236" t="s">
        <v>485</v>
      </c>
      <c r="H228" s="237">
        <f t="shared" si="4"/>
        <v>8</v>
      </c>
      <c r="I228" s="236">
        <v>1401</v>
      </c>
      <c r="J228" s="236"/>
      <c r="K228" s="238">
        <v>10000000</v>
      </c>
      <c r="L228" s="140" t="s">
        <v>1298</v>
      </c>
    </row>
    <row r="229" spans="1:13" ht="37.5" customHeight="1">
      <c r="A229" s="194"/>
      <c r="B229" s="133">
        <f>SUMIFS('لیست واریزی کل خیرین'!B:B,'لیست واریزی کل خیرین'!D:D,Table1[[#This Row],[نام]],'لیست واریزی کل خیرین'!E:E,Table1[[#This Row],[نام خانوادگی]])</f>
        <v>16</v>
      </c>
      <c r="C229" s="141" t="s">
        <v>497</v>
      </c>
      <c r="D229" s="141" t="s">
        <v>505</v>
      </c>
      <c r="E229" s="135" t="s">
        <v>565</v>
      </c>
      <c r="F229" s="243">
        <v>6037998112152490</v>
      </c>
      <c r="G229" s="137" t="s">
        <v>488</v>
      </c>
      <c r="H229" s="138">
        <f t="shared" si="4"/>
        <v>9</v>
      </c>
      <c r="I229" s="137">
        <v>1401</v>
      </c>
      <c r="J229" s="137"/>
      <c r="K229" s="139">
        <v>3000000</v>
      </c>
      <c r="L229" s="425" t="s">
        <v>1470</v>
      </c>
      <c r="M229" s="426"/>
    </row>
    <row r="230" spans="1:13" ht="15.75" customHeight="1">
      <c r="A230" s="17" t="s">
        <v>458</v>
      </c>
      <c r="B230" s="133">
        <f>SUMIFS('لیست واریزی کل خیرین'!B:B,'لیست واریزی کل خیرین'!D:D,Table1[[#This Row],[نام]],'لیست واریزی کل خیرین'!E:E,Table1[[#This Row],[نام خانوادگی]])</f>
        <v>28</v>
      </c>
      <c r="C230" s="134" t="s">
        <v>545</v>
      </c>
      <c r="D230" s="134" t="s">
        <v>546</v>
      </c>
      <c r="E230" s="135" t="s">
        <v>688</v>
      </c>
      <c r="F230" s="243" t="s">
        <v>580</v>
      </c>
      <c r="G230" s="137" t="s">
        <v>488</v>
      </c>
      <c r="H230" s="138">
        <f t="shared" si="4"/>
        <v>9</v>
      </c>
      <c r="I230" s="137">
        <v>1401</v>
      </c>
      <c r="J230" s="137"/>
      <c r="K230" s="139">
        <v>6500000</v>
      </c>
      <c r="L230" s="140"/>
    </row>
    <row r="231" spans="1:13" ht="15.75" customHeight="1">
      <c r="A231" s="17" t="s">
        <v>458</v>
      </c>
      <c r="B231" s="133">
        <f>SUMIFS('لیست واریزی کل خیرین'!B:B,'لیست واریزی کل خیرین'!D:D,Table1[[#This Row],[نام]],'لیست واریزی کل خیرین'!E:E,Table1[[#This Row],[نام خانوادگی]])</f>
        <v>48</v>
      </c>
      <c r="C231" s="137" t="s">
        <v>494</v>
      </c>
      <c r="D231" s="137" t="s">
        <v>546</v>
      </c>
      <c r="E231" s="135" t="s">
        <v>688</v>
      </c>
      <c r="F231" s="243" t="s">
        <v>524</v>
      </c>
      <c r="G231" s="137" t="s">
        <v>488</v>
      </c>
      <c r="H231" s="138">
        <f t="shared" si="4"/>
        <v>9</v>
      </c>
      <c r="I231" s="137">
        <v>1401</v>
      </c>
      <c r="J231" s="137"/>
      <c r="K231" s="139">
        <v>40000000</v>
      </c>
      <c r="L231" s="140"/>
    </row>
    <row r="232" spans="1:13" ht="15.75" customHeight="1">
      <c r="A232" s="17" t="s">
        <v>458</v>
      </c>
      <c r="B232" s="133">
        <f>SUMIFS('لیست واریزی کل خیرین'!B:B,'لیست واریزی کل خیرین'!D:D,Table1[[#This Row],[نام]],'لیست واریزی کل خیرین'!E:E,Table1[[#This Row],[نام خانوادگی]])</f>
        <v>34</v>
      </c>
      <c r="C232" s="134" t="s">
        <v>588</v>
      </c>
      <c r="D232" s="134" t="s">
        <v>589</v>
      </c>
      <c r="E232" s="173" t="s">
        <v>690</v>
      </c>
      <c r="F232" s="243"/>
      <c r="G232" s="137" t="s">
        <v>488</v>
      </c>
      <c r="H232" s="138">
        <f t="shared" si="4"/>
        <v>9</v>
      </c>
      <c r="I232" s="137">
        <v>1401</v>
      </c>
      <c r="J232" s="137"/>
      <c r="K232" s="139">
        <v>5000000</v>
      </c>
      <c r="L232" s="140"/>
    </row>
    <row r="233" spans="1:13" ht="15.75" customHeight="1">
      <c r="A233" s="234" t="s">
        <v>458</v>
      </c>
      <c r="B233" s="133">
        <v>62</v>
      </c>
      <c r="C233" s="137" t="s">
        <v>814</v>
      </c>
      <c r="D233" s="137" t="s">
        <v>705</v>
      </c>
      <c r="E233" s="135" t="s">
        <v>812</v>
      </c>
      <c r="F233" s="243" t="s">
        <v>706</v>
      </c>
      <c r="G233" s="137" t="s">
        <v>488</v>
      </c>
      <c r="H233" s="138">
        <f t="shared" si="4"/>
        <v>9</v>
      </c>
      <c r="I233" s="137">
        <v>1401</v>
      </c>
      <c r="J233" s="137"/>
      <c r="K233" s="139">
        <v>10000000</v>
      </c>
      <c r="L233" s="140"/>
    </row>
    <row r="234" spans="1:13" ht="15.75" customHeight="1">
      <c r="A234" s="17"/>
      <c r="B234" s="133">
        <f>SUMIFS('لیست واریزی کل خیرین'!B:B,'لیست واریزی کل خیرین'!D:D,Table1[[#This Row],[نام]],'لیست واریزی کل خیرین'!E:E,Table1[[#This Row],[نام خانوادگی]])</f>
        <v>22</v>
      </c>
      <c r="C234" s="137" t="s">
        <v>518</v>
      </c>
      <c r="D234" s="137" t="s">
        <v>519</v>
      </c>
      <c r="E234" s="135" t="s">
        <v>859</v>
      </c>
      <c r="F234" s="243" t="s">
        <v>860</v>
      </c>
      <c r="G234" s="236" t="s">
        <v>488</v>
      </c>
      <c r="H234" s="138">
        <f t="shared" si="4"/>
        <v>9</v>
      </c>
      <c r="I234" s="137">
        <v>1401</v>
      </c>
      <c r="J234" s="137"/>
      <c r="K234" s="139">
        <v>2000000</v>
      </c>
      <c r="L234" s="140"/>
    </row>
    <row r="235" spans="1:13" ht="15.75" customHeight="1">
      <c r="A235" s="17" t="s">
        <v>458</v>
      </c>
      <c r="B235" s="133">
        <f>SUMIFS('لیست واریزی کل خیرین'!B:B,'لیست واریزی کل خیرین'!D:D,Table1[[#This Row],[نام]],'لیست واریزی کل خیرین'!E:E,Table1[[#This Row],[نام خانوادگی]])</f>
        <v>42</v>
      </c>
      <c r="C235" s="134" t="s">
        <v>630</v>
      </c>
      <c r="D235" s="134" t="s">
        <v>631</v>
      </c>
      <c r="E235" s="137"/>
      <c r="F235" s="243" t="s">
        <v>802</v>
      </c>
      <c r="G235" s="137" t="s">
        <v>488</v>
      </c>
      <c r="H235" s="138">
        <f t="shared" si="4"/>
        <v>9</v>
      </c>
      <c r="I235" s="137">
        <v>1401</v>
      </c>
      <c r="J235" s="137"/>
      <c r="K235" s="139">
        <v>13800000</v>
      </c>
      <c r="L235" s="188" t="s">
        <v>773</v>
      </c>
    </row>
    <row r="236" spans="1:13" ht="15.75" customHeight="1">
      <c r="A236" s="171" t="s">
        <v>458</v>
      </c>
      <c r="B236" s="166">
        <f>SUMIFS('لیست واریزی کل خیرین'!B:B,'لیست واریزی کل خیرین'!D:D,Table1[[#This Row],[نام]],'لیست واریزی کل خیرین'!E:E,Table1[[#This Row],[نام خانوادگی]])</f>
        <v>41</v>
      </c>
      <c r="C236" s="164" t="s">
        <v>204</v>
      </c>
      <c r="D236" s="164" t="s">
        <v>628</v>
      </c>
      <c r="E236" s="174" t="s">
        <v>803</v>
      </c>
      <c r="F236" s="244">
        <v>6037998200067800</v>
      </c>
      <c r="G236" s="137" t="s">
        <v>488</v>
      </c>
      <c r="H236" s="178">
        <f t="shared" si="4"/>
        <v>9</v>
      </c>
      <c r="I236" s="176">
        <v>1401</v>
      </c>
      <c r="J236" s="176"/>
      <c r="K236" s="180">
        <v>5000000</v>
      </c>
      <c r="L236" s="140"/>
    </row>
    <row r="237" spans="1:13" ht="15.75" customHeight="1">
      <c r="A237" s="171" t="s">
        <v>458</v>
      </c>
      <c r="B237" s="133">
        <f>SUMIFS('لیست واریزی کل خیرین'!B:B,'لیست واریزی کل خیرین'!D:D,Table1[[#This Row],[نام]],'لیست واریزی کل خیرین'!E:E,Table1[[#This Row],[نام خانوادگی]])</f>
        <v>71</v>
      </c>
      <c r="C237" s="137" t="s">
        <v>494</v>
      </c>
      <c r="D237" s="137" t="s">
        <v>816</v>
      </c>
      <c r="E237" s="174" t="s">
        <v>785</v>
      </c>
      <c r="F237" s="243">
        <v>5022291022889720</v>
      </c>
      <c r="G237" s="137" t="s">
        <v>488</v>
      </c>
      <c r="H237" s="138">
        <f t="shared" si="4"/>
        <v>9</v>
      </c>
      <c r="I237" s="137">
        <v>1401</v>
      </c>
      <c r="J237" s="137"/>
      <c r="K237" s="139">
        <v>10000000</v>
      </c>
      <c r="L237" s="140"/>
    </row>
    <row r="238" spans="1:13" ht="15.75" customHeight="1">
      <c r="A238" s="171" t="s">
        <v>458</v>
      </c>
      <c r="B238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238" s="134" t="s">
        <v>483</v>
      </c>
      <c r="D238" s="134" t="s">
        <v>484</v>
      </c>
      <c r="E238" s="174" t="s">
        <v>785</v>
      </c>
      <c r="F238" s="243">
        <v>6104337871897400</v>
      </c>
      <c r="G238" s="137" t="s">
        <v>488</v>
      </c>
      <c r="H238" s="138">
        <f t="shared" si="4"/>
        <v>9</v>
      </c>
      <c r="I238" s="137">
        <v>1401</v>
      </c>
      <c r="J238" s="137"/>
      <c r="K238" s="139">
        <v>5000000</v>
      </c>
      <c r="L238" s="140"/>
    </row>
    <row r="239" spans="1:13" ht="15.75" customHeight="1">
      <c r="A239" s="171" t="s">
        <v>458</v>
      </c>
      <c r="B239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239" s="134" t="s">
        <v>522</v>
      </c>
      <c r="D239" s="134" t="s">
        <v>523</v>
      </c>
      <c r="E239" s="135" t="s">
        <v>812</v>
      </c>
      <c r="F239" s="243" t="s">
        <v>524</v>
      </c>
      <c r="G239" s="137" t="s">
        <v>488</v>
      </c>
      <c r="H239" s="138">
        <f t="shared" si="4"/>
        <v>9</v>
      </c>
      <c r="I239" s="137">
        <v>1401</v>
      </c>
      <c r="J239" s="137"/>
      <c r="K239" s="139">
        <v>20361327</v>
      </c>
      <c r="L239" s="140"/>
    </row>
    <row r="240" spans="1:13" ht="15.75" customHeight="1">
      <c r="A240" s="17" t="s">
        <v>458</v>
      </c>
      <c r="B240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240" s="134" t="s">
        <v>497</v>
      </c>
      <c r="D240" s="134" t="s">
        <v>513</v>
      </c>
      <c r="E240" s="135" t="s">
        <v>775</v>
      </c>
      <c r="F240" s="243" t="s">
        <v>667</v>
      </c>
      <c r="G240" s="137" t="s">
        <v>488</v>
      </c>
      <c r="H240" s="138">
        <f t="shared" si="4"/>
        <v>9</v>
      </c>
      <c r="I240" s="137">
        <v>1401</v>
      </c>
      <c r="J240" s="137"/>
      <c r="K240" s="139">
        <v>20000000</v>
      </c>
      <c r="L240" s="140"/>
    </row>
    <row r="241" spans="1:12" ht="15.75" customHeight="1">
      <c r="A241" s="17" t="s">
        <v>458</v>
      </c>
      <c r="B241" s="189">
        <f>SUMIFS('لیست واریزی کل خیرین'!B:B,'لیست واریزی کل خیرین'!D:D,Table1[[#This Row],[نام]],'لیست واریزی کل خیرین'!E:E,Table1[[#This Row],[نام خانوادگی]])</f>
        <v>1</v>
      </c>
      <c r="C241" s="190" t="s">
        <v>469</v>
      </c>
      <c r="D241" s="190" t="s">
        <v>470</v>
      </c>
      <c r="E241" s="183" t="s">
        <v>775</v>
      </c>
      <c r="F241" s="245">
        <v>6104337649628050</v>
      </c>
      <c r="G241" s="137" t="s">
        <v>488</v>
      </c>
      <c r="H241" s="192">
        <f t="shared" si="4"/>
        <v>9</v>
      </c>
      <c r="I241" s="191">
        <v>1401</v>
      </c>
      <c r="J241" s="191"/>
      <c r="K241" s="193">
        <v>28830500</v>
      </c>
      <c r="L241" s="188" t="s">
        <v>776</v>
      </c>
    </row>
    <row r="242" spans="1:12" ht="15.75" customHeight="1">
      <c r="A242" s="17"/>
      <c r="B242" s="133">
        <f>SUMIFS('لیست واریزی کل خیرین'!B:B,'لیست واریزی کل خیرین'!D:D,Table1[[#This Row],[نام]],'لیست واریزی کل خیرین'!E:E,Table1[[#This Row],[نام خانوادگی]])</f>
        <v>2</v>
      </c>
      <c r="C242" s="137" t="s">
        <v>464</v>
      </c>
      <c r="D242" s="152" t="s">
        <v>465</v>
      </c>
      <c r="E242" s="135" t="s">
        <v>912</v>
      </c>
      <c r="F242" s="249" t="s">
        <v>835</v>
      </c>
      <c r="G242" s="137" t="s">
        <v>488</v>
      </c>
      <c r="H242" s="138">
        <f t="shared" si="4"/>
        <v>9</v>
      </c>
      <c r="I242" s="137">
        <v>1401</v>
      </c>
      <c r="J242" s="137"/>
      <c r="K242" s="139">
        <v>20000000</v>
      </c>
      <c r="L242" s="140" t="s">
        <v>913</v>
      </c>
    </row>
    <row r="243" spans="1:12" ht="15.75" customHeight="1">
      <c r="A243" s="3" t="s">
        <v>458</v>
      </c>
      <c r="B243" s="133">
        <f>SUMIFS('لیست واریزی کل خیرین'!B:B,'لیست واریزی کل خیرین'!D:D,Table1[[#This Row],[نام]],'لیست واریزی کل خیرین'!E:E,Table1[[#This Row],[نام خانوادگی]])</f>
        <v>4</v>
      </c>
      <c r="C243" s="134" t="s">
        <v>471</v>
      </c>
      <c r="D243" s="134" t="s">
        <v>472</v>
      </c>
      <c r="E243" s="135" t="s">
        <v>815</v>
      </c>
      <c r="F243" s="243">
        <v>6221061233952690</v>
      </c>
      <c r="G243" s="137" t="s">
        <v>488</v>
      </c>
      <c r="H243" s="138">
        <f t="shared" si="4"/>
        <v>9</v>
      </c>
      <c r="I243" s="137">
        <v>1401</v>
      </c>
      <c r="J243" s="137"/>
      <c r="K243" s="139">
        <v>2000000</v>
      </c>
      <c r="L243" s="140"/>
    </row>
    <row r="244" spans="1:12" ht="15.75" customHeight="1">
      <c r="A244" s="17" t="s">
        <v>458</v>
      </c>
      <c r="B244" s="133">
        <f>SUMIFS('لیست واریزی کل خیرین'!B:B,'لیست واریزی کل خیرین'!D:D,Table1[[#This Row],[نام]],'لیست واریزی کل خیرین'!E:E,Table1[[#This Row],[نام خانوادگی]])</f>
        <v>65</v>
      </c>
      <c r="C244" s="134" t="s">
        <v>717</v>
      </c>
      <c r="D244" s="134" t="s">
        <v>718</v>
      </c>
      <c r="E244" s="135" t="s">
        <v>710</v>
      </c>
      <c r="F244" s="243" t="s">
        <v>524</v>
      </c>
      <c r="G244" s="137" t="s">
        <v>488</v>
      </c>
      <c r="H244" s="138">
        <f t="shared" si="4"/>
        <v>9</v>
      </c>
      <c r="I244" s="137">
        <v>1401</v>
      </c>
      <c r="J244" s="137"/>
      <c r="K244" s="139">
        <v>250000000</v>
      </c>
      <c r="L244" s="140"/>
    </row>
    <row r="245" spans="1:12" ht="15.75" customHeight="1">
      <c r="A245" s="17" t="s">
        <v>458</v>
      </c>
      <c r="B245" s="133">
        <f>SUMIFS('لیست واریزی کل خیرین'!B:B,'لیست واریزی کل خیرین'!D:D,Table1[[#This Row],[نام]],'لیست واریزی کل خیرین'!E:E,Table1[[#This Row],[نام خانوادگی]])</f>
        <v>25</v>
      </c>
      <c r="C245" s="134" t="s">
        <v>532</v>
      </c>
      <c r="D245" s="134" t="s">
        <v>533</v>
      </c>
      <c r="E245" s="135" t="s">
        <v>712</v>
      </c>
      <c r="F245" s="243">
        <v>6037997248149000</v>
      </c>
      <c r="G245" s="137" t="s">
        <v>488</v>
      </c>
      <c r="H245" s="138">
        <f t="shared" si="4"/>
        <v>9</v>
      </c>
      <c r="I245" s="137">
        <v>1401</v>
      </c>
      <c r="J245" s="137"/>
      <c r="K245" s="139">
        <v>30000000</v>
      </c>
      <c r="L245" s="140"/>
    </row>
    <row r="246" spans="1:12" ht="15.75" customHeight="1">
      <c r="A246" s="17"/>
      <c r="B246" s="133">
        <f>SUMIFS('لیست واریزی کل خیرین'!B:B,'لیست واریزی کل خیرین'!D:D,Table1[[#This Row],[نام]],'لیست واریزی کل خیرین'!E:E,Table1[[#This Row],[نام خانوادگی]])</f>
        <v>40</v>
      </c>
      <c r="C246" s="190" t="s">
        <v>494</v>
      </c>
      <c r="D246" s="190" t="s">
        <v>533</v>
      </c>
      <c r="E246" s="135" t="s">
        <v>892</v>
      </c>
      <c r="F246" s="243" t="s">
        <v>894</v>
      </c>
      <c r="G246" s="137" t="s">
        <v>488</v>
      </c>
      <c r="H246" s="138">
        <f t="shared" si="4"/>
        <v>9</v>
      </c>
      <c r="I246" s="137">
        <v>1401</v>
      </c>
      <c r="J246" s="137"/>
      <c r="K246" s="139">
        <v>50000000</v>
      </c>
      <c r="L246" s="140"/>
    </row>
    <row r="247" spans="1:12" ht="15.75" customHeight="1">
      <c r="A247" s="17" t="s">
        <v>458</v>
      </c>
      <c r="B247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247" s="134" t="s">
        <v>486</v>
      </c>
      <c r="D247" s="134" t="s">
        <v>487</v>
      </c>
      <c r="E247" s="135" t="s">
        <v>807</v>
      </c>
      <c r="F247" s="243" t="s">
        <v>595</v>
      </c>
      <c r="G247" s="137" t="s">
        <v>488</v>
      </c>
      <c r="H247" s="138">
        <f t="shared" si="4"/>
        <v>9</v>
      </c>
      <c r="I247" s="137">
        <v>1401</v>
      </c>
      <c r="J247" s="137"/>
      <c r="K247" s="139">
        <v>10000000</v>
      </c>
      <c r="L247" s="140"/>
    </row>
    <row r="248" spans="1:12" ht="15.75" customHeight="1">
      <c r="A248" s="17" t="s">
        <v>458</v>
      </c>
      <c r="B248" s="133">
        <f>SUMIFS('لیست واریزی کل خیرین'!B:B,'لیست واریزی کل خیرین'!D:D,Table1[[#This Row],[نام]],'لیست واریزی کل خیرین'!E:E,Table1[[#This Row],[نام خانوادگی]])</f>
        <v>11</v>
      </c>
      <c r="C248" s="141" t="s">
        <v>494</v>
      </c>
      <c r="D248" s="141" t="s">
        <v>495</v>
      </c>
      <c r="E248" s="135" t="s">
        <v>716</v>
      </c>
      <c r="F248" s="243" t="s">
        <v>573</v>
      </c>
      <c r="G248" s="137" t="s">
        <v>488</v>
      </c>
      <c r="H248" s="138">
        <f t="shared" si="4"/>
        <v>9</v>
      </c>
      <c r="I248" s="137">
        <v>1401</v>
      </c>
      <c r="J248" s="137"/>
      <c r="K248" s="139">
        <v>30000000</v>
      </c>
      <c r="L248" s="140"/>
    </row>
    <row r="249" spans="1:12" ht="15.75" customHeight="1">
      <c r="A249" s="17" t="s">
        <v>458</v>
      </c>
      <c r="B249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249" s="134" t="s">
        <v>480</v>
      </c>
      <c r="D249" s="134" t="s">
        <v>481</v>
      </c>
      <c r="E249" s="135" t="s">
        <v>806</v>
      </c>
      <c r="F249" s="243">
        <v>6037991947370220</v>
      </c>
      <c r="G249" s="137" t="s">
        <v>488</v>
      </c>
      <c r="H249" s="138">
        <f t="shared" si="4"/>
        <v>9</v>
      </c>
      <c r="I249" s="137">
        <v>1401</v>
      </c>
      <c r="J249" s="137"/>
      <c r="K249" s="139">
        <v>10000000</v>
      </c>
      <c r="L249" s="140"/>
    </row>
    <row r="250" spans="1:12" ht="15.75" customHeight="1">
      <c r="A250" s="17" t="s">
        <v>458</v>
      </c>
      <c r="B250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250" s="141" t="s">
        <v>497</v>
      </c>
      <c r="D250" s="141" t="s">
        <v>498</v>
      </c>
      <c r="E250" s="135" t="s">
        <v>684</v>
      </c>
      <c r="F250" s="243" t="s">
        <v>623</v>
      </c>
      <c r="G250" s="137" t="s">
        <v>488</v>
      </c>
      <c r="H250" s="138">
        <f t="shared" si="4"/>
        <v>9</v>
      </c>
      <c r="I250" s="137">
        <v>1401</v>
      </c>
      <c r="J250" s="137"/>
      <c r="K250" s="139">
        <v>5000000</v>
      </c>
      <c r="L250" s="140"/>
    </row>
    <row r="251" spans="1:12" ht="15.75" customHeight="1">
      <c r="A251" s="3" t="s">
        <v>458</v>
      </c>
      <c r="B251" s="133">
        <f>SUMIFS('لیست واریزی کل خیرین'!B:B,'لیست واریزی کل خیرین'!D:D,Table1[[#This Row],[نام]],'لیست واریزی کل خیرین'!E:E,Table1[[#This Row],[نام خانوادگی]])</f>
        <v>61</v>
      </c>
      <c r="C251" s="134" t="s">
        <v>702</v>
      </c>
      <c r="D251" s="134" t="s">
        <v>703</v>
      </c>
      <c r="E251" s="135" t="s">
        <v>785</v>
      </c>
      <c r="F251" s="243" t="s">
        <v>704</v>
      </c>
      <c r="G251" s="137" t="s">
        <v>488</v>
      </c>
      <c r="H251" s="138">
        <f t="shared" si="4"/>
        <v>9</v>
      </c>
      <c r="I251" s="137">
        <v>1401</v>
      </c>
      <c r="J251" s="137"/>
      <c r="K251" s="139">
        <v>3000000</v>
      </c>
      <c r="L251" s="239"/>
    </row>
    <row r="252" spans="1:12" ht="15.75" customHeight="1">
      <c r="A252" s="17" t="s">
        <v>458</v>
      </c>
      <c r="B252" s="133">
        <f>SUMIFS('لیست واریزی کل خیرین'!B:B,'لیست واریزی کل خیرین'!D:D,Table1[[#This Row],[نام]],'لیست واریزی کل خیرین'!E:E,Table1[[#This Row],[نام خانوادگی]])</f>
        <v>14</v>
      </c>
      <c r="C252" s="134" t="s">
        <v>202</v>
      </c>
      <c r="D252" s="134" t="s">
        <v>502</v>
      </c>
      <c r="E252" s="135" t="s">
        <v>809</v>
      </c>
      <c r="F252" s="243" t="s">
        <v>701</v>
      </c>
      <c r="G252" s="137" t="s">
        <v>488</v>
      </c>
      <c r="H252" s="138">
        <f t="shared" si="4"/>
        <v>9</v>
      </c>
      <c r="I252" s="137">
        <v>1401</v>
      </c>
      <c r="J252" s="137"/>
      <c r="K252" s="139">
        <v>10000000</v>
      </c>
      <c r="L252" s="140"/>
    </row>
    <row r="253" spans="1:12" ht="15.75" customHeight="1">
      <c r="A253" s="17" t="s">
        <v>458</v>
      </c>
      <c r="B253" s="133">
        <f>SUMIFS('لیست واریزی کل خیرین'!B:B,'لیست واریزی کل خیرین'!D:D,Table1[[#This Row],[نام]],'لیست واریزی کل خیرین'!E:E,Table1[[#This Row],[نام خانوادگی]])</f>
        <v>68</v>
      </c>
      <c r="C253" s="137" t="s">
        <v>207</v>
      </c>
      <c r="D253" s="137" t="s">
        <v>804</v>
      </c>
      <c r="E253" s="135" t="s">
        <v>805</v>
      </c>
      <c r="F253" s="243">
        <v>6104337830455970</v>
      </c>
      <c r="G253" s="137" t="s">
        <v>488</v>
      </c>
      <c r="H253" s="138">
        <f t="shared" si="4"/>
        <v>9</v>
      </c>
      <c r="I253" s="137">
        <v>1401</v>
      </c>
      <c r="J253" s="137"/>
      <c r="K253" s="139">
        <v>10000000</v>
      </c>
      <c r="L253" s="140"/>
    </row>
    <row r="254" spans="1:12" ht="15.75" customHeight="1">
      <c r="A254" s="17" t="s">
        <v>458</v>
      </c>
      <c r="B254" s="364">
        <f>SUMIFS('لیست واریزی کل خیرین'!B:B,'لیست واریزی کل خیرین'!D:D,Table1[[#This Row],[نام]],'لیست واریزی کل خیرین'!E:E,Table1[[#This Row],[نام خانوادگی]])</f>
        <v>73</v>
      </c>
      <c r="C254" s="137" t="s">
        <v>818</v>
      </c>
      <c r="D254" s="137" t="s">
        <v>819</v>
      </c>
      <c r="E254" s="135" t="s">
        <v>820</v>
      </c>
      <c r="F254" s="248" t="s">
        <v>524</v>
      </c>
      <c r="G254" s="137" t="s">
        <v>488</v>
      </c>
      <c r="H254" s="366">
        <f t="shared" si="4"/>
        <v>9</v>
      </c>
      <c r="I254" s="137">
        <v>1401</v>
      </c>
      <c r="J254" s="241"/>
      <c r="K254" s="238">
        <v>240000000</v>
      </c>
      <c r="L254" s="420" t="s">
        <v>821</v>
      </c>
    </row>
    <row r="255" spans="1:12" ht="15.75" customHeight="1">
      <c r="A255" s="17" t="s">
        <v>458</v>
      </c>
      <c r="B255" s="235">
        <f>SUMIFS('لیست واریزی کل خیرین'!B:B,'لیست واریزی کل خیرین'!D:D,Table1[[#This Row],[نام]],'لیست واریزی کل خیرین'!E:E,Table1[[#This Row],[نام خانوادگی]])</f>
        <v>73</v>
      </c>
      <c r="C255" s="137" t="s">
        <v>818</v>
      </c>
      <c r="D255" s="137" t="s">
        <v>819</v>
      </c>
      <c r="E255" s="135" t="s">
        <v>820</v>
      </c>
      <c r="F255" s="243" t="s">
        <v>524</v>
      </c>
      <c r="G255" s="137" t="s">
        <v>488</v>
      </c>
      <c r="H255" s="237">
        <f t="shared" si="4"/>
        <v>9</v>
      </c>
      <c r="I255" s="137">
        <v>1401</v>
      </c>
      <c r="J255" s="236"/>
      <c r="K255" s="238">
        <v>180000000</v>
      </c>
      <c r="L255" s="420" t="s">
        <v>821</v>
      </c>
    </row>
    <row r="256" spans="1:12" ht="15.75" customHeight="1">
      <c r="A256" s="17" t="s">
        <v>458</v>
      </c>
      <c r="B256" s="196">
        <f>SUMIFS('لیست واریزی کل خیرین'!B:B,'لیست واریزی کل خیرین'!D:D,Table1[[#This Row],[نام]],'لیست واریزی کل خیرین'!E:E,Table1[[#This Row],[نام خانوادگی]])</f>
        <v>10</v>
      </c>
      <c r="C256" s="134" t="s">
        <v>489</v>
      </c>
      <c r="D256" s="134" t="s">
        <v>490</v>
      </c>
      <c r="E256" s="135" t="s">
        <v>808</v>
      </c>
      <c r="F256" s="248" t="s">
        <v>693</v>
      </c>
      <c r="G256" s="137" t="s">
        <v>488</v>
      </c>
      <c r="H256" s="198">
        <f t="shared" si="4"/>
        <v>9</v>
      </c>
      <c r="I256" s="137">
        <v>1401</v>
      </c>
      <c r="J256" s="197"/>
      <c r="K256" s="139">
        <v>100000000</v>
      </c>
      <c r="L256" s="199"/>
    </row>
    <row r="257" spans="1:27" ht="15.75" customHeight="1">
      <c r="A257" s="17" t="s">
        <v>458</v>
      </c>
      <c r="B257" s="133">
        <f>SUMIFS('لیست واریزی کل خیرین'!B:B,'لیست واریزی کل خیرین'!D:D,Table1[[#This Row],[نام]],'لیست واریزی کل خیرین'!E:E,Table1[[#This Row],[نام خانوادگی]])</f>
        <v>69</v>
      </c>
      <c r="C257" s="137" t="s">
        <v>810</v>
      </c>
      <c r="D257" s="137" t="s">
        <v>811</v>
      </c>
      <c r="E257" s="135" t="s">
        <v>809</v>
      </c>
      <c r="F257" s="243">
        <v>6104337355366280</v>
      </c>
      <c r="G257" s="137" t="s">
        <v>488</v>
      </c>
      <c r="H257" s="138">
        <f t="shared" si="4"/>
        <v>9</v>
      </c>
      <c r="I257" s="137">
        <v>1401</v>
      </c>
      <c r="J257" s="137"/>
      <c r="K257" s="139">
        <v>5000000</v>
      </c>
      <c r="L257" s="240" t="s">
        <v>1290</v>
      </c>
    </row>
    <row r="258" spans="1:27" ht="15.75" customHeight="1">
      <c r="A258" s="17" t="s">
        <v>458</v>
      </c>
      <c r="B258" s="133">
        <f>SUMIFS('لیست واریزی کل خیرین'!B:B,'لیست واریزی کل خیرین'!D:D,Table1[[#This Row],[نام]],'لیست واریزی کل خیرین'!E:E,Table1[[#This Row],[نام خانوادگی]])</f>
        <v>70</v>
      </c>
      <c r="C258" s="137" t="s">
        <v>203</v>
      </c>
      <c r="D258" s="137" t="s">
        <v>813</v>
      </c>
      <c r="E258" s="135" t="s">
        <v>809</v>
      </c>
      <c r="F258" s="243">
        <v>6104337549982270</v>
      </c>
      <c r="G258" s="137" t="s">
        <v>488</v>
      </c>
      <c r="H258" s="138">
        <f t="shared" si="4"/>
        <v>9</v>
      </c>
      <c r="I258" s="137">
        <v>1401</v>
      </c>
      <c r="J258" s="137"/>
      <c r="K258" s="139">
        <v>10000000</v>
      </c>
      <c r="L258" s="240"/>
    </row>
    <row r="259" spans="1:27" ht="15.75" customHeight="1">
      <c r="A259" s="17" t="s">
        <v>458</v>
      </c>
      <c r="B259" s="133">
        <f>SUMIFS('لیست واریزی کل خیرین'!B:B,'لیست واریزی کل خیرین'!D:D,Table1[[#This Row],[نام]],'لیست واریزی کل خیرین'!E:E,Table1[[#This Row],[نام خانوادگی]])</f>
        <v>20</v>
      </c>
      <c r="C259" s="134" t="s">
        <v>494</v>
      </c>
      <c r="D259" s="134" t="s">
        <v>511</v>
      </c>
      <c r="E259" s="135" t="s">
        <v>742</v>
      </c>
      <c r="F259" s="243" t="s">
        <v>524</v>
      </c>
      <c r="G259" s="137" t="s">
        <v>488</v>
      </c>
      <c r="H259" s="138">
        <f t="shared" si="4"/>
        <v>9</v>
      </c>
      <c r="I259" s="137">
        <v>1401</v>
      </c>
      <c r="J259" s="137"/>
      <c r="K259" s="139">
        <v>50000000</v>
      </c>
      <c r="L259" s="240"/>
    </row>
    <row r="260" spans="1:27" ht="15.75" customHeight="1">
      <c r="A260" s="194" t="s">
        <v>458</v>
      </c>
      <c r="B260" s="133">
        <f>SUMIFS('لیست واریزی کل خیرین'!B:B,'لیست واریزی کل خیرین'!D:D,Table1[[#This Row],[نام]],'لیست واریزی کل خیرین'!E:E,Table1[[#This Row],[نام خانوادگی]])</f>
        <v>64</v>
      </c>
      <c r="C260" s="197" t="s">
        <v>520</v>
      </c>
      <c r="D260" s="197" t="s">
        <v>713</v>
      </c>
      <c r="E260" s="135" t="s">
        <v>714</v>
      </c>
      <c r="F260" s="248" t="s">
        <v>715</v>
      </c>
      <c r="G260" s="197" t="s">
        <v>488</v>
      </c>
      <c r="H260" s="138">
        <f t="shared" si="4"/>
        <v>9</v>
      </c>
      <c r="I260" s="137">
        <v>1401</v>
      </c>
      <c r="J260" s="137"/>
      <c r="K260" s="139">
        <v>5000000</v>
      </c>
      <c r="L260" s="240"/>
    </row>
    <row r="261" spans="1:27" ht="15.75" customHeight="1">
      <c r="A261" s="194" t="s">
        <v>458</v>
      </c>
      <c r="B261" s="133">
        <f>SUMIFS('لیست واریزی کل خیرین'!B:B,'لیست واریزی کل خیرین'!D:D,Table1[[#This Row],[نام]],'لیست واریزی کل خیرین'!E:E,Table1[[#This Row],[نام خانوادگی]])</f>
        <v>13</v>
      </c>
      <c r="C261" s="141" t="s">
        <v>486</v>
      </c>
      <c r="D261" s="141" t="s">
        <v>500</v>
      </c>
      <c r="E261" s="135" t="s">
        <v>684</v>
      </c>
      <c r="F261" s="243" t="s">
        <v>685</v>
      </c>
      <c r="G261" s="197" t="s">
        <v>488</v>
      </c>
      <c r="H261" s="138">
        <f t="shared" ref="H261:H329" si="5">IF(G261="","",VLOOKUP(G261,mah,2,0))</f>
        <v>9</v>
      </c>
      <c r="I261" s="137">
        <v>1401</v>
      </c>
      <c r="J261" s="142"/>
      <c r="K261" s="139">
        <v>2500000</v>
      </c>
      <c r="L261" s="419" t="s">
        <v>686</v>
      </c>
    </row>
    <row r="262" spans="1:27" ht="23.25" customHeight="1">
      <c r="A262" s="194" t="s">
        <v>458</v>
      </c>
      <c r="B262" s="189">
        <f>SUMIFS('لیست واریزی کل خیرین'!B:B,'لیست واریزی کل خیرین'!D:D,Table1[[#This Row],[نام]],'لیست واریزی کل خیرین'!E:E,Table1[[#This Row],[نام خانوادگی]])</f>
        <v>72</v>
      </c>
      <c r="C262" s="137" t="s">
        <v>588</v>
      </c>
      <c r="D262" s="137" t="s">
        <v>817</v>
      </c>
      <c r="E262" s="135" t="s">
        <v>775</v>
      </c>
      <c r="F262" s="245">
        <v>6037691560457630</v>
      </c>
      <c r="G262" s="197" t="s">
        <v>488</v>
      </c>
      <c r="H262" s="192">
        <f t="shared" si="5"/>
        <v>9</v>
      </c>
      <c r="I262" s="137">
        <v>1401</v>
      </c>
      <c r="J262" s="191"/>
      <c r="K262" s="139">
        <v>10000000</v>
      </c>
      <c r="L262" s="422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</row>
    <row r="263" spans="1:27" ht="15.75" customHeight="1">
      <c r="A263" s="194" t="s">
        <v>458</v>
      </c>
      <c r="B263" s="133">
        <f>SUMIFS('لیست واریزی کل خیرین'!B:B,'لیست واریزی کل خیرین'!D:D,Table1[[#This Row],[نام]],'لیست واریزی کل خیرین'!E:E,Table1[[#This Row],[نام خانوادگی]])</f>
        <v>35</v>
      </c>
      <c r="C263" s="134" t="s">
        <v>596</v>
      </c>
      <c r="D263" s="134" t="s">
        <v>597</v>
      </c>
      <c r="E263" s="135" t="s">
        <v>809</v>
      </c>
      <c r="F263" s="243" t="s">
        <v>598</v>
      </c>
      <c r="G263" s="197" t="s">
        <v>488</v>
      </c>
      <c r="H263" s="138">
        <f t="shared" si="5"/>
        <v>9</v>
      </c>
      <c r="I263" s="137">
        <v>1401</v>
      </c>
      <c r="J263" s="137"/>
      <c r="K263" s="139">
        <v>2000000</v>
      </c>
      <c r="L263" s="240"/>
    </row>
    <row r="264" spans="1:27" ht="15.75" customHeight="1">
      <c r="A264" s="194" t="s">
        <v>458</v>
      </c>
      <c r="B264" s="133">
        <f>SUMIFS('لیست واریزی کل خیرین'!B:B,'لیست واریزی کل خیرین'!D:D,Table1[[#This Row],[نام]],'لیست واریزی کل خیرین'!E:E,Table1[[#This Row],[نام خانوادگی]])</f>
        <v>5</v>
      </c>
      <c r="C264" s="134" t="s">
        <v>475</v>
      </c>
      <c r="D264" s="134" t="s">
        <v>476</v>
      </c>
      <c r="E264" s="135" t="s">
        <v>808</v>
      </c>
      <c r="F264" s="243">
        <v>5859831202663190</v>
      </c>
      <c r="G264" s="197" t="s">
        <v>488</v>
      </c>
      <c r="H264" s="138">
        <f t="shared" si="5"/>
        <v>9</v>
      </c>
      <c r="I264" s="137">
        <v>1401</v>
      </c>
      <c r="J264" s="137"/>
      <c r="K264" s="139">
        <v>5000000</v>
      </c>
      <c r="L264" s="240"/>
    </row>
    <row r="265" spans="1:27" ht="15.75" customHeight="1">
      <c r="A265" s="194"/>
      <c r="B265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265" s="137" t="s">
        <v>497</v>
      </c>
      <c r="D265" s="137" t="s">
        <v>516</v>
      </c>
      <c r="E265" s="369" t="s">
        <v>1258</v>
      </c>
      <c r="F265" s="365" t="s">
        <v>619</v>
      </c>
      <c r="G265" s="241" t="s">
        <v>488</v>
      </c>
      <c r="H265" s="237">
        <f t="shared" si="5"/>
        <v>9</v>
      </c>
      <c r="I265" s="137">
        <v>1401</v>
      </c>
      <c r="J265" s="236"/>
      <c r="K265" s="238">
        <v>5000000</v>
      </c>
      <c r="L265" s="240" t="s">
        <v>1259</v>
      </c>
    </row>
    <row r="266" spans="1:27" ht="15.75" customHeight="1">
      <c r="A266" s="194"/>
      <c r="B266" s="133">
        <f>SUMIFS('لیست واریزی کل خیرین'!B:B,'لیست واریزی کل خیرین'!D:D,Table1[[#This Row],[نام]],'لیست واریزی کل خیرین'!E:E,Table1[[#This Row],[نام خانوادگی]])</f>
        <v>23</v>
      </c>
      <c r="C266" s="137" t="s">
        <v>588</v>
      </c>
      <c r="D266" s="137" t="s">
        <v>521</v>
      </c>
      <c r="E266" s="135" t="s">
        <v>869</v>
      </c>
      <c r="F266" s="243" t="s">
        <v>687</v>
      </c>
      <c r="G266" s="241" t="s">
        <v>488</v>
      </c>
      <c r="H266" s="138">
        <f t="shared" si="5"/>
        <v>9</v>
      </c>
      <c r="I266" s="137">
        <v>1401</v>
      </c>
      <c r="J266" s="137"/>
      <c r="K266" s="139">
        <v>10000000</v>
      </c>
      <c r="L266" s="240"/>
    </row>
    <row r="267" spans="1:27" ht="15.75" customHeight="1">
      <c r="A267" s="194"/>
      <c r="B267" s="196">
        <f>SUMIFS('لیست واریزی کل خیرین'!B:B,'لیست واریزی کل خیرین'!D:D,Table1[[#This Row],[نام]],'لیست واریزی کل خیرین'!E:E,Table1[[#This Row],[نام خانوادگی]])</f>
        <v>27</v>
      </c>
      <c r="C267" s="137" t="s">
        <v>543</v>
      </c>
      <c r="D267" s="137" t="s">
        <v>544</v>
      </c>
      <c r="E267" s="135" t="s">
        <v>854</v>
      </c>
      <c r="F267" s="248" t="s">
        <v>856</v>
      </c>
      <c r="G267" s="197" t="s">
        <v>488</v>
      </c>
      <c r="H267" s="138">
        <f t="shared" si="5"/>
        <v>9</v>
      </c>
      <c r="I267" s="137">
        <v>1401</v>
      </c>
      <c r="J267" s="241"/>
      <c r="K267" s="367">
        <v>5000000</v>
      </c>
      <c r="L267" s="256" t="s">
        <v>855</v>
      </c>
    </row>
    <row r="268" spans="1:27" ht="15.75" customHeight="1">
      <c r="A268" s="356" t="s">
        <v>458</v>
      </c>
      <c r="B268" s="133">
        <f>SUMIFS('لیست واریزی کل خیرین'!B:B,'لیست واریزی کل خیرین'!D:D,Table1[[#This Row],[نام]],'لیست واریزی کل خیرین'!E:E,Table1[[#This Row],[نام خانوادگی]])</f>
        <v>60</v>
      </c>
      <c r="C268" s="137" t="s">
        <v>650</v>
      </c>
      <c r="D268" s="137" t="s">
        <v>698</v>
      </c>
      <c r="E268" s="135" t="s">
        <v>785</v>
      </c>
      <c r="F268" s="243">
        <v>6037997582756420</v>
      </c>
      <c r="G268" s="197" t="s">
        <v>488</v>
      </c>
      <c r="H268" s="138">
        <f t="shared" si="5"/>
        <v>9</v>
      </c>
      <c r="I268" s="137">
        <v>1401</v>
      </c>
      <c r="J268" s="137"/>
      <c r="K268" s="139">
        <v>10000000</v>
      </c>
      <c r="L268" s="240"/>
    </row>
    <row r="269" spans="1:27" ht="15.75" customHeight="1">
      <c r="A269" s="194"/>
      <c r="B269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269" s="137" t="s">
        <v>503</v>
      </c>
      <c r="D269" s="137" t="s">
        <v>504</v>
      </c>
      <c r="E269" s="135" t="s">
        <v>1283</v>
      </c>
      <c r="F269" s="249" t="s">
        <v>1287</v>
      </c>
      <c r="G269" s="241" t="s">
        <v>488</v>
      </c>
      <c r="H269" s="237">
        <f t="shared" si="5"/>
        <v>9</v>
      </c>
      <c r="I269" s="236">
        <v>1401</v>
      </c>
      <c r="J269" s="236"/>
      <c r="K269" s="238">
        <v>10000000</v>
      </c>
      <c r="L269" s="240" t="s">
        <v>1298</v>
      </c>
    </row>
    <row r="270" spans="1:27" ht="37.5" customHeight="1">
      <c r="A270" s="194"/>
      <c r="B270" s="133">
        <f>SUMIFS('لیست واریزی کل خیرین'!B:B,'لیست واریزی کل خیرین'!D:D,Table1[[#This Row],[نام]],'لیست واریزی کل خیرین'!E:E,Table1[[#This Row],[نام خانوادگی]])</f>
        <v>16</v>
      </c>
      <c r="C270" s="141" t="s">
        <v>497</v>
      </c>
      <c r="D270" s="141" t="s">
        <v>505</v>
      </c>
      <c r="E270" s="135" t="s">
        <v>1288</v>
      </c>
      <c r="F270" s="243">
        <v>6037998112152490</v>
      </c>
      <c r="G270" s="137" t="s">
        <v>493</v>
      </c>
      <c r="H270" s="138">
        <f t="shared" si="5"/>
        <v>10</v>
      </c>
      <c r="I270" s="137">
        <v>1401</v>
      </c>
      <c r="J270" s="137"/>
      <c r="K270" s="139">
        <v>3000000</v>
      </c>
      <c r="L270" s="425" t="s">
        <v>1471</v>
      </c>
      <c r="M270" s="426"/>
    </row>
    <row r="271" spans="1:27" ht="15.75" customHeight="1">
      <c r="A271" s="194"/>
      <c r="B271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271" s="358" t="s">
        <v>494</v>
      </c>
      <c r="D271" s="358" t="s">
        <v>546</v>
      </c>
      <c r="E271" s="135" t="s">
        <v>834</v>
      </c>
      <c r="F271" s="249" t="s">
        <v>835</v>
      </c>
      <c r="G271" s="241" t="s">
        <v>493</v>
      </c>
      <c r="H271" s="138">
        <f t="shared" si="5"/>
        <v>10</v>
      </c>
      <c r="I271" s="137">
        <v>1401</v>
      </c>
      <c r="J271" s="236"/>
      <c r="K271" s="238">
        <v>40000000</v>
      </c>
      <c r="L271" s="368"/>
    </row>
    <row r="272" spans="1:27" ht="15.75" customHeight="1">
      <c r="A272" s="194"/>
      <c r="B272" s="235">
        <f>SUMIFS('لیست واریزی کل خیرین'!B:B,'لیست واریزی کل خیرین'!D:D,Table1[[#This Row],[نام]],'لیست واریزی کل خیرین'!E:E,Table1[[#This Row],[نام خانوادگی]])</f>
        <v>34</v>
      </c>
      <c r="C272" s="137" t="s">
        <v>588</v>
      </c>
      <c r="D272" s="137" t="s">
        <v>589</v>
      </c>
      <c r="E272" s="135" t="s">
        <v>836</v>
      </c>
      <c r="F272" s="243" t="s">
        <v>837</v>
      </c>
      <c r="G272" s="241" t="s">
        <v>493</v>
      </c>
      <c r="H272" s="138">
        <f t="shared" si="5"/>
        <v>10</v>
      </c>
      <c r="I272" s="137">
        <v>1401</v>
      </c>
      <c r="J272" s="236"/>
      <c r="K272" s="238">
        <v>5000000</v>
      </c>
      <c r="L272" s="368"/>
    </row>
    <row r="273" spans="1:12" ht="15.75" customHeight="1">
      <c r="A273" s="194"/>
      <c r="B273" s="133">
        <f>SUMIFS('لیست واریزی کل خیرین'!B:B,'لیست واریزی کل خیرین'!D:D,Table1[[#This Row],[نام]],'لیست واریزی کل خیرین'!E:E,Table1[[#This Row],[نام خانوادگی]])</f>
        <v>62</v>
      </c>
      <c r="C273" s="137" t="s">
        <v>814</v>
      </c>
      <c r="D273" s="137" t="s">
        <v>705</v>
      </c>
      <c r="E273" s="135" t="s">
        <v>873</v>
      </c>
      <c r="F273" s="243" t="s">
        <v>706</v>
      </c>
      <c r="G273" s="241" t="s">
        <v>493</v>
      </c>
      <c r="H273" s="138">
        <f t="shared" si="5"/>
        <v>10</v>
      </c>
      <c r="I273" s="137">
        <v>1401</v>
      </c>
      <c r="J273" s="137"/>
      <c r="K273" s="139">
        <v>10000000</v>
      </c>
      <c r="L273" s="240"/>
    </row>
    <row r="274" spans="1:12" ht="15.75" customHeight="1">
      <c r="A274" s="194"/>
      <c r="B274" s="133">
        <f>SUMIFS('لیست واریزی کل خیرین'!B:B,'لیست واریزی کل خیرین'!D:D,Table1[[#This Row],[نام]],'لیست واریزی کل خیرین'!E:E,Table1[[#This Row],[نام خانوادگی]])</f>
        <v>22</v>
      </c>
      <c r="C274" s="137" t="s">
        <v>518</v>
      </c>
      <c r="D274" s="137" t="s">
        <v>519</v>
      </c>
      <c r="E274" s="135" t="s">
        <v>923</v>
      </c>
      <c r="F274" s="243" t="s">
        <v>611</v>
      </c>
      <c r="G274" s="197" t="s">
        <v>493</v>
      </c>
      <c r="H274" s="138">
        <f t="shared" si="5"/>
        <v>10</v>
      </c>
      <c r="I274" s="137">
        <v>1401</v>
      </c>
      <c r="J274" s="137"/>
      <c r="K274" s="139">
        <v>2000000</v>
      </c>
      <c r="L274" s="240" t="s">
        <v>924</v>
      </c>
    </row>
    <row r="275" spans="1:12" ht="15.75" customHeight="1">
      <c r="A275" s="194"/>
      <c r="B275" s="235">
        <f>SUMIFS('لیست واریزی کل خیرین'!B:B,'لیست واریزی کل خیرین'!D:D,Table1[[#This Row],[نام]],'لیست واریزی کل خیرین'!E:E,Table1[[#This Row],[نام خانوادگی]])</f>
        <v>75</v>
      </c>
      <c r="C275" s="137" t="s">
        <v>843</v>
      </c>
      <c r="D275" s="137" t="s">
        <v>844</v>
      </c>
      <c r="E275" s="135" t="s">
        <v>842</v>
      </c>
      <c r="F275" s="248" t="s">
        <v>845</v>
      </c>
      <c r="G275" s="241" t="s">
        <v>493</v>
      </c>
      <c r="H275" s="138">
        <f t="shared" si="5"/>
        <v>10</v>
      </c>
      <c r="I275" s="137">
        <v>1401</v>
      </c>
      <c r="J275" s="236"/>
      <c r="K275" s="238">
        <v>100000000</v>
      </c>
      <c r="L275" s="359"/>
    </row>
    <row r="276" spans="1:12" ht="15.75" customHeight="1">
      <c r="A276" s="194"/>
      <c r="B276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276" s="137" t="s">
        <v>483</v>
      </c>
      <c r="D276" s="137" t="s">
        <v>484</v>
      </c>
      <c r="E276" s="135" t="s">
        <v>852</v>
      </c>
      <c r="F276" s="248" t="s">
        <v>599</v>
      </c>
      <c r="G276" s="241" t="s">
        <v>493</v>
      </c>
      <c r="H276" s="138">
        <f t="shared" si="5"/>
        <v>10</v>
      </c>
      <c r="I276" s="137">
        <v>1401</v>
      </c>
      <c r="J276" s="236"/>
      <c r="K276" s="238">
        <v>20000000</v>
      </c>
      <c r="L276" s="253" t="s">
        <v>853</v>
      </c>
    </row>
    <row r="277" spans="1:12" ht="15.75" customHeight="1">
      <c r="A277" s="194"/>
      <c r="B277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277" s="137" t="s">
        <v>483</v>
      </c>
      <c r="D277" s="137" t="s">
        <v>484</v>
      </c>
      <c r="E277" s="135" t="s">
        <v>896</v>
      </c>
      <c r="F277" s="243" t="s">
        <v>599</v>
      </c>
      <c r="G277" s="197" t="s">
        <v>493</v>
      </c>
      <c r="H277" s="138">
        <f t="shared" si="5"/>
        <v>10</v>
      </c>
      <c r="I277" s="137">
        <v>1401</v>
      </c>
      <c r="J277" s="137"/>
      <c r="K277" s="139">
        <v>5000000</v>
      </c>
      <c r="L277" s="253" t="s">
        <v>897</v>
      </c>
    </row>
    <row r="278" spans="1:12" ht="15.75" customHeight="1">
      <c r="A278" s="194"/>
      <c r="B278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278" s="134" t="s">
        <v>522</v>
      </c>
      <c r="D278" s="134" t="s">
        <v>523</v>
      </c>
      <c r="E278" s="135" t="s">
        <v>874</v>
      </c>
      <c r="F278" s="243" t="s">
        <v>524</v>
      </c>
      <c r="G278" s="197" t="s">
        <v>493</v>
      </c>
      <c r="H278" s="138">
        <f t="shared" si="5"/>
        <v>10</v>
      </c>
      <c r="I278" s="137">
        <v>1401</v>
      </c>
      <c r="J278" s="137"/>
      <c r="K278" s="139">
        <v>24065060</v>
      </c>
      <c r="L278" s="253"/>
    </row>
    <row r="279" spans="1:12" ht="15.75" customHeight="1">
      <c r="A279" s="194"/>
      <c r="B279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279" s="137" t="s">
        <v>497</v>
      </c>
      <c r="D279" s="137" t="s">
        <v>513</v>
      </c>
      <c r="E279" s="135" t="s">
        <v>887</v>
      </c>
      <c r="F279" s="248" t="s">
        <v>667</v>
      </c>
      <c r="G279" s="241" t="s">
        <v>493</v>
      </c>
      <c r="H279" s="138">
        <f t="shared" si="5"/>
        <v>10</v>
      </c>
      <c r="I279" s="137">
        <v>1401</v>
      </c>
      <c r="J279" s="137"/>
      <c r="K279" s="139">
        <v>20000000</v>
      </c>
      <c r="L279" s="253"/>
    </row>
    <row r="280" spans="1:12" ht="15.75" customHeight="1">
      <c r="A280" s="194"/>
      <c r="B280" s="133">
        <f>SUMIFS('لیست واریزی کل خیرین'!B:B,'لیست واریزی کل خیرین'!D:D,Table1[[#This Row],[نام]],'لیست واریزی کل خیرین'!E:E,Table1[[#This Row],[نام خانوادگی]])</f>
        <v>2</v>
      </c>
      <c r="C280" s="137" t="s">
        <v>464</v>
      </c>
      <c r="D280" s="152" t="s">
        <v>465</v>
      </c>
      <c r="E280" s="135" t="s">
        <v>863</v>
      </c>
      <c r="F280" s="249" t="s">
        <v>835</v>
      </c>
      <c r="G280" s="241" t="s">
        <v>493</v>
      </c>
      <c r="H280" s="138">
        <f t="shared" si="5"/>
        <v>10</v>
      </c>
      <c r="I280" s="137">
        <v>1401</v>
      </c>
      <c r="J280" s="137"/>
      <c r="K280" s="139">
        <v>20000000</v>
      </c>
      <c r="L280" s="253"/>
    </row>
    <row r="281" spans="1:12" ht="15.75" customHeight="1">
      <c r="A281" s="194"/>
      <c r="B281" s="133">
        <f>SUMIFS('لیست واریزی کل خیرین'!B:B,'لیست واریزی کل خیرین'!D:D,Table1[[#This Row],[نام]],'لیست واریزی کل خیرین'!E:E,Table1[[#This Row],[نام خانوادگی]])</f>
        <v>4</v>
      </c>
      <c r="C281" s="137" t="s">
        <v>471</v>
      </c>
      <c r="D281" s="137" t="s">
        <v>472</v>
      </c>
      <c r="E281" s="135" t="s">
        <v>869</v>
      </c>
      <c r="F281" s="243" t="s">
        <v>872</v>
      </c>
      <c r="G281" s="241" t="s">
        <v>493</v>
      </c>
      <c r="H281" s="138">
        <f t="shared" si="5"/>
        <v>10</v>
      </c>
      <c r="I281" s="137">
        <v>1401</v>
      </c>
      <c r="J281" s="137"/>
      <c r="K281" s="139">
        <v>2000000</v>
      </c>
      <c r="L281" s="253"/>
    </row>
    <row r="282" spans="1:12" ht="15.75" customHeight="1">
      <c r="A282" s="194"/>
      <c r="B282" s="235">
        <f>SUMIFS('لیست واریزی کل خیرین'!B:B,'لیست واریزی کل خیرین'!D:D,Table1[[#This Row],[نام]],'لیست واریزی کل خیرین'!E:E,Table1[[#This Row],[نام خانوادگی]])</f>
        <v>25</v>
      </c>
      <c r="C282" s="137" t="s">
        <v>532</v>
      </c>
      <c r="D282" s="137" t="s">
        <v>533</v>
      </c>
      <c r="E282" s="135" t="s">
        <v>836</v>
      </c>
      <c r="F282" s="243" t="s">
        <v>569</v>
      </c>
      <c r="G282" s="241" t="s">
        <v>493</v>
      </c>
      <c r="H282" s="138">
        <f t="shared" si="5"/>
        <v>10</v>
      </c>
      <c r="I282" s="137">
        <v>1401</v>
      </c>
      <c r="J282" s="236"/>
      <c r="K282" s="238">
        <v>30000000</v>
      </c>
      <c r="L282" s="359"/>
    </row>
    <row r="283" spans="1:12" ht="15.75" customHeight="1">
      <c r="A283" s="194"/>
      <c r="B283" s="133">
        <f>SUMIFS('لیست واریزی کل خیرین'!B:B,'لیست واریزی کل خیرین'!D:D,Table1[[#This Row],[نام]],'لیست واریزی کل خیرین'!E:E,Table1[[#This Row],[نام خانوادگی]])</f>
        <v>40</v>
      </c>
      <c r="C283" s="190" t="s">
        <v>494</v>
      </c>
      <c r="D283" s="190" t="s">
        <v>533</v>
      </c>
      <c r="E283" s="135" t="s">
        <v>925</v>
      </c>
      <c r="F283" s="249" t="s">
        <v>835</v>
      </c>
      <c r="G283" s="197" t="s">
        <v>493</v>
      </c>
      <c r="H283" s="138">
        <f t="shared" si="5"/>
        <v>10</v>
      </c>
      <c r="I283" s="137">
        <v>1401</v>
      </c>
      <c r="J283" s="137"/>
      <c r="K283" s="139">
        <v>50000000</v>
      </c>
      <c r="L283" s="253"/>
    </row>
    <row r="284" spans="1:12" ht="15.75" customHeight="1">
      <c r="A284" s="194"/>
      <c r="B284" s="133">
        <f>SUMIFS('لیست واریزی کل خیرین'!B:B,'لیست واریزی کل خیرین'!D:D,Table1[[#This Row],[نام]],'لیست واریزی کل خیرین'!E:E,Table1[[#This Row],[نام خانوادگی]])</f>
        <v>77</v>
      </c>
      <c r="C284" s="137" t="s">
        <v>864</v>
      </c>
      <c r="D284" s="137" t="s">
        <v>865</v>
      </c>
      <c r="E284" s="135" t="s">
        <v>861</v>
      </c>
      <c r="F284" s="243" t="s">
        <v>866</v>
      </c>
      <c r="G284" s="241" t="s">
        <v>493</v>
      </c>
      <c r="H284" s="138">
        <f t="shared" si="5"/>
        <v>10</v>
      </c>
      <c r="I284" s="137">
        <v>1401</v>
      </c>
      <c r="J284" s="137"/>
      <c r="K284" s="139">
        <v>100000000</v>
      </c>
      <c r="L284" s="253"/>
    </row>
    <row r="285" spans="1:12" ht="15.75" customHeight="1">
      <c r="A285" s="194"/>
      <c r="B285" s="133">
        <f>SUMIFS('لیست واریزی کل خیرین'!B:B,'لیست واریزی کل خیرین'!D:D,Table1[[#This Row],[نام]],'لیست واریزی کل خیرین'!E:E,Table1[[#This Row],[نام خانوادگی]])</f>
        <v>24</v>
      </c>
      <c r="C285" s="137" t="s">
        <v>529</v>
      </c>
      <c r="D285" s="137" t="s">
        <v>530</v>
      </c>
      <c r="E285" s="135" t="s">
        <v>875</v>
      </c>
      <c r="F285" s="243" t="s">
        <v>689</v>
      </c>
      <c r="G285" s="241" t="s">
        <v>493</v>
      </c>
      <c r="H285" s="138">
        <f t="shared" si="5"/>
        <v>10</v>
      </c>
      <c r="I285" s="137">
        <v>1401</v>
      </c>
      <c r="J285" s="137"/>
      <c r="K285" s="139">
        <v>5000000</v>
      </c>
      <c r="L285" s="253"/>
    </row>
    <row r="286" spans="1:12" ht="15.75" customHeight="1">
      <c r="A286" s="194"/>
      <c r="B286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286" s="137" t="s">
        <v>486</v>
      </c>
      <c r="D286" s="137" t="s">
        <v>487</v>
      </c>
      <c r="E286" s="135" t="s">
        <v>868</v>
      </c>
      <c r="F286" s="243" t="s">
        <v>595</v>
      </c>
      <c r="G286" s="241" t="s">
        <v>493</v>
      </c>
      <c r="H286" s="138">
        <f t="shared" si="5"/>
        <v>10</v>
      </c>
      <c r="I286" s="137">
        <v>1401</v>
      </c>
      <c r="J286" s="137"/>
      <c r="K286" s="139">
        <v>12000000</v>
      </c>
      <c r="L286" s="253"/>
    </row>
    <row r="287" spans="1:12" ht="15.75" customHeight="1">
      <c r="A287" s="194"/>
      <c r="B287" s="235">
        <f>SUMIFS('لیست واریزی کل خیرین'!B:B,'لیست واریزی کل خیرین'!D:D,Table1[[#This Row],[نام]],'لیست واریزی کل خیرین'!E:E,Table1[[#This Row],[نام خانوادگی]])</f>
        <v>11</v>
      </c>
      <c r="C287" s="137" t="s">
        <v>494</v>
      </c>
      <c r="D287" s="137" t="s">
        <v>495</v>
      </c>
      <c r="E287" s="135" t="s">
        <v>846</v>
      </c>
      <c r="F287" s="243" t="s">
        <v>573</v>
      </c>
      <c r="G287" s="241" t="s">
        <v>493</v>
      </c>
      <c r="H287" s="138">
        <f t="shared" si="5"/>
        <v>10</v>
      </c>
      <c r="I287" s="137">
        <v>1401</v>
      </c>
      <c r="J287" s="236"/>
      <c r="K287" s="238">
        <v>30000000</v>
      </c>
      <c r="L287" s="359"/>
    </row>
    <row r="288" spans="1:12" ht="15.75" customHeight="1">
      <c r="A288" s="194"/>
      <c r="B288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288" s="137" t="s">
        <v>480</v>
      </c>
      <c r="D288" s="137" t="s">
        <v>481</v>
      </c>
      <c r="E288" s="135" t="s">
        <v>879</v>
      </c>
      <c r="F288" s="243" t="s">
        <v>881</v>
      </c>
      <c r="G288" s="241" t="s">
        <v>493</v>
      </c>
      <c r="H288" s="138">
        <f t="shared" si="5"/>
        <v>10</v>
      </c>
      <c r="I288" s="137">
        <v>1401</v>
      </c>
      <c r="J288" s="137"/>
      <c r="K288" s="139">
        <v>10000000</v>
      </c>
      <c r="L288" s="253" t="s">
        <v>880</v>
      </c>
    </row>
    <row r="289" spans="1:12" ht="15.75" customHeight="1">
      <c r="A289" s="194" t="s">
        <v>458</v>
      </c>
      <c r="B289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289" s="141" t="s">
        <v>497</v>
      </c>
      <c r="D289" s="141" t="s">
        <v>498</v>
      </c>
      <c r="E289" s="135" t="s">
        <v>808</v>
      </c>
      <c r="F289" s="243">
        <v>5022291500410800</v>
      </c>
      <c r="G289" s="197" t="s">
        <v>493</v>
      </c>
      <c r="H289" s="138">
        <f t="shared" si="5"/>
        <v>10</v>
      </c>
      <c r="I289" s="137">
        <v>1401</v>
      </c>
      <c r="J289" s="137"/>
      <c r="K289" s="139">
        <v>5000000</v>
      </c>
      <c r="L289" s="253"/>
    </row>
    <row r="290" spans="1:12" ht="15.75" customHeight="1">
      <c r="A290" s="194"/>
      <c r="B290" s="133">
        <f>SUMIFS('لیست واریزی کل خیرین'!B:B,'لیست واریزی کل خیرین'!D:D,Table1[[#This Row],[نام]],'لیست واریزی کل خیرین'!E:E,Table1[[#This Row],[نام خانوادگی]])</f>
        <v>14</v>
      </c>
      <c r="C290" s="137" t="s">
        <v>202</v>
      </c>
      <c r="D290" s="137" t="s">
        <v>502</v>
      </c>
      <c r="E290" s="135" t="s">
        <v>886</v>
      </c>
      <c r="F290" s="243" t="s">
        <v>701</v>
      </c>
      <c r="G290" s="241" t="s">
        <v>493</v>
      </c>
      <c r="H290" s="138">
        <f t="shared" si="5"/>
        <v>10</v>
      </c>
      <c r="I290" s="137">
        <v>1401</v>
      </c>
      <c r="J290" s="137"/>
      <c r="K290" s="139">
        <v>10000000</v>
      </c>
      <c r="L290" s="253"/>
    </row>
    <row r="291" spans="1:12" ht="15.75" customHeight="1">
      <c r="A291" s="194"/>
      <c r="B291" s="133">
        <f>SUMIFS('لیست واریزی کل خیرین'!B:B,'لیست واریزی کل خیرین'!D:D,Table1[[#This Row],[نام]],'لیست واریزی کل خیرین'!E:E,Table1[[#This Row],[نام خانوادگی]])</f>
        <v>79</v>
      </c>
      <c r="C291" s="137" t="s">
        <v>877</v>
      </c>
      <c r="D291" s="137" t="s">
        <v>876</v>
      </c>
      <c r="E291" s="135" t="s">
        <v>875</v>
      </c>
      <c r="F291" s="243" t="s">
        <v>878</v>
      </c>
      <c r="G291" s="241" t="s">
        <v>493</v>
      </c>
      <c r="H291" s="138">
        <f t="shared" si="5"/>
        <v>10</v>
      </c>
      <c r="I291" s="137">
        <v>1401</v>
      </c>
      <c r="J291" s="137"/>
      <c r="K291" s="139">
        <v>1000000</v>
      </c>
      <c r="L291" s="253"/>
    </row>
    <row r="292" spans="1:12" ht="15.75" customHeight="1">
      <c r="A292" s="194"/>
      <c r="B292" s="235">
        <f>SUMIFS('لیست واریزی کل خیرین'!B:B,'لیست واریزی کل خیرین'!D:D,Table1[[#This Row],[نام]],'لیست واریزی کل خیرین'!E:E,Table1[[#This Row],[نام خانوادگی]])</f>
        <v>36</v>
      </c>
      <c r="C292" s="137" t="s">
        <v>602</v>
      </c>
      <c r="D292" s="137" t="s">
        <v>603</v>
      </c>
      <c r="E292" s="135" t="s">
        <v>842</v>
      </c>
      <c r="F292" s="249" t="s">
        <v>835</v>
      </c>
      <c r="G292" s="241" t="s">
        <v>493</v>
      </c>
      <c r="H292" s="138">
        <f t="shared" si="5"/>
        <v>10</v>
      </c>
      <c r="I292" s="137">
        <v>1401</v>
      </c>
      <c r="J292" s="236"/>
      <c r="K292" s="238">
        <v>20000000</v>
      </c>
      <c r="L292" s="359"/>
    </row>
    <row r="293" spans="1:12" ht="15.75" customHeight="1">
      <c r="A293" s="194"/>
      <c r="B293" s="133">
        <f>SUMIFS('لیست واریزی کل خیرین'!B:B,'لیست واریزی کل خیرین'!D:D,Table1[[#This Row],[نام]],'لیست واریزی کل خیرین'!E:E,Table1[[#This Row],[نام خانوادگی]])</f>
        <v>6</v>
      </c>
      <c r="C293" s="137" t="s">
        <v>207</v>
      </c>
      <c r="D293" s="137" t="s">
        <v>478</v>
      </c>
      <c r="E293" s="135" t="s">
        <v>882</v>
      </c>
      <c r="F293" s="243" t="s">
        <v>883</v>
      </c>
      <c r="G293" s="241" t="s">
        <v>493</v>
      </c>
      <c r="H293" s="138">
        <f t="shared" si="5"/>
        <v>10</v>
      </c>
      <c r="I293" s="137">
        <v>1401</v>
      </c>
      <c r="J293" s="137"/>
      <c r="K293" s="139">
        <v>5000000</v>
      </c>
      <c r="L293" s="253" t="s">
        <v>1838</v>
      </c>
    </row>
    <row r="294" spans="1:12" ht="15.75" customHeight="1">
      <c r="A294" s="194"/>
      <c r="B294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294" s="137" t="s">
        <v>207</v>
      </c>
      <c r="D294" s="137" t="s">
        <v>478</v>
      </c>
      <c r="E294" s="135" t="s">
        <v>882</v>
      </c>
      <c r="F294" s="243" t="s">
        <v>883</v>
      </c>
      <c r="G294" s="236" t="s">
        <v>485</v>
      </c>
      <c r="H294" s="237">
        <f>IF(G294="","",VLOOKUP(G294,mah,2,0))</f>
        <v>8</v>
      </c>
      <c r="I294" s="236">
        <v>1401</v>
      </c>
      <c r="J294" s="236"/>
      <c r="K294" s="139">
        <v>5000000</v>
      </c>
      <c r="L294" s="253" t="s">
        <v>1838</v>
      </c>
    </row>
    <row r="295" spans="1:12" ht="15.75" customHeight="1">
      <c r="A295" s="194"/>
      <c r="B295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295" s="137" t="s">
        <v>207</v>
      </c>
      <c r="D295" s="137" t="s">
        <v>478</v>
      </c>
      <c r="E295" s="135" t="s">
        <v>882</v>
      </c>
      <c r="F295" s="243" t="s">
        <v>883</v>
      </c>
      <c r="G295" s="236" t="s">
        <v>488</v>
      </c>
      <c r="H295" s="237">
        <f>IF(G295="","",VLOOKUP(G295,mah,2,0))</f>
        <v>9</v>
      </c>
      <c r="I295" s="236">
        <v>1401</v>
      </c>
      <c r="J295" s="236"/>
      <c r="K295" s="139">
        <v>5000000</v>
      </c>
      <c r="L295" s="253" t="s">
        <v>1838</v>
      </c>
    </row>
    <row r="296" spans="1:12" ht="15.75" customHeight="1">
      <c r="A296" s="194"/>
      <c r="B296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296" s="137" t="s">
        <v>207</v>
      </c>
      <c r="D296" s="137" t="s">
        <v>478</v>
      </c>
      <c r="E296" s="135" t="s">
        <v>882</v>
      </c>
      <c r="F296" s="243" t="s">
        <v>883</v>
      </c>
      <c r="G296" s="236" t="s">
        <v>496</v>
      </c>
      <c r="H296" s="237">
        <f>IF(G296="","",VLOOKUP(G296,mah,2,0))</f>
        <v>11</v>
      </c>
      <c r="I296" s="236">
        <v>1401</v>
      </c>
      <c r="J296" s="236"/>
      <c r="K296" s="139">
        <v>5000000</v>
      </c>
      <c r="L296" s="253" t="s">
        <v>1838</v>
      </c>
    </row>
    <row r="297" spans="1:12" ht="15.75" customHeight="1">
      <c r="A297" s="194"/>
      <c r="B297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297" s="137" t="s">
        <v>838</v>
      </c>
      <c r="D297" s="137" t="s">
        <v>839</v>
      </c>
      <c r="E297" s="135" t="s">
        <v>840</v>
      </c>
      <c r="F297" s="248" t="s">
        <v>841</v>
      </c>
      <c r="G297" s="241" t="s">
        <v>493</v>
      </c>
      <c r="H297" s="138">
        <f t="shared" si="5"/>
        <v>10</v>
      </c>
      <c r="I297" s="137">
        <v>1401</v>
      </c>
      <c r="J297" s="236"/>
      <c r="K297" s="238">
        <v>5000000</v>
      </c>
      <c r="L297" s="368"/>
    </row>
    <row r="298" spans="1:12" ht="15.75" customHeight="1">
      <c r="A298" s="194"/>
      <c r="B298" s="133">
        <f>SUMIFS('لیست واریزی کل خیرین'!B:B,'لیست واریزی کل خیرین'!D:D,Table1[[#This Row],[نام]],'لیست واریزی کل خیرین'!E:E,Table1[[#This Row],[نام خانوادگی]])</f>
        <v>78</v>
      </c>
      <c r="C298" s="137" t="s">
        <v>574</v>
      </c>
      <c r="D298" s="137" t="s">
        <v>870</v>
      </c>
      <c r="E298" s="135" t="s">
        <v>869</v>
      </c>
      <c r="F298" s="243" t="s">
        <v>871</v>
      </c>
      <c r="G298" s="241" t="s">
        <v>493</v>
      </c>
      <c r="H298" s="138">
        <f t="shared" si="5"/>
        <v>10</v>
      </c>
      <c r="I298" s="137">
        <v>1401</v>
      </c>
      <c r="J298" s="137"/>
      <c r="K298" s="139">
        <v>1500000</v>
      </c>
      <c r="L298" s="240"/>
    </row>
    <row r="299" spans="1:12" ht="15.75" customHeight="1">
      <c r="A299" s="194" t="s">
        <v>458</v>
      </c>
      <c r="B299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299" s="137" t="s">
        <v>489</v>
      </c>
      <c r="D299" s="137" t="s">
        <v>490</v>
      </c>
      <c r="E299" s="135" t="s">
        <v>857</v>
      </c>
      <c r="F299" s="249" t="s">
        <v>835</v>
      </c>
      <c r="G299" s="241" t="s">
        <v>493</v>
      </c>
      <c r="H299" s="138">
        <f t="shared" si="5"/>
        <v>10</v>
      </c>
      <c r="I299" s="137">
        <v>1401</v>
      </c>
      <c r="J299" s="137"/>
      <c r="K299" s="139">
        <v>20000000</v>
      </c>
      <c r="L299" s="240" t="s">
        <v>858</v>
      </c>
    </row>
    <row r="300" spans="1:12" ht="15.75" customHeight="1">
      <c r="A300" s="194" t="s">
        <v>458</v>
      </c>
      <c r="B300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300" s="137" t="s">
        <v>489</v>
      </c>
      <c r="D300" s="137" t="s">
        <v>490</v>
      </c>
      <c r="E300" s="135" t="s">
        <v>882</v>
      </c>
      <c r="F300" s="249" t="s">
        <v>835</v>
      </c>
      <c r="G300" s="241" t="s">
        <v>493</v>
      </c>
      <c r="H300" s="138">
        <f t="shared" si="5"/>
        <v>10</v>
      </c>
      <c r="I300" s="137">
        <v>1401</v>
      </c>
      <c r="J300" s="137"/>
      <c r="K300" s="139">
        <v>100000000</v>
      </c>
      <c r="L300" s="240"/>
    </row>
    <row r="301" spans="1:12" ht="15.75" customHeight="1">
      <c r="A301" s="194" t="s">
        <v>458</v>
      </c>
      <c r="B301" s="235">
        <f>SUMIFS('لیست واریزی کل خیرین'!B:B,'لیست واریزی کل خیرین'!D:D,Table1[[#This Row],[نام]],'لیست واریزی کل خیرین'!E:E,Table1[[#This Row],[نام خانوادگی]])</f>
        <v>69</v>
      </c>
      <c r="C301" s="137" t="s">
        <v>810</v>
      </c>
      <c r="D301" s="137" t="s">
        <v>811</v>
      </c>
      <c r="E301" s="135" t="s">
        <v>836</v>
      </c>
      <c r="F301" s="249">
        <v>5894631563315030</v>
      </c>
      <c r="G301" s="241" t="s">
        <v>493</v>
      </c>
      <c r="H301" s="138">
        <f t="shared" si="5"/>
        <v>10</v>
      </c>
      <c r="I301" s="137">
        <v>1401</v>
      </c>
      <c r="J301" s="236"/>
      <c r="K301" s="238">
        <v>4000000</v>
      </c>
      <c r="L301" s="368"/>
    </row>
    <row r="302" spans="1:12" ht="15.75" customHeight="1">
      <c r="A302" s="194"/>
      <c r="B302" s="235">
        <f>SUMIFS('لیست واریزی کل خیرین'!B:B,'لیست واریزی کل خیرین'!D:D,Table1[[#This Row],[نام]],'لیست واریزی کل خیرین'!E:E,Table1[[#This Row],[نام خانوادگی]])</f>
        <v>70</v>
      </c>
      <c r="C302" s="137" t="s">
        <v>203</v>
      </c>
      <c r="D302" s="137" t="s">
        <v>813</v>
      </c>
      <c r="E302" s="135" t="s">
        <v>847</v>
      </c>
      <c r="F302" s="243" t="s">
        <v>848</v>
      </c>
      <c r="G302" s="241" t="s">
        <v>493</v>
      </c>
      <c r="H302" s="138">
        <f t="shared" si="5"/>
        <v>10</v>
      </c>
      <c r="I302" s="137">
        <v>1401</v>
      </c>
      <c r="J302" s="236"/>
      <c r="K302" s="238">
        <v>10000000</v>
      </c>
      <c r="L302" s="368"/>
    </row>
    <row r="303" spans="1:12" ht="15.75" customHeight="1">
      <c r="A303" s="194"/>
      <c r="B303" s="133">
        <f>SUMIFS('لیست واریزی کل خیرین'!B:B,'لیست واریزی کل خیرین'!D:D,Table1[[#This Row],[نام]],'لیست واریزی کل خیرین'!E:E,Table1[[#This Row],[نام خانوادگی]])</f>
        <v>20</v>
      </c>
      <c r="C303" s="137" t="s">
        <v>494</v>
      </c>
      <c r="D303" s="137" t="s">
        <v>511</v>
      </c>
      <c r="E303" s="135" t="s">
        <v>857</v>
      </c>
      <c r="F303" s="249" t="s">
        <v>835</v>
      </c>
      <c r="G303" s="241" t="s">
        <v>493</v>
      </c>
      <c r="H303" s="138">
        <f t="shared" si="5"/>
        <v>10</v>
      </c>
      <c r="I303" s="137">
        <v>1401</v>
      </c>
      <c r="J303" s="137"/>
      <c r="K303" s="139">
        <v>100000000</v>
      </c>
      <c r="L303" s="240" t="s">
        <v>858</v>
      </c>
    </row>
    <row r="304" spans="1:12" ht="15.75" customHeight="1">
      <c r="A304" s="194"/>
      <c r="B304" s="235">
        <f>SUMIFS('لیست واریزی کل خیرین'!B:B,'لیست واریزی کل خیرین'!D:D,Table1[[#This Row],[نام]],'لیست واریزی کل خیرین'!E:E,Table1[[#This Row],[نام خانوادگی]])</f>
        <v>76</v>
      </c>
      <c r="C304" s="137" t="s">
        <v>849</v>
      </c>
      <c r="D304" s="137" t="s">
        <v>850</v>
      </c>
      <c r="E304" s="135" t="s">
        <v>847</v>
      </c>
      <c r="F304" s="243" t="s">
        <v>851</v>
      </c>
      <c r="G304" s="241" t="s">
        <v>493</v>
      </c>
      <c r="H304" s="138">
        <f t="shared" si="5"/>
        <v>10</v>
      </c>
      <c r="I304" s="137">
        <v>1401</v>
      </c>
      <c r="J304" s="236"/>
      <c r="K304" s="238">
        <v>10000000</v>
      </c>
      <c r="L304" s="368"/>
    </row>
    <row r="305" spans="1:13" ht="15.75" customHeight="1">
      <c r="A305" s="194" t="s">
        <v>458</v>
      </c>
      <c r="B305" s="133">
        <f>SUMIFS('لیست واریزی کل خیرین'!B:B,'لیست واریزی کل خیرین'!D:D,Table1[[#This Row],[نام]],'لیست واریزی کل خیرین'!E:E,Table1[[#This Row],[نام خانوادگی]])</f>
        <v>13</v>
      </c>
      <c r="C305" s="141" t="s">
        <v>486</v>
      </c>
      <c r="D305" s="141" t="s">
        <v>500</v>
      </c>
      <c r="E305" s="135" t="s">
        <v>684</v>
      </c>
      <c r="F305" s="243" t="s">
        <v>685</v>
      </c>
      <c r="G305" s="197" t="s">
        <v>493</v>
      </c>
      <c r="H305" s="138">
        <f t="shared" si="5"/>
        <v>10</v>
      </c>
      <c r="I305" s="137">
        <v>1401</v>
      </c>
      <c r="J305" s="142"/>
      <c r="K305" s="139">
        <v>2500000</v>
      </c>
      <c r="L305" s="419" t="s">
        <v>686</v>
      </c>
    </row>
    <row r="306" spans="1:13" ht="15.75" customHeight="1">
      <c r="A306" s="194"/>
      <c r="B306" s="133">
        <f>SUMIFS('لیست واریزی کل خیرین'!B:B,'لیست واریزی کل خیرین'!D:D,Table1[[#This Row],[نام]],'لیست واریزی کل خیرین'!E:E,Table1[[#This Row],[نام خانوادگی]])</f>
        <v>35</v>
      </c>
      <c r="C306" s="197" t="s">
        <v>596</v>
      </c>
      <c r="D306" s="197" t="s">
        <v>597</v>
      </c>
      <c r="E306" s="135" t="s">
        <v>875</v>
      </c>
      <c r="F306" s="243" t="s">
        <v>598</v>
      </c>
      <c r="G306" s="241" t="s">
        <v>493</v>
      </c>
      <c r="H306" s="138">
        <f t="shared" si="5"/>
        <v>10</v>
      </c>
      <c r="I306" s="137">
        <v>1401</v>
      </c>
      <c r="J306" s="137"/>
      <c r="K306" s="139">
        <v>3000000</v>
      </c>
      <c r="L306" s="240"/>
    </row>
    <row r="307" spans="1:13" ht="15.75" customHeight="1">
      <c r="A307" s="194"/>
      <c r="B307" s="133">
        <f>SUMIFS('لیست واریزی کل خیرین'!B:B,'لیست واریزی کل خیرین'!D:D,Table1[[#This Row],[نام]],'لیست واریزی کل خیرین'!E:E,Table1[[#This Row],[نام خانوادگی]])</f>
        <v>5</v>
      </c>
      <c r="C307" s="137" t="s">
        <v>475</v>
      </c>
      <c r="D307" s="137" t="s">
        <v>476</v>
      </c>
      <c r="E307" s="135" t="s">
        <v>863</v>
      </c>
      <c r="F307" s="243" t="s">
        <v>867</v>
      </c>
      <c r="G307" s="241" t="s">
        <v>493</v>
      </c>
      <c r="H307" s="138">
        <f t="shared" si="5"/>
        <v>10</v>
      </c>
      <c r="I307" s="137">
        <v>1401</v>
      </c>
      <c r="J307" s="137"/>
      <c r="K307" s="139">
        <v>5000000</v>
      </c>
      <c r="L307" s="253"/>
    </row>
    <row r="308" spans="1:13" ht="15.75" customHeight="1">
      <c r="A308" s="194"/>
      <c r="B308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308" s="137" t="s">
        <v>497</v>
      </c>
      <c r="D308" s="137" t="s">
        <v>516</v>
      </c>
      <c r="E308" s="369" t="s">
        <v>1258</v>
      </c>
      <c r="F308" s="249" t="s">
        <v>619</v>
      </c>
      <c r="G308" s="241" t="s">
        <v>493</v>
      </c>
      <c r="H308" s="237">
        <f t="shared" si="5"/>
        <v>10</v>
      </c>
      <c r="I308" s="137">
        <v>1401</v>
      </c>
      <c r="J308" s="236"/>
      <c r="K308" s="238">
        <v>5000000</v>
      </c>
      <c r="L308" s="253" t="s">
        <v>1259</v>
      </c>
    </row>
    <row r="309" spans="1:13" ht="15.75" customHeight="1">
      <c r="A309" s="194"/>
      <c r="B309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309" s="137" t="s">
        <v>543</v>
      </c>
      <c r="D309" s="137" t="s">
        <v>544</v>
      </c>
      <c r="E309" s="135" t="s">
        <v>854</v>
      </c>
      <c r="F309" s="243" t="s">
        <v>856</v>
      </c>
      <c r="G309" s="241" t="s">
        <v>493</v>
      </c>
      <c r="H309" s="138">
        <f t="shared" si="5"/>
        <v>10</v>
      </c>
      <c r="I309" s="137">
        <v>1401</v>
      </c>
      <c r="J309" s="236"/>
      <c r="K309" s="238">
        <v>5000000</v>
      </c>
      <c r="L309" s="240" t="s">
        <v>855</v>
      </c>
    </row>
    <row r="310" spans="1:13" ht="15.75" customHeight="1">
      <c r="A310" s="194"/>
      <c r="B310" s="133">
        <f>SUMIFS('لیست واریزی کل خیرین'!B:B,'لیست واریزی کل خیرین'!D:D,Table1[[#This Row],[نام]],'لیست واریزی کل خیرین'!E:E,Table1[[#This Row],[نام خانوادگی]])</f>
        <v>60</v>
      </c>
      <c r="C310" s="137" t="s">
        <v>650</v>
      </c>
      <c r="D310" s="137" t="s">
        <v>698</v>
      </c>
      <c r="E310" s="135" t="s">
        <v>874</v>
      </c>
      <c r="F310" s="248" t="s">
        <v>699</v>
      </c>
      <c r="G310" s="241" t="s">
        <v>493</v>
      </c>
      <c r="H310" s="138">
        <f t="shared" si="5"/>
        <v>10</v>
      </c>
      <c r="I310" s="137">
        <v>1401</v>
      </c>
      <c r="J310" s="137"/>
      <c r="K310" s="139">
        <v>15000000</v>
      </c>
      <c r="L310" s="240"/>
    </row>
    <row r="311" spans="1:13" ht="15.75" customHeight="1">
      <c r="A311" s="194"/>
      <c r="B311" s="133">
        <f>SUMIFS('لیست واریزی کل خیرین'!B:B,'لیست واریزی کل خیرین'!D:D,Table1[[#This Row],[نام]],'لیست واریزی کل خیرین'!E:E,Table1[[#This Row],[نام خانوادگی]])</f>
        <v>80</v>
      </c>
      <c r="C311" s="137" t="s">
        <v>884</v>
      </c>
      <c r="D311" s="137" t="s">
        <v>885</v>
      </c>
      <c r="E311" s="135" t="s">
        <v>886</v>
      </c>
      <c r="F311" s="248" t="s">
        <v>580</v>
      </c>
      <c r="G311" s="241" t="s">
        <v>493</v>
      </c>
      <c r="H311" s="138">
        <f t="shared" si="5"/>
        <v>10</v>
      </c>
      <c r="I311" s="137">
        <v>1401</v>
      </c>
      <c r="J311" s="137"/>
      <c r="K311" s="139">
        <v>1000000</v>
      </c>
      <c r="L311" s="240"/>
    </row>
    <row r="312" spans="1:13" ht="15.75" customHeight="1">
      <c r="A312" s="194" t="s">
        <v>458</v>
      </c>
      <c r="B312" s="235">
        <f>SUMIFS('لیست واریزی کل خیرین'!B:B,'لیست واریزی کل خیرین'!D:D,Table1[[#This Row],[نام]],'لیست واریزی کل خیرین'!E:E,Table1[[#This Row],[نام خانوادگی]])</f>
        <v>23</v>
      </c>
      <c r="C312" s="137" t="s">
        <v>588</v>
      </c>
      <c r="D312" s="137" t="s">
        <v>521</v>
      </c>
      <c r="E312" s="135" t="s">
        <v>1265</v>
      </c>
      <c r="F312" s="243" t="s">
        <v>687</v>
      </c>
      <c r="G312" s="241" t="s">
        <v>493</v>
      </c>
      <c r="H312" s="138">
        <f t="shared" si="5"/>
        <v>10</v>
      </c>
      <c r="I312" s="137">
        <v>1401</v>
      </c>
      <c r="J312" s="137"/>
      <c r="K312" s="139">
        <v>10000000</v>
      </c>
      <c r="L312" s="240" t="s">
        <v>1266</v>
      </c>
    </row>
    <row r="313" spans="1:13" ht="15.75" customHeight="1">
      <c r="A313" s="194"/>
      <c r="B313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313" s="137" t="s">
        <v>503</v>
      </c>
      <c r="D313" s="137" t="s">
        <v>504</v>
      </c>
      <c r="E313" s="135" t="s">
        <v>1283</v>
      </c>
      <c r="F313" s="249" t="s">
        <v>1287</v>
      </c>
      <c r="G313" s="241" t="s">
        <v>493</v>
      </c>
      <c r="H313" s="237">
        <f t="shared" si="5"/>
        <v>10</v>
      </c>
      <c r="I313" s="236">
        <v>1401</v>
      </c>
      <c r="J313" s="236"/>
      <c r="K313" s="238">
        <v>10000000</v>
      </c>
      <c r="L313" s="240" t="s">
        <v>1298</v>
      </c>
    </row>
    <row r="314" spans="1:13" ht="29.25" customHeight="1">
      <c r="A314" s="194"/>
      <c r="B314" s="133">
        <f>SUMIFS('لیست واریزی کل خیرین'!B:B,'لیست واریزی کل خیرین'!D:D,Table1[[#This Row],[نام]],'لیست واریزی کل خیرین'!E:E,Table1[[#This Row],[نام خانوادگی]])</f>
        <v>16</v>
      </c>
      <c r="C314" s="141" t="s">
        <v>497</v>
      </c>
      <c r="D314" s="141" t="s">
        <v>505</v>
      </c>
      <c r="E314" s="135" t="s">
        <v>1288</v>
      </c>
      <c r="F314" s="243">
        <v>6037998112152490</v>
      </c>
      <c r="G314" s="137" t="s">
        <v>496</v>
      </c>
      <c r="H314" s="138">
        <f t="shared" ref="H314" si="6">IF(G314="","",VLOOKUP(G314,mah,2,0))</f>
        <v>11</v>
      </c>
      <c r="I314" s="137">
        <v>1401</v>
      </c>
      <c r="J314" s="137"/>
      <c r="K314" s="139">
        <v>3000000</v>
      </c>
      <c r="L314" s="425" t="s">
        <v>1471</v>
      </c>
      <c r="M314" s="426"/>
    </row>
    <row r="315" spans="1:13" ht="15.75" customHeight="1">
      <c r="A315" s="194"/>
      <c r="B315" s="133">
        <f>SUMIFS('لیست واریزی کل خیرین'!B:B,'لیست واریزی کل خیرین'!D:D,Table1[[#This Row],[نام]],'لیست واریزی کل خیرین'!E:E,Table1[[#This Row],[نام خانوادگی]])</f>
        <v>48</v>
      </c>
      <c r="C315" s="358" t="s">
        <v>494</v>
      </c>
      <c r="D315" s="358" t="s">
        <v>546</v>
      </c>
      <c r="E315" s="135" t="s">
        <v>892</v>
      </c>
      <c r="F315" s="243" t="s">
        <v>895</v>
      </c>
      <c r="G315" s="197" t="s">
        <v>496</v>
      </c>
      <c r="H315" s="138">
        <f t="shared" si="5"/>
        <v>11</v>
      </c>
      <c r="I315" s="137">
        <v>1401</v>
      </c>
      <c r="J315" s="137"/>
      <c r="K315" s="139">
        <v>40000000</v>
      </c>
      <c r="L315" s="240"/>
    </row>
    <row r="316" spans="1:13" ht="15.75" customHeight="1">
      <c r="A316" s="194"/>
      <c r="B316" s="133">
        <f>SUMIFS('لیست واریزی کل خیرین'!B:B,'لیست واریزی کل خیرین'!D:D,Table1[[#This Row],[نام]],'لیست واریزی کل خیرین'!E:E,Table1[[#This Row],[نام خانوادگی]])</f>
        <v>62</v>
      </c>
      <c r="C316" s="137" t="s">
        <v>814</v>
      </c>
      <c r="D316" s="137" t="s">
        <v>705</v>
      </c>
      <c r="E316" s="135" t="s">
        <v>921</v>
      </c>
      <c r="F316" s="243" t="s">
        <v>706</v>
      </c>
      <c r="G316" s="197" t="s">
        <v>496</v>
      </c>
      <c r="H316" s="138">
        <f t="shared" si="5"/>
        <v>11</v>
      </c>
      <c r="I316" s="137">
        <v>1401</v>
      </c>
      <c r="J316" s="137"/>
      <c r="K316" s="139">
        <v>10000000</v>
      </c>
      <c r="L316" s="240"/>
    </row>
    <row r="317" spans="1:13" ht="15.75" customHeight="1">
      <c r="A317" s="194"/>
      <c r="B317" s="133">
        <f>SUMIFS('لیست واریزی کل خیرین'!B:B,'لیست واریزی کل خیرین'!D:D,Table1[[#This Row],[نام]],'لیست واریزی کل خیرین'!E:E,Table1[[#This Row],[نام خانوادگی]])</f>
        <v>22</v>
      </c>
      <c r="C317" s="137" t="s">
        <v>518</v>
      </c>
      <c r="D317" s="137" t="s">
        <v>519</v>
      </c>
      <c r="E317" s="135" t="s">
        <v>923</v>
      </c>
      <c r="F317" s="243" t="s">
        <v>611</v>
      </c>
      <c r="G317" s="197" t="s">
        <v>496</v>
      </c>
      <c r="H317" s="138">
        <f t="shared" si="5"/>
        <v>11</v>
      </c>
      <c r="I317" s="137">
        <v>1401</v>
      </c>
      <c r="J317" s="137"/>
      <c r="K317" s="139">
        <v>2000000</v>
      </c>
      <c r="L317" s="240" t="s">
        <v>924</v>
      </c>
    </row>
    <row r="318" spans="1:13" ht="15.75" customHeight="1">
      <c r="A318" s="194"/>
      <c r="B318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318" s="137" t="s">
        <v>483</v>
      </c>
      <c r="D318" s="137" t="s">
        <v>484</v>
      </c>
      <c r="E318" s="135" t="s">
        <v>896</v>
      </c>
      <c r="F318" s="243" t="s">
        <v>599</v>
      </c>
      <c r="G318" s="197" t="s">
        <v>496</v>
      </c>
      <c r="H318" s="138">
        <f t="shared" si="5"/>
        <v>11</v>
      </c>
      <c r="I318" s="137">
        <v>1401</v>
      </c>
      <c r="J318" s="137"/>
      <c r="K318" s="139">
        <v>5000000</v>
      </c>
      <c r="L318" s="240" t="s">
        <v>897</v>
      </c>
    </row>
    <row r="319" spans="1:13" ht="15.75" customHeight="1">
      <c r="A319" s="194"/>
      <c r="B319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319" s="134" t="s">
        <v>522</v>
      </c>
      <c r="D319" s="134" t="s">
        <v>523</v>
      </c>
      <c r="E319" s="135" t="s">
        <v>918</v>
      </c>
      <c r="F319" s="248" t="s">
        <v>524</v>
      </c>
      <c r="G319" s="197" t="s">
        <v>496</v>
      </c>
      <c r="H319" s="138">
        <f t="shared" si="5"/>
        <v>11</v>
      </c>
      <c r="I319" s="137">
        <v>1401</v>
      </c>
      <c r="J319" s="137"/>
      <c r="K319" s="139">
        <v>32965781</v>
      </c>
      <c r="L319" s="240"/>
    </row>
    <row r="320" spans="1:13" ht="15.75" customHeight="1">
      <c r="A320" s="194"/>
      <c r="B320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320" s="137" t="s">
        <v>497</v>
      </c>
      <c r="D320" s="137" t="s">
        <v>513</v>
      </c>
      <c r="E320" s="135" t="s">
        <v>923</v>
      </c>
      <c r="F320" s="248" t="s">
        <v>667</v>
      </c>
      <c r="G320" s="197" t="s">
        <v>496</v>
      </c>
      <c r="H320" s="138">
        <f t="shared" si="5"/>
        <v>11</v>
      </c>
      <c r="I320" s="137">
        <v>1401</v>
      </c>
      <c r="J320" s="137"/>
      <c r="K320" s="139">
        <v>20000000</v>
      </c>
      <c r="L320" s="240"/>
    </row>
    <row r="321" spans="1:12" ht="15.75" customHeight="1">
      <c r="A321" s="194"/>
      <c r="B321" s="133">
        <f>SUMIFS('لیست واریزی کل خیرین'!B:B,'لیست واریزی کل خیرین'!D:D,Table1[[#This Row],[نام]],'لیست واریزی کل خیرین'!E:E,Table1[[#This Row],[نام خانوادگی]])</f>
        <v>2</v>
      </c>
      <c r="C321" s="137" t="s">
        <v>464</v>
      </c>
      <c r="D321" s="152" t="s">
        <v>465</v>
      </c>
      <c r="E321" s="135" t="s">
        <v>912</v>
      </c>
      <c r="F321" s="365" t="s">
        <v>835</v>
      </c>
      <c r="G321" s="197" t="s">
        <v>496</v>
      </c>
      <c r="H321" s="138">
        <f t="shared" si="5"/>
        <v>11</v>
      </c>
      <c r="I321" s="137">
        <v>1401</v>
      </c>
      <c r="J321" s="137"/>
      <c r="K321" s="139">
        <v>30000000</v>
      </c>
      <c r="L321" s="240" t="s">
        <v>913</v>
      </c>
    </row>
    <row r="322" spans="1:12" ht="15.75" customHeight="1">
      <c r="A322" s="194"/>
      <c r="B322" s="133">
        <f>SUMIFS('لیست واریزی کل خیرین'!B:B,'لیست واریزی کل خیرین'!D:D,Table1[[#This Row],[نام]],'لیست واریزی کل خیرین'!E:E,Table1[[#This Row],[نام خانوادگی]])</f>
        <v>4</v>
      </c>
      <c r="C322" s="137" t="s">
        <v>471</v>
      </c>
      <c r="D322" s="137" t="s">
        <v>472</v>
      </c>
      <c r="E322" s="135" t="s">
        <v>923</v>
      </c>
      <c r="F322" s="248" t="s">
        <v>872</v>
      </c>
      <c r="G322" s="197" t="s">
        <v>496</v>
      </c>
      <c r="H322" s="138">
        <f t="shared" si="5"/>
        <v>11</v>
      </c>
      <c r="I322" s="137">
        <v>1401</v>
      </c>
      <c r="J322" s="137"/>
      <c r="K322" s="139">
        <v>2000000</v>
      </c>
      <c r="L322" s="240"/>
    </row>
    <row r="323" spans="1:12" ht="15.75" customHeight="1">
      <c r="A323" s="194"/>
      <c r="B323" s="133">
        <f>SUMIFS('لیست واریزی کل خیرین'!B:B,'لیست واریزی کل خیرین'!D:D,Table1[[#This Row],[نام]],'لیست واریزی کل خیرین'!E:E,Table1[[#This Row],[نام خانوادگی]])</f>
        <v>82</v>
      </c>
      <c r="C323" s="137" t="s">
        <v>898</v>
      </c>
      <c r="D323" s="137" t="s">
        <v>899</v>
      </c>
      <c r="E323" s="135" t="s">
        <v>900</v>
      </c>
      <c r="F323" s="243" t="s">
        <v>901</v>
      </c>
      <c r="G323" s="197" t="s">
        <v>496</v>
      </c>
      <c r="H323" s="138">
        <f t="shared" si="5"/>
        <v>11</v>
      </c>
      <c r="I323" s="137">
        <v>1401</v>
      </c>
      <c r="J323" s="137"/>
      <c r="K323" s="139">
        <v>40000000</v>
      </c>
      <c r="L323" s="240"/>
    </row>
    <row r="324" spans="1:12" ht="15.75" customHeight="1">
      <c r="A324" s="194"/>
      <c r="B324" s="133">
        <f>SUMIFS('لیست واریزی کل خیرین'!B:B,'لیست واریزی کل خیرین'!D:D,Table1[[#This Row],[نام]],'لیست واریزی کل خیرین'!E:E,Table1[[#This Row],[نام خانوادگی]])</f>
        <v>25</v>
      </c>
      <c r="C324" s="137" t="s">
        <v>532</v>
      </c>
      <c r="D324" s="137" t="s">
        <v>533</v>
      </c>
      <c r="E324" s="135" t="s">
        <v>892</v>
      </c>
      <c r="F324" s="243" t="s">
        <v>894</v>
      </c>
      <c r="G324" s="197" t="s">
        <v>496</v>
      </c>
      <c r="H324" s="138">
        <f t="shared" si="5"/>
        <v>11</v>
      </c>
      <c r="I324" s="137">
        <v>1401</v>
      </c>
      <c r="J324" s="137"/>
      <c r="K324" s="139">
        <v>30000000</v>
      </c>
      <c r="L324" s="240"/>
    </row>
    <row r="325" spans="1:12" ht="15.75" customHeight="1">
      <c r="A325" s="194"/>
      <c r="B325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325" s="137" t="s">
        <v>486</v>
      </c>
      <c r="D325" s="137" t="s">
        <v>487</v>
      </c>
      <c r="E325" s="135" t="s">
        <v>914</v>
      </c>
      <c r="F325" s="243" t="s">
        <v>595</v>
      </c>
      <c r="G325" s="197" t="s">
        <v>496</v>
      </c>
      <c r="H325" s="138">
        <f t="shared" si="5"/>
        <v>11</v>
      </c>
      <c r="I325" s="137">
        <v>1401</v>
      </c>
      <c r="J325" s="137"/>
      <c r="K325" s="139">
        <v>12000000</v>
      </c>
      <c r="L325" s="240"/>
    </row>
    <row r="326" spans="1:12" ht="15.75" customHeight="1">
      <c r="A326" s="194"/>
      <c r="B326" s="133">
        <f>SUMIFS('لیست واریزی کل خیرین'!B:B,'لیست واریزی کل خیرین'!D:D,Table1[[#This Row],[نام]],'لیست واریزی کل خیرین'!E:E,Table1[[#This Row],[نام خانوادگی]])</f>
        <v>11</v>
      </c>
      <c r="C326" s="137" t="s">
        <v>494</v>
      </c>
      <c r="D326" s="137" t="s">
        <v>495</v>
      </c>
      <c r="E326" s="135" t="s">
        <v>902</v>
      </c>
      <c r="F326" s="248" t="s">
        <v>573</v>
      </c>
      <c r="G326" s="197" t="s">
        <v>496</v>
      </c>
      <c r="H326" s="138">
        <f t="shared" si="5"/>
        <v>11</v>
      </c>
      <c r="I326" s="137">
        <v>1401</v>
      </c>
      <c r="J326" s="137"/>
      <c r="K326" s="139">
        <v>30000000</v>
      </c>
      <c r="L326" s="240"/>
    </row>
    <row r="327" spans="1:12" ht="15.75" customHeight="1">
      <c r="A327" s="194"/>
      <c r="B327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327" s="137" t="s">
        <v>480</v>
      </c>
      <c r="D327" s="137" t="s">
        <v>481</v>
      </c>
      <c r="E327" s="135" t="s">
        <v>910</v>
      </c>
      <c r="F327" s="243" t="s">
        <v>579</v>
      </c>
      <c r="G327" s="197" t="s">
        <v>496</v>
      </c>
      <c r="H327" s="138">
        <f t="shared" si="5"/>
        <v>11</v>
      </c>
      <c r="I327" s="137">
        <v>1401</v>
      </c>
      <c r="J327" s="137"/>
      <c r="K327" s="139">
        <v>10000000</v>
      </c>
      <c r="L327" s="240"/>
    </row>
    <row r="328" spans="1:12" ht="15.75" customHeight="1">
      <c r="A328" s="194"/>
      <c r="B328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328" s="137" t="s">
        <v>497</v>
      </c>
      <c r="D328" s="152" t="s">
        <v>498</v>
      </c>
      <c r="E328" s="135" t="s">
        <v>861</v>
      </c>
      <c r="F328" s="243" t="s">
        <v>862</v>
      </c>
      <c r="G328" s="197" t="s">
        <v>496</v>
      </c>
      <c r="H328" s="138">
        <f t="shared" si="5"/>
        <v>11</v>
      </c>
      <c r="I328" s="137">
        <v>1401</v>
      </c>
      <c r="J328" s="137"/>
      <c r="K328" s="139">
        <v>10000000</v>
      </c>
      <c r="L328" s="240"/>
    </row>
    <row r="329" spans="1:12" ht="19.5" customHeight="1">
      <c r="A329" s="194"/>
      <c r="B329" s="133">
        <f>SUMIFS('لیست واریزی کل خیرین'!B:B,'لیست واریزی کل خیرین'!D:D,Table1[[#This Row],[نام]],'لیست واریزی کل خیرین'!E:E,Table1[[#This Row],[نام خانوادگی]])</f>
        <v>36</v>
      </c>
      <c r="C329" s="137" t="s">
        <v>602</v>
      </c>
      <c r="D329" s="137" t="s">
        <v>603</v>
      </c>
      <c r="E329" s="135" t="s">
        <v>920</v>
      </c>
      <c r="F329" s="249" t="s">
        <v>835</v>
      </c>
      <c r="G329" s="197" t="s">
        <v>496</v>
      </c>
      <c r="H329" s="138">
        <f t="shared" si="5"/>
        <v>11</v>
      </c>
      <c r="I329" s="137">
        <v>1401</v>
      </c>
      <c r="J329" s="137"/>
      <c r="K329" s="139">
        <v>100000000</v>
      </c>
      <c r="L329" s="240"/>
    </row>
    <row r="330" spans="1:12" ht="15.75" customHeight="1">
      <c r="A330" s="194"/>
      <c r="B330" s="133">
        <f>SUMIFS('لیست واریزی کل خیرین'!B:B,'لیست واریزی کل خیرین'!D:D,Table1[[#This Row],[نام]],'لیست واریزی کل خیرین'!E:E,Table1[[#This Row],[نام خانوادگی]])</f>
        <v>84</v>
      </c>
      <c r="C330" s="137" t="s">
        <v>907</v>
      </c>
      <c r="D330" s="137" t="s">
        <v>908</v>
      </c>
      <c r="E330" s="135" t="s">
        <v>905</v>
      </c>
      <c r="F330" s="243" t="s">
        <v>909</v>
      </c>
      <c r="G330" s="197" t="s">
        <v>496</v>
      </c>
      <c r="H330" s="138">
        <f t="shared" ref="H330:H394" si="7">IF(G330="","",VLOOKUP(G330,mah,2,0))</f>
        <v>11</v>
      </c>
      <c r="I330" s="137">
        <v>1401</v>
      </c>
      <c r="J330" s="137"/>
      <c r="K330" s="139">
        <v>10000000</v>
      </c>
      <c r="L330" s="240"/>
    </row>
    <row r="331" spans="1:12" ht="15.75" customHeight="1">
      <c r="A331" s="194"/>
      <c r="B331" s="133">
        <f>SUMIFS('لیست واریزی کل خیرین'!B:B,'لیست واریزی کل خیرین'!D:D,Table1[[#This Row],[نام]],'لیست واریزی کل خیرین'!E:E,Table1[[#This Row],[نام خانوادگی]])</f>
        <v>74</v>
      </c>
      <c r="C331" s="137" t="s">
        <v>838</v>
      </c>
      <c r="D331" s="137" t="s">
        <v>839</v>
      </c>
      <c r="E331" s="135" t="s">
        <v>887</v>
      </c>
      <c r="F331" s="243" t="s">
        <v>841</v>
      </c>
      <c r="G331" s="197" t="s">
        <v>496</v>
      </c>
      <c r="H331" s="138">
        <f t="shared" si="7"/>
        <v>11</v>
      </c>
      <c r="I331" s="137">
        <v>1401</v>
      </c>
      <c r="J331" s="137"/>
      <c r="K331" s="139">
        <v>5000000</v>
      </c>
      <c r="L331" s="240"/>
    </row>
    <row r="332" spans="1:12" ht="15.75" customHeight="1">
      <c r="A332" s="194"/>
      <c r="B332" s="133">
        <f>SUMIFS('لیست واریزی کل خیرین'!B:B,'لیست واریزی کل خیرین'!D:D,Table1[[#This Row],[نام]],'لیست واریزی کل خیرین'!E:E,Table1[[#This Row],[نام خانوادگی]])</f>
        <v>81</v>
      </c>
      <c r="C332" s="137" t="s">
        <v>890</v>
      </c>
      <c r="D332" s="137" t="s">
        <v>891</v>
      </c>
      <c r="E332" s="135" t="s">
        <v>892</v>
      </c>
      <c r="F332" s="243" t="s">
        <v>893</v>
      </c>
      <c r="G332" s="197" t="s">
        <v>496</v>
      </c>
      <c r="H332" s="138">
        <f t="shared" si="7"/>
        <v>11</v>
      </c>
      <c r="I332" s="137">
        <v>1401</v>
      </c>
      <c r="J332" s="137"/>
      <c r="K332" s="139">
        <v>5000000</v>
      </c>
      <c r="L332" s="240"/>
    </row>
    <row r="333" spans="1:12" ht="15.75" customHeight="1">
      <c r="A333" s="194" t="s">
        <v>458</v>
      </c>
      <c r="B333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333" s="137" t="s">
        <v>489</v>
      </c>
      <c r="D333" s="137" t="s">
        <v>490</v>
      </c>
      <c r="E333" s="135" t="s">
        <v>912</v>
      </c>
      <c r="F333" s="249" t="s">
        <v>835</v>
      </c>
      <c r="G333" s="197" t="s">
        <v>496</v>
      </c>
      <c r="H333" s="138">
        <f t="shared" si="7"/>
        <v>11</v>
      </c>
      <c r="I333" s="137">
        <v>1401</v>
      </c>
      <c r="J333" s="137"/>
      <c r="K333" s="139">
        <v>100000000</v>
      </c>
      <c r="L333" s="240"/>
    </row>
    <row r="334" spans="1:12" ht="15.75" customHeight="1">
      <c r="A334" s="194" t="s">
        <v>458</v>
      </c>
      <c r="B334" s="133">
        <f>SUMIFS('لیست واریزی کل خیرین'!B:B,'لیست واریزی کل خیرین'!D:D,Table1[[#This Row],[نام]],'لیست واریزی کل خیرین'!E:E,Table1[[#This Row],[نام خانوادگی]])</f>
        <v>69</v>
      </c>
      <c r="C334" s="137" t="s">
        <v>810</v>
      </c>
      <c r="D334" s="137" t="s">
        <v>811</v>
      </c>
      <c r="E334" s="135" t="s">
        <v>809</v>
      </c>
      <c r="F334" s="243">
        <v>6104337355366280</v>
      </c>
      <c r="G334" s="197" t="s">
        <v>496</v>
      </c>
      <c r="H334" s="138">
        <f t="shared" si="7"/>
        <v>11</v>
      </c>
      <c r="I334" s="137">
        <v>1401</v>
      </c>
      <c r="J334" s="137"/>
      <c r="K334" s="139">
        <v>5000000</v>
      </c>
      <c r="L334" s="240" t="s">
        <v>1290</v>
      </c>
    </row>
    <row r="335" spans="1:12" ht="15.75" customHeight="1">
      <c r="A335" s="194"/>
      <c r="B335" s="133">
        <f>SUMIFS('لیست واریزی کل خیرین'!B:B,'لیست واریزی کل خیرین'!D:D,Table1[[#This Row],[نام]],'لیست واریزی کل خیرین'!E:E,Table1[[#This Row],[نام خانوادگی]])</f>
        <v>70</v>
      </c>
      <c r="C335" s="137" t="s">
        <v>203</v>
      </c>
      <c r="D335" s="137" t="s">
        <v>813</v>
      </c>
      <c r="E335" s="135" t="s">
        <v>903</v>
      </c>
      <c r="F335" s="243" t="s">
        <v>848</v>
      </c>
      <c r="G335" s="197" t="s">
        <v>496</v>
      </c>
      <c r="H335" s="138">
        <f t="shared" si="7"/>
        <v>11</v>
      </c>
      <c r="I335" s="137">
        <v>1401</v>
      </c>
      <c r="J335" s="137"/>
      <c r="K335" s="139">
        <v>10000000</v>
      </c>
      <c r="L335" s="240"/>
    </row>
    <row r="336" spans="1:12" ht="15.75" customHeight="1">
      <c r="A336" s="194"/>
      <c r="B336" s="133">
        <f>SUMIFS('لیست واریزی کل خیرین'!B:B,'لیست واریزی کل خیرین'!D:D,Table1[[#This Row],[نام]],'لیست واریزی کل خیرین'!E:E,Table1[[#This Row],[نام خانوادگی]])</f>
        <v>20</v>
      </c>
      <c r="C336" s="137" t="s">
        <v>494</v>
      </c>
      <c r="D336" s="137" t="s">
        <v>511</v>
      </c>
      <c r="E336" s="135" t="s">
        <v>900</v>
      </c>
      <c r="F336" s="365" t="s">
        <v>835</v>
      </c>
      <c r="G336" s="197" t="s">
        <v>496</v>
      </c>
      <c r="H336" s="138">
        <f t="shared" si="7"/>
        <v>11</v>
      </c>
      <c r="I336" s="137">
        <v>1401</v>
      </c>
      <c r="J336" s="137"/>
      <c r="K336" s="139">
        <v>50000000</v>
      </c>
      <c r="L336" s="240"/>
    </row>
    <row r="337" spans="1:12" ht="15.75" customHeight="1">
      <c r="A337" s="194" t="s">
        <v>458</v>
      </c>
      <c r="B337" s="133">
        <f>SUMIFS('لیست واریزی کل خیرین'!B:B,'لیست واریزی کل خیرین'!D:D,Table1[[#This Row],[نام]],'لیست واریزی کل خیرین'!E:E,Table1[[#This Row],[نام خانوادگی]])</f>
        <v>13</v>
      </c>
      <c r="C337" s="141" t="s">
        <v>486</v>
      </c>
      <c r="D337" s="141" t="s">
        <v>500</v>
      </c>
      <c r="E337" s="135" t="s">
        <v>684</v>
      </c>
      <c r="F337" s="243" t="s">
        <v>685</v>
      </c>
      <c r="G337" s="197" t="s">
        <v>496</v>
      </c>
      <c r="H337" s="138">
        <f t="shared" si="7"/>
        <v>11</v>
      </c>
      <c r="I337" s="137">
        <v>1401</v>
      </c>
      <c r="J337" s="142"/>
      <c r="K337" s="139">
        <v>2500000</v>
      </c>
      <c r="L337" s="419" t="s">
        <v>686</v>
      </c>
    </row>
    <row r="338" spans="1:12" ht="15.75" customHeight="1">
      <c r="A338" s="194"/>
      <c r="B338" s="133">
        <f>SUMIFS('لیست واریزی کل خیرین'!B:B,'لیست واریزی کل خیرین'!D:D,Table1[[#This Row],[نام]],'لیست واریزی کل خیرین'!E:E,Table1[[#This Row],[نام خانوادگی]])</f>
        <v>35</v>
      </c>
      <c r="C338" s="137" t="s">
        <v>596</v>
      </c>
      <c r="D338" s="137" t="s">
        <v>597</v>
      </c>
      <c r="E338" s="135" t="s">
        <v>915</v>
      </c>
      <c r="F338" s="243" t="s">
        <v>598</v>
      </c>
      <c r="G338" s="197" t="s">
        <v>496</v>
      </c>
      <c r="H338" s="138">
        <f t="shared" si="7"/>
        <v>11</v>
      </c>
      <c r="I338" s="137">
        <v>1401</v>
      </c>
      <c r="J338" s="137"/>
      <c r="K338" s="139">
        <v>3000000</v>
      </c>
      <c r="L338" s="240"/>
    </row>
    <row r="339" spans="1:12" ht="15.75" customHeight="1">
      <c r="A339" s="194"/>
      <c r="B339" s="196">
        <f>SUMIFS('لیست واریزی کل خیرین'!B:B,'لیست واریزی کل خیرین'!D:D,Table1[[#This Row],[نام]],'لیست واریزی کل خیرین'!E:E,Table1[[#This Row],[نام خانوادگی]])</f>
        <v>60</v>
      </c>
      <c r="C339" s="197" t="s">
        <v>650</v>
      </c>
      <c r="D339" s="197" t="s">
        <v>698</v>
      </c>
      <c r="E339" s="254" t="s">
        <v>911</v>
      </c>
      <c r="F339" s="248" t="s">
        <v>699</v>
      </c>
      <c r="G339" s="197" t="s">
        <v>496</v>
      </c>
      <c r="H339" s="198">
        <f t="shared" si="7"/>
        <v>11</v>
      </c>
      <c r="I339" s="197">
        <v>1401</v>
      </c>
      <c r="J339" s="197"/>
      <c r="K339" s="255">
        <v>35000000</v>
      </c>
      <c r="L339" s="256"/>
    </row>
    <row r="340" spans="1:12" ht="15.75" customHeight="1">
      <c r="A340" s="194" t="s">
        <v>458</v>
      </c>
      <c r="B340" s="196">
        <f>SUMIFS('لیست واریزی کل خیرین'!B:B,'لیست واریزی کل خیرین'!D:D,Table1[[#This Row],[نام]],'لیست واریزی کل خیرین'!E:E,Table1[[#This Row],[نام خانوادگی]])</f>
        <v>83</v>
      </c>
      <c r="C340" s="197" t="s">
        <v>203</v>
      </c>
      <c r="D340" s="197" t="s">
        <v>904</v>
      </c>
      <c r="E340" s="254" t="s">
        <v>905</v>
      </c>
      <c r="F340" s="248" t="s">
        <v>906</v>
      </c>
      <c r="G340" s="197" t="s">
        <v>496</v>
      </c>
      <c r="H340" s="198">
        <f t="shared" si="7"/>
        <v>11</v>
      </c>
      <c r="I340" s="197">
        <v>1401</v>
      </c>
      <c r="J340" s="197"/>
      <c r="K340" s="255">
        <v>100000000</v>
      </c>
      <c r="L340" s="256"/>
    </row>
    <row r="341" spans="1:12" ht="15.75" customHeight="1">
      <c r="A341" s="194" t="s">
        <v>458</v>
      </c>
      <c r="B341" s="196">
        <f>SUMIFS('لیست واریزی کل خیرین'!B:B,'لیست واریزی کل خیرین'!D:D,Table1[[#This Row],[نام]],'لیست واریزی کل خیرین'!E:E,Table1[[#This Row],[نام خانوادگی]])</f>
        <v>85</v>
      </c>
      <c r="C341" s="137" t="s">
        <v>916</v>
      </c>
      <c r="D341" s="137" t="s">
        <v>917</v>
      </c>
      <c r="E341" s="254" t="s">
        <v>918</v>
      </c>
      <c r="F341" s="248" t="s">
        <v>919</v>
      </c>
      <c r="G341" s="197" t="s">
        <v>496</v>
      </c>
      <c r="H341" s="198">
        <f t="shared" si="7"/>
        <v>11</v>
      </c>
      <c r="I341" s="197">
        <v>1401</v>
      </c>
      <c r="J341" s="197"/>
      <c r="K341" s="255">
        <v>30000000</v>
      </c>
      <c r="L341" s="256"/>
    </row>
    <row r="342" spans="1:12" ht="15.75" customHeight="1">
      <c r="A342" s="194" t="s">
        <v>458</v>
      </c>
      <c r="B342" s="235">
        <f>SUMIFS('لیست واریزی کل خیرین'!B:B,'لیست واریزی کل خیرین'!D:D,Table1[[#This Row],[نام]],'لیست واریزی کل خیرین'!E:E,Table1[[#This Row],[نام خانوادگی]])</f>
        <v>23</v>
      </c>
      <c r="C342" s="137" t="s">
        <v>588</v>
      </c>
      <c r="D342" s="137" t="s">
        <v>521</v>
      </c>
      <c r="E342" s="371" t="s">
        <v>1265</v>
      </c>
      <c r="F342" s="249" t="s">
        <v>687</v>
      </c>
      <c r="G342" s="241" t="s">
        <v>496</v>
      </c>
      <c r="H342" s="237">
        <f t="shared" si="7"/>
        <v>11</v>
      </c>
      <c r="I342" s="241">
        <v>1401</v>
      </c>
      <c r="J342" s="236"/>
      <c r="K342" s="238">
        <v>10000000</v>
      </c>
      <c r="L342" s="368" t="s">
        <v>1266</v>
      </c>
    </row>
    <row r="343" spans="1:12" ht="15.75" customHeight="1">
      <c r="A343" s="194"/>
      <c r="B343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343" s="137" t="s">
        <v>475</v>
      </c>
      <c r="D343" s="137" t="s">
        <v>476</v>
      </c>
      <c r="E343" s="254" t="s">
        <v>1268</v>
      </c>
      <c r="F343" s="243" t="s">
        <v>867</v>
      </c>
      <c r="G343" s="236" t="s">
        <v>496</v>
      </c>
      <c r="H343" s="138">
        <f t="shared" si="7"/>
        <v>11</v>
      </c>
      <c r="I343" s="197">
        <v>1401</v>
      </c>
      <c r="J343" s="137"/>
      <c r="K343" s="139">
        <v>5000000</v>
      </c>
      <c r="L343" s="240" t="s">
        <v>1282</v>
      </c>
    </row>
    <row r="344" spans="1:12" ht="15.75" customHeight="1">
      <c r="A344" s="194"/>
      <c r="B344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344" s="137" t="s">
        <v>503</v>
      </c>
      <c r="D344" s="137" t="s">
        <v>504</v>
      </c>
      <c r="E344" s="254" t="s">
        <v>1283</v>
      </c>
      <c r="F344" s="249" t="s">
        <v>1287</v>
      </c>
      <c r="G344" s="236" t="s">
        <v>496</v>
      </c>
      <c r="H344" s="237">
        <f t="shared" si="7"/>
        <v>11</v>
      </c>
      <c r="I344" s="241">
        <v>1401</v>
      </c>
      <c r="J344" s="236"/>
      <c r="K344" s="238">
        <v>10000000</v>
      </c>
      <c r="L344" s="240" t="s">
        <v>1298</v>
      </c>
    </row>
    <row r="345" spans="1:12" ht="15.75" customHeight="1">
      <c r="A345" s="194"/>
      <c r="B345" s="133">
        <f>SUMIFS('لیست واریزی کل خیرین'!B:B,'لیست واریزی کل خیرین'!D:D,Table1[[#This Row],[نام]],'لیست واریزی کل خیرین'!E:E,Table1[[#This Row],[نام خانوادگی]])</f>
        <v>25</v>
      </c>
      <c r="C345" s="137" t="s">
        <v>532</v>
      </c>
      <c r="D345" s="137" t="s">
        <v>533</v>
      </c>
      <c r="E345" s="135" t="s">
        <v>923</v>
      </c>
      <c r="F345" s="243" t="s">
        <v>569</v>
      </c>
      <c r="G345" s="137" t="s">
        <v>499</v>
      </c>
      <c r="H345" s="138">
        <f t="shared" si="7"/>
        <v>12</v>
      </c>
      <c r="I345" s="137">
        <v>1401</v>
      </c>
      <c r="J345" s="137"/>
      <c r="K345" s="139">
        <v>30000000</v>
      </c>
      <c r="L345" s="240"/>
    </row>
    <row r="346" spans="1:12" ht="15.75" customHeight="1">
      <c r="A346" s="194" t="s">
        <v>458</v>
      </c>
      <c r="B346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346" s="137" t="s">
        <v>838</v>
      </c>
      <c r="D346" s="137" t="s">
        <v>839</v>
      </c>
      <c r="E346" s="369" t="s">
        <v>927</v>
      </c>
      <c r="F346" s="249" t="s">
        <v>841</v>
      </c>
      <c r="G346" s="236" t="s">
        <v>499</v>
      </c>
      <c r="H346" s="237">
        <f t="shared" si="7"/>
        <v>12</v>
      </c>
      <c r="I346" s="137">
        <v>1401</v>
      </c>
      <c r="J346" s="236"/>
      <c r="K346" s="238">
        <v>5000000</v>
      </c>
      <c r="L346" s="372"/>
    </row>
    <row r="347" spans="1:12" ht="15.75" customHeight="1">
      <c r="A347" s="194"/>
      <c r="B347" s="133">
        <f>SUMIFS('لیست واریزی کل خیرین'!B:B,'لیست واریزی کل خیرین'!D:D,Table1[[#This Row],[نام]],'لیست واریزی کل خیرین'!E:E,Table1[[#This Row],[نام خانوادگی]])</f>
        <v>81</v>
      </c>
      <c r="C347" s="137" t="s">
        <v>890</v>
      </c>
      <c r="D347" s="137" t="s">
        <v>891</v>
      </c>
      <c r="E347" s="135" t="s">
        <v>927</v>
      </c>
      <c r="F347" s="243" t="s">
        <v>893</v>
      </c>
      <c r="G347" s="137" t="s">
        <v>499</v>
      </c>
      <c r="H347" s="138">
        <f t="shared" si="7"/>
        <v>12</v>
      </c>
      <c r="I347" s="137">
        <v>1401</v>
      </c>
      <c r="J347" s="137"/>
      <c r="K347" s="139">
        <v>2500000</v>
      </c>
      <c r="L347" s="240"/>
    </row>
    <row r="348" spans="1:12" ht="15.75" customHeight="1">
      <c r="A348" s="194"/>
      <c r="B348" s="133">
        <f>SUMIFS('لیست واریزی کل خیرین'!B:B,'لیست واریزی کل خیرین'!D:D,Table1[[#This Row],[نام]],'لیست واریزی کل خیرین'!E:E,Table1[[#This Row],[نام خانوادگی]])</f>
        <v>59</v>
      </c>
      <c r="C348" s="134" t="s">
        <v>695</v>
      </c>
      <c r="D348" s="134" t="s">
        <v>696</v>
      </c>
      <c r="E348" s="135" t="s">
        <v>925</v>
      </c>
      <c r="F348" s="243" t="s">
        <v>697</v>
      </c>
      <c r="G348" s="137" t="s">
        <v>499</v>
      </c>
      <c r="H348" s="138">
        <f t="shared" si="7"/>
        <v>12</v>
      </c>
      <c r="I348" s="137">
        <v>1401</v>
      </c>
      <c r="J348" s="137"/>
      <c r="K348" s="139">
        <v>3000000</v>
      </c>
      <c r="L348" s="240"/>
    </row>
    <row r="349" spans="1:12" ht="15.75" customHeight="1">
      <c r="A349" s="194" t="s">
        <v>458</v>
      </c>
      <c r="B349" s="133">
        <f>SUMIFS('لیست واریزی کل خیرین'!B:B,'لیست واریزی کل خیرین'!D:D,Table1[[#This Row],[نام]],'لیست واریزی کل خیرین'!E:E,Table1[[#This Row],[نام خانوادگی]])</f>
        <v>13</v>
      </c>
      <c r="C349" s="141" t="s">
        <v>486</v>
      </c>
      <c r="D349" s="141" t="s">
        <v>500</v>
      </c>
      <c r="E349" s="135" t="s">
        <v>684</v>
      </c>
      <c r="F349" s="243" t="s">
        <v>685</v>
      </c>
      <c r="G349" s="197" t="s">
        <v>499</v>
      </c>
      <c r="H349" s="138">
        <f t="shared" si="7"/>
        <v>12</v>
      </c>
      <c r="I349" s="137">
        <v>1401</v>
      </c>
      <c r="J349" s="142"/>
      <c r="K349" s="139">
        <v>2500000</v>
      </c>
      <c r="L349" s="421" t="s">
        <v>686</v>
      </c>
    </row>
    <row r="350" spans="1:12" ht="15.75" customHeight="1">
      <c r="A350" s="194"/>
      <c r="B350" s="196">
        <f>SUMIFS('لیست واریزی کل خیرین'!B:B,'لیست واریزی کل خیرین'!D:D,Table1[[#This Row],[نام]],'لیست واریزی کل خیرین'!E:E,Table1[[#This Row],[نام خانوادگی]])</f>
        <v>72</v>
      </c>
      <c r="C350" s="197" t="s">
        <v>588</v>
      </c>
      <c r="D350" s="197" t="s">
        <v>817</v>
      </c>
      <c r="E350" s="254" t="s">
        <v>925</v>
      </c>
      <c r="F350" s="248" t="s">
        <v>926</v>
      </c>
      <c r="G350" s="197" t="s">
        <v>499</v>
      </c>
      <c r="H350" s="198">
        <f t="shared" si="7"/>
        <v>12</v>
      </c>
      <c r="I350" s="197">
        <v>1401</v>
      </c>
      <c r="J350" s="197"/>
      <c r="K350" s="255">
        <v>10000000</v>
      </c>
      <c r="L350" s="256"/>
    </row>
    <row r="351" spans="1:12" ht="15.75" customHeight="1">
      <c r="A351" s="194"/>
      <c r="B351" s="196">
        <f>SUMIFS('لیست واریزی کل خیرین'!B:B,'لیست واریزی کل خیرین'!D:D,Table1[[#This Row],[نام]],'لیست واریزی کل خیرین'!E:E,Table1[[#This Row],[نام خانوادگی]])</f>
        <v>60</v>
      </c>
      <c r="C351" s="197" t="s">
        <v>650</v>
      </c>
      <c r="D351" s="197" t="s">
        <v>698</v>
      </c>
      <c r="E351" s="254" t="s">
        <v>922</v>
      </c>
      <c r="F351" s="248" t="s">
        <v>699</v>
      </c>
      <c r="G351" s="137" t="s">
        <v>499</v>
      </c>
      <c r="H351" s="198">
        <f t="shared" si="7"/>
        <v>12</v>
      </c>
      <c r="I351" s="197">
        <v>1401</v>
      </c>
      <c r="J351" s="197"/>
      <c r="K351" s="255">
        <v>30000000</v>
      </c>
      <c r="L351" s="256"/>
    </row>
    <row r="352" spans="1:12" ht="15.75" customHeight="1">
      <c r="A352" s="194" t="s">
        <v>458</v>
      </c>
      <c r="B352" s="133">
        <f>SUMIFS('لیست واریزی کل خیرین'!B:B,'لیست واریزی کل خیرین'!D:D,Table1[[#This Row],[نام]],'لیست واریزی کل خیرین'!E:E,Table1[[#This Row],[نام خانوادگی]])</f>
        <v>85</v>
      </c>
      <c r="C352" s="137" t="s">
        <v>916</v>
      </c>
      <c r="D352" s="137" t="s">
        <v>917</v>
      </c>
      <c r="E352" s="135" t="s">
        <v>923</v>
      </c>
      <c r="F352" s="243" t="s">
        <v>919</v>
      </c>
      <c r="G352" s="137" t="s">
        <v>499</v>
      </c>
      <c r="H352" s="138">
        <f t="shared" si="7"/>
        <v>12</v>
      </c>
      <c r="I352" s="137">
        <v>1401</v>
      </c>
      <c r="J352" s="137"/>
      <c r="K352" s="139">
        <v>20000000</v>
      </c>
      <c r="L352" s="240"/>
    </row>
    <row r="353" spans="1:12" ht="15.75" customHeight="1">
      <c r="A353" s="194" t="s">
        <v>458</v>
      </c>
      <c r="B353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353" s="137" t="s">
        <v>480</v>
      </c>
      <c r="D353" s="137" t="s">
        <v>481</v>
      </c>
      <c r="E353" s="135" t="s">
        <v>1261</v>
      </c>
      <c r="F353" s="243" t="s">
        <v>579</v>
      </c>
      <c r="G353" s="236" t="s">
        <v>499</v>
      </c>
      <c r="H353" s="138">
        <f t="shared" si="7"/>
        <v>12</v>
      </c>
      <c r="I353" s="137">
        <v>1401</v>
      </c>
      <c r="J353" s="137"/>
      <c r="K353" s="139">
        <v>10000000</v>
      </c>
      <c r="L353" s="372"/>
    </row>
    <row r="354" spans="1:12" ht="15.75" customHeight="1">
      <c r="A354" s="194" t="s">
        <v>458</v>
      </c>
      <c r="B354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354" s="137" t="s">
        <v>486</v>
      </c>
      <c r="D354" s="137" t="s">
        <v>487</v>
      </c>
      <c r="E354" s="135" t="s">
        <v>1262</v>
      </c>
      <c r="F354" s="243" t="s">
        <v>595</v>
      </c>
      <c r="G354" s="236" t="s">
        <v>499</v>
      </c>
      <c r="H354" s="138">
        <f t="shared" si="7"/>
        <v>12</v>
      </c>
      <c r="I354" s="197">
        <v>1401</v>
      </c>
      <c r="J354" s="137"/>
      <c r="K354" s="139">
        <v>20000000</v>
      </c>
      <c r="L354" s="240" t="s">
        <v>1299</v>
      </c>
    </row>
    <row r="355" spans="1:12" ht="15.75" customHeight="1">
      <c r="A355" s="194" t="s">
        <v>458</v>
      </c>
      <c r="B355" s="235">
        <f>SUMIFS('لیست واریزی کل خیرین'!B:B,'لیست واریزی کل خیرین'!D:D,Table1[[#This Row],[نام]],'لیست واریزی کل خیرین'!E:E,Table1[[#This Row],[نام خانوادگی]])</f>
        <v>70</v>
      </c>
      <c r="C355" s="137" t="s">
        <v>203</v>
      </c>
      <c r="D355" s="137" t="s">
        <v>813</v>
      </c>
      <c r="E355" s="135" t="s">
        <v>1263</v>
      </c>
      <c r="F355" s="243" t="s">
        <v>848</v>
      </c>
      <c r="G355" s="236" t="s">
        <v>499</v>
      </c>
      <c r="H355" s="138">
        <f t="shared" si="7"/>
        <v>12</v>
      </c>
      <c r="I355" s="197">
        <v>1401</v>
      </c>
      <c r="J355" s="137"/>
      <c r="K355" s="139">
        <v>10000000</v>
      </c>
      <c r="L355" s="372"/>
    </row>
    <row r="356" spans="1:12" ht="15.75" customHeight="1">
      <c r="A356" s="194" t="s">
        <v>458</v>
      </c>
      <c r="B356" s="235">
        <f>SUMIFS('لیست واریزی کل خیرین'!B:B,'لیست واریزی کل خیرین'!D:D,Table1[[#This Row],[نام]],'لیست واریزی کل خیرین'!E:E,Table1[[#This Row],[نام خانوادگی]])</f>
        <v>86</v>
      </c>
      <c r="C356" s="358" t="s">
        <v>543</v>
      </c>
      <c r="D356" s="358" t="s">
        <v>1267</v>
      </c>
      <c r="E356" s="369" t="s">
        <v>1268</v>
      </c>
      <c r="F356" s="249" t="s">
        <v>1269</v>
      </c>
      <c r="G356" s="236" t="s">
        <v>499</v>
      </c>
      <c r="H356" s="237">
        <f t="shared" si="7"/>
        <v>12</v>
      </c>
      <c r="I356" s="241">
        <v>1401</v>
      </c>
      <c r="J356" s="236"/>
      <c r="K356" s="238">
        <v>20000000</v>
      </c>
      <c r="L356" s="372" t="s">
        <v>1270</v>
      </c>
    </row>
    <row r="357" spans="1:12" ht="15.75" customHeight="1">
      <c r="A357" s="194"/>
      <c r="B357" s="235">
        <f>SUMIFS('لیست واریزی کل خیرین'!B:B,'لیست واریزی کل خیرین'!D:D,Table1[[#This Row],[نام]],'لیست واریزی کل خیرین'!E:E,Table1[[#This Row],[نام خانوادگی]])</f>
        <v>11</v>
      </c>
      <c r="C357" s="137" t="s">
        <v>494</v>
      </c>
      <c r="D357" s="137" t="s">
        <v>495</v>
      </c>
      <c r="E357" s="135" t="s">
        <v>1258</v>
      </c>
      <c r="F357" s="243" t="s">
        <v>573</v>
      </c>
      <c r="G357" s="236" t="s">
        <v>499</v>
      </c>
      <c r="H357" s="138">
        <f t="shared" si="7"/>
        <v>12</v>
      </c>
      <c r="I357" s="197">
        <v>1401</v>
      </c>
      <c r="J357" s="137"/>
      <c r="K357" s="139">
        <v>30000000</v>
      </c>
      <c r="L357" s="372"/>
    </row>
    <row r="358" spans="1:12" ht="15.75" customHeight="1">
      <c r="A358" s="194"/>
      <c r="B358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358" s="137" t="s">
        <v>475</v>
      </c>
      <c r="D358" s="137" t="s">
        <v>476</v>
      </c>
      <c r="E358" s="135" t="s">
        <v>1268</v>
      </c>
      <c r="F358" s="243" t="s">
        <v>867</v>
      </c>
      <c r="G358" s="236" t="s">
        <v>499</v>
      </c>
      <c r="H358" s="138">
        <f t="shared" si="7"/>
        <v>12</v>
      </c>
      <c r="I358" s="197">
        <v>1401</v>
      </c>
      <c r="J358" s="137"/>
      <c r="K358" s="139">
        <v>5000000</v>
      </c>
      <c r="L358" s="256" t="s">
        <v>1282</v>
      </c>
    </row>
    <row r="359" spans="1:12" ht="15.75" customHeight="1">
      <c r="A359" s="194"/>
      <c r="B359" s="235">
        <f>SUMIFS('لیست واریزی کل خیرین'!B:B,'لیست واریزی کل خیرین'!D:D,Table1[[#This Row],[نام]],'لیست واریزی کل خیرین'!E:E,Table1[[#This Row],[نام خانوادگی]])</f>
        <v>87</v>
      </c>
      <c r="C359" s="137" t="s">
        <v>507</v>
      </c>
      <c r="D359" s="137" t="s">
        <v>1284</v>
      </c>
      <c r="E359" s="135" t="s">
        <v>1283</v>
      </c>
      <c r="F359" s="249" t="s">
        <v>1285</v>
      </c>
      <c r="G359" s="236" t="s">
        <v>499</v>
      </c>
      <c r="H359" s="237">
        <f t="shared" si="7"/>
        <v>12</v>
      </c>
      <c r="I359" s="241">
        <v>1401</v>
      </c>
      <c r="J359" s="236"/>
      <c r="K359" s="238">
        <v>100000000</v>
      </c>
      <c r="L359" s="372" t="s">
        <v>1286</v>
      </c>
    </row>
    <row r="360" spans="1:12" ht="15.75" customHeight="1">
      <c r="A360" s="194"/>
      <c r="B360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360" s="137" t="s">
        <v>503</v>
      </c>
      <c r="D360" s="137" t="s">
        <v>504</v>
      </c>
      <c r="E360" s="135" t="s">
        <v>1283</v>
      </c>
      <c r="F360" s="249" t="s">
        <v>1287</v>
      </c>
      <c r="G360" s="236" t="s">
        <v>499</v>
      </c>
      <c r="H360" s="237">
        <f t="shared" si="7"/>
        <v>12</v>
      </c>
      <c r="I360" s="241">
        <v>1401</v>
      </c>
      <c r="J360" s="236"/>
      <c r="K360" s="238">
        <v>20000000</v>
      </c>
      <c r="L360" s="240" t="s">
        <v>1298</v>
      </c>
    </row>
    <row r="361" spans="1:12" ht="15.75" customHeight="1">
      <c r="A361" s="194"/>
      <c r="B361" s="235">
        <f>SUMIFS('لیست واریزی کل خیرین'!B:B,'لیست واریزی کل خیرین'!D:D,Table1[[#This Row],[نام]],'لیست واریزی کل خیرین'!E:E,Table1[[#This Row],[نام خانوادگی]])</f>
        <v>16</v>
      </c>
      <c r="C361" s="137" t="s">
        <v>497</v>
      </c>
      <c r="D361" s="137" t="s">
        <v>505</v>
      </c>
      <c r="E361" s="135" t="s">
        <v>1288</v>
      </c>
      <c r="F361" s="249" t="s">
        <v>835</v>
      </c>
      <c r="G361" s="236" t="s">
        <v>499</v>
      </c>
      <c r="H361" s="237">
        <f t="shared" si="7"/>
        <v>12</v>
      </c>
      <c r="I361" s="236">
        <v>1401</v>
      </c>
      <c r="J361" s="236"/>
      <c r="K361" s="238">
        <v>3000000</v>
      </c>
      <c r="L361" s="425" t="s">
        <v>1471</v>
      </c>
    </row>
    <row r="362" spans="1:12" ht="15.75" customHeight="1">
      <c r="A362" s="194"/>
      <c r="B362" s="235">
        <f>SUMIFS('لیست واریزی کل خیرین'!B:B,'لیست واریزی کل خیرین'!D:D,Table1[[#This Row],[نام]],'لیست واریزی کل خیرین'!E:E,Table1[[#This Row],[نام خانوادگی]])</f>
        <v>69</v>
      </c>
      <c r="C362" s="137" t="s">
        <v>810</v>
      </c>
      <c r="D362" s="137" t="s">
        <v>811</v>
      </c>
      <c r="E362" s="135" t="s">
        <v>1288</v>
      </c>
      <c r="F362" s="249" t="s">
        <v>1289</v>
      </c>
      <c r="G362" s="236" t="s">
        <v>499</v>
      </c>
      <c r="H362" s="237">
        <f t="shared" si="7"/>
        <v>12</v>
      </c>
      <c r="I362" s="241">
        <v>1401</v>
      </c>
      <c r="J362" s="236"/>
      <c r="K362" s="238">
        <v>5000000</v>
      </c>
      <c r="L362" s="368"/>
    </row>
    <row r="363" spans="1:12" ht="15.75" customHeight="1">
      <c r="A363" s="194"/>
      <c r="B363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363" s="137" t="s">
        <v>471</v>
      </c>
      <c r="D363" s="137" t="s">
        <v>472</v>
      </c>
      <c r="E363" s="135" t="s">
        <v>1288</v>
      </c>
      <c r="F363" s="249" t="s">
        <v>1291</v>
      </c>
      <c r="G363" s="236" t="s">
        <v>499</v>
      </c>
      <c r="H363" s="237">
        <f t="shared" si="7"/>
        <v>12</v>
      </c>
      <c r="I363" s="241">
        <v>1401</v>
      </c>
      <c r="J363" s="236"/>
      <c r="K363" s="238">
        <v>2000000</v>
      </c>
      <c r="L363" s="368"/>
    </row>
    <row r="364" spans="1:12" ht="15.75" customHeight="1">
      <c r="A364" s="194"/>
      <c r="B364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364" s="137" t="s">
        <v>471</v>
      </c>
      <c r="D364" s="137" t="s">
        <v>472</v>
      </c>
      <c r="E364" s="135" t="s">
        <v>1288</v>
      </c>
      <c r="F364" s="249" t="s">
        <v>1291</v>
      </c>
      <c r="G364" s="236" t="s">
        <v>499</v>
      </c>
      <c r="H364" s="237">
        <f t="shared" si="7"/>
        <v>12</v>
      </c>
      <c r="I364" s="241">
        <v>1401</v>
      </c>
      <c r="J364" s="236"/>
      <c r="K364" s="238">
        <v>5000000</v>
      </c>
      <c r="L364" s="368" t="s">
        <v>1292</v>
      </c>
    </row>
    <row r="365" spans="1:12" ht="15.75" customHeight="1">
      <c r="A365" s="194"/>
      <c r="B365" s="235">
        <f>SUMIFS('لیست واریزی کل خیرین'!B:B,'لیست واریزی کل خیرین'!D:D,Table1[[#This Row],[نام]],'لیست واریزی کل خیرین'!E:E,Table1[[#This Row],[نام خانوادگی]])</f>
        <v>55</v>
      </c>
      <c r="C365" s="137" t="s">
        <v>549</v>
      </c>
      <c r="D365" s="137" t="s">
        <v>1293</v>
      </c>
      <c r="E365" s="135" t="s">
        <v>1288</v>
      </c>
      <c r="F365" s="249" t="s">
        <v>1294</v>
      </c>
      <c r="G365" s="236" t="s">
        <v>499</v>
      </c>
      <c r="H365" s="237">
        <f t="shared" si="7"/>
        <v>12</v>
      </c>
      <c r="I365" s="241">
        <v>1401</v>
      </c>
      <c r="J365" s="236"/>
      <c r="K365" s="238">
        <v>3000000</v>
      </c>
      <c r="L365" s="368" t="s">
        <v>1292</v>
      </c>
    </row>
    <row r="366" spans="1:12" ht="15.75" customHeight="1">
      <c r="A366" s="194"/>
      <c r="B366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366" s="137" t="s">
        <v>480</v>
      </c>
      <c r="D366" s="137" t="s">
        <v>481</v>
      </c>
      <c r="E366" s="135" t="s">
        <v>1295</v>
      </c>
      <c r="F366" s="249" t="s">
        <v>1296</v>
      </c>
      <c r="G366" s="236" t="s">
        <v>499</v>
      </c>
      <c r="H366" s="237">
        <f t="shared" si="7"/>
        <v>12</v>
      </c>
      <c r="I366" s="241">
        <v>1401</v>
      </c>
      <c r="J366" s="236"/>
      <c r="K366" s="238">
        <v>50000000</v>
      </c>
      <c r="L366" s="368" t="s">
        <v>1292</v>
      </c>
    </row>
    <row r="367" spans="1:12" ht="15.75" customHeight="1">
      <c r="A367" s="194"/>
      <c r="B367" s="235">
        <f>SUMIFS('لیست واریزی کل خیرین'!B:B,'لیست واریزی کل خیرین'!D:D,Table1[[#This Row],[نام]],'لیست واریزی کل خیرین'!E:E,Table1[[#This Row],[نام خانوادگی]])</f>
        <v>34</v>
      </c>
      <c r="C367" s="137" t="s">
        <v>588</v>
      </c>
      <c r="D367" s="137" t="s">
        <v>589</v>
      </c>
      <c r="E367" s="135" t="s">
        <v>1295</v>
      </c>
      <c r="F367" s="249" t="s">
        <v>837</v>
      </c>
      <c r="G367" s="236" t="s">
        <v>499</v>
      </c>
      <c r="H367" s="237">
        <f t="shared" si="7"/>
        <v>12</v>
      </c>
      <c r="I367" s="241">
        <v>1401</v>
      </c>
      <c r="J367" s="236"/>
      <c r="K367" s="238">
        <v>5000000</v>
      </c>
      <c r="L367" s="368" t="s">
        <v>1292</v>
      </c>
    </row>
    <row r="368" spans="1:12" ht="15.75" customHeight="1">
      <c r="A368" s="194"/>
      <c r="B368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368" s="137" t="s">
        <v>596</v>
      </c>
      <c r="D368" s="137" t="s">
        <v>597</v>
      </c>
      <c r="E368" s="135" t="s">
        <v>1295</v>
      </c>
      <c r="F368" s="249" t="s">
        <v>598</v>
      </c>
      <c r="G368" s="236" t="s">
        <v>499</v>
      </c>
      <c r="H368" s="237">
        <f t="shared" si="7"/>
        <v>12</v>
      </c>
      <c r="I368" s="241">
        <v>1401</v>
      </c>
      <c r="J368" s="236"/>
      <c r="K368" s="238">
        <v>8000000</v>
      </c>
      <c r="L368" s="368" t="s">
        <v>1297</v>
      </c>
    </row>
    <row r="369" spans="1:13" ht="15.75" customHeight="1">
      <c r="A369" s="194"/>
      <c r="B369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369" s="137" t="s">
        <v>503</v>
      </c>
      <c r="D369" s="137" t="s">
        <v>504</v>
      </c>
      <c r="E369" s="135" t="s">
        <v>1295</v>
      </c>
      <c r="F369" s="249" t="s">
        <v>1287</v>
      </c>
      <c r="G369" s="236" t="s">
        <v>499</v>
      </c>
      <c r="H369" s="237">
        <f t="shared" si="7"/>
        <v>12</v>
      </c>
      <c r="I369" s="236">
        <v>1401</v>
      </c>
      <c r="J369" s="236"/>
      <c r="K369" s="238">
        <v>30000000</v>
      </c>
      <c r="L369" s="368" t="s">
        <v>1292</v>
      </c>
    </row>
    <row r="370" spans="1:13" ht="15.75" customHeight="1">
      <c r="A370" s="194"/>
      <c r="B370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370" s="137" t="s">
        <v>518</v>
      </c>
      <c r="D370" s="137" t="s">
        <v>519</v>
      </c>
      <c r="E370" s="135" t="s">
        <v>1300</v>
      </c>
      <c r="F370" s="249" t="s">
        <v>1310</v>
      </c>
      <c r="G370" s="236" t="s">
        <v>499</v>
      </c>
      <c r="H370" s="237">
        <f t="shared" si="7"/>
        <v>12</v>
      </c>
      <c r="I370" s="236">
        <v>1401</v>
      </c>
      <c r="J370" s="236"/>
      <c r="K370" s="238">
        <v>5000000</v>
      </c>
      <c r="L370" s="368"/>
    </row>
    <row r="371" spans="1:13" ht="15.75" customHeight="1">
      <c r="A371" s="194"/>
      <c r="B371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371" s="137" t="s">
        <v>464</v>
      </c>
      <c r="D371" s="152" t="s">
        <v>465</v>
      </c>
      <c r="E371" s="135" t="s">
        <v>1300</v>
      </c>
      <c r="F371" s="249" t="s">
        <v>835</v>
      </c>
      <c r="G371" s="236" t="s">
        <v>499</v>
      </c>
      <c r="H371" s="237">
        <f t="shared" si="7"/>
        <v>12</v>
      </c>
      <c r="I371" s="241">
        <v>1401</v>
      </c>
      <c r="J371" s="236"/>
      <c r="K371" s="238">
        <v>70000000</v>
      </c>
      <c r="L371" s="372"/>
    </row>
    <row r="372" spans="1:13" ht="15.75" customHeight="1">
      <c r="A372" s="194"/>
      <c r="B372" s="235">
        <f>SUMIFS('لیست واریزی کل خیرین'!B:B,'لیست واریزی کل خیرین'!D:D,Table1[[#This Row],[نام]],'لیست واریزی کل خیرین'!E:E,Table1[[#This Row],[نام خانوادگی]])</f>
        <v>88</v>
      </c>
      <c r="C372" s="137" t="s">
        <v>207</v>
      </c>
      <c r="D372" s="137" t="s">
        <v>1462</v>
      </c>
      <c r="E372" s="135" t="s">
        <v>1300</v>
      </c>
      <c r="F372" s="249" t="s">
        <v>895</v>
      </c>
      <c r="G372" s="236" t="s">
        <v>499</v>
      </c>
      <c r="H372" s="237">
        <f t="shared" si="7"/>
        <v>12</v>
      </c>
      <c r="I372" s="241">
        <v>1401</v>
      </c>
      <c r="J372" s="236"/>
      <c r="K372" s="238">
        <v>3000000</v>
      </c>
      <c r="L372" s="256" t="s">
        <v>1301</v>
      </c>
    </row>
    <row r="373" spans="1:13" ht="15.75" customHeight="1">
      <c r="A373" s="194"/>
      <c r="B373" s="235">
        <f>SUMIFS('لیست واریزی کل خیرین'!B:B,'لیست واریزی کل خیرین'!D:D,Table1[[#This Row],[نام]],'لیست واریزی کل خیرین'!E:E,Table1[[#This Row],[نام خانوادگی]])</f>
        <v>88</v>
      </c>
      <c r="C373" s="137" t="s">
        <v>207</v>
      </c>
      <c r="D373" s="137" t="s">
        <v>1462</v>
      </c>
      <c r="E373" s="135" t="s">
        <v>1300</v>
      </c>
      <c r="F373" s="249" t="s">
        <v>895</v>
      </c>
      <c r="G373" s="236" t="s">
        <v>499</v>
      </c>
      <c r="H373" s="237">
        <f t="shared" si="7"/>
        <v>12</v>
      </c>
      <c r="I373" s="241">
        <v>1401</v>
      </c>
      <c r="J373" s="236"/>
      <c r="K373" s="238">
        <v>10000000</v>
      </c>
      <c r="L373" s="240" t="s">
        <v>1301</v>
      </c>
    </row>
    <row r="374" spans="1:13" ht="15.75" customHeight="1">
      <c r="A374" s="194"/>
      <c r="B374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374" s="137" t="s">
        <v>494</v>
      </c>
      <c r="D374" s="137" t="s">
        <v>511</v>
      </c>
      <c r="E374" s="135" t="s">
        <v>1302</v>
      </c>
      <c r="F374" s="249" t="s">
        <v>1312</v>
      </c>
      <c r="G374" s="236" t="s">
        <v>499</v>
      </c>
      <c r="H374" s="237">
        <f t="shared" si="7"/>
        <v>12</v>
      </c>
      <c r="I374" s="241">
        <v>1401</v>
      </c>
      <c r="J374" s="236"/>
      <c r="K374" s="238">
        <v>10000000</v>
      </c>
      <c r="L374" s="368" t="s">
        <v>1292</v>
      </c>
    </row>
    <row r="375" spans="1:13" ht="15.75" customHeight="1">
      <c r="A375" s="194"/>
      <c r="B375" s="235">
        <f>SUMIFS('لیست واریزی کل خیرین'!B:B,'لیست واریزی کل خیرین'!D:D,Table1[[#This Row],[نام]],'لیست واریزی کل خیرین'!E:E,Table1[[#This Row],[نام خانوادگی]])</f>
        <v>37</v>
      </c>
      <c r="C375" s="411" t="s">
        <v>612</v>
      </c>
      <c r="D375" s="411" t="s">
        <v>613</v>
      </c>
      <c r="E375" s="135" t="s">
        <v>1302</v>
      </c>
      <c r="F375" s="249" t="s">
        <v>1311</v>
      </c>
      <c r="G375" s="236" t="s">
        <v>499</v>
      </c>
      <c r="H375" s="237">
        <f t="shared" si="7"/>
        <v>12</v>
      </c>
      <c r="I375" s="236">
        <v>1401</v>
      </c>
      <c r="J375" s="236"/>
      <c r="K375" s="238">
        <v>5000000</v>
      </c>
      <c r="L375" s="368" t="s">
        <v>1292</v>
      </c>
    </row>
    <row r="376" spans="1:13" ht="15.75" customHeight="1">
      <c r="A376" s="194"/>
      <c r="B376" s="235">
        <f>SUMIFS('لیست واریزی کل خیرین'!B:B,'لیست واریزی کل خیرین'!D:D,Table1[[#This Row],[نام]],'لیست واریزی کل خیرین'!E:E,Table1[[#This Row],[نام خانوادگی]])</f>
        <v>90</v>
      </c>
      <c r="C376" s="375" t="s">
        <v>596</v>
      </c>
      <c r="D376" s="375" t="s">
        <v>1313</v>
      </c>
      <c r="E376" s="135" t="s">
        <v>1302</v>
      </c>
      <c r="F376" s="249" t="s">
        <v>1314</v>
      </c>
      <c r="G376" s="236" t="s">
        <v>499</v>
      </c>
      <c r="H376" s="237">
        <f t="shared" si="7"/>
        <v>12</v>
      </c>
      <c r="I376" s="236">
        <v>1401</v>
      </c>
      <c r="J376" s="236"/>
      <c r="K376" s="238">
        <v>20000000</v>
      </c>
      <c r="L376" s="368"/>
    </row>
    <row r="377" spans="1:13" ht="15.75" customHeight="1">
      <c r="A377" s="194"/>
      <c r="B377" s="235">
        <f>SUMIFS('لیست واریزی کل خیرین'!B:B,'لیست واریزی کل خیرین'!D:D,Table1[[#This Row],[نام]],'لیست واریزی کل خیرین'!E:E,Table1[[#This Row],[نام خانوادگی]])</f>
        <v>91</v>
      </c>
      <c r="C377" s="375" t="s">
        <v>1315</v>
      </c>
      <c r="D377" s="375" t="s">
        <v>1316</v>
      </c>
      <c r="E377" s="135" t="s">
        <v>1302</v>
      </c>
      <c r="F377" s="249" t="s">
        <v>835</v>
      </c>
      <c r="G377" s="236" t="s">
        <v>499</v>
      </c>
      <c r="H377" s="237">
        <f t="shared" si="7"/>
        <v>12</v>
      </c>
      <c r="I377" s="236">
        <v>1401</v>
      </c>
      <c r="J377" s="236"/>
      <c r="K377" s="238">
        <v>5000000</v>
      </c>
      <c r="L377" s="368"/>
    </row>
    <row r="378" spans="1:13" ht="15.75" customHeight="1">
      <c r="A378" s="194"/>
      <c r="B378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378" s="134" t="s">
        <v>522</v>
      </c>
      <c r="D378" s="134" t="s">
        <v>523</v>
      </c>
      <c r="E378" s="135" t="s">
        <v>1303</v>
      </c>
      <c r="F378" s="243" t="s">
        <v>1476</v>
      </c>
      <c r="G378" s="137" t="s">
        <v>499</v>
      </c>
      <c r="H378" s="138">
        <f>IF(G378="","",VLOOKUP(G378,mah,2,0))</f>
        <v>12</v>
      </c>
      <c r="I378" s="137">
        <v>1401</v>
      </c>
      <c r="J378" s="137"/>
      <c r="K378" s="139">
        <v>18131471</v>
      </c>
      <c r="L378" s="253"/>
      <c r="M378" s="426"/>
    </row>
    <row r="379" spans="1:13" ht="15.75" customHeight="1">
      <c r="A379" s="194"/>
      <c r="B379" s="235">
        <f>SUMIFS('لیست واریزی کل خیرین'!B:B,'لیست واریزی کل خیرین'!D:D,Table1[[#This Row],[نام]],'لیست واریزی کل خیرین'!E:E,Table1[[#This Row],[نام خانوادگی]])</f>
        <v>92</v>
      </c>
      <c r="C379" s="197" t="s">
        <v>1317</v>
      </c>
      <c r="D379" s="197" t="s">
        <v>1318</v>
      </c>
      <c r="E379" s="135" t="s">
        <v>1303</v>
      </c>
      <c r="F379" s="365" t="s">
        <v>1319</v>
      </c>
      <c r="G379" s="241" t="s">
        <v>499</v>
      </c>
      <c r="H379" s="366">
        <f t="shared" si="7"/>
        <v>12</v>
      </c>
      <c r="I379" s="241">
        <v>1401</v>
      </c>
      <c r="J379" s="241"/>
      <c r="K379" s="367">
        <v>20000000</v>
      </c>
      <c r="L379" s="368"/>
    </row>
    <row r="380" spans="1:13" ht="15.75" customHeight="1">
      <c r="A380" s="194"/>
      <c r="B380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380" s="410" t="s">
        <v>489</v>
      </c>
      <c r="D380" s="410" t="s">
        <v>490</v>
      </c>
      <c r="E380" s="135" t="s">
        <v>1303</v>
      </c>
      <c r="F380" s="249" t="s">
        <v>835</v>
      </c>
      <c r="G380" s="236" t="s">
        <v>499</v>
      </c>
      <c r="H380" s="237">
        <f t="shared" si="7"/>
        <v>12</v>
      </c>
      <c r="I380" s="236">
        <v>1401</v>
      </c>
      <c r="J380" s="236"/>
      <c r="K380" s="367">
        <v>150000000</v>
      </c>
      <c r="L380" s="368"/>
    </row>
    <row r="381" spans="1:13" ht="15.75" customHeight="1">
      <c r="A381" s="194"/>
      <c r="B381" s="235">
        <f>SUMIFS('لیست واریزی کل خیرین'!B:B,'لیست واریزی کل خیرین'!D:D,Table1[[#This Row],[نام]],'لیست واریزی کل خیرین'!E:E,Table1[[#This Row],[نام خانوادگی]])</f>
        <v>93</v>
      </c>
      <c r="C381" s="137" t="s">
        <v>1320</v>
      </c>
      <c r="D381" s="137" t="s">
        <v>1321</v>
      </c>
      <c r="E381" s="135" t="s">
        <v>1303</v>
      </c>
      <c r="F381" s="249" t="s">
        <v>1322</v>
      </c>
      <c r="G381" s="236" t="s">
        <v>499</v>
      </c>
      <c r="H381" s="237">
        <f t="shared" si="7"/>
        <v>12</v>
      </c>
      <c r="I381" s="241">
        <v>1401</v>
      </c>
      <c r="J381" s="236"/>
      <c r="K381" s="238">
        <v>15000000</v>
      </c>
      <c r="L381" s="368"/>
    </row>
    <row r="382" spans="1:13" ht="15.75" customHeight="1">
      <c r="A382" s="194"/>
      <c r="B382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382" s="137" t="s">
        <v>497</v>
      </c>
      <c r="D382" s="137" t="s">
        <v>513</v>
      </c>
      <c r="E382" s="135" t="s">
        <v>1304</v>
      </c>
      <c r="F382" s="249" t="s">
        <v>667</v>
      </c>
      <c r="G382" s="236" t="s">
        <v>499</v>
      </c>
      <c r="H382" s="237">
        <f t="shared" si="7"/>
        <v>12</v>
      </c>
      <c r="I382" s="241">
        <v>1401</v>
      </c>
      <c r="J382" s="236"/>
      <c r="K382" s="238">
        <v>20000000</v>
      </c>
      <c r="L382" s="368"/>
    </row>
    <row r="383" spans="1:13" ht="15.75" customHeight="1">
      <c r="A383" s="194"/>
      <c r="B383" s="364">
        <f>SUMIFS('لیست واریزی کل خیرین'!B:B,'لیست واریزی کل خیرین'!D:D,Table1[[#This Row],[نام]],'لیست واریزی کل خیرین'!E:E,Table1[[#This Row],[نام خانوادگی]])</f>
        <v>55</v>
      </c>
      <c r="C383" s="137" t="s">
        <v>549</v>
      </c>
      <c r="D383" s="137" t="s">
        <v>1293</v>
      </c>
      <c r="E383" s="135" t="s">
        <v>1304</v>
      </c>
      <c r="F383" s="365" t="s">
        <v>1323</v>
      </c>
      <c r="G383" s="241" t="s">
        <v>499</v>
      </c>
      <c r="H383" s="366">
        <f t="shared" si="7"/>
        <v>12</v>
      </c>
      <c r="I383" s="241">
        <v>1401</v>
      </c>
      <c r="J383" s="241"/>
      <c r="K383" s="367">
        <v>3000000</v>
      </c>
      <c r="L383" s="372" t="s">
        <v>1292</v>
      </c>
    </row>
    <row r="384" spans="1:13" ht="15.75" customHeight="1">
      <c r="A384" s="194"/>
      <c r="B384" s="364">
        <f>SUMIFS('لیست واریزی کل خیرین'!B:B,'لیست واریزی کل خیرین'!D:D,Table1[[#This Row],[نام]],'لیست واریزی کل خیرین'!E:E,Table1[[#This Row],[نام خانوادگی]])</f>
        <v>20</v>
      </c>
      <c r="C384" s="197" t="s">
        <v>494</v>
      </c>
      <c r="D384" s="197" t="s">
        <v>511</v>
      </c>
      <c r="E384" s="135" t="s">
        <v>1304</v>
      </c>
      <c r="F384" s="365" t="s">
        <v>835</v>
      </c>
      <c r="G384" s="241" t="s">
        <v>499</v>
      </c>
      <c r="H384" s="366">
        <f t="shared" si="7"/>
        <v>12</v>
      </c>
      <c r="I384" s="241">
        <v>1401</v>
      </c>
      <c r="J384" s="241"/>
      <c r="K384" s="367">
        <v>50000000</v>
      </c>
      <c r="L384" s="372" t="s">
        <v>1305</v>
      </c>
    </row>
    <row r="385" spans="1:13" ht="15.75" customHeight="1">
      <c r="A385" s="194"/>
      <c r="B385" s="235">
        <f>SUMIFS('لیست واریزی کل خیرین'!B:B,'لیست واریزی کل خیرین'!D:D,Table1[[#This Row],[نام]],'لیست واریزی کل خیرین'!E:E,Table1[[#This Row],[نام خانوادگی]])</f>
        <v>25</v>
      </c>
      <c r="C385" s="358" t="s">
        <v>532</v>
      </c>
      <c r="D385" s="358" t="s">
        <v>533</v>
      </c>
      <c r="E385" s="135" t="s">
        <v>1304</v>
      </c>
      <c r="F385" s="249" t="s">
        <v>569</v>
      </c>
      <c r="G385" s="236" t="s">
        <v>499</v>
      </c>
      <c r="H385" s="237">
        <f t="shared" si="7"/>
        <v>12</v>
      </c>
      <c r="I385" s="236">
        <v>1401</v>
      </c>
      <c r="J385" s="236"/>
      <c r="K385" s="238">
        <v>100000000</v>
      </c>
      <c r="L385" s="368" t="s">
        <v>1292</v>
      </c>
    </row>
    <row r="386" spans="1:13" ht="15.75" customHeight="1">
      <c r="A386" s="194"/>
      <c r="B386" s="235">
        <f>SUMIFS('لیست واریزی کل خیرین'!B:B,'لیست واریزی کل خیرین'!D:D,Table1[[#This Row],[نام]],'لیست واریزی کل خیرین'!E:E,Table1[[#This Row],[نام خانوادگی]])</f>
        <v>70</v>
      </c>
      <c r="C386" s="375" t="s">
        <v>203</v>
      </c>
      <c r="D386" s="375" t="s">
        <v>813</v>
      </c>
      <c r="E386" s="135" t="s">
        <v>1304</v>
      </c>
      <c r="F386" s="249" t="s">
        <v>848</v>
      </c>
      <c r="G386" s="236" t="s">
        <v>499</v>
      </c>
      <c r="H386" s="237">
        <f t="shared" si="7"/>
        <v>12</v>
      </c>
      <c r="I386" s="236">
        <v>1401</v>
      </c>
      <c r="J386" s="236"/>
      <c r="K386" s="238">
        <v>20000000</v>
      </c>
      <c r="L386" s="368"/>
    </row>
    <row r="387" spans="1:13" ht="15.75" customHeight="1">
      <c r="A387" s="194"/>
      <c r="B387" s="235">
        <f>SUMIFS('لیست واریزی کل خیرین'!B:B,'لیست واریزی کل خیرین'!D:D,Table1[[#This Row],[نام]],'لیست واریزی کل خیرین'!E:E,Table1[[#This Row],[نام خانوادگی]])</f>
        <v>94</v>
      </c>
      <c r="C387" s="375" t="s">
        <v>1324</v>
      </c>
      <c r="D387" s="375" t="s">
        <v>1325</v>
      </c>
      <c r="E387" s="135" t="s">
        <v>1304</v>
      </c>
      <c r="F387" s="249" t="s">
        <v>1326</v>
      </c>
      <c r="G387" s="236" t="s">
        <v>499</v>
      </c>
      <c r="H387" s="237">
        <f t="shared" si="7"/>
        <v>12</v>
      </c>
      <c r="I387" s="236">
        <v>1401</v>
      </c>
      <c r="J387" s="236"/>
      <c r="K387" s="238">
        <v>20000000</v>
      </c>
      <c r="L387" s="368"/>
    </row>
    <row r="388" spans="1:13" ht="15.75" customHeight="1">
      <c r="A388" s="194"/>
      <c r="B388" s="235">
        <f>SUMIFS('لیست واریزی کل خیرین'!B:B,'لیست واریزی کل خیرین'!D:D,Table1[[#This Row],[نام]],'لیست واریزی کل خیرین'!E:E,Table1[[#This Row],[نام خانوادگی]])</f>
        <v>95</v>
      </c>
      <c r="C388" s="375" t="s">
        <v>997</v>
      </c>
      <c r="D388" s="375" t="s">
        <v>1327</v>
      </c>
      <c r="E388" s="135" t="s">
        <v>1306</v>
      </c>
      <c r="F388" s="249" t="s">
        <v>1328</v>
      </c>
      <c r="G388" s="236" t="s">
        <v>499</v>
      </c>
      <c r="H388" s="237">
        <f t="shared" si="7"/>
        <v>12</v>
      </c>
      <c r="I388" s="236">
        <v>1401</v>
      </c>
      <c r="J388" s="236"/>
      <c r="K388" s="238">
        <v>20000000</v>
      </c>
      <c r="L388" s="368"/>
    </row>
    <row r="389" spans="1:13" ht="15.75" customHeight="1">
      <c r="A389" s="194"/>
      <c r="B389" s="364">
        <f>SUMIFS('لیست واریزی کل خیرین'!B:B,'لیست واریزی کل خیرین'!D:D,Table1[[#This Row],[نام]],'لیست واریزی کل خیرین'!E:E,Table1[[#This Row],[نام خانوادگی]])</f>
        <v>95</v>
      </c>
      <c r="C389" s="197" t="s">
        <v>997</v>
      </c>
      <c r="D389" s="197" t="s">
        <v>1327</v>
      </c>
      <c r="E389" s="135" t="s">
        <v>1306</v>
      </c>
      <c r="F389" s="365" t="s">
        <v>1328</v>
      </c>
      <c r="G389" s="241" t="s">
        <v>499</v>
      </c>
      <c r="H389" s="366">
        <f t="shared" si="7"/>
        <v>12</v>
      </c>
      <c r="I389" s="241">
        <v>1401</v>
      </c>
      <c r="J389" s="241"/>
      <c r="K389" s="367">
        <v>20000000</v>
      </c>
      <c r="L389" s="372"/>
    </row>
    <row r="390" spans="1:13" ht="15.75" customHeight="1">
      <c r="A390" s="194"/>
      <c r="B390" s="364">
        <f>SUMIFS('لیست واریزی کل خیرین'!B:B,'لیست واریزی کل خیرین'!D:D,Table1[[#This Row],[نام]],'لیست واریزی کل خیرین'!E:E,Table1[[#This Row],[نام خانوادگی]])</f>
        <v>48</v>
      </c>
      <c r="C390" s="370" t="s">
        <v>494</v>
      </c>
      <c r="D390" s="370" t="s">
        <v>546</v>
      </c>
      <c r="E390" s="135" t="s">
        <v>1329</v>
      </c>
      <c r="F390" s="365" t="s">
        <v>835</v>
      </c>
      <c r="G390" s="241" t="s">
        <v>499</v>
      </c>
      <c r="H390" s="366">
        <f t="shared" si="7"/>
        <v>12</v>
      </c>
      <c r="I390" s="241">
        <v>1401</v>
      </c>
      <c r="J390" s="241"/>
      <c r="K390" s="367">
        <v>40000000</v>
      </c>
      <c r="L390" s="372" t="s">
        <v>499</v>
      </c>
    </row>
    <row r="391" spans="1:13" ht="15.75" customHeight="1">
      <c r="A391" s="194"/>
      <c r="B391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391" s="370" t="s">
        <v>494</v>
      </c>
      <c r="D391" s="370" t="s">
        <v>546</v>
      </c>
      <c r="E391" s="135" t="s">
        <v>1307</v>
      </c>
      <c r="F391" s="365" t="s">
        <v>895</v>
      </c>
      <c r="G391" s="241" t="s">
        <v>499</v>
      </c>
      <c r="H391" s="366">
        <f t="shared" si="7"/>
        <v>12</v>
      </c>
      <c r="I391" s="241">
        <v>1401</v>
      </c>
      <c r="J391" s="236"/>
      <c r="K391" s="238">
        <v>20000000</v>
      </c>
      <c r="L391" s="256" t="s">
        <v>1330</v>
      </c>
    </row>
    <row r="392" spans="1:13" ht="15.75" customHeight="1">
      <c r="A392" s="194"/>
      <c r="B392" s="364">
        <f>SUMIFS('لیست واریزی کل خیرین'!B:B,'لیست واریزی کل خیرین'!D:D,Table1[[#This Row],[نام]],'لیست واریزی کل خیرین'!E:E,Table1[[#This Row],[نام خانوادگی]])</f>
        <v>11</v>
      </c>
      <c r="C392" s="370" t="s">
        <v>494</v>
      </c>
      <c r="D392" s="370" t="s">
        <v>495</v>
      </c>
      <c r="E392" s="135" t="s">
        <v>1308</v>
      </c>
      <c r="F392" s="365" t="s">
        <v>573</v>
      </c>
      <c r="G392" s="241" t="s">
        <v>463</v>
      </c>
      <c r="H392" s="366">
        <f t="shared" si="7"/>
        <v>1</v>
      </c>
      <c r="I392" s="241">
        <v>1402</v>
      </c>
      <c r="J392" s="241"/>
      <c r="K392" s="367">
        <v>30000000</v>
      </c>
      <c r="L392" s="372" t="s">
        <v>499</v>
      </c>
    </row>
    <row r="393" spans="1:13" ht="15.75" customHeight="1">
      <c r="A393" s="194"/>
      <c r="B393" s="364">
        <f>SUMIFS('لیست واریزی کل خیرین'!B:B,'لیست واریزی کل خیرین'!D:D,Table1[[#This Row],[نام]],'لیست واریزی کل خیرین'!E:E,Table1[[#This Row],[نام خانوادگی]])</f>
        <v>33</v>
      </c>
      <c r="C393" s="137" t="s">
        <v>583</v>
      </c>
      <c r="D393" s="137" t="s">
        <v>584</v>
      </c>
      <c r="E393" s="135" t="s">
        <v>1309</v>
      </c>
      <c r="F393" s="365" t="s">
        <v>1331</v>
      </c>
      <c r="G393" s="241" t="s">
        <v>499</v>
      </c>
      <c r="H393" s="366">
        <f t="shared" si="7"/>
        <v>12</v>
      </c>
      <c r="I393" s="241">
        <v>1401</v>
      </c>
      <c r="J393" s="241"/>
      <c r="K393" s="367">
        <v>30000000</v>
      </c>
      <c r="L393" s="372"/>
    </row>
    <row r="394" spans="1:13" ht="15.75" customHeight="1">
      <c r="A394" s="194"/>
      <c r="B394" s="364">
        <f>SUMIFS('لیست واریزی کل خیرین'!B:B,'لیست واریزی کل خیرین'!D:D,Table1[[#This Row],[نام]],'لیست واریزی کل خیرین'!E:E,Table1[[#This Row],[نام خانوادگی]])</f>
        <v>25</v>
      </c>
      <c r="C394" s="370" t="s">
        <v>532</v>
      </c>
      <c r="D394" s="370" t="s">
        <v>533</v>
      </c>
      <c r="E394" s="135" t="s">
        <v>1333</v>
      </c>
      <c r="F394" s="365" t="s">
        <v>569</v>
      </c>
      <c r="G394" s="241" t="s">
        <v>499</v>
      </c>
      <c r="H394" s="366">
        <f t="shared" si="7"/>
        <v>12</v>
      </c>
      <c r="I394" s="241">
        <v>1401</v>
      </c>
      <c r="J394" s="241"/>
      <c r="K394" s="367">
        <v>100000000</v>
      </c>
      <c r="L394" s="372" t="s">
        <v>673</v>
      </c>
    </row>
    <row r="395" spans="1:13" ht="15.75" customHeight="1">
      <c r="A395" s="194"/>
      <c r="B395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395" s="358" t="s">
        <v>494</v>
      </c>
      <c r="D395" s="358" t="s">
        <v>546</v>
      </c>
      <c r="E395" s="135" t="s">
        <v>1307</v>
      </c>
      <c r="F395" s="249" t="s">
        <v>895</v>
      </c>
      <c r="G395" s="236" t="s">
        <v>463</v>
      </c>
      <c r="H395" s="237">
        <f t="shared" ref="H395:H495" si="8">IF(G395="","",VLOOKUP(G395,mah,2,0))</f>
        <v>1</v>
      </c>
      <c r="I395" s="236">
        <v>1402</v>
      </c>
      <c r="J395" s="236"/>
      <c r="K395" s="238">
        <v>40000000</v>
      </c>
      <c r="L395" s="240" t="s">
        <v>1330</v>
      </c>
    </row>
    <row r="396" spans="1:13" ht="15.75" customHeight="1">
      <c r="A396" s="194"/>
      <c r="B396" s="364">
        <f>SUMIFS('لیست واریزی کل خیرین'!B:B,'لیست واریزی کل خیرین'!D:D,Table1[[#This Row],[نام]],'لیست واریزی کل خیرین'!E:E,Table1[[#This Row],[نام خانوادگی]])</f>
        <v>25</v>
      </c>
      <c r="C396" s="370" t="s">
        <v>532</v>
      </c>
      <c r="D396" s="370" t="s">
        <v>533</v>
      </c>
      <c r="E396" s="135" t="s">
        <v>1332</v>
      </c>
      <c r="F396" s="365" t="s">
        <v>569</v>
      </c>
      <c r="G396" s="241" t="s">
        <v>463</v>
      </c>
      <c r="H396" s="366">
        <f t="shared" si="8"/>
        <v>1</v>
      </c>
      <c r="I396" s="241">
        <v>1402</v>
      </c>
      <c r="J396" s="241"/>
      <c r="K396" s="367">
        <v>30000000</v>
      </c>
      <c r="L396" s="372"/>
    </row>
    <row r="397" spans="1:13" ht="15.75" customHeight="1">
      <c r="A397" s="194"/>
      <c r="B397" s="364">
        <f>SUMIFS('لیست واریزی کل خیرین'!B:B,'لیست واریزی کل خیرین'!D:D,Table1[[#This Row],[نام]],'لیست واریزی کل خیرین'!E:E,Table1[[#This Row],[نام خانوادگی]])</f>
        <v>8</v>
      </c>
      <c r="C397" s="197" t="s">
        <v>483</v>
      </c>
      <c r="D397" s="197" t="s">
        <v>484</v>
      </c>
      <c r="E397" s="135" t="s">
        <v>1334</v>
      </c>
      <c r="F397" s="365" t="s">
        <v>599</v>
      </c>
      <c r="G397" s="241" t="s">
        <v>463</v>
      </c>
      <c r="H397" s="366">
        <f t="shared" si="8"/>
        <v>1</v>
      </c>
      <c r="I397" s="241">
        <v>1402</v>
      </c>
      <c r="J397" s="241"/>
      <c r="K397" s="367">
        <v>5000000</v>
      </c>
      <c r="L397" s="256" t="s">
        <v>1506</v>
      </c>
    </row>
    <row r="398" spans="1:13" ht="15.75" customHeight="1">
      <c r="A398" s="194"/>
      <c r="B398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398" s="134" t="s">
        <v>483</v>
      </c>
      <c r="D398" s="134" t="s">
        <v>484</v>
      </c>
      <c r="E398" s="135" t="s">
        <v>1334</v>
      </c>
      <c r="F398" s="365" t="s">
        <v>599</v>
      </c>
      <c r="G398" s="137" t="s">
        <v>499</v>
      </c>
      <c r="H398" s="138">
        <f>IF(G398="","",VLOOKUP(G398,mah,2,0))</f>
        <v>12</v>
      </c>
      <c r="I398" s="137">
        <v>1401</v>
      </c>
      <c r="J398" s="137"/>
      <c r="K398" s="139">
        <v>5000000</v>
      </c>
      <c r="L398" s="256" t="s">
        <v>1506</v>
      </c>
      <c r="M398" s="428"/>
    </row>
    <row r="399" spans="1:13" ht="15.75" customHeight="1">
      <c r="A399" s="194"/>
      <c r="B399" s="364">
        <f>SUMIFS('لیست واریزی کل خیرین'!B:B,'لیست واریزی کل خیرین'!D:D,Table1[[#This Row],[نام]],'لیست واریزی کل خیرین'!E:E,Table1[[#This Row],[نام خانوادگی]])</f>
        <v>96</v>
      </c>
      <c r="C399" s="370" t="s">
        <v>1335</v>
      </c>
      <c r="D399" s="370" t="s">
        <v>1336</v>
      </c>
      <c r="E399" s="135" t="s">
        <v>1337</v>
      </c>
      <c r="F399" s="365" t="s">
        <v>1338</v>
      </c>
      <c r="G399" s="241" t="s">
        <v>463</v>
      </c>
      <c r="H399" s="366">
        <f t="shared" si="8"/>
        <v>1</v>
      </c>
      <c r="I399" s="241">
        <v>1402</v>
      </c>
      <c r="J399" s="241"/>
      <c r="K399" s="367">
        <v>10000000</v>
      </c>
      <c r="L399" s="372"/>
    </row>
    <row r="400" spans="1:13" ht="15.75" customHeight="1">
      <c r="A400" s="194"/>
      <c r="B400" s="364">
        <f>SUMIFS('لیست واریزی کل خیرین'!B:B,'لیست واریزی کل خیرین'!D:D,Table1[[#This Row],[نام]],'لیست واریزی کل خیرین'!E:E,Table1[[#This Row],[نام خانوادگی]])</f>
        <v>10</v>
      </c>
      <c r="C400" s="370" t="s">
        <v>489</v>
      </c>
      <c r="D400" s="370" t="s">
        <v>490</v>
      </c>
      <c r="E400" s="135" t="s">
        <v>1366</v>
      </c>
      <c r="F400" s="365" t="s">
        <v>835</v>
      </c>
      <c r="G400" s="241" t="s">
        <v>463</v>
      </c>
      <c r="H400" s="366">
        <f t="shared" si="8"/>
        <v>1</v>
      </c>
      <c r="I400" s="241">
        <v>1402</v>
      </c>
      <c r="J400" s="241"/>
      <c r="K400" s="367">
        <v>100000000</v>
      </c>
      <c r="L400" s="256" t="s">
        <v>1342</v>
      </c>
    </row>
    <row r="401" spans="1:13" ht="15.75" customHeight="1">
      <c r="A401" s="194"/>
      <c r="B401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401" s="137" t="s">
        <v>471</v>
      </c>
      <c r="D401" s="137" t="s">
        <v>472</v>
      </c>
      <c r="E401" s="135" t="s">
        <v>1366</v>
      </c>
      <c r="F401" s="249" t="s">
        <v>1291</v>
      </c>
      <c r="G401" s="241" t="s">
        <v>463</v>
      </c>
      <c r="H401" s="237">
        <f t="shared" si="8"/>
        <v>1</v>
      </c>
      <c r="I401" s="241">
        <v>1402</v>
      </c>
      <c r="J401" s="236"/>
      <c r="K401" s="238">
        <v>2000000</v>
      </c>
      <c r="L401" s="368"/>
    </row>
    <row r="402" spans="1:13" ht="15.75" customHeight="1">
      <c r="A402" s="194"/>
      <c r="B402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402" s="358" t="s">
        <v>489</v>
      </c>
      <c r="D402" s="358" t="s">
        <v>490</v>
      </c>
      <c r="E402" s="135" t="s">
        <v>1366</v>
      </c>
      <c r="F402" s="249" t="s">
        <v>835</v>
      </c>
      <c r="G402" s="236" t="s">
        <v>468</v>
      </c>
      <c r="H402" s="237">
        <f t="shared" si="8"/>
        <v>2</v>
      </c>
      <c r="I402" s="241">
        <v>1402</v>
      </c>
      <c r="J402" s="236"/>
      <c r="K402" s="238">
        <v>100000000</v>
      </c>
      <c r="L402" s="256" t="s">
        <v>1342</v>
      </c>
    </row>
    <row r="403" spans="1:13" ht="15.75" customHeight="1">
      <c r="A403" s="194" t="s">
        <v>458</v>
      </c>
      <c r="B403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403" s="141" t="s">
        <v>497</v>
      </c>
      <c r="D403" s="141" t="s">
        <v>498</v>
      </c>
      <c r="E403" s="135" t="s">
        <v>1263</v>
      </c>
      <c r="F403" s="243" t="s">
        <v>862</v>
      </c>
      <c r="G403" s="236" t="s">
        <v>463</v>
      </c>
      <c r="H403" s="138">
        <f t="shared" si="8"/>
        <v>1</v>
      </c>
      <c r="I403" s="197">
        <v>1402</v>
      </c>
      <c r="J403" s="137"/>
      <c r="K403" s="139">
        <v>10000000</v>
      </c>
      <c r="L403" s="372" t="s">
        <v>1264</v>
      </c>
    </row>
    <row r="404" spans="1:13" ht="15.75" customHeight="1">
      <c r="A404" s="194"/>
      <c r="B404" s="235">
        <f>SUMIFS('لیست واریزی کل خیرین'!B:B,'لیست واریزی کل خیرین'!D:D,Table1[[#This Row],[نام]],'لیست واریزی کل خیرین'!E:E,Table1[[#This Row],[نام خانوادگی]])</f>
        <v>38</v>
      </c>
      <c r="C404" s="137" t="s">
        <v>560</v>
      </c>
      <c r="D404" s="137" t="s">
        <v>561</v>
      </c>
      <c r="E404" s="135" t="s">
        <v>1375</v>
      </c>
      <c r="F404" s="249" t="s">
        <v>1344</v>
      </c>
      <c r="G404" s="236" t="s">
        <v>463</v>
      </c>
      <c r="H404" s="237">
        <f t="shared" si="8"/>
        <v>1</v>
      </c>
      <c r="I404" s="241">
        <v>1402</v>
      </c>
      <c r="J404" s="236"/>
      <c r="K404" s="238">
        <v>6000000</v>
      </c>
      <c r="L404" s="368"/>
    </row>
    <row r="405" spans="1:13" ht="15.75" customHeight="1">
      <c r="A405" s="194"/>
      <c r="B405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405" s="137" t="s">
        <v>469</v>
      </c>
      <c r="D405" s="137" t="s">
        <v>470</v>
      </c>
      <c r="E405" s="135" t="s">
        <v>1376</v>
      </c>
      <c r="F405" s="243" t="s">
        <v>1377</v>
      </c>
      <c r="G405" s="137" t="s">
        <v>493</v>
      </c>
      <c r="H405" s="138">
        <f t="shared" si="8"/>
        <v>10</v>
      </c>
      <c r="I405" s="137">
        <v>1401</v>
      </c>
      <c r="J405" s="137"/>
      <c r="K405" s="139">
        <v>10000000</v>
      </c>
      <c r="L405" s="240" t="s">
        <v>1507</v>
      </c>
    </row>
    <row r="406" spans="1:13" ht="15.75" customHeight="1">
      <c r="A406" s="194"/>
      <c r="B406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406" s="137" t="s">
        <v>469</v>
      </c>
      <c r="D406" s="137" t="s">
        <v>470</v>
      </c>
      <c r="E406" s="135" t="s">
        <v>1376</v>
      </c>
      <c r="F406" s="243" t="s">
        <v>1377</v>
      </c>
      <c r="G406" s="137" t="s">
        <v>496</v>
      </c>
      <c r="H406" s="138">
        <f>IF(G406="","",VLOOKUP(G406,mah,2,0))</f>
        <v>11</v>
      </c>
      <c r="I406" s="137">
        <v>1401</v>
      </c>
      <c r="J406" s="137"/>
      <c r="K406" s="139">
        <v>10000000</v>
      </c>
      <c r="L406" s="240" t="s">
        <v>1507</v>
      </c>
      <c r="M406" s="428"/>
    </row>
    <row r="407" spans="1:13" ht="15.75" customHeight="1">
      <c r="A407" s="194"/>
      <c r="B407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407" s="137" t="s">
        <v>469</v>
      </c>
      <c r="D407" s="137" t="s">
        <v>470</v>
      </c>
      <c r="E407" s="135" t="s">
        <v>1376</v>
      </c>
      <c r="F407" s="243" t="s">
        <v>1377</v>
      </c>
      <c r="G407" s="137" t="s">
        <v>499</v>
      </c>
      <c r="H407" s="138">
        <f>IF(G407="","",VLOOKUP(G407,mah,2,0))</f>
        <v>12</v>
      </c>
      <c r="I407" s="137">
        <v>1401</v>
      </c>
      <c r="J407" s="137"/>
      <c r="K407" s="139">
        <v>10000000</v>
      </c>
      <c r="L407" s="240" t="s">
        <v>1507</v>
      </c>
      <c r="M407" s="428"/>
    </row>
    <row r="408" spans="1:13" ht="15.75" customHeight="1">
      <c r="A408" s="194"/>
      <c r="B408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408" s="137" t="s">
        <v>486</v>
      </c>
      <c r="D408" s="137" t="s">
        <v>487</v>
      </c>
      <c r="E408" s="135" t="s">
        <v>1378</v>
      </c>
      <c r="F408" s="243" t="s">
        <v>595</v>
      </c>
      <c r="G408" s="137" t="s">
        <v>463</v>
      </c>
      <c r="H408" s="138">
        <f t="shared" si="8"/>
        <v>1</v>
      </c>
      <c r="I408" s="137">
        <v>1402</v>
      </c>
      <c r="J408" s="137"/>
      <c r="K408" s="139">
        <v>15000000</v>
      </c>
      <c r="L408" s="240"/>
    </row>
    <row r="409" spans="1:13" ht="15.75" customHeight="1">
      <c r="A409" s="194"/>
      <c r="B409" s="235">
        <f>SUMIFS('لیست واریزی کل خیرین'!B:B,'لیست واریزی کل خیرین'!D:D,Table1[[#This Row],[نام]],'لیست واریزی کل خیرین'!E:E,Table1[[#This Row],[نام خانوادگی]])</f>
        <v>97</v>
      </c>
      <c r="C409" s="375" t="s">
        <v>1379</v>
      </c>
      <c r="D409" s="375" t="s">
        <v>1380</v>
      </c>
      <c r="E409" s="135" t="s">
        <v>1378</v>
      </c>
      <c r="F409" s="243" t="s">
        <v>1381</v>
      </c>
      <c r="G409" s="137" t="s">
        <v>463</v>
      </c>
      <c r="H409" s="138">
        <f t="shared" si="8"/>
        <v>1</v>
      </c>
      <c r="I409" s="137">
        <v>1402</v>
      </c>
      <c r="J409" s="137"/>
      <c r="K409" s="139">
        <v>50000000</v>
      </c>
      <c r="L409" s="240"/>
    </row>
    <row r="410" spans="1:13" ht="15.75" customHeight="1">
      <c r="A410" s="194"/>
      <c r="B410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410" s="137" t="s">
        <v>596</v>
      </c>
      <c r="D410" s="137" t="s">
        <v>597</v>
      </c>
      <c r="E410" s="135" t="s">
        <v>1382</v>
      </c>
      <c r="F410" s="243" t="s">
        <v>598</v>
      </c>
      <c r="G410" s="137" t="s">
        <v>463</v>
      </c>
      <c r="H410" s="138">
        <f t="shared" si="8"/>
        <v>1</v>
      </c>
      <c r="I410" s="137">
        <v>1402</v>
      </c>
      <c r="J410" s="137"/>
      <c r="K410" s="139">
        <v>3000000</v>
      </c>
      <c r="L410" s="240"/>
    </row>
    <row r="411" spans="1:13" ht="15.75" customHeight="1">
      <c r="A411" s="194"/>
      <c r="B411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411" s="134" t="s">
        <v>522</v>
      </c>
      <c r="D411" s="134" t="s">
        <v>523</v>
      </c>
      <c r="E411" s="135" t="s">
        <v>1474</v>
      </c>
      <c r="F411" s="243" t="s">
        <v>1475</v>
      </c>
      <c r="G411" s="137" t="s">
        <v>463</v>
      </c>
      <c r="H411" s="138">
        <f>IF(G411="","",VLOOKUP(G411,mah,2,0))</f>
        <v>1</v>
      </c>
      <c r="I411" s="137">
        <v>1402</v>
      </c>
      <c r="J411" s="137"/>
      <c r="K411" s="139">
        <v>20216371</v>
      </c>
      <c r="L411" s="253"/>
      <c r="M411" s="426"/>
    </row>
    <row r="412" spans="1:13" ht="15.75" customHeight="1">
      <c r="A412" s="194"/>
      <c r="B412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412" s="137" t="s">
        <v>497</v>
      </c>
      <c r="D412" s="152" t="s">
        <v>498</v>
      </c>
      <c r="E412" s="135" t="s">
        <v>1383</v>
      </c>
      <c r="F412" s="243" t="s">
        <v>862</v>
      </c>
      <c r="G412" s="137" t="s">
        <v>499</v>
      </c>
      <c r="H412" s="138">
        <f t="shared" si="8"/>
        <v>12</v>
      </c>
      <c r="I412" s="137">
        <v>1401</v>
      </c>
      <c r="J412" s="137"/>
      <c r="K412" s="139">
        <v>10000000</v>
      </c>
      <c r="L412" s="240"/>
    </row>
    <row r="413" spans="1:13" ht="15.75" customHeight="1">
      <c r="A413" s="194"/>
      <c r="B413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413" s="137" t="s">
        <v>489</v>
      </c>
      <c r="D413" s="137" t="s">
        <v>490</v>
      </c>
      <c r="E413" s="135" t="s">
        <v>1384</v>
      </c>
      <c r="F413" s="243" t="s">
        <v>1385</v>
      </c>
      <c r="G413" s="137" t="s">
        <v>463</v>
      </c>
      <c r="H413" s="138">
        <f t="shared" si="8"/>
        <v>1</v>
      </c>
      <c r="I413" s="137">
        <v>1402</v>
      </c>
      <c r="J413" s="137"/>
      <c r="K413" s="139">
        <v>10000000</v>
      </c>
      <c r="L413" s="240"/>
    </row>
    <row r="414" spans="1:13" ht="15.75" customHeight="1">
      <c r="A414" s="194"/>
      <c r="B414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414" s="137" t="s">
        <v>497</v>
      </c>
      <c r="D414" s="137" t="s">
        <v>513</v>
      </c>
      <c r="E414" s="135" t="s">
        <v>1386</v>
      </c>
      <c r="F414" s="243" t="s">
        <v>667</v>
      </c>
      <c r="G414" s="137" t="s">
        <v>463</v>
      </c>
      <c r="H414" s="138">
        <f t="shared" si="8"/>
        <v>1</v>
      </c>
      <c r="I414" s="137">
        <v>1402</v>
      </c>
      <c r="J414" s="137"/>
      <c r="K414" s="139">
        <v>20000000</v>
      </c>
      <c r="L414" s="240"/>
    </row>
    <row r="415" spans="1:13" ht="15.75" customHeight="1">
      <c r="A415" s="194"/>
      <c r="B415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415" s="134" t="s">
        <v>838</v>
      </c>
      <c r="D415" s="134" t="s">
        <v>839</v>
      </c>
      <c r="E415" s="135" t="s">
        <v>1403</v>
      </c>
      <c r="F415" s="243" t="s">
        <v>841</v>
      </c>
      <c r="G415" s="137" t="s">
        <v>463</v>
      </c>
      <c r="H415" s="138">
        <f t="shared" si="8"/>
        <v>1</v>
      </c>
      <c r="I415" s="137">
        <v>1402</v>
      </c>
      <c r="J415" s="137"/>
      <c r="K415" s="139">
        <v>5000000</v>
      </c>
      <c r="L415" s="240"/>
    </row>
    <row r="416" spans="1:13" ht="15.75" customHeight="1">
      <c r="A416" s="194"/>
      <c r="B416" s="235">
        <f>SUMIFS('لیست واریزی کل خیرین'!B:B,'لیست واریزی کل خیرین'!D:D,Table1[[#This Row],[نام]],'لیست واریزی کل خیرین'!E:E,Table1[[#This Row],[نام خانوادگی]])</f>
        <v>25</v>
      </c>
      <c r="C416" s="134" t="s">
        <v>532</v>
      </c>
      <c r="D416" s="134" t="s">
        <v>533</v>
      </c>
      <c r="E416" s="135" t="s">
        <v>1404</v>
      </c>
      <c r="F416" s="243" t="s">
        <v>569</v>
      </c>
      <c r="G416" s="137" t="s">
        <v>468</v>
      </c>
      <c r="H416" s="138">
        <f t="shared" si="8"/>
        <v>2</v>
      </c>
      <c r="I416" s="137">
        <v>1402</v>
      </c>
      <c r="J416" s="137"/>
      <c r="K416" s="139">
        <v>30000000</v>
      </c>
      <c r="L416" s="240"/>
    </row>
    <row r="417" spans="1:12" ht="29.25" customHeight="1">
      <c r="A417" s="194"/>
      <c r="B417" s="235">
        <f>SUMIFS('لیست واریزی کل خیرین'!B:B,'لیست واریزی کل خیرین'!D:D,Table1[[#This Row],[نام]],'لیست واریزی کل خیرین'!E:E,Table1[[#This Row],[نام خانوادگی]])</f>
        <v>70</v>
      </c>
      <c r="C417" s="137" t="s">
        <v>203</v>
      </c>
      <c r="D417" s="137" t="s">
        <v>813</v>
      </c>
      <c r="E417" s="135" t="s">
        <v>1388</v>
      </c>
      <c r="F417" s="243" t="s">
        <v>848</v>
      </c>
      <c r="G417" s="137" t="s">
        <v>463</v>
      </c>
      <c r="H417" s="138">
        <f t="shared" si="8"/>
        <v>1</v>
      </c>
      <c r="I417" s="137">
        <v>1402</v>
      </c>
      <c r="J417" s="137"/>
      <c r="K417" s="139">
        <v>10000000</v>
      </c>
      <c r="L417" s="423" t="s">
        <v>1465</v>
      </c>
    </row>
    <row r="418" spans="1:12" ht="24" customHeight="1">
      <c r="A418" s="194"/>
      <c r="B418" s="235">
        <f>SUMIFS('لیست واریزی کل خیرین'!B:B,'لیست واریزی کل خیرین'!D:D,Table1[[#This Row],[نام]],'لیست واریزی کل خیرین'!E:E,Table1[[#This Row],[نام خانوادگی]])</f>
        <v>70</v>
      </c>
      <c r="C418" s="137" t="s">
        <v>203</v>
      </c>
      <c r="D418" s="137" t="s">
        <v>813</v>
      </c>
      <c r="E418" s="135" t="s">
        <v>1388</v>
      </c>
      <c r="F418" s="243" t="s">
        <v>848</v>
      </c>
      <c r="G418" s="137" t="s">
        <v>468</v>
      </c>
      <c r="H418" s="138">
        <f t="shared" ref="H418" si="9">IF(G418="","",VLOOKUP(G418,mah,2,0))</f>
        <v>2</v>
      </c>
      <c r="I418" s="137">
        <v>1402</v>
      </c>
      <c r="J418" s="236"/>
      <c r="K418" s="238">
        <v>10000000</v>
      </c>
      <c r="L418" s="423" t="s">
        <v>1465</v>
      </c>
    </row>
    <row r="419" spans="1:12" ht="15.75" customHeight="1">
      <c r="A419" s="194"/>
      <c r="B419" s="235">
        <f>SUMIFS('لیست واریزی کل خیرین'!B:B,'لیست واریزی کل خیرین'!D:D,Table1[[#This Row],[نام]],'لیست واریزی کل خیرین'!E:E,Table1[[#This Row],[نام خانوادگی]])</f>
        <v>98</v>
      </c>
      <c r="C419" s="375" t="s">
        <v>1405</v>
      </c>
      <c r="D419" s="375" t="s">
        <v>1406</v>
      </c>
      <c r="E419" s="135" t="s">
        <v>1390</v>
      </c>
      <c r="F419" s="243" t="s">
        <v>1407</v>
      </c>
      <c r="G419" s="137" t="s">
        <v>468</v>
      </c>
      <c r="H419" s="138">
        <f t="shared" si="8"/>
        <v>2</v>
      </c>
      <c r="I419" s="137">
        <v>1402</v>
      </c>
      <c r="J419" s="137"/>
      <c r="K419" s="139">
        <v>10000000</v>
      </c>
      <c r="L419" s="240"/>
    </row>
    <row r="420" spans="1:12" ht="15.75" customHeight="1">
      <c r="A420" s="194"/>
      <c r="B420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420" s="137" t="s">
        <v>486</v>
      </c>
      <c r="D420" s="137" t="s">
        <v>487</v>
      </c>
      <c r="E420" s="135" t="s">
        <v>1390</v>
      </c>
      <c r="F420" s="243" t="s">
        <v>595</v>
      </c>
      <c r="G420" s="137" t="s">
        <v>468</v>
      </c>
      <c r="H420" s="138">
        <f t="shared" si="8"/>
        <v>2</v>
      </c>
      <c r="I420" s="137">
        <v>1402</v>
      </c>
      <c r="J420" s="137"/>
      <c r="K420" s="139">
        <v>20000000</v>
      </c>
      <c r="L420" s="240"/>
    </row>
    <row r="421" spans="1:12" ht="15.75" customHeight="1">
      <c r="A421" s="194"/>
      <c r="B421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421" s="137" t="s">
        <v>207</v>
      </c>
      <c r="D421" s="137" t="s">
        <v>478</v>
      </c>
      <c r="E421" s="135" t="s">
        <v>1409</v>
      </c>
      <c r="F421" s="243" t="s">
        <v>1410</v>
      </c>
      <c r="G421" s="137" t="s">
        <v>468</v>
      </c>
      <c r="H421" s="138">
        <f t="shared" si="8"/>
        <v>2</v>
      </c>
      <c r="I421" s="137">
        <v>1402</v>
      </c>
      <c r="J421" s="137"/>
      <c r="K421" s="139">
        <v>5000000</v>
      </c>
      <c r="L421" s="240"/>
    </row>
    <row r="422" spans="1:12" ht="15.75" customHeight="1">
      <c r="A422" s="194"/>
      <c r="B422" s="235">
        <f>SUMIFS('لیست واریزی کل خیرین'!B:B,'لیست واریزی کل خیرین'!D:D,Table1[[#This Row],[نام]],'لیست واریزی کل خیرین'!E:E,Table1[[#This Row],[نام خانوادگی]])</f>
        <v>99</v>
      </c>
      <c r="C422" s="375" t="s">
        <v>1335</v>
      </c>
      <c r="D422" s="375" t="s">
        <v>1412</v>
      </c>
      <c r="E422" s="135" t="s">
        <v>1409</v>
      </c>
      <c r="F422" s="243" t="s">
        <v>1411</v>
      </c>
      <c r="G422" s="137" t="s">
        <v>468</v>
      </c>
      <c r="H422" s="138">
        <f t="shared" si="8"/>
        <v>2</v>
      </c>
      <c r="I422" s="137">
        <v>1402</v>
      </c>
      <c r="J422" s="137"/>
      <c r="K422" s="139">
        <v>6000000</v>
      </c>
      <c r="L422" s="240"/>
    </row>
    <row r="423" spans="1:12" ht="15.75" customHeight="1">
      <c r="A423" s="194"/>
      <c r="B423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423" s="137" t="s">
        <v>494</v>
      </c>
      <c r="D423" s="137" t="s">
        <v>533</v>
      </c>
      <c r="E423" s="135" t="s">
        <v>1409</v>
      </c>
      <c r="F423" s="243" t="s">
        <v>1413</v>
      </c>
      <c r="G423" s="137" t="s">
        <v>463</v>
      </c>
      <c r="H423" s="138">
        <f t="shared" si="8"/>
        <v>1</v>
      </c>
      <c r="I423" s="137">
        <v>1402</v>
      </c>
      <c r="J423" s="137"/>
      <c r="K423" s="139">
        <v>50000000</v>
      </c>
      <c r="L423" s="240"/>
    </row>
    <row r="424" spans="1:12" ht="15.75" customHeight="1">
      <c r="A424" s="194"/>
      <c r="B424" s="235">
        <f>SUMIFS('لیست واریزی کل خیرین'!B:B,'لیست واریزی کل خیرین'!D:D,Table1[[#This Row],[نام]],'لیست واریزی کل خیرین'!E:E,Table1[[#This Row],[نام خانوادگی]])</f>
        <v>100</v>
      </c>
      <c r="C424" s="375" t="s">
        <v>1416</v>
      </c>
      <c r="D424" s="375" t="s">
        <v>1417</v>
      </c>
      <c r="E424" s="135" t="s">
        <v>1414</v>
      </c>
      <c r="F424" s="243" t="s">
        <v>1415</v>
      </c>
      <c r="G424" s="137" t="s">
        <v>468</v>
      </c>
      <c r="H424" s="138">
        <f t="shared" si="8"/>
        <v>2</v>
      </c>
      <c r="I424" s="137">
        <v>1402</v>
      </c>
      <c r="J424" s="137"/>
      <c r="K424" s="139">
        <v>50000000</v>
      </c>
      <c r="L424" s="240"/>
    </row>
    <row r="425" spans="1:12" ht="15.75" customHeight="1">
      <c r="A425" s="194"/>
      <c r="B425" s="235">
        <f>SUMIFS('لیست واریزی کل خیرین'!B:B,'لیست واریزی کل خیرین'!D:D,Table1[[#This Row],[نام]],'لیست واریزی کل خیرین'!E:E,Table1[[#This Row],[نام خانوادگی]])</f>
        <v>50</v>
      </c>
      <c r="C425" s="137" t="s">
        <v>503</v>
      </c>
      <c r="D425" s="137" t="s">
        <v>664</v>
      </c>
      <c r="E425" s="135" t="s">
        <v>1414</v>
      </c>
      <c r="F425" s="243" t="s">
        <v>1418</v>
      </c>
      <c r="G425" s="137" t="s">
        <v>468</v>
      </c>
      <c r="H425" s="138">
        <f t="shared" si="8"/>
        <v>2</v>
      </c>
      <c r="I425" s="137">
        <v>1402</v>
      </c>
      <c r="J425" s="137"/>
      <c r="K425" s="139">
        <v>10000000</v>
      </c>
      <c r="L425" s="240"/>
    </row>
    <row r="426" spans="1:12" ht="19.5" customHeight="1">
      <c r="A426" s="194"/>
      <c r="B426" s="235">
        <f>SUMIFS('لیست واریزی کل خیرین'!B:B,'لیست واریزی کل خیرین'!D:D,Table1[[#This Row],[نام]],'لیست واریزی کل خیرین'!E:E,Table1[[#This Row],[نام خانوادگی]])</f>
        <v>72</v>
      </c>
      <c r="C426" s="135" t="s">
        <v>588</v>
      </c>
      <c r="D426" s="135" t="s">
        <v>817</v>
      </c>
      <c r="E426" s="135" t="s">
        <v>1414</v>
      </c>
      <c r="F426" s="243" t="s">
        <v>926</v>
      </c>
      <c r="G426" s="137" t="s">
        <v>468</v>
      </c>
      <c r="H426" s="138">
        <f t="shared" si="8"/>
        <v>2</v>
      </c>
      <c r="I426" s="137">
        <v>1402</v>
      </c>
      <c r="J426" s="137"/>
      <c r="K426" s="139">
        <v>10000000</v>
      </c>
      <c r="L426" s="240"/>
    </row>
    <row r="427" spans="1:12" ht="15.75" customHeight="1">
      <c r="A427" s="194"/>
      <c r="B427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427" s="135" t="s">
        <v>480</v>
      </c>
      <c r="D427" s="135" t="s">
        <v>481</v>
      </c>
      <c r="E427" s="135" t="s">
        <v>1419</v>
      </c>
      <c r="F427" s="243" t="s">
        <v>579</v>
      </c>
      <c r="G427" s="137" t="s">
        <v>468</v>
      </c>
      <c r="H427" s="138">
        <f t="shared" si="8"/>
        <v>2</v>
      </c>
      <c r="I427" s="137">
        <v>1402</v>
      </c>
      <c r="J427" s="137"/>
      <c r="K427" s="139">
        <v>50000000</v>
      </c>
      <c r="L427" s="240"/>
    </row>
    <row r="428" spans="1:12" ht="15.75" customHeight="1">
      <c r="A428" s="194"/>
      <c r="B428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428" s="135" t="s">
        <v>494</v>
      </c>
      <c r="D428" s="135" t="s">
        <v>546</v>
      </c>
      <c r="E428" s="135" t="s">
        <v>1419</v>
      </c>
      <c r="F428" s="243" t="s">
        <v>1420</v>
      </c>
      <c r="G428" s="137" t="s">
        <v>468</v>
      </c>
      <c r="H428" s="138">
        <f t="shared" si="8"/>
        <v>2</v>
      </c>
      <c r="I428" s="137">
        <v>1402</v>
      </c>
      <c r="J428" s="137"/>
      <c r="K428" s="139">
        <v>40000000</v>
      </c>
      <c r="L428" s="240"/>
    </row>
    <row r="429" spans="1:12" ht="15.75" customHeight="1">
      <c r="A429" s="194"/>
      <c r="B429" s="235">
        <f>SUMIFS('لیست واریزی کل خیرین'!B:B,'لیست واریزی کل خیرین'!D:D,Table1[[#This Row],[نام]],'لیست واریزی کل خیرین'!E:E,Table1[[#This Row],[نام خانوادگی]])</f>
        <v>11</v>
      </c>
      <c r="C429" s="135" t="s">
        <v>494</v>
      </c>
      <c r="D429" s="135" t="s">
        <v>495</v>
      </c>
      <c r="E429" s="135" t="s">
        <v>1419</v>
      </c>
      <c r="F429" s="243" t="s">
        <v>573</v>
      </c>
      <c r="G429" s="137" t="s">
        <v>468</v>
      </c>
      <c r="H429" s="138">
        <f t="shared" si="8"/>
        <v>2</v>
      </c>
      <c r="I429" s="137">
        <v>1402</v>
      </c>
      <c r="J429" s="137"/>
      <c r="K429" s="139">
        <v>40000000</v>
      </c>
      <c r="L429" s="240"/>
    </row>
    <row r="430" spans="1:12" ht="15.75" customHeight="1">
      <c r="A430" s="194"/>
      <c r="B430" s="235">
        <f>SUMIFS('لیست واریزی کل خیرین'!B:B,'لیست واریزی کل خیرین'!D:D,Table1[[#This Row],[نام]],'لیست واریزی کل خیرین'!E:E,Table1[[#This Row],[نام خانوادگی]])</f>
        <v>88</v>
      </c>
      <c r="C430" s="135" t="s">
        <v>207</v>
      </c>
      <c r="D430" s="135" t="s">
        <v>1462</v>
      </c>
      <c r="E430" s="135" t="s">
        <v>1421</v>
      </c>
      <c r="F430" s="243" t="s">
        <v>1422</v>
      </c>
      <c r="G430" s="137" t="s">
        <v>468</v>
      </c>
      <c r="H430" s="138">
        <f t="shared" si="8"/>
        <v>2</v>
      </c>
      <c r="I430" s="137">
        <v>1402</v>
      </c>
      <c r="J430" s="137"/>
      <c r="K430" s="139">
        <v>7900000</v>
      </c>
      <c r="L430" s="240"/>
    </row>
    <row r="431" spans="1:12" ht="15.75" customHeight="1">
      <c r="A431" s="194"/>
      <c r="B431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431" s="135" t="s">
        <v>596</v>
      </c>
      <c r="D431" s="135" t="s">
        <v>597</v>
      </c>
      <c r="E431" s="135" t="s">
        <v>1423</v>
      </c>
      <c r="F431" s="243" t="s">
        <v>598</v>
      </c>
      <c r="G431" s="137" t="s">
        <v>468</v>
      </c>
      <c r="H431" s="138">
        <f t="shared" si="8"/>
        <v>2</v>
      </c>
      <c r="I431" s="137">
        <v>1402</v>
      </c>
      <c r="J431" s="137"/>
      <c r="K431" s="139">
        <v>3000000</v>
      </c>
      <c r="L431" s="240"/>
    </row>
    <row r="432" spans="1:12" ht="15.75" customHeight="1">
      <c r="A432" s="194"/>
      <c r="B432" s="235">
        <f>SUMIFS('لیست واریزی کل خیرین'!B:B,'لیست واریزی کل خیرین'!D:D,Table1[[#This Row],[نام]],'لیست واریزی کل خیرین'!E:E,Table1[[#This Row],[نام خانوادگی]])</f>
        <v>85</v>
      </c>
      <c r="C432" s="135" t="s">
        <v>916</v>
      </c>
      <c r="D432" s="135" t="s">
        <v>917</v>
      </c>
      <c r="E432" s="135" t="s">
        <v>1392</v>
      </c>
      <c r="F432" s="243" t="s">
        <v>919</v>
      </c>
      <c r="G432" s="137" t="s">
        <v>468</v>
      </c>
      <c r="H432" s="138">
        <f t="shared" si="8"/>
        <v>2</v>
      </c>
      <c r="I432" s="137">
        <v>1402</v>
      </c>
      <c r="J432" s="137"/>
      <c r="K432" s="139">
        <v>10000000</v>
      </c>
      <c r="L432" s="240"/>
    </row>
    <row r="433" spans="1:13" ht="15.75" customHeight="1">
      <c r="A433" s="194"/>
      <c r="B433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433" s="137" t="s">
        <v>486</v>
      </c>
      <c r="D433" s="137" t="s">
        <v>487</v>
      </c>
      <c r="E433" s="135" t="s">
        <v>1393</v>
      </c>
      <c r="F433" s="243" t="s">
        <v>595</v>
      </c>
      <c r="G433" s="137" t="s">
        <v>462</v>
      </c>
      <c r="H433" s="138">
        <f t="shared" si="8"/>
        <v>3</v>
      </c>
      <c r="I433" s="137">
        <v>1402</v>
      </c>
      <c r="J433" s="137"/>
      <c r="K433" s="139">
        <v>20000000</v>
      </c>
      <c r="L433" s="240"/>
    </row>
    <row r="434" spans="1:13" ht="15.75" customHeight="1">
      <c r="A434" s="194"/>
      <c r="B434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434" s="137" t="s">
        <v>497</v>
      </c>
      <c r="D434" s="152" t="s">
        <v>498</v>
      </c>
      <c r="E434" s="135" t="s">
        <v>1394</v>
      </c>
      <c r="F434" s="243" t="s">
        <v>862</v>
      </c>
      <c r="G434" s="137" t="s">
        <v>468</v>
      </c>
      <c r="H434" s="138">
        <f t="shared" si="8"/>
        <v>2</v>
      </c>
      <c r="I434" s="137">
        <v>1402</v>
      </c>
      <c r="J434" s="137"/>
      <c r="K434" s="139">
        <v>10000000</v>
      </c>
      <c r="L434" s="240"/>
    </row>
    <row r="435" spans="1:13" ht="15.75" customHeight="1">
      <c r="A435" s="194"/>
      <c r="B435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435" s="137" t="s">
        <v>814</v>
      </c>
      <c r="D435" s="137" t="s">
        <v>705</v>
      </c>
      <c r="E435" s="135" t="s">
        <v>1424</v>
      </c>
      <c r="F435" s="243" t="s">
        <v>1425</v>
      </c>
      <c r="G435" s="137" t="s">
        <v>468</v>
      </c>
      <c r="H435" s="138">
        <f t="shared" si="8"/>
        <v>2</v>
      </c>
      <c r="I435" s="137">
        <v>1402</v>
      </c>
      <c r="J435" s="137"/>
      <c r="K435" s="139">
        <v>10000000</v>
      </c>
      <c r="L435" s="240"/>
    </row>
    <row r="436" spans="1:13" ht="15.75" customHeight="1">
      <c r="A436" s="194"/>
      <c r="B436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436" s="135" t="s">
        <v>522</v>
      </c>
      <c r="D436" s="135" t="s">
        <v>523</v>
      </c>
      <c r="E436" s="135" t="s">
        <v>1426</v>
      </c>
      <c r="F436" s="243" t="s">
        <v>1473</v>
      </c>
      <c r="G436" s="137" t="s">
        <v>468</v>
      </c>
      <c r="H436" s="138">
        <f>IF(G436="","",VLOOKUP(G436,mah,2,0))</f>
        <v>2</v>
      </c>
      <c r="I436" s="137">
        <v>1402</v>
      </c>
      <c r="J436" s="137"/>
      <c r="K436" s="139">
        <v>25365951</v>
      </c>
      <c r="L436" s="253"/>
      <c r="M436" s="426"/>
    </row>
    <row r="437" spans="1:13" ht="15.75" customHeight="1">
      <c r="A437" s="194"/>
      <c r="B437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437" s="135" t="s">
        <v>471</v>
      </c>
      <c r="D437" s="135" t="s">
        <v>472</v>
      </c>
      <c r="E437" s="135" t="s">
        <v>1395</v>
      </c>
      <c r="F437" s="243" t="s">
        <v>1427</v>
      </c>
      <c r="G437" s="137" t="s">
        <v>468</v>
      </c>
      <c r="H437" s="138">
        <f t="shared" si="8"/>
        <v>2</v>
      </c>
      <c r="I437" s="137">
        <v>1402</v>
      </c>
      <c r="J437" s="137"/>
      <c r="K437" s="139">
        <v>2000000</v>
      </c>
      <c r="L437" s="240"/>
    </row>
    <row r="438" spans="1:13" ht="15.75" customHeight="1">
      <c r="A438" s="194"/>
      <c r="B438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438" s="135" t="s">
        <v>838</v>
      </c>
      <c r="D438" s="135" t="s">
        <v>839</v>
      </c>
      <c r="E438" s="135" t="s">
        <v>1428</v>
      </c>
      <c r="F438" s="243" t="s">
        <v>841</v>
      </c>
      <c r="G438" s="137" t="s">
        <v>468</v>
      </c>
      <c r="H438" s="138">
        <f t="shared" si="8"/>
        <v>2</v>
      </c>
      <c r="I438" s="137">
        <v>1402</v>
      </c>
      <c r="J438" s="137"/>
      <c r="K438" s="139">
        <v>5000000</v>
      </c>
      <c r="L438" s="240"/>
    </row>
    <row r="439" spans="1:13" ht="30" customHeight="1">
      <c r="A439" s="194"/>
      <c r="B439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39" s="135" t="s">
        <v>486</v>
      </c>
      <c r="D439" s="135" t="s">
        <v>500</v>
      </c>
      <c r="E439" s="135" t="s">
        <v>1428</v>
      </c>
      <c r="F439" s="243" t="s">
        <v>685</v>
      </c>
      <c r="G439" s="137" t="s">
        <v>463</v>
      </c>
      <c r="H439" s="138">
        <f t="shared" si="8"/>
        <v>1</v>
      </c>
      <c r="I439" s="137">
        <v>1402</v>
      </c>
      <c r="J439" s="137"/>
      <c r="K439" s="139">
        <v>4166000</v>
      </c>
      <c r="L439" s="423" t="s">
        <v>1466</v>
      </c>
    </row>
    <row r="440" spans="1:13" ht="29.25" customHeight="1">
      <c r="A440" s="194"/>
      <c r="B440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40" s="135" t="s">
        <v>486</v>
      </c>
      <c r="D440" s="135" t="s">
        <v>500</v>
      </c>
      <c r="E440" s="135" t="s">
        <v>1428</v>
      </c>
      <c r="F440" s="243" t="s">
        <v>685</v>
      </c>
      <c r="G440" s="236" t="s">
        <v>468</v>
      </c>
      <c r="H440" s="237">
        <f t="shared" ref="H440:H450" si="10">IF(G440="","",VLOOKUP(G440,mah,2,0))</f>
        <v>2</v>
      </c>
      <c r="I440" s="137">
        <v>1402</v>
      </c>
      <c r="J440" s="236"/>
      <c r="K440" s="139">
        <v>4166000</v>
      </c>
      <c r="L440" s="423" t="s">
        <v>1466</v>
      </c>
    </row>
    <row r="441" spans="1:13" ht="33" customHeight="1">
      <c r="A441" s="194"/>
      <c r="B441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41" s="135" t="s">
        <v>486</v>
      </c>
      <c r="D441" s="135" t="s">
        <v>500</v>
      </c>
      <c r="E441" s="135" t="s">
        <v>1428</v>
      </c>
      <c r="F441" s="243" t="s">
        <v>685</v>
      </c>
      <c r="G441" s="236" t="s">
        <v>462</v>
      </c>
      <c r="H441" s="237">
        <f t="shared" si="10"/>
        <v>3</v>
      </c>
      <c r="I441" s="137">
        <v>1402</v>
      </c>
      <c r="J441" s="236"/>
      <c r="K441" s="139">
        <v>4166000</v>
      </c>
      <c r="L441" s="423" t="s">
        <v>1466</v>
      </c>
    </row>
    <row r="442" spans="1:13" ht="31.5" customHeight="1">
      <c r="A442" s="194"/>
      <c r="B442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42" s="135" t="s">
        <v>486</v>
      </c>
      <c r="D442" s="135" t="s">
        <v>500</v>
      </c>
      <c r="E442" s="135" t="s">
        <v>1428</v>
      </c>
      <c r="F442" s="243" t="s">
        <v>685</v>
      </c>
      <c r="G442" s="236" t="s">
        <v>474</v>
      </c>
      <c r="H442" s="237">
        <f t="shared" si="10"/>
        <v>4</v>
      </c>
      <c r="I442" s="137">
        <v>1402</v>
      </c>
      <c r="J442" s="236"/>
      <c r="K442" s="139">
        <v>4166000</v>
      </c>
      <c r="L442" s="423" t="s">
        <v>1466</v>
      </c>
    </row>
    <row r="443" spans="1:13" ht="30.75" customHeight="1">
      <c r="A443" s="194"/>
      <c r="B443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43" s="135" t="s">
        <v>486</v>
      </c>
      <c r="D443" s="135" t="s">
        <v>500</v>
      </c>
      <c r="E443" s="135" t="s">
        <v>1428</v>
      </c>
      <c r="F443" s="243" t="s">
        <v>685</v>
      </c>
      <c r="G443" s="236" t="s">
        <v>477</v>
      </c>
      <c r="H443" s="237">
        <f t="shared" si="10"/>
        <v>5</v>
      </c>
      <c r="I443" s="137">
        <v>1402</v>
      </c>
      <c r="J443" s="236"/>
      <c r="K443" s="139">
        <v>4166000</v>
      </c>
      <c r="L443" s="423" t="s">
        <v>1466</v>
      </c>
    </row>
    <row r="444" spans="1:13" ht="30" customHeight="1">
      <c r="A444" s="194"/>
      <c r="B444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44" s="135" t="s">
        <v>486</v>
      </c>
      <c r="D444" s="135" t="s">
        <v>500</v>
      </c>
      <c r="E444" s="135" t="s">
        <v>1428</v>
      </c>
      <c r="F444" s="243" t="s">
        <v>685</v>
      </c>
      <c r="G444" s="236" t="s">
        <v>479</v>
      </c>
      <c r="H444" s="237">
        <f t="shared" si="10"/>
        <v>6</v>
      </c>
      <c r="I444" s="137">
        <v>1402</v>
      </c>
      <c r="J444" s="236"/>
      <c r="K444" s="139">
        <v>4166000</v>
      </c>
      <c r="L444" s="423" t="s">
        <v>1466</v>
      </c>
    </row>
    <row r="445" spans="1:13" ht="30.75" customHeight="1">
      <c r="A445" s="194"/>
      <c r="B445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45" s="135" t="s">
        <v>486</v>
      </c>
      <c r="D445" s="135" t="s">
        <v>500</v>
      </c>
      <c r="E445" s="135" t="s">
        <v>1428</v>
      </c>
      <c r="F445" s="243" t="s">
        <v>685</v>
      </c>
      <c r="G445" s="236" t="s">
        <v>482</v>
      </c>
      <c r="H445" s="237">
        <f t="shared" si="10"/>
        <v>7</v>
      </c>
      <c r="I445" s="137">
        <v>1402</v>
      </c>
      <c r="J445" s="236"/>
      <c r="K445" s="139">
        <v>4166000</v>
      </c>
      <c r="L445" s="423" t="s">
        <v>1466</v>
      </c>
    </row>
    <row r="446" spans="1:13" ht="30.75" customHeight="1">
      <c r="A446" s="194"/>
      <c r="B446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46" s="135" t="s">
        <v>486</v>
      </c>
      <c r="D446" s="135" t="s">
        <v>500</v>
      </c>
      <c r="E446" s="135" t="s">
        <v>1428</v>
      </c>
      <c r="F446" s="243" t="s">
        <v>685</v>
      </c>
      <c r="G446" s="236" t="s">
        <v>485</v>
      </c>
      <c r="H446" s="237">
        <f t="shared" si="10"/>
        <v>8</v>
      </c>
      <c r="I446" s="137">
        <v>1402</v>
      </c>
      <c r="J446" s="236"/>
      <c r="K446" s="139">
        <v>4166000</v>
      </c>
      <c r="L446" s="423" t="s">
        <v>1466</v>
      </c>
    </row>
    <row r="447" spans="1:13" ht="34.5" customHeight="1">
      <c r="A447" s="194"/>
      <c r="B447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47" s="135" t="s">
        <v>486</v>
      </c>
      <c r="D447" s="135" t="s">
        <v>500</v>
      </c>
      <c r="E447" s="135" t="s">
        <v>1428</v>
      </c>
      <c r="F447" s="243" t="s">
        <v>685</v>
      </c>
      <c r="G447" s="236" t="s">
        <v>488</v>
      </c>
      <c r="H447" s="237">
        <f t="shared" si="10"/>
        <v>9</v>
      </c>
      <c r="I447" s="137">
        <v>1402</v>
      </c>
      <c r="J447" s="236"/>
      <c r="K447" s="139">
        <v>4166000</v>
      </c>
      <c r="L447" s="423" t="s">
        <v>1466</v>
      </c>
    </row>
    <row r="448" spans="1:13" ht="30" customHeight="1">
      <c r="A448" s="194"/>
      <c r="B448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48" s="135" t="s">
        <v>486</v>
      </c>
      <c r="D448" s="135" t="s">
        <v>500</v>
      </c>
      <c r="E448" s="135" t="s">
        <v>1428</v>
      </c>
      <c r="F448" s="243" t="s">
        <v>685</v>
      </c>
      <c r="G448" s="236" t="s">
        <v>493</v>
      </c>
      <c r="H448" s="237">
        <f t="shared" si="10"/>
        <v>10</v>
      </c>
      <c r="I448" s="137">
        <v>1402</v>
      </c>
      <c r="J448" s="236"/>
      <c r="K448" s="139">
        <v>4166000</v>
      </c>
      <c r="L448" s="423" t="s">
        <v>1466</v>
      </c>
    </row>
    <row r="449" spans="1:12" ht="31.5" customHeight="1">
      <c r="A449" s="194"/>
      <c r="B449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49" s="135" t="s">
        <v>486</v>
      </c>
      <c r="D449" s="135" t="s">
        <v>500</v>
      </c>
      <c r="E449" s="135" t="s">
        <v>1428</v>
      </c>
      <c r="F449" s="243" t="s">
        <v>685</v>
      </c>
      <c r="G449" s="236" t="s">
        <v>496</v>
      </c>
      <c r="H449" s="237">
        <f t="shared" si="10"/>
        <v>11</v>
      </c>
      <c r="I449" s="137">
        <v>1402</v>
      </c>
      <c r="J449" s="236"/>
      <c r="K449" s="139">
        <v>4166000</v>
      </c>
      <c r="L449" s="423" t="s">
        <v>1466</v>
      </c>
    </row>
    <row r="450" spans="1:12" ht="31.5" customHeight="1">
      <c r="A450" s="194"/>
      <c r="B450" s="235">
        <f>SUMIFS('لیست واریزی کل خیرین'!B:B,'لیست واریزی کل خیرین'!D:D,Table1[[#This Row],[نام]],'لیست واریزی کل خیرین'!E:E,Table1[[#This Row],[نام خانوادگی]])</f>
        <v>13</v>
      </c>
      <c r="C450" s="135" t="s">
        <v>486</v>
      </c>
      <c r="D450" s="135" t="s">
        <v>500</v>
      </c>
      <c r="E450" s="135" t="s">
        <v>1428</v>
      </c>
      <c r="F450" s="243" t="s">
        <v>685</v>
      </c>
      <c r="G450" s="236" t="s">
        <v>499</v>
      </c>
      <c r="H450" s="237">
        <f t="shared" si="10"/>
        <v>12</v>
      </c>
      <c r="I450" s="137">
        <v>1402</v>
      </c>
      <c r="J450" s="236"/>
      <c r="K450" s="139">
        <v>4166000</v>
      </c>
      <c r="L450" s="423" t="s">
        <v>1466</v>
      </c>
    </row>
    <row r="451" spans="1:12" ht="15.75" customHeight="1">
      <c r="A451" s="194"/>
      <c r="B451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451" s="137" t="s">
        <v>497</v>
      </c>
      <c r="D451" s="137" t="s">
        <v>513</v>
      </c>
      <c r="E451" s="135" t="s">
        <v>1429</v>
      </c>
      <c r="F451" s="243" t="s">
        <v>667</v>
      </c>
      <c r="G451" s="137" t="s">
        <v>468</v>
      </c>
      <c r="H451" s="138">
        <f t="shared" si="8"/>
        <v>2</v>
      </c>
      <c r="I451" s="137">
        <v>1402</v>
      </c>
      <c r="J451" s="137"/>
      <c r="K451" s="139">
        <v>20000000</v>
      </c>
      <c r="L451" s="240"/>
    </row>
    <row r="452" spans="1:12" ht="15.75" customHeight="1">
      <c r="A452" s="194"/>
      <c r="B452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452" s="137" t="s">
        <v>529</v>
      </c>
      <c r="D452" s="137" t="s">
        <v>530</v>
      </c>
      <c r="E452" s="135" t="s">
        <v>1430</v>
      </c>
      <c r="F452" s="243" t="s">
        <v>689</v>
      </c>
      <c r="G452" s="137" t="s">
        <v>462</v>
      </c>
      <c r="H452" s="138">
        <f t="shared" si="8"/>
        <v>3</v>
      </c>
      <c r="I452" s="137">
        <v>1402</v>
      </c>
      <c r="J452" s="137"/>
      <c r="K452" s="139">
        <v>5000000</v>
      </c>
      <c r="L452" s="240"/>
    </row>
    <row r="453" spans="1:12" ht="15.75" customHeight="1">
      <c r="A453" s="194"/>
      <c r="B453" s="235">
        <f>SUMIFS('لیست واریزی کل خیرین'!B:B,'لیست واریزی کل خیرین'!D:D,Table1[[#This Row],[نام]],'لیست واریزی کل خیرین'!E:E,Table1[[#This Row],[نام خانوادگی]])</f>
        <v>25</v>
      </c>
      <c r="C453" s="137" t="s">
        <v>532</v>
      </c>
      <c r="D453" s="137" t="s">
        <v>533</v>
      </c>
      <c r="E453" s="135" t="s">
        <v>1430</v>
      </c>
      <c r="F453" s="243" t="s">
        <v>569</v>
      </c>
      <c r="G453" s="137" t="s">
        <v>462</v>
      </c>
      <c r="H453" s="138">
        <f t="shared" si="8"/>
        <v>3</v>
      </c>
      <c r="I453" s="137">
        <v>1402</v>
      </c>
      <c r="J453" s="137"/>
      <c r="K453" s="139">
        <v>30000000</v>
      </c>
      <c r="L453" s="240"/>
    </row>
    <row r="454" spans="1:12" ht="33" customHeight="1">
      <c r="A454" s="194"/>
      <c r="B454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454" s="137" t="s">
        <v>475</v>
      </c>
      <c r="D454" s="137" t="s">
        <v>476</v>
      </c>
      <c r="E454" s="135" t="s">
        <v>1431</v>
      </c>
      <c r="F454" s="243" t="s">
        <v>867</v>
      </c>
      <c r="G454" s="137" t="s">
        <v>463</v>
      </c>
      <c r="H454" s="138">
        <f t="shared" si="8"/>
        <v>1</v>
      </c>
      <c r="I454" s="137">
        <v>1402</v>
      </c>
      <c r="J454" s="137"/>
      <c r="K454" s="139">
        <v>5000000</v>
      </c>
      <c r="L454" s="423" t="s">
        <v>1463</v>
      </c>
    </row>
    <row r="455" spans="1:12" ht="27.75" customHeight="1">
      <c r="A455" s="194"/>
      <c r="B455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455" s="137" t="s">
        <v>475</v>
      </c>
      <c r="D455" s="137" t="s">
        <v>476</v>
      </c>
      <c r="E455" s="135" t="s">
        <v>1431</v>
      </c>
      <c r="F455" s="243" t="s">
        <v>867</v>
      </c>
      <c r="G455" s="236" t="s">
        <v>468</v>
      </c>
      <c r="H455" s="237">
        <f>IF(G455="","",VLOOKUP(G455,mah,2,0))</f>
        <v>2</v>
      </c>
      <c r="I455" s="137">
        <v>1402</v>
      </c>
      <c r="J455" s="236"/>
      <c r="K455" s="139">
        <v>5000000</v>
      </c>
      <c r="L455" s="423" t="s">
        <v>1463</v>
      </c>
    </row>
    <row r="456" spans="1:12" ht="27" customHeight="1">
      <c r="A456" s="194"/>
      <c r="B456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456" s="137" t="s">
        <v>475</v>
      </c>
      <c r="D456" s="137" t="s">
        <v>476</v>
      </c>
      <c r="E456" s="135" t="s">
        <v>1431</v>
      </c>
      <c r="F456" s="243" t="s">
        <v>867</v>
      </c>
      <c r="G456" s="236" t="s">
        <v>462</v>
      </c>
      <c r="H456" s="237">
        <f>IF(G456="","",VLOOKUP(G456,mah,2,0))</f>
        <v>3</v>
      </c>
      <c r="I456" s="137">
        <v>1402</v>
      </c>
      <c r="J456" s="236"/>
      <c r="K456" s="139">
        <v>5000000</v>
      </c>
      <c r="L456" s="423" t="s">
        <v>1463</v>
      </c>
    </row>
    <row r="457" spans="1:12" ht="15.75" customHeight="1">
      <c r="A457" s="194"/>
      <c r="B457" s="235">
        <f>SUMIFS('لیست واریزی کل خیرین'!B:B,'لیست واریزی کل خیرین'!D:D,Table1[[#This Row],[نام]],'لیست واریزی کل خیرین'!E:E,Table1[[#This Row],[نام خانوادگی]])</f>
        <v>11</v>
      </c>
      <c r="C457" s="137" t="s">
        <v>494</v>
      </c>
      <c r="D457" s="137" t="s">
        <v>495</v>
      </c>
      <c r="E457" s="135" t="s">
        <v>1431</v>
      </c>
      <c r="F457" s="243" t="s">
        <v>573</v>
      </c>
      <c r="G457" s="137" t="s">
        <v>462</v>
      </c>
      <c r="H457" s="138">
        <f t="shared" si="8"/>
        <v>3</v>
      </c>
      <c r="I457" s="137">
        <v>1402</v>
      </c>
      <c r="J457" s="137"/>
      <c r="K457" s="139">
        <v>40000000</v>
      </c>
      <c r="L457" s="240"/>
    </row>
    <row r="458" spans="1:12" ht="30" customHeight="1">
      <c r="A458" s="194"/>
      <c r="B458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458" s="137" t="s">
        <v>497</v>
      </c>
      <c r="D458" s="137" t="s">
        <v>516</v>
      </c>
      <c r="E458" s="135" t="s">
        <v>1432</v>
      </c>
      <c r="F458" s="243" t="s">
        <v>619</v>
      </c>
      <c r="G458" s="137" t="s">
        <v>468</v>
      </c>
      <c r="H458" s="138">
        <f t="shared" si="8"/>
        <v>2</v>
      </c>
      <c r="I458" s="137">
        <v>1402</v>
      </c>
      <c r="J458" s="137"/>
      <c r="K458" s="139">
        <v>5000000</v>
      </c>
      <c r="L458" s="423" t="s">
        <v>1464</v>
      </c>
    </row>
    <row r="459" spans="1:12" ht="22.5" customHeight="1">
      <c r="A459" s="194"/>
      <c r="B459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459" s="137" t="s">
        <v>497</v>
      </c>
      <c r="D459" s="137" t="s">
        <v>516</v>
      </c>
      <c r="E459" s="135" t="s">
        <v>1432</v>
      </c>
      <c r="F459" s="243" t="s">
        <v>619</v>
      </c>
      <c r="G459" s="137" t="s">
        <v>462</v>
      </c>
      <c r="H459" s="138">
        <f t="shared" ref="H459" si="11">IF(G459="","",VLOOKUP(G459,mah,2,0))</f>
        <v>3</v>
      </c>
      <c r="I459" s="137">
        <v>1402</v>
      </c>
      <c r="J459" s="236"/>
      <c r="K459" s="238">
        <v>5000000</v>
      </c>
      <c r="L459" s="423" t="s">
        <v>1464</v>
      </c>
    </row>
    <row r="460" spans="1:12" ht="15.75" customHeight="1">
      <c r="A460" s="194"/>
      <c r="B460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460" s="137" t="s">
        <v>489</v>
      </c>
      <c r="D460" s="137" t="s">
        <v>490</v>
      </c>
      <c r="E460" s="135" t="s">
        <v>1401</v>
      </c>
      <c r="F460" s="243" t="s">
        <v>835</v>
      </c>
      <c r="G460" s="137" t="s">
        <v>462</v>
      </c>
      <c r="H460" s="138">
        <f t="shared" si="8"/>
        <v>3</v>
      </c>
      <c r="I460" s="137">
        <v>1402</v>
      </c>
      <c r="J460" s="137"/>
      <c r="K460" s="139">
        <v>105000000</v>
      </c>
      <c r="L460" s="240"/>
    </row>
    <row r="461" spans="1:12" ht="15.75" customHeight="1">
      <c r="A461" s="194"/>
      <c r="B461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461" s="137" t="s">
        <v>480</v>
      </c>
      <c r="D461" s="137" t="s">
        <v>481</v>
      </c>
      <c r="E461" s="135" t="s">
        <v>1433</v>
      </c>
      <c r="F461" s="243" t="s">
        <v>579</v>
      </c>
      <c r="G461" s="137" t="s">
        <v>462</v>
      </c>
      <c r="H461" s="138">
        <f t="shared" si="8"/>
        <v>3</v>
      </c>
      <c r="I461" s="137">
        <v>1402</v>
      </c>
      <c r="J461" s="137"/>
      <c r="K461" s="139">
        <v>50000000</v>
      </c>
      <c r="L461" s="240"/>
    </row>
    <row r="462" spans="1:12" ht="26.25" customHeight="1">
      <c r="A462" s="194"/>
      <c r="B462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462" s="137" t="s">
        <v>543</v>
      </c>
      <c r="D462" s="137" t="s">
        <v>544</v>
      </c>
      <c r="E462" s="135" t="s">
        <v>1434</v>
      </c>
      <c r="F462" s="243" t="s">
        <v>856</v>
      </c>
      <c r="G462" s="137" t="s">
        <v>496</v>
      </c>
      <c r="H462" s="138">
        <f t="shared" si="8"/>
        <v>11</v>
      </c>
      <c r="I462" s="137">
        <v>1401</v>
      </c>
      <c r="J462" s="137"/>
      <c r="K462" s="139">
        <v>5000000</v>
      </c>
      <c r="L462" s="423" t="s">
        <v>1441</v>
      </c>
    </row>
    <row r="463" spans="1:12" ht="30" customHeight="1">
      <c r="A463" s="194"/>
      <c r="B463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463" s="137" t="s">
        <v>543</v>
      </c>
      <c r="D463" s="137" t="s">
        <v>544</v>
      </c>
      <c r="E463" s="135" t="s">
        <v>1434</v>
      </c>
      <c r="F463" s="243" t="s">
        <v>856</v>
      </c>
      <c r="G463" s="137" t="s">
        <v>499</v>
      </c>
      <c r="H463" s="138">
        <f t="shared" si="8"/>
        <v>12</v>
      </c>
      <c r="I463" s="137">
        <v>1401</v>
      </c>
      <c r="J463" s="137"/>
      <c r="K463" s="139">
        <v>5000000</v>
      </c>
      <c r="L463" s="423" t="s">
        <v>1441</v>
      </c>
    </row>
    <row r="464" spans="1:12" ht="29.25" customHeight="1">
      <c r="A464" s="194"/>
      <c r="B464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464" s="137" t="s">
        <v>543</v>
      </c>
      <c r="D464" s="137" t="s">
        <v>544</v>
      </c>
      <c r="E464" s="135" t="s">
        <v>1434</v>
      </c>
      <c r="F464" s="243" t="s">
        <v>856</v>
      </c>
      <c r="G464" s="137" t="s">
        <v>463</v>
      </c>
      <c r="H464" s="138">
        <f t="shared" si="8"/>
        <v>1</v>
      </c>
      <c r="I464" s="137">
        <v>1402</v>
      </c>
      <c r="J464" s="137"/>
      <c r="K464" s="139">
        <v>5000000</v>
      </c>
      <c r="L464" s="423" t="s">
        <v>1441</v>
      </c>
    </row>
    <row r="465" spans="1:13" ht="15.75" customHeight="1">
      <c r="A465" s="194"/>
      <c r="B465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465" s="137" t="s">
        <v>494</v>
      </c>
      <c r="D465" s="137" t="s">
        <v>533</v>
      </c>
      <c r="E465" s="135" t="s">
        <v>1435</v>
      </c>
      <c r="F465" s="243" t="s">
        <v>1436</v>
      </c>
      <c r="G465" s="137" t="s">
        <v>468</v>
      </c>
      <c r="H465" s="138">
        <f t="shared" si="8"/>
        <v>2</v>
      </c>
      <c r="I465" s="137">
        <v>1402</v>
      </c>
      <c r="J465" s="137"/>
      <c r="K465" s="139">
        <v>50000000</v>
      </c>
      <c r="L465" s="240"/>
    </row>
    <row r="466" spans="1:13" ht="15.75" customHeight="1">
      <c r="A466" s="194"/>
      <c r="B466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466" s="137" t="s">
        <v>486</v>
      </c>
      <c r="D466" s="137" t="s">
        <v>487</v>
      </c>
      <c r="E466" s="135" t="s">
        <v>1435</v>
      </c>
      <c r="F466" s="243" t="s">
        <v>595</v>
      </c>
      <c r="G466" s="137" t="s">
        <v>474</v>
      </c>
      <c r="H466" s="138">
        <f t="shared" si="8"/>
        <v>4</v>
      </c>
      <c r="I466" s="137">
        <v>1402</v>
      </c>
      <c r="J466" s="137"/>
      <c r="K466" s="139">
        <v>20000000</v>
      </c>
      <c r="L466" s="240"/>
    </row>
    <row r="467" spans="1:13" ht="15.75" customHeight="1">
      <c r="A467" s="194"/>
      <c r="B467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467" s="137" t="s">
        <v>814</v>
      </c>
      <c r="D467" s="137" t="s">
        <v>705</v>
      </c>
      <c r="E467" s="135" t="s">
        <v>1437</v>
      </c>
      <c r="F467" s="243" t="s">
        <v>1438</v>
      </c>
      <c r="G467" s="137" t="s">
        <v>462</v>
      </c>
      <c r="H467" s="138">
        <f t="shared" si="8"/>
        <v>3</v>
      </c>
      <c r="I467" s="137">
        <v>1402</v>
      </c>
      <c r="J467" s="137"/>
      <c r="K467" s="139">
        <v>10000000</v>
      </c>
      <c r="L467" s="240"/>
    </row>
    <row r="468" spans="1:13" ht="15.75" customHeight="1">
      <c r="A468" s="194"/>
      <c r="B468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468" s="137" t="s">
        <v>522</v>
      </c>
      <c r="D468" s="137" t="s">
        <v>523</v>
      </c>
      <c r="E468" s="135" t="s">
        <v>1472</v>
      </c>
      <c r="F468" s="243" t="s">
        <v>1473</v>
      </c>
      <c r="G468" s="137" t="s">
        <v>462</v>
      </c>
      <c r="H468" s="138">
        <f>IF(G468="","",VLOOKUP(G468,mah,2,0))</f>
        <v>3</v>
      </c>
      <c r="I468" s="137">
        <v>1402</v>
      </c>
      <c r="J468" s="137"/>
      <c r="K468" s="139">
        <v>26623788</v>
      </c>
      <c r="L468" s="253"/>
      <c r="M468" s="426"/>
    </row>
    <row r="469" spans="1:13" ht="15.75" customHeight="1">
      <c r="A469" s="194"/>
      <c r="B469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469" s="137" t="s">
        <v>497</v>
      </c>
      <c r="D469" s="152" t="s">
        <v>498</v>
      </c>
      <c r="E469" s="135" t="s">
        <v>1402</v>
      </c>
      <c r="F469" s="243" t="s">
        <v>862</v>
      </c>
      <c r="G469" s="137" t="s">
        <v>477</v>
      </c>
      <c r="H469" s="138">
        <f t="shared" si="8"/>
        <v>5</v>
      </c>
      <c r="I469" s="137">
        <v>1402</v>
      </c>
      <c r="J469" s="137"/>
      <c r="K469" s="139">
        <v>10000000</v>
      </c>
      <c r="L469" s="240" t="s">
        <v>2009</v>
      </c>
    </row>
    <row r="470" spans="1:13" ht="15.75" customHeight="1">
      <c r="A470" s="194"/>
      <c r="B470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470" s="137" t="s">
        <v>497</v>
      </c>
      <c r="D470" s="152" t="s">
        <v>498</v>
      </c>
      <c r="E470" s="135" t="s">
        <v>1402</v>
      </c>
      <c r="F470" s="243" t="s">
        <v>862</v>
      </c>
      <c r="G470" s="137" t="s">
        <v>462</v>
      </c>
      <c r="H470" s="138">
        <f t="shared" si="8"/>
        <v>3</v>
      </c>
      <c r="I470" s="137">
        <v>1402</v>
      </c>
      <c r="J470" s="137"/>
      <c r="K470" s="139">
        <v>10000000</v>
      </c>
      <c r="L470" s="240" t="s">
        <v>2009</v>
      </c>
    </row>
    <row r="471" spans="1:13" ht="15.75" customHeight="1">
      <c r="A471" s="194"/>
      <c r="B471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471" s="137" t="s">
        <v>497</v>
      </c>
      <c r="D471" s="152" t="s">
        <v>498</v>
      </c>
      <c r="E471" s="135" t="s">
        <v>1402</v>
      </c>
      <c r="F471" s="243" t="s">
        <v>862</v>
      </c>
      <c r="G471" s="137" t="s">
        <v>474</v>
      </c>
      <c r="H471" s="138">
        <f t="shared" si="8"/>
        <v>4</v>
      </c>
      <c r="I471" s="137">
        <v>1402</v>
      </c>
      <c r="J471" s="236"/>
      <c r="K471" s="139">
        <v>10000000</v>
      </c>
      <c r="L471" s="240" t="s">
        <v>2009</v>
      </c>
    </row>
    <row r="472" spans="1:13" ht="15.75" customHeight="1">
      <c r="A472" s="194"/>
      <c r="B472" s="235">
        <f>SUMIFS('لیست واریزی کل خیرین'!B:B,'لیست واریزی کل خیرین'!D:D,Table1[[#This Row],[نام]],'لیست واریزی کل خیرین'!E:E,Table1[[#This Row],[نام خانوادگی]])</f>
        <v>88</v>
      </c>
      <c r="C472" s="135" t="s">
        <v>207</v>
      </c>
      <c r="D472" s="135" t="s">
        <v>1462</v>
      </c>
      <c r="E472" s="135" t="s">
        <v>1439</v>
      </c>
      <c r="F472" s="243" t="s">
        <v>1440</v>
      </c>
      <c r="G472" s="137" t="s">
        <v>462</v>
      </c>
      <c r="H472" s="138">
        <f t="shared" si="8"/>
        <v>3</v>
      </c>
      <c r="I472" s="137">
        <v>1402</v>
      </c>
      <c r="J472" s="137"/>
      <c r="K472" s="139">
        <v>10000000</v>
      </c>
      <c r="L472" s="368"/>
    </row>
    <row r="473" spans="1:13" ht="27.75" customHeight="1">
      <c r="A473" s="194"/>
      <c r="B473" s="235">
        <f>SUMIFS('لیست واریزی کل خیرین'!B:B,'لیست واریزی کل خیرین'!D:D,Table1[[#This Row],[نام]],'لیست واریزی کل خیرین'!E:E,Table1[[#This Row],[نام خانوادگی]])</f>
        <v>23</v>
      </c>
      <c r="C473" s="137" t="s">
        <v>588</v>
      </c>
      <c r="D473" s="137" t="s">
        <v>521</v>
      </c>
      <c r="E473" s="135" t="s">
        <v>1477</v>
      </c>
      <c r="F473" s="249" t="s">
        <v>1478</v>
      </c>
      <c r="G473" s="137" t="s">
        <v>499</v>
      </c>
      <c r="H473" s="138">
        <f t="shared" si="8"/>
        <v>12</v>
      </c>
      <c r="I473" s="137">
        <v>1401</v>
      </c>
      <c r="J473" s="236"/>
      <c r="K473" s="238">
        <v>10000000</v>
      </c>
      <c r="L473" s="423" t="s">
        <v>1479</v>
      </c>
    </row>
    <row r="474" spans="1:13" ht="28.5" customHeight="1">
      <c r="A474" s="194"/>
      <c r="B474" s="235">
        <f>SUMIFS('لیست واریزی کل خیرین'!B:B,'لیست واریزی کل خیرین'!D:D,Table1[[#This Row],[نام]],'لیست واریزی کل خیرین'!E:E,Table1[[#This Row],[نام خانوادگی]])</f>
        <v>23</v>
      </c>
      <c r="C474" s="137" t="s">
        <v>588</v>
      </c>
      <c r="D474" s="137" t="s">
        <v>521</v>
      </c>
      <c r="E474" s="135" t="s">
        <v>1477</v>
      </c>
      <c r="F474" s="249" t="s">
        <v>1478</v>
      </c>
      <c r="G474" s="236" t="s">
        <v>463</v>
      </c>
      <c r="H474" s="138">
        <f t="shared" si="8"/>
        <v>1</v>
      </c>
      <c r="I474" s="236">
        <v>1402</v>
      </c>
      <c r="J474" s="236"/>
      <c r="K474" s="238">
        <v>10000000</v>
      </c>
      <c r="L474" s="423" t="s">
        <v>1479</v>
      </c>
    </row>
    <row r="475" spans="1:13" ht="30" customHeight="1">
      <c r="A475" s="194"/>
      <c r="B475" s="235">
        <f>SUMIFS('لیست واریزی کل خیرین'!B:B,'لیست واریزی کل خیرین'!D:D,Table1[[#This Row],[نام]],'لیست واریزی کل خیرین'!E:E,Table1[[#This Row],[نام خانوادگی]])</f>
        <v>23</v>
      </c>
      <c r="C475" s="137" t="s">
        <v>588</v>
      </c>
      <c r="D475" s="137" t="s">
        <v>521</v>
      </c>
      <c r="E475" s="135" t="s">
        <v>1477</v>
      </c>
      <c r="F475" s="249" t="s">
        <v>1478</v>
      </c>
      <c r="G475" s="236" t="s">
        <v>468</v>
      </c>
      <c r="H475" s="138">
        <f t="shared" si="8"/>
        <v>2</v>
      </c>
      <c r="I475" s="236">
        <v>1402</v>
      </c>
      <c r="J475" s="236"/>
      <c r="K475" s="238">
        <v>10000000</v>
      </c>
      <c r="L475" s="423" t="s">
        <v>1479</v>
      </c>
    </row>
    <row r="476" spans="1:13" ht="33" customHeight="1">
      <c r="A476" s="194"/>
      <c r="B476" s="235">
        <f>SUMIFS('لیست واریزی کل خیرین'!B:B,'لیست واریزی کل خیرین'!D:D,Table1[[#This Row],[نام]],'لیست واریزی کل خیرین'!E:E,Table1[[#This Row],[نام خانوادگی]])</f>
        <v>23</v>
      </c>
      <c r="C476" s="137" t="s">
        <v>588</v>
      </c>
      <c r="D476" s="137" t="s">
        <v>521</v>
      </c>
      <c r="E476" s="135" t="s">
        <v>1477</v>
      </c>
      <c r="F476" s="249" t="s">
        <v>1478</v>
      </c>
      <c r="G476" s="236" t="s">
        <v>462</v>
      </c>
      <c r="H476" s="138">
        <f t="shared" si="8"/>
        <v>3</v>
      </c>
      <c r="I476" s="236">
        <v>1402</v>
      </c>
      <c r="J476" s="236"/>
      <c r="K476" s="238">
        <v>10000000</v>
      </c>
      <c r="L476" s="423" t="s">
        <v>1479</v>
      </c>
    </row>
    <row r="477" spans="1:13" ht="26.25" customHeight="1">
      <c r="A477" s="194"/>
      <c r="B477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477" s="137" t="s">
        <v>497</v>
      </c>
      <c r="D477" s="137" t="s">
        <v>513</v>
      </c>
      <c r="E477" s="135" t="s">
        <v>1477</v>
      </c>
      <c r="F477" s="243" t="s">
        <v>667</v>
      </c>
      <c r="G477" s="236" t="s">
        <v>462</v>
      </c>
      <c r="H477" s="138">
        <f t="shared" si="8"/>
        <v>3</v>
      </c>
      <c r="I477" s="236">
        <v>1402</v>
      </c>
      <c r="J477" s="236"/>
      <c r="K477" s="238">
        <v>20000000</v>
      </c>
      <c r="L477" s="368"/>
    </row>
    <row r="478" spans="1:13" ht="26.25" customHeight="1">
      <c r="A478" s="194"/>
      <c r="B478" s="235">
        <f>SUMIFS('لیست واریزی کل خیرین'!B:B,'لیست واریزی کل خیرین'!D:D,Table1[[#This Row],[نام]],'لیست واریزی کل خیرین'!E:E,Table1[[#This Row],[نام خانوادگی]])</f>
        <v>25</v>
      </c>
      <c r="C478" s="137" t="s">
        <v>532</v>
      </c>
      <c r="D478" s="137" t="s">
        <v>533</v>
      </c>
      <c r="E478" s="135" t="s">
        <v>1480</v>
      </c>
      <c r="F478" s="243" t="s">
        <v>569</v>
      </c>
      <c r="G478" s="137" t="s">
        <v>474</v>
      </c>
      <c r="H478" s="138">
        <f t="shared" si="8"/>
        <v>4</v>
      </c>
      <c r="I478" s="236">
        <v>1402</v>
      </c>
      <c r="J478" s="236"/>
      <c r="K478" s="238">
        <v>30000000</v>
      </c>
      <c r="L478" s="368"/>
    </row>
    <row r="479" spans="1:13" ht="26.25" customHeight="1">
      <c r="A479" s="194"/>
      <c r="B479" s="133">
        <f>SUMIFS('لیست واریزی کل خیرین'!B:B,'لیست واریزی کل خیرین'!D:D,Table1[[#This Row],[نام]],'لیست واریزی کل خیرین'!E:E,Table1[[#This Row],[نام خانوادگی]])</f>
        <v>35</v>
      </c>
      <c r="C479" s="137" t="s">
        <v>596</v>
      </c>
      <c r="D479" s="137" t="s">
        <v>597</v>
      </c>
      <c r="E479" s="135" t="s">
        <v>1481</v>
      </c>
      <c r="F479" s="243" t="s">
        <v>598</v>
      </c>
      <c r="G479" s="137" t="s">
        <v>462</v>
      </c>
      <c r="H479" s="138">
        <f>IF(G479="","",VLOOKUP(G479,mah,2,0))</f>
        <v>3</v>
      </c>
      <c r="I479" s="137">
        <v>1402</v>
      </c>
      <c r="J479" s="137"/>
      <c r="K479" s="139">
        <v>4000000</v>
      </c>
      <c r="L479" s="253" t="s">
        <v>1508</v>
      </c>
      <c r="M479" s="428"/>
    </row>
    <row r="480" spans="1:13" ht="27" customHeight="1">
      <c r="A480" s="194"/>
      <c r="B480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480" s="137" t="s">
        <v>596</v>
      </c>
      <c r="D480" s="137" t="s">
        <v>597</v>
      </c>
      <c r="E480" s="135" t="s">
        <v>1481</v>
      </c>
      <c r="F480" s="243" t="s">
        <v>598</v>
      </c>
      <c r="G480" s="137" t="s">
        <v>474</v>
      </c>
      <c r="H480" s="138">
        <f t="shared" si="8"/>
        <v>4</v>
      </c>
      <c r="I480" s="236">
        <v>1402</v>
      </c>
      <c r="J480" s="236"/>
      <c r="K480" s="238">
        <v>4000000</v>
      </c>
      <c r="L480" s="253" t="s">
        <v>1508</v>
      </c>
    </row>
    <row r="481" spans="1:13" ht="25.5" customHeight="1">
      <c r="A481" s="194"/>
      <c r="B481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481" s="135" t="s">
        <v>471</v>
      </c>
      <c r="D481" s="135" t="s">
        <v>472</v>
      </c>
      <c r="E481" s="135" t="s">
        <v>1481</v>
      </c>
      <c r="F481" s="243" t="s">
        <v>1291</v>
      </c>
      <c r="G481" s="137" t="s">
        <v>462</v>
      </c>
      <c r="H481" s="138">
        <f t="shared" si="8"/>
        <v>3</v>
      </c>
      <c r="I481" s="236">
        <v>1402</v>
      </c>
      <c r="J481" s="236"/>
      <c r="K481" s="238">
        <v>2000000</v>
      </c>
      <c r="L481" s="368"/>
    </row>
    <row r="482" spans="1:13" ht="23.25" customHeight="1">
      <c r="A482" s="194"/>
      <c r="B482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482" s="135" t="s">
        <v>471</v>
      </c>
      <c r="D482" s="135" t="s">
        <v>472</v>
      </c>
      <c r="E482" s="135" t="s">
        <v>1481</v>
      </c>
      <c r="F482" s="243" t="s">
        <v>1291</v>
      </c>
      <c r="G482" s="137" t="s">
        <v>474</v>
      </c>
      <c r="H482" s="138">
        <f t="shared" si="8"/>
        <v>4</v>
      </c>
      <c r="I482" s="236">
        <v>1402</v>
      </c>
      <c r="J482" s="236"/>
      <c r="K482" s="238">
        <v>2000000</v>
      </c>
      <c r="L482" s="368"/>
    </row>
    <row r="483" spans="1:13" ht="24" customHeight="1">
      <c r="A483" s="194"/>
      <c r="B483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483" s="135" t="s">
        <v>838</v>
      </c>
      <c r="D483" s="135" t="s">
        <v>839</v>
      </c>
      <c r="E483" s="135" t="s">
        <v>1482</v>
      </c>
      <c r="F483" s="243" t="s">
        <v>841</v>
      </c>
      <c r="G483" s="137" t="s">
        <v>462</v>
      </c>
      <c r="H483" s="138">
        <f t="shared" si="8"/>
        <v>3</v>
      </c>
      <c r="I483" s="236">
        <v>1402</v>
      </c>
      <c r="J483" s="236"/>
      <c r="K483" s="238">
        <v>5000000</v>
      </c>
      <c r="L483" s="368"/>
    </row>
    <row r="484" spans="1:13" ht="30" customHeight="1">
      <c r="A484" s="194"/>
      <c r="B484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484" s="137" t="s">
        <v>518</v>
      </c>
      <c r="D484" s="137" t="s">
        <v>519</v>
      </c>
      <c r="E484" s="135" t="s">
        <v>1483</v>
      </c>
      <c r="F484" s="243" t="s">
        <v>860</v>
      </c>
      <c r="G484" s="236" t="s">
        <v>463</v>
      </c>
      <c r="H484" s="138">
        <f t="shared" si="8"/>
        <v>1</v>
      </c>
      <c r="I484" s="236">
        <v>1402</v>
      </c>
      <c r="J484" s="236"/>
      <c r="K484" s="238">
        <v>2000000</v>
      </c>
      <c r="L484" s="423" t="s">
        <v>1484</v>
      </c>
    </row>
    <row r="485" spans="1:13" ht="27.75" customHeight="1">
      <c r="A485" s="194"/>
      <c r="B485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485" s="137" t="s">
        <v>518</v>
      </c>
      <c r="D485" s="137" t="s">
        <v>519</v>
      </c>
      <c r="E485" s="135" t="s">
        <v>1483</v>
      </c>
      <c r="F485" s="243" t="s">
        <v>860</v>
      </c>
      <c r="G485" s="236" t="s">
        <v>468</v>
      </c>
      <c r="H485" s="138">
        <f t="shared" si="8"/>
        <v>2</v>
      </c>
      <c r="I485" s="236">
        <v>1402</v>
      </c>
      <c r="J485" s="236"/>
      <c r="K485" s="238">
        <v>2000000</v>
      </c>
      <c r="L485" s="423" t="s">
        <v>1484</v>
      </c>
    </row>
    <row r="486" spans="1:13" ht="30" customHeight="1">
      <c r="A486" s="194"/>
      <c r="B486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486" s="137" t="s">
        <v>518</v>
      </c>
      <c r="D486" s="137" t="s">
        <v>519</v>
      </c>
      <c r="E486" s="135" t="s">
        <v>1483</v>
      </c>
      <c r="F486" s="243" t="s">
        <v>860</v>
      </c>
      <c r="G486" s="236" t="s">
        <v>462</v>
      </c>
      <c r="H486" s="138">
        <f t="shared" si="8"/>
        <v>3</v>
      </c>
      <c r="I486" s="236">
        <v>1402</v>
      </c>
      <c r="J486" s="236"/>
      <c r="K486" s="238">
        <v>2000000</v>
      </c>
      <c r="L486" s="423" t="s">
        <v>1484</v>
      </c>
    </row>
    <row r="487" spans="1:13" ht="34.5" customHeight="1">
      <c r="A487" s="194"/>
      <c r="B487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487" s="135" t="s">
        <v>494</v>
      </c>
      <c r="D487" s="135" t="s">
        <v>533</v>
      </c>
      <c r="E487" s="135" t="s">
        <v>1483</v>
      </c>
      <c r="F487" s="249" t="s">
        <v>1436</v>
      </c>
      <c r="G487" s="236" t="s">
        <v>462</v>
      </c>
      <c r="H487" s="138">
        <f t="shared" si="8"/>
        <v>3</v>
      </c>
      <c r="I487" s="236">
        <v>1402</v>
      </c>
      <c r="J487" s="236"/>
      <c r="K487" s="238">
        <v>50000000</v>
      </c>
      <c r="L487" s="368"/>
    </row>
    <row r="488" spans="1:13" ht="36.75" customHeight="1">
      <c r="A488" s="194"/>
      <c r="B488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488" s="135" t="s">
        <v>202</v>
      </c>
      <c r="D488" s="135" t="s">
        <v>502</v>
      </c>
      <c r="E488" s="135" t="s">
        <v>1494</v>
      </c>
      <c r="F488" s="249" t="s">
        <v>601</v>
      </c>
      <c r="G488" s="236" t="s">
        <v>496</v>
      </c>
      <c r="H488" s="138">
        <f t="shared" si="8"/>
        <v>11</v>
      </c>
      <c r="I488" s="236">
        <v>1401</v>
      </c>
      <c r="J488" s="236"/>
      <c r="K488" s="238">
        <v>10000000</v>
      </c>
      <c r="L488" s="427" t="s">
        <v>1499</v>
      </c>
    </row>
    <row r="489" spans="1:13" ht="31.5" customHeight="1">
      <c r="A489" s="194"/>
      <c r="B489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489" s="135" t="s">
        <v>202</v>
      </c>
      <c r="D489" s="135" t="s">
        <v>502</v>
      </c>
      <c r="E489" s="135" t="s">
        <v>1494</v>
      </c>
      <c r="F489" s="249" t="s">
        <v>601</v>
      </c>
      <c r="G489" s="236" t="s">
        <v>499</v>
      </c>
      <c r="H489" s="138">
        <f t="shared" si="8"/>
        <v>12</v>
      </c>
      <c r="I489" s="236">
        <v>1401</v>
      </c>
      <c r="J489" s="236"/>
      <c r="K489" s="238">
        <v>10000000</v>
      </c>
      <c r="L489" s="427" t="s">
        <v>1499</v>
      </c>
    </row>
    <row r="490" spans="1:13" ht="33" customHeight="1">
      <c r="A490" s="194"/>
      <c r="B490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490" s="135" t="s">
        <v>202</v>
      </c>
      <c r="D490" s="135" t="s">
        <v>502</v>
      </c>
      <c r="E490" s="135" t="s">
        <v>1494</v>
      </c>
      <c r="F490" s="249" t="s">
        <v>601</v>
      </c>
      <c r="G490" s="236" t="s">
        <v>463</v>
      </c>
      <c r="H490" s="138">
        <f t="shared" si="8"/>
        <v>1</v>
      </c>
      <c r="I490" s="236">
        <v>1402</v>
      </c>
      <c r="J490" s="236"/>
      <c r="K490" s="238">
        <v>10000000</v>
      </c>
      <c r="L490" s="427" t="s">
        <v>1499</v>
      </c>
    </row>
    <row r="491" spans="1:13" ht="30.75" customHeight="1">
      <c r="A491" s="194"/>
      <c r="B491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491" s="135" t="s">
        <v>202</v>
      </c>
      <c r="D491" s="135" t="s">
        <v>502</v>
      </c>
      <c r="E491" s="135" t="s">
        <v>1494</v>
      </c>
      <c r="F491" s="249" t="s">
        <v>601</v>
      </c>
      <c r="G491" s="236" t="s">
        <v>468</v>
      </c>
      <c r="H491" s="138">
        <f t="shared" si="8"/>
        <v>2</v>
      </c>
      <c r="I491" s="236">
        <v>1402</v>
      </c>
      <c r="J491" s="236"/>
      <c r="K491" s="238">
        <v>10000000</v>
      </c>
      <c r="L491" s="427" t="s">
        <v>1499</v>
      </c>
    </row>
    <row r="492" spans="1:13" ht="35.25" customHeight="1">
      <c r="A492" s="194"/>
      <c r="B492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492" s="135" t="s">
        <v>202</v>
      </c>
      <c r="D492" s="135" t="s">
        <v>502</v>
      </c>
      <c r="E492" s="135" t="s">
        <v>1494</v>
      </c>
      <c r="F492" s="249" t="s">
        <v>601</v>
      </c>
      <c r="G492" s="236" t="s">
        <v>462</v>
      </c>
      <c r="H492" s="138">
        <f t="shared" si="8"/>
        <v>3</v>
      </c>
      <c r="I492" s="236">
        <v>1402</v>
      </c>
      <c r="J492" s="236"/>
      <c r="K492" s="238">
        <v>10000000</v>
      </c>
      <c r="L492" s="427" t="s">
        <v>1499</v>
      </c>
    </row>
    <row r="493" spans="1:13" ht="32.25" customHeight="1">
      <c r="A493" s="194"/>
      <c r="B493" s="235">
        <f>SUMIFS('لیست واریزی کل خیرین'!B:B,'لیست واریزی کل خیرین'!D:D,Table1[[#This Row],[نام]],'لیست واریزی کل خیرین'!E:E,Table1[[#This Row],[نام خانوادگی]])</f>
        <v>16</v>
      </c>
      <c r="C493" s="137" t="s">
        <v>497</v>
      </c>
      <c r="D493" s="137" t="s">
        <v>505</v>
      </c>
      <c r="E493" s="135" t="s">
        <v>1494</v>
      </c>
      <c r="F493" s="243" t="s">
        <v>835</v>
      </c>
      <c r="G493" s="137" t="s">
        <v>463</v>
      </c>
      <c r="H493" s="138">
        <f t="shared" si="8"/>
        <v>1</v>
      </c>
      <c r="I493" s="236">
        <v>1402</v>
      </c>
      <c r="J493" s="236"/>
      <c r="K493" s="238">
        <v>3000000</v>
      </c>
      <c r="L493" s="423" t="s">
        <v>1500</v>
      </c>
    </row>
    <row r="494" spans="1:13" ht="27" customHeight="1">
      <c r="A494" s="194"/>
      <c r="B494" s="235">
        <f>SUMIFS('لیست واریزی کل خیرین'!B:B,'لیست واریزی کل خیرین'!D:D,Table1[[#This Row],[نام]],'لیست واریزی کل خیرین'!E:E,Table1[[#This Row],[نام خانوادگی]])</f>
        <v>16</v>
      </c>
      <c r="C494" s="137" t="s">
        <v>497</v>
      </c>
      <c r="D494" s="137" t="s">
        <v>505</v>
      </c>
      <c r="E494" s="135" t="s">
        <v>1494</v>
      </c>
      <c r="F494" s="243" t="s">
        <v>835</v>
      </c>
      <c r="G494" s="137" t="s">
        <v>468</v>
      </c>
      <c r="H494" s="138">
        <f t="shared" si="8"/>
        <v>2</v>
      </c>
      <c r="I494" s="236">
        <v>1402</v>
      </c>
      <c r="J494" s="236"/>
      <c r="K494" s="238">
        <v>3000000</v>
      </c>
      <c r="L494" s="423" t="s">
        <v>1500</v>
      </c>
    </row>
    <row r="495" spans="1:13" ht="31.5" customHeight="1">
      <c r="A495" s="194"/>
      <c r="B495" s="235">
        <f>SUMIFS('لیست واریزی کل خیرین'!B:B,'لیست واریزی کل خیرین'!D:D,Table1[[#This Row],[نام]],'لیست واریزی کل خیرین'!E:E,Table1[[#This Row],[نام خانوادگی]])</f>
        <v>16</v>
      </c>
      <c r="C495" s="137" t="s">
        <v>497</v>
      </c>
      <c r="D495" s="137" t="s">
        <v>505</v>
      </c>
      <c r="E495" s="135" t="s">
        <v>1494</v>
      </c>
      <c r="F495" s="243" t="s">
        <v>835</v>
      </c>
      <c r="G495" s="137" t="s">
        <v>462</v>
      </c>
      <c r="H495" s="138">
        <f t="shared" si="8"/>
        <v>3</v>
      </c>
      <c r="I495" s="236">
        <v>1402</v>
      </c>
      <c r="J495" s="236"/>
      <c r="K495" s="238">
        <v>3000000</v>
      </c>
      <c r="L495" s="423" t="s">
        <v>1500</v>
      </c>
    </row>
    <row r="496" spans="1:13" ht="31.5" customHeight="1">
      <c r="A496" s="194"/>
      <c r="B496" s="133">
        <f>SUMIFS('لیست واریزی کل خیرین'!B:B,'لیست واریزی کل خیرین'!D:D,Table1[[#This Row],[نام]],'لیست واریزی کل خیرین'!E:E,Table1[[#This Row],[نام خانوادگی]])</f>
        <v>16</v>
      </c>
      <c r="C496" s="137" t="s">
        <v>497</v>
      </c>
      <c r="D496" s="137" t="s">
        <v>505</v>
      </c>
      <c r="E496" s="135" t="s">
        <v>1494</v>
      </c>
      <c r="F496" s="243" t="s">
        <v>835</v>
      </c>
      <c r="G496" s="137" t="s">
        <v>474</v>
      </c>
      <c r="H496" s="138">
        <f t="shared" ref="H496" si="12">IF(G496="","",VLOOKUP(G496,mah,2,0))</f>
        <v>4</v>
      </c>
      <c r="I496" s="236">
        <v>1402</v>
      </c>
      <c r="J496" s="137"/>
      <c r="K496" s="139">
        <v>1000000</v>
      </c>
      <c r="L496" s="253" t="s">
        <v>1504</v>
      </c>
      <c r="M496" s="428"/>
    </row>
    <row r="497" spans="1:13" ht="29.25" customHeight="1">
      <c r="A497" s="194"/>
      <c r="B497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497" s="137" t="s">
        <v>469</v>
      </c>
      <c r="D497" s="137" t="s">
        <v>470</v>
      </c>
      <c r="E497" s="135" t="s">
        <v>1509</v>
      </c>
      <c r="F497" s="243" t="s">
        <v>1377</v>
      </c>
      <c r="G497" s="137" t="s">
        <v>463</v>
      </c>
      <c r="H497" s="138">
        <f t="shared" ref="H497:H502" si="13">IF(G497="","",VLOOKUP(G497,mah,2,0))</f>
        <v>1</v>
      </c>
      <c r="I497" s="137">
        <v>1402</v>
      </c>
      <c r="J497" s="137"/>
      <c r="K497" s="139">
        <v>10000000</v>
      </c>
      <c r="L497" s="429" t="s">
        <v>1510</v>
      </c>
      <c r="M497" s="428"/>
    </row>
    <row r="498" spans="1:13" ht="26.25" customHeight="1">
      <c r="A498" s="194"/>
      <c r="B498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498" s="137" t="s">
        <v>469</v>
      </c>
      <c r="D498" s="137" t="s">
        <v>470</v>
      </c>
      <c r="E498" s="135" t="s">
        <v>1509</v>
      </c>
      <c r="F498" s="243" t="s">
        <v>1377</v>
      </c>
      <c r="G498" s="137" t="s">
        <v>468</v>
      </c>
      <c r="H498" s="138">
        <f t="shared" si="13"/>
        <v>2</v>
      </c>
      <c r="I498" s="137">
        <v>1402</v>
      </c>
      <c r="J498" s="137"/>
      <c r="K498" s="139">
        <v>10000000</v>
      </c>
      <c r="L498" s="429" t="s">
        <v>1510</v>
      </c>
      <c r="M498" s="428"/>
    </row>
    <row r="499" spans="1:13" ht="27" customHeight="1">
      <c r="A499" s="194"/>
      <c r="B499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499" s="137" t="s">
        <v>469</v>
      </c>
      <c r="D499" s="137" t="s">
        <v>470</v>
      </c>
      <c r="E499" s="135" t="s">
        <v>1509</v>
      </c>
      <c r="F499" s="243" t="s">
        <v>1377</v>
      </c>
      <c r="G499" s="137" t="s">
        <v>462</v>
      </c>
      <c r="H499" s="138">
        <f t="shared" si="13"/>
        <v>3</v>
      </c>
      <c r="I499" s="137">
        <v>1402</v>
      </c>
      <c r="J499" s="137"/>
      <c r="K499" s="139">
        <v>10000000</v>
      </c>
      <c r="L499" s="429" t="s">
        <v>1510</v>
      </c>
      <c r="M499" s="428"/>
    </row>
    <row r="500" spans="1:13" ht="24" customHeight="1">
      <c r="A500" s="194"/>
      <c r="B500" s="133">
        <f>SUMIFS('لیست واریزی کل خیرین'!B:B,'لیست واریزی کل خیرین'!D:D,Table1[[#This Row],[نام]],'لیست واریزی کل خیرین'!E:E,Table1[[#This Row],[نام خانوادگی]])</f>
        <v>1</v>
      </c>
      <c r="C500" s="137" t="s">
        <v>469</v>
      </c>
      <c r="D500" s="137" t="s">
        <v>470</v>
      </c>
      <c r="E500" s="135" t="s">
        <v>1509</v>
      </c>
      <c r="F500" s="243" t="s">
        <v>1377</v>
      </c>
      <c r="G500" s="137" t="s">
        <v>474</v>
      </c>
      <c r="H500" s="138">
        <f t="shared" si="13"/>
        <v>4</v>
      </c>
      <c r="I500" s="137">
        <v>1402</v>
      </c>
      <c r="J500" s="137"/>
      <c r="K500" s="139">
        <v>10000000</v>
      </c>
      <c r="L500" s="429" t="s">
        <v>1510</v>
      </c>
      <c r="M500" s="428"/>
    </row>
    <row r="501" spans="1:13" ht="15.75" customHeight="1">
      <c r="A501" s="194"/>
      <c r="B501" s="133">
        <v>24</v>
      </c>
      <c r="C501" s="137"/>
      <c r="D501" s="137" t="s">
        <v>530</v>
      </c>
      <c r="E501" s="135" t="s">
        <v>1509</v>
      </c>
      <c r="F501" s="243" t="s">
        <v>689</v>
      </c>
      <c r="G501" s="137" t="s">
        <v>474</v>
      </c>
      <c r="H501" s="138">
        <f t="shared" si="13"/>
        <v>4</v>
      </c>
      <c r="I501" s="137">
        <v>1402</v>
      </c>
      <c r="J501" s="137"/>
      <c r="K501" s="139">
        <v>5000000</v>
      </c>
      <c r="L501" s="253"/>
      <c r="M501" s="428"/>
    </row>
    <row r="502" spans="1:13" ht="15.75" customHeight="1">
      <c r="A502" s="194"/>
      <c r="B502" s="133">
        <f>SUMIFS('لیست واریزی کل خیرین'!B:B,'لیست واریزی کل خیرین'!D:D,Table1[[#This Row],[نام]],'لیست واریزی کل خیرین'!E:E,Table1[[#This Row],[نام خانوادگی]])</f>
        <v>8</v>
      </c>
      <c r="C502" s="137" t="s">
        <v>483</v>
      </c>
      <c r="D502" s="137" t="s">
        <v>484</v>
      </c>
      <c r="E502" s="135" t="s">
        <v>1511</v>
      </c>
      <c r="F502" s="243" t="s">
        <v>599</v>
      </c>
      <c r="G502" s="137" t="s">
        <v>468</v>
      </c>
      <c r="H502" s="138">
        <f t="shared" si="13"/>
        <v>2</v>
      </c>
      <c r="I502" s="137">
        <v>1402</v>
      </c>
      <c r="J502" s="137"/>
      <c r="K502" s="139">
        <v>5000000</v>
      </c>
      <c r="L502" s="253" t="s">
        <v>1548</v>
      </c>
      <c r="M502" s="428"/>
    </row>
    <row r="503" spans="1:13" ht="15.75" customHeight="1">
      <c r="A503" s="194"/>
      <c r="B503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503" s="137" t="s">
        <v>483</v>
      </c>
      <c r="D503" s="137" t="s">
        <v>484</v>
      </c>
      <c r="E503" s="135" t="s">
        <v>1511</v>
      </c>
      <c r="F503" s="243" t="s">
        <v>599</v>
      </c>
      <c r="G503" s="236" t="s">
        <v>462</v>
      </c>
      <c r="H503" s="237">
        <f>IF(G503="","",VLOOKUP(G503,mah,2,0))</f>
        <v>3</v>
      </c>
      <c r="I503" s="236">
        <v>1402</v>
      </c>
      <c r="J503" s="236"/>
      <c r="K503" s="238">
        <v>5000000</v>
      </c>
      <c r="L503" s="253" t="s">
        <v>1548</v>
      </c>
    </row>
    <row r="504" spans="1:13" ht="15.75" customHeight="1">
      <c r="A504" s="194"/>
      <c r="B504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504" s="137" t="s">
        <v>483</v>
      </c>
      <c r="D504" s="137" t="s">
        <v>484</v>
      </c>
      <c r="E504" s="135" t="s">
        <v>1511</v>
      </c>
      <c r="F504" s="243" t="s">
        <v>599</v>
      </c>
      <c r="G504" s="236" t="s">
        <v>474</v>
      </c>
      <c r="H504" s="237">
        <f>IF(G504="","",VLOOKUP(G504,mah,2,0))</f>
        <v>4</v>
      </c>
      <c r="I504" s="236">
        <v>1402</v>
      </c>
      <c r="J504" s="236"/>
      <c r="K504" s="238">
        <v>5000000</v>
      </c>
      <c r="L504" s="253" t="s">
        <v>1548</v>
      </c>
    </row>
    <row r="505" spans="1:13" ht="15.75" customHeight="1">
      <c r="A505" s="194"/>
      <c r="B505" s="133">
        <f>SUMIFS('لیست واریزی کل خیرین'!B:B,'لیست واریزی کل خیرین'!D:D,Table1[[#This Row],[نام]],'لیست واریزی کل خیرین'!E:E,Table1[[#This Row],[نام خانوادگی]])</f>
        <v>85</v>
      </c>
      <c r="C505" s="137" t="s">
        <v>916</v>
      </c>
      <c r="D505" s="137" t="s">
        <v>917</v>
      </c>
      <c r="E505" s="135" t="s">
        <v>1512</v>
      </c>
      <c r="F505" s="243" t="s">
        <v>919</v>
      </c>
      <c r="G505" s="137" t="s">
        <v>474</v>
      </c>
      <c r="H505" s="138">
        <f t="shared" ref="H505" si="14">IF(G505="","",VLOOKUP(G505,mah,2,0))</f>
        <v>4</v>
      </c>
      <c r="I505" s="137">
        <v>1402</v>
      </c>
      <c r="J505" s="137"/>
      <c r="K505" s="139">
        <v>15000000</v>
      </c>
      <c r="L505" s="253"/>
      <c r="M505" s="428"/>
    </row>
    <row r="506" spans="1:13" ht="15.75" customHeight="1">
      <c r="A506" s="194"/>
      <c r="B506" s="133">
        <f>SUMIFS('لیست واریزی کل خیرین'!B:B,'لیست واریزی کل خیرین'!D:D,Table1[[#This Row],[نام]],'لیست واریزی کل خیرین'!E:E,Table1[[#This Row],[نام خانوادگی]])</f>
        <v>101</v>
      </c>
      <c r="C506" s="375" t="s">
        <v>1003</v>
      </c>
      <c r="D506" s="375" t="s">
        <v>1513</v>
      </c>
      <c r="E506" s="135" t="s">
        <v>1514</v>
      </c>
      <c r="F506" s="243" t="s">
        <v>1515</v>
      </c>
      <c r="G506" s="137" t="s">
        <v>474</v>
      </c>
      <c r="H506" s="138">
        <f t="shared" ref="H506" si="15">IF(G506="","",VLOOKUP(G506,mah,2,0))</f>
        <v>4</v>
      </c>
      <c r="I506" s="137">
        <v>1402</v>
      </c>
      <c r="J506" s="137"/>
      <c r="K506" s="139">
        <v>20000000</v>
      </c>
      <c r="L506" s="253"/>
      <c r="M506" s="428"/>
    </row>
    <row r="507" spans="1:13" ht="15.75" customHeight="1">
      <c r="A507" s="194"/>
      <c r="B507" s="133">
        <f>SUMIFS('لیست واریزی کل خیرین'!B:B,'لیست واریزی کل خیرین'!D:D,Table1[[#This Row],[نام]],'لیست واریزی کل خیرین'!E:E,Table1[[#This Row],[نام خانوادگی]])</f>
        <v>11</v>
      </c>
      <c r="C507" s="137" t="s">
        <v>494</v>
      </c>
      <c r="D507" s="137" t="s">
        <v>495</v>
      </c>
      <c r="E507" s="135" t="s">
        <v>1514</v>
      </c>
      <c r="F507" s="243" t="s">
        <v>573</v>
      </c>
      <c r="G507" s="137" t="s">
        <v>474</v>
      </c>
      <c r="H507" s="138">
        <f t="shared" ref="H507" si="16">IF(G507="","",VLOOKUP(G507,mah,2,0))</f>
        <v>4</v>
      </c>
      <c r="I507" s="137">
        <v>1402</v>
      </c>
      <c r="J507" s="137"/>
      <c r="K507" s="139">
        <v>40000000</v>
      </c>
      <c r="L507" s="253"/>
      <c r="M507" s="428"/>
    </row>
    <row r="508" spans="1:13" ht="15.75" customHeight="1">
      <c r="A508" s="194"/>
      <c r="B508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508" s="137" t="s">
        <v>486</v>
      </c>
      <c r="D508" s="137" t="s">
        <v>487</v>
      </c>
      <c r="E508" s="135" t="s">
        <v>1516</v>
      </c>
      <c r="F508" s="243" t="s">
        <v>595</v>
      </c>
      <c r="G508" s="137" t="s">
        <v>474</v>
      </c>
      <c r="H508" s="138">
        <f t="shared" ref="H508" si="17">IF(G508="","",VLOOKUP(G508,mah,2,0))</f>
        <v>4</v>
      </c>
      <c r="I508" s="137">
        <v>1402</v>
      </c>
      <c r="J508" s="137"/>
      <c r="K508" s="139">
        <v>20000000</v>
      </c>
      <c r="L508" s="253"/>
      <c r="M508" s="428"/>
    </row>
    <row r="509" spans="1:13" ht="15.75" customHeight="1">
      <c r="A509" s="194"/>
      <c r="B509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509" s="137" t="s">
        <v>480</v>
      </c>
      <c r="D509" s="137" t="s">
        <v>481</v>
      </c>
      <c r="E509" s="135" t="s">
        <v>1517</v>
      </c>
      <c r="F509" s="243" t="s">
        <v>1518</v>
      </c>
      <c r="G509" s="137" t="s">
        <v>474</v>
      </c>
      <c r="H509" s="138">
        <f t="shared" ref="H509" si="18">IF(G509="","",VLOOKUP(G509,mah,2,0))</f>
        <v>4</v>
      </c>
      <c r="I509" s="137">
        <v>1402</v>
      </c>
      <c r="J509" s="137"/>
      <c r="K509" s="139">
        <v>50000000</v>
      </c>
      <c r="L509" s="253"/>
      <c r="M509" s="428"/>
    </row>
    <row r="510" spans="1:13" ht="15.75" customHeight="1">
      <c r="A510" s="194"/>
      <c r="B510" s="133">
        <f>SUMIFS('لیست واریزی کل خیرین'!B:B,'لیست واریزی کل خیرین'!D:D,Table1[[#This Row],[نام]],'لیست واریزی کل خیرین'!E:E,Table1[[#This Row],[نام خانوادگی]])</f>
        <v>63</v>
      </c>
      <c r="C510" s="137" t="s">
        <v>522</v>
      </c>
      <c r="D510" s="137" t="s">
        <v>523</v>
      </c>
      <c r="E510" s="135" t="s">
        <v>1519</v>
      </c>
      <c r="F510" s="249"/>
      <c r="G510" s="137" t="s">
        <v>474</v>
      </c>
      <c r="H510" s="138">
        <f t="shared" ref="H510" si="19">IF(G510="","",VLOOKUP(G510,mah,2,0))</f>
        <v>4</v>
      </c>
      <c r="I510" s="137">
        <v>1402</v>
      </c>
      <c r="J510" s="236"/>
      <c r="K510" s="238">
        <v>20588777</v>
      </c>
      <c r="L510" s="368"/>
    </row>
    <row r="511" spans="1:13" ht="15.75" customHeight="1">
      <c r="A511" s="194"/>
      <c r="B511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511" s="137" t="s">
        <v>489</v>
      </c>
      <c r="D511" s="137" t="s">
        <v>490</v>
      </c>
      <c r="E511" s="135" t="s">
        <v>1520</v>
      </c>
      <c r="F511" s="249" t="s">
        <v>835</v>
      </c>
      <c r="G511" s="137" t="s">
        <v>474</v>
      </c>
      <c r="H511" s="138">
        <f t="shared" ref="H511" si="20">IF(G511="","",VLOOKUP(G511,mah,2,0))</f>
        <v>4</v>
      </c>
      <c r="I511" s="137">
        <v>1402</v>
      </c>
      <c r="J511" s="236"/>
      <c r="K511" s="238">
        <v>100000000</v>
      </c>
      <c r="L511" s="368"/>
    </row>
    <row r="512" spans="1:13" ht="15.75" customHeight="1">
      <c r="A512" s="194"/>
      <c r="B512" s="133">
        <f>SUMIFS('لیست واریزی کل خیرین'!B:B,'لیست واریزی کل خیرین'!D:D,Table1[[#This Row],[نام]],'لیست واریزی کل خیرین'!E:E,Table1[[#This Row],[نام خانوادگی]])</f>
        <v>61</v>
      </c>
      <c r="C512" s="137" t="s">
        <v>702</v>
      </c>
      <c r="D512" s="137" t="s">
        <v>703</v>
      </c>
      <c r="E512" s="135" t="s">
        <v>1532</v>
      </c>
      <c r="F512" s="249" t="s">
        <v>704</v>
      </c>
      <c r="G512" s="137" t="s">
        <v>474</v>
      </c>
      <c r="H512" s="237">
        <f t="shared" ref="H512" si="21">IF(G512="","",VLOOKUP(G512,mah,2,0))</f>
        <v>4</v>
      </c>
      <c r="I512" s="137">
        <v>1402</v>
      </c>
      <c r="J512" s="236"/>
      <c r="K512" s="238">
        <v>5000000</v>
      </c>
      <c r="L512" s="368"/>
    </row>
    <row r="513" spans="1:13" ht="15.75" customHeight="1">
      <c r="A513" s="194"/>
      <c r="B513" s="133">
        <f>SUMIFS('لیست واریزی کل خیرین'!B:B,'لیست واریزی کل خیرین'!D:D,Table1[[#This Row],[نام]],'لیست واریزی کل خیرین'!E:E,Table1[[#This Row],[نام خانوادگی]])</f>
        <v>88</v>
      </c>
      <c r="C513" s="137" t="s">
        <v>207</v>
      </c>
      <c r="D513" s="137" t="s">
        <v>1462</v>
      </c>
      <c r="E513" s="135" t="s">
        <v>1533</v>
      </c>
      <c r="F513" s="249" t="s">
        <v>1534</v>
      </c>
      <c r="G513" s="137" t="s">
        <v>474</v>
      </c>
      <c r="H513" s="237">
        <f t="shared" ref="H513:H518" si="22">IF(G513="","",VLOOKUP(G513,mah,2,0))</f>
        <v>4</v>
      </c>
      <c r="I513" s="137">
        <v>1402</v>
      </c>
      <c r="J513" s="236"/>
      <c r="K513" s="238">
        <v>10000000</v>
      </c>
      <c r="L513" s="368"/>
    </row>
    <row r="514" spans="1:13" ht="15.75" customHeight="1">
      <c r="A514" s="194"/>
      <c r="B514" s="133">
        <f>SUMIFS('لیست واریزی کل خیرین'!B:B,'لیست واریزی کل خیرین'!D:D,Table1[[#This Row],[نام]],'لیست واریزی کل خیرین'!E:E,Table1[[#This Row],[نام خانوادگی]])</f>
        <v>102</v>
      </c>
      <c r="C514" s="375" t="s">
        <v>748</v>
      </c>
      <c r="D514" s="375" t="s">
        <v>1535</v>
      </c>
      <c r="E514" s="135" t="s">
        <v>1533</v>
      </c>
      <c r="F514" s="249" t="s">
        <v>1537</v>
      </c>
      <c r="G514" s="137" t="s">
        <v>474</v>
      </c>
      <c r="H514" s="237">
        <f t="shared" si="22"/>
        <v>4</v>
      </c>
      <c r="I514" s="137">
        <v>1402</v>
      </c>
      <c r="J514" s="236"/>
      <c r="K514" s="238">
        <v>6000000</v>
      </c>
      <c r="L514" s="368"/>
    </row>
    <row r="515" spans="1:13" ht="15.75" customHeight="1">
      <c r="A515" s="194"/>
      <c r="B515" s="133">
        <f>SUMIFS('لیست واریزی کل خیرین'!B:B,'لیست واریزی کل خیرین'!D:D,Table1[[#This Row],[نام]],'لیست واریزی کل خیرین'!E:E,Table1[[#This Row],[نام خانوادگی]])</f>
        <v>74</v>
      </c>
      <c r="C515" s="375" t="s">
        <v>838</v>
      </c>
      <c r="D515" s="375" t="s">
        <v>839</v>
      </c>
      <c r="E515" s="135" t="s">
        <v>1538</v>
      </c>
      <c r="F515" s="249" t="s">
        <v>841</v>
      </c>
      <c r="G515" s="137" t="s">
        <v>474</v>
      </c>
      <c r="H515" s="237">
        <f t="shared" si="22"/>
        <v>4</v>
      </c>
      <c r="I515" s="137">
        <v>1402</v>
      </c>
      <c r="J515" s="236"/>
      <c r="K515" s="238">
        <v>5000000</v>
      </c>
      <c r="L515" s="368"/>
    </row>
    <row r="516" spans="1:13" ht="15.75" customHeight="1">
      <c r="A516" s="194"/>
      <c r="B516" s="133">
        <f>SUMIFS('لیست واریزی کل خیرین'!B:B,'لیست واریزی کل خیرین'!D:D,Table1[[#This Row],[نام]],'لیست واریزی کل خیرین'!E:E,Table1[[#This Row],[نام خانوادگی]])</f>
        <v>69</v>
      </c>
      <c r="C516" s="137" t="s">
        <v>810</v>
      </c>
      <c r="D516" s="137" t="s">
        <v>811</v>
      </c>
      <c r="E516" s="135" t="s">
        <v>1538</v>
      </c>
      <c r="F516" s="249" t="s">
        <v>1539</v>
      </c>
      <c r="G516" s="137" t="s">
        <v>474</v>
      </c>
      <c r="H516" s="237">
        <f t="shared" si="22"/>
        <v>4</v>
      </c>
      <c r="I516" s="137">
        <v>1402</v>
      </c>
      <c r="J516" s="236"/>
      <c r="K516" s="238">
        <v>5000000</v>
      </c>
      <c r="L516" s="368"/>
    </row>
    <row r="517" spans="1:13" ht="15.75" customHeight="1">
      <c r="A517" s="194"/>
      <c r="B517" s="133">
        <f>SUMIFS('لیست واریزی کل خیرین'!B:B,'لیست واریزی کل خیرین'!D:D,Table1[[#This Row],[نام]],'لیست واریزی کل خیرین'!E:E,Table1[[#This Row],[نام خانوادگی]])</f>
        <v>19</v>
      </c>
      <c r="C517" s="137" t="s">
        <v>497</v>
      </c>
      <c r="D517" s="137" t="s">
        <v>513</v>
      </c>
      <c r="E517" s="135" t="s">
        <v>1538</v>
      </c>
      <c r="F517" s="249" t="s">
        <v>667</v>
      </c>
      <c r="G517" s="137" t="s">
        <v>474</v>
      </c>
      <c r="H517" s="237">
        <f t="shared" si="22"/>
        <v>4</v>
      </c>
      <c r="I517" s="137">
        <v>1402</v>
      </c>
      <c r="J517" s="236"/>
      <c r="K517" s="238">
        <v>20000000</v>
      </c>
      <c r="L517" s="368"/>
    </row>
    <row r="518" spans="1:13" ht="15.75" customHeight="1">
      <c r="A518" s="194"/>
      <c r="B518" s="133">
        <f>SUMIFS('لیست واریزی کل خیرین'!B:B,'لیست واریزی کل خیرین'!D:D,Table1[[#This Row],[نام]],'لیست واریزی کل خیرین'!E:E,Table1[[#This Row],[نام خانوادگی]])</f>
        <v>4</v>
      </c>
      <c r="C518" s="137" t="s">
        <v>471</v>
      </c>
      <c r="D518" s="137" t="s">
        <v>472</v>
      </c>
      <c r="E518" s="135" t="s">
        <v>1540</v>
      </c>
      <c r="F518" s="249" t="s">
        <v>1291</v>
      </c>
      <c r="G518" s="137" t="s">
        <v>477</v>
      </c>
      <c r="H518" s="237">
        <f t="shared" si="22"/>
        <v>5</v>
      </c>
      <c r="I518" s="137">
        <v>1402</v>
      </c>
      <c r="J518" s="236"/>
      <c r="K518" s="238">
        <v>2000000</v>
      </c>
      <c r="L518" s="368"/>
    </row>
    <row r="519" spans="1:13" ht="15.75" customHeight="1">
      <c r="A519" s="194"/>
      <c r="B519" s="133">
        <f>SUMIFS('لیست واریزی کل خیرین'!B:B,'لیست واریزی کل خیرین'!D:D,Table1[[#This Row],[نام]],'لیست واریزی کل خیرین'!E:E,Table1[[#This Row],[نام خانوادگی]])</f>
        <v>44</v>
      </c>
      <c r="C519" s="137" t="s">
        <v>635</v>
      </c>
      <c r="D519" s="137" t="s">
        <v>636</v>
      </c>
      <c r="E519" s="135" t="s">
        <v>1540</v>
      </c>
      <c r="F519" s="249" t="s">
        <v>1543</v>
      </c>
      <c r="G519" s="137" t="s">
        <v>477</v>
      </c>
      <c r="H519" s="237">
        <f t="shared" ref="H519:H523" si="23">IF(G519="","",VLOOKUP(G519,mah,2,0))</f>
        <v>5</v>
      </c>
      <c r="I519" s="137">
        <v>1402</v>
      </c>
      <c r="J519" s="236"/>
      <c r="K519" s="238">
        <v>10000000</v>
      </c>
      <c r="L519" s="368"/>
    </row>
    <row r="520" spans="1:13" ht="15.75" customHeight="1">
      <c r="A520" s="194"/>
      <c r="B520" s="133">
        <f>SUMIFS('لیست واریزی کل خیرین'!B:B,'لیست واریزی کل خیرین'!D:D,Table1[[#This Row],[نام]],'لیست واریزی کل خیرین'!E:E,Table1[[#This Row],[نام خانوادگی]])</f>
        <v>40</v>
      </c>
      <c r="C520" s="137" t="s">
        <v>494</v>
      </c>
      <c r="D520" s="137" t="s">
        <v>533</v>
      </c>
      <c r="E520" s="135" t="s">
        <v>1540</v>
      </c>
      <c r="F520" s="243" t="s">
        <v>1544</v>
      </c>
      <c r="G520" s="137" t="s">
        <v>474</v>
      </c>
      <c r="H520" s="237">
        <f t="shared" si="23"/>
        <v>4</v>
      </c>
      <c r="I520" s="137">
        <v>1402</v>
      </c>
      <c r="J520" s="137"/>
      <c r="K520" s="139">
        <v>50000000</v>
      </c>
      <c r="L520" s="253"/>
      <c r="M520" s="428"/>
    </row>
    <row r="521" spans="1:13" ht="15.75" customHeight="1">
      <c r="A521" s="194"/>
      <c r="B521" s="133">
        <f>SUMIFS('لیست واریزی کل خیرین'!B:B,'لیست واریزی کل خیرین'!D:D,Table1[[#This Row],[نام]],'لیست واریزی کل خیرین'!E:E,Table1[[#This Row],[نام خانوادگی]])</f>
        <v>91</v>
      </c>
      <c r="C521" s="375" t="s">
        <v>1315</v>
      </c>
      <c r="D521" s="375" t="s">
        <v>1316</v>
      </c>
      <c r="E521" s="135" t="s">
        <v>1540</v>
      </c>
      <c r="F521" s="249" t="s">
        <v>835</v>
      </c>
      <c r="G521" s="137" t="s">
        <v>477</v>
      </c>
      <c r="H521" s="237">
        <f t="shared" si="23"/>
        <v>5</v>
      </c>
      <c r="I521" s="137">
        <v>1402</v>
      </c>
      <c r="J521" s="236"/>
      <c r="K521" s="238">
        <v>10000000</v>
      </c>
      <c r="L521" s="368"/>
    </row>
    <row r="522" spans="1:13" ht="15.75" customHeight="1">
      <c r="A522" s="194"/>
      <c r="B522" s="235">
        <f>SUMIFS('لیست واریزی کل خیرین'!B:B,'لیست واریزی کل خیرین'!D:D,Table1[[#This Row],[نام]],'لیست واریزی کل خیرین'!E:E,Table1[[#This Row],[نام خانوادگی]])</f>
        <v>104</v>
      </c>
      <c r="C522" s="436" t="s">
        <v>1582</v>
      </c>
      <c r="D522" s="436" t="s">
        <v>1583</v>
      </c>
      <c r="E522" s="433" t="s">
        <v>1561</v>
      </c>
      <c r="F522" s="434"/>
      <c r="G522" s="432" t="s">
        <v>477</v>
      </c>
      <c r="H522" s="237">
        <f t="shared" ref="H522" si="24">IF(G522="","",VLOOKUP(G522,mah,2,0))</f>
        <v>5</v>
      </c>
      <c r="I522" s="432">
        <v>1402</v>
      </c>
      <c r="J522" s="435"/>
      <c r="K522" s="439">
        <v>20000000</v>
      </c>
      <c r="L522" s="368"/>
    </row>
    <row r="523" spans="1:13" ht="15.75" customHeight="1">
      <c r="A523" s="194"/>
      <c r="B523" s="133">
        <f>SUMIFS('لیست واریزی کل خیرین'!B:B,'لیست واریزی کل خیرین'!D:D,Table1[[#This Row],[نام]],'لیست واریزی کل خیرین'!E:E,Table1[[#This Row],[نام خانوادگی]])</f>
        <v>5</v>
      </c>
      <c r="C523" s="137" t="s">
        <v>475</v>
      </c>
      <c r="D523" s="137" t="s">
        <v>476</v>
      </c>
      <c r="E523" s="135" t="s">
        <v>1551</v>
      </c>
      <c r="F523" s="249" t="s">
        <v>867</v>
      </c>
      <c r="G523" s="137" t="s">
        <v>474</v>
      </c>
      <c r="H523" s="237">
        <f t="shared" si="23"/>
        <v>4</v>
      </c>
      <c r="I523" s="137">
        <v>1402</v>
      </c>
      <c r="J523" s="236"/>
      <c r="K523" s="238">
        <v>5000000</v>
      </c>
      <c r="L523" s="368"/>
    </row>
    <row r="524" spans="1:13" ht="15.75" customHeight="1">
      <c r="A524" s="194"/>
      <c r="B524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524" s="137" t="s">
        <v>475</v>
      </c>
      <c r="D524" s="137" t="s">
        <v>476</v>
      </c>
      <c r="E524" s="135" t="s">
        <v>1551</v>
      </c>
      <c r="F524" s="249" t="s">
        <v>867</v>
      </c>
      <c r="G524" s="137" t="s">
        <v>477</v>
      </c>
      <c r="H524" s="237">
        <f t="shared" ref="H524:H525" si="25">IF(G524="","",VLOOKUP(G524,mah,2,0))</f>
        <v>5</v>
      </c>
      <c r="I524" s="137">
        <v>1402</v>
      </c>
      <c r="J524" s="236"/>
      <c r="K524" s="238">
        <v>5000000</v>
      </c>
      <c r="L524" s="368"/>
    </row>
    <row r="525" spans="1:13" ht="15.75" customHeight="1">
      <c r="A525" s="194"/>
      <c r="B525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525" s="137" t="s">
        <v>475</v>
      </c>
      <c r="D525" s="137" t="s">
        <v>476</v>
      </c>
      <c r="E525" s="135" t="s">
        <v>1551</v>
      </c>
      <c r="F525" s="249" t="s">
        <v>867</v>
      </c>
      <c r="G525" s="137" t="s">
        <v>479</v>
      </c>
      <c r="H525" s="237">
        <f t="shared" si="25"/>
        <v>6</v>
      </c>
      <c r="I525" s="137">
        <v>1402</v>
      </c>
      <c r="J525" s="236"/>
      <c r="K525" s="238">
        <v>5000000</v>
      </c>
      <c r="L525" s="368"/>
    </row>
    <row r="526" spans="1:13" ht="15.75" customHeight="1">
      <c r="A526" s="194"/>
      <c r="B526" s="133">
        <f>SUMIFS('لیست واریزی کل خیرین'!B:B,'لیست واریزی کل خیرین'!D:D,Table1[[#This Row],[نام]],'لیست واریزی کل خیرین'!E:E,Table1[[#This Row],[نام خانوادگی]])</f>
        <v>88</v>
      </c>
      <c r="C526" s="137" t="s">
        <v>207</v>
      </c>
      <c r="D526" s="137" t="s">
        <v>1462</v>
      </c>
      <c r="E526" s="135" t="s">
        <v>1553</v>
      </c>
      <c r="F526" s="249" t="s">
        <v>1554</v>
      </c>
      <c r="G526" s="137" t="s">
        <v>477</v>
      </c>
      <c r="H526" s="237">
        <f t="shared" ref="H526:H537" si="26">IF(G526="","",VLOOKUP(G526,mah,2,0))</f>
        <v>5</v>
      </c>
      <c r="I526" s="137">
        <v>1402</v>
      </c>
      <c r="J526" s="236"/>
      <c r="K526" s="238">
        <v>2000000</v>
      </c>
      <c r="L526" s="368"/>
    </row>
    <row r="527" spans="1:13" ht="15.75" customHeight="1">
      <c r="A527" s="194"/>
      <c r="B527" s="133">
        <f>SUMIFS('لیست واریزی کل خیرین'!B:B,'لیست واریزی کل خیرین'!D:D,Table1[[#This Row],[نام]],'لیست واریزی کل خیرین'!E:E,Table1[[#This Row],[نام خانوادگی]])</f>
        <v>24</v>
      </c>
      <c r="C527" s="137" t="s">
        <v>529</v>
      </c>
      <c r="D527" s="137" t="s">
        <v>530</v>
      </c>
      <c r="E527" s="135" t="s">
        <v>1553</v>
      </c>
      <c r="F527" s="249" t="s">
        <v>689</v>
      </c>
      <c r="G527" s="137" t="s">
        <v>477</v>
      </c>
      <c r="H527" s="237">
        <f t="shared" si="26"/>
        <v>5</v>
      </c>
      <c r="I527" s="137">
        <v>1402</v>
      </c>
      <c r="J527" s="236"/>
      <c r="K527" s="238">
        <v>5000000</v>
      </c>
      <c r="L527" s="368"/>
    </row>
    <row r="528" spans="1:13" ht="15.75" customHeight="1">
      <c r="A528" s="194"/>
      <c r="B528" s="133">
        <f>SUMIFS('لیست واریزی کل خیرین'!B:B,'لیست واریزی کل خیرین'!D:D,Table1[[#This Row],[نام]],'لیست واریزی کل خیرین'!E:E,Table1[[#This Row],[نام خانوادگی]])</f>
        <v>11</v>
      </c>
      <c r="C528" s="137" t="s">
        <v>494</v>
      </c>
      <c r="D528" s="137" t="s">
        <v>495</v>
      </c>
      <c r="E528" s="135" t="s">
        <v>1555</v>
      </c>
      <c r="F528" s="249" t="s">
        <v>573</v>
      </c>
      <c r="G528" s="137" t="s">
        <v>477</v>
      </c>
      <c r="H528" s="237">
        <f t="shared" si="26"/>
        <v>5</v>
      </c>
      <c r="I528" s="137">
        <v>1402</v>
      </c>
      <c r="J528" s="236"/>
      <c r="K528" s="238">
        <v>40000000</v>
      </c>
      <c r="L528" s="368"/>
    </row>
    <row r="529" spans="1:13" ht="30.75" customHeight="1">
      <c r="A529" s="194"/>
      <c r="B529" s="133">
        <f>SUMIFS('لیست واریزی کل خیرین'!B:B,'لیست واریزی کل خیرین'!D:D,Table1[[#This Row],[نام]],'لیست واریزی کل خیرین'!E:E,Table1[[#This Row],[نام خانوادگی]])</f>
        <v>15</v>
      </c>
      <c r="C529" s="137" t="s">
        <v>503</v>
      </c>
      <c r="D529" s="137" t="s">
        <v>504</v>
      </c>
      <c r="E529" s="135" t="s">
        <v>1556</v>
      </c>
      <c r="F529" s="249" t="s">
        <v>1557</v>
      </c>
      <c r="G529" s="137" t="s">
        <v>463</v>
      </c>
      <c r="H529" s="237">
        <f t="shared" si="26"/>
        <v>1</v>
      </c>
      <c r="I529" s="137">
        <v>1402</v>
      </c>
      <c r="J529" s="236"/>
      <c r="K529" s="238">
        <v>10000000</v>
      </c>
      <c r="L529" s="429"/>
    </row>
    <row r="530" spans="1:13" ht="29.25" customHeight="1">
      <c r="A530" s="194"/>
      <c r="B530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530" s="137" t="s">
        <v>503</v>
      </c>
      <c r="D530" s="137" t="s">
        <v>504</v>
      </c>
      <c r="E530" s="135" t="s">
        <v>1556</v>
      </c>
      <c r="F530" s="249" t="s">
        <v>1557</v>
      </c>
      <c r="G530" s="137" t="s">
        <v>468</v>
      </c>
      <c r="H530" s="237">
        <f t="shared" ref="H530:H533" si="27">IF(G530="","",VLOOKUP(G530,mah,2,0))</f>
        <v>2</v>
      </c>
      <c r="I530" s="137">
        <v>1402</v>
      </c>
      <c r="J530" s="236"/>
      <c r="K530" s="238">
        <v>10000000</v>
      </c>
      <c r="L530" s="429" t="s">
        <v>1617</v>
      </c>
    </row>
    <row r="531" spans="1:13" ht="27" customHeight="1">
      <c r="A531" s="194"/>
      <c r="B531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531" s="137" t="s">
        <v>503</v>
      </c>
      <c r="D531" s="137" t="s">
        <v>504</v>
      </c>
      <c r="E531" s="135" t="s">
        <v>1556</v>
      </c>
      <c r="F531" s="249" t="s">
        <v>1557</v>
      </c>
      <c r="G531" s="137" t="s">
        <v>462</v>
      </c>
      <c r="H531" s="237">
        <f t="shared" si="27"/>
        <v>3</v>
      </c>
      <c r="I531" s="137">
        <v>1402</v>
      </c>
      <c r="J531" s="236"/>
      <c r="K531" s="238">
        <v>10000000</v>
      </c>
      <c r="L531" s="429" t="s">
        <v>1617</v>
      </c>
    </row>
    <row r="532" spans="1:13" ht="27" customHeight="1">
      <c r="A532" s="194"/>
      <c r="B532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532" s="137" t="s">
        <v>503</v>
      </c>
      <c r="D532" s="137" t="s">
        <v>504</v>
      </c>
      <c r="E532" s="135" t="s">
        <v>1556</v>
      </c>
      <c r="F532" s="249" t="s">
        <v>1557</v>
      </c>
      <c r="G532" s="137" t="s">
        <v>474</v>
      </c>
      <c r="H532" s="237">
        <f t="shared" si="27"/>
        <v>4</v>
      </c>
      <c r="I532" s="137">
        <v>1402</v>
      </c>
      <c r="J532" s="236"/>
      <c r="K532" s="238">
        <v>10000000</v>
      </c>
      <c r="L532" s="429" t="s">
        <v>1617</v>
      </c>
    </row>
    <row r="533" spans="1:13" ht="27.75" customHeight="1">
      <c r="A533" s="194"/>
      <c r="B533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533" s="137" t="s">
        <v>503</v>
      </c>
      <c r="D533" s="137" t="s">
        <v>504</v>
      </c>
      <c r="E533" s="135" t="s">
        <v>1556</v>
      </c>
      <c r="F533" s="249" t="s">
        <v>1557</v>
      </c>
      <c r="G533" s="137" t="s">
        <v>477</v>
      </c>
      <c r="H533" s="237">
        <f t="shared" si="27"/>
        <v>5</v>
      </c>
      <c r="I533" s="137">
        <v>1402</v>
      </c>
      <c r="J533" s="236"/>
      <c r="K533" s="238">
        <v>10000000</v>
      </c>
      <c r="L533" s="429" t="s">
        <v>1617</v>
      </c>
    </row>
    <row r="534" spans="1:13" ht="26.25" customHeight="1">
      <c r="A534" s="194"/>
      <c r="B534" s="133">
        <f>SUMIFS('لیست واریزی کل خیرین'!B:B,'لیست واریزی کل خیرین'!D:D,Table1[[#This Row],[نام]],'لیست واریزی کل خیرین'!E:E,Table1[[#This Row],[نام خانوادگی]])</f>
        <v>15</v>
      </c>
      <c r="C534" s="137" t="s">
        <v>503</v>
      </c>
      <c r="D534" s="137" t="s">
        <v>504</v>
      </c>
      <c r="E534" s="135" t="s">
        <v>1556</v>
      </c>
      <c r="F534" s="243" t="s">
        <v>1558</v>
      </c>
      <c r="G534" s="137" t="s">
        <v>479</v>
      </c>
      <c r="H534" s="237">
        <f t="shared" si="26"/>
        <v>6</v>
      </c>
      <c r="I534" s="137">
        <v>1402</v>
      </c>
      <c r="J534" s="137"/>
      <c r="K534" s="139">
        <v>10000000</v>
      </c>
      <c r="L534" s="429" t="s">
        <v>1617</v>
      </c>
      <c r="M534" s="428"/>
    </row>
    <row r="535" spans="1:13" ht="15.75" customHeight="1">
      <c r="A535" s="194"/>
      <c r="B535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535" s="137" t="s">
        <v>486</v>
      </c>
      <c r="D535" s="137" t="s">
        <v>487</v>
      </c>
      <c r="E535" s="135" t="s">
        <v>1556</v>
      </c>
      <c r="F535" s="243" t="s">
        <v>595</v>
      </c>
      <c r="G535" s="137" t="s">
        <v>477</v>
      </c>
      <c r="H535" s="237">
        <f t="shared" si="26"/>
        <v>5</v>
      </c>
      <c r="I535" s="137">
        <v>1402</v>
      </c>
      <c r="J535" s="137"/>
      <c r="K535" s="139">
        <v>2000000</v>
      </c>
      <c r="L535" s="253"/>
      <c r="M535" s="428"/>
    </row>
    <row r="536" spans="1:13" ht="15.75" customHeight="1">
      <c r="A536" s="194"/>
      <c r="B536" s="133">
        <f>SUMIFS('لیست واریزی کل خیرین'!B:B,'لیست واریزی کل خیرین'!D:D,Table1[[#This Row],[نام]],'لیست واریزی کل خیرین'!E:E,Table1[[#This Row],[نام خانوادگی]])</f>
        <v>58</v>
      </c>
      <c r="C536" s="137" t="s">
        <v>1573</v>
      </c>
      <c r="D536" s="137" t="s">
        <v>1574</v>
      </c>
      <c r="E536" s="135" t="s">
        <v>1569</v>
      </c>
      <c r="F536" s="243" t="s">
        <v>1559</v>
      </c>
      <c r="G536" s="137" t="s">
        <v>477</v>
      </c>
      <c r="H536" s="237">
        <f t="shared" si="26"/>
        <v>5</v>
      </c>
      <c r="I536" s="137">
        <v>1402</v>
      </c>
      <c r="J536" s="137"/>
      <c r="K536" s="139">
        <v>2000000</v>
      </c>
      <c r="L536" s="253"/>
      <c r="M536" s="428"/>
    </row>
    <row r="537" spans="1:13" ht="15.75" customHeight="1">
      <c r="A537" s="194"/>
      <c r="B537" s="133">
        <f>SUMIFS('لیست واریزی کل خیرین'!B:B,'لیست واریزی کل خیرین'!D:D,Table1[[#This Row],[نام]],'لیست واریزی کل خیرین'!E:E,Table1[[#This Row],[نام خانوادگی]])</f>
        <v>88</v>
      </c>
      <c r="C537" s="137" t="s">
        <v>207</v>
      </c>
      <c r="D537" s="137" t="s">
        <v>1462</v>
      </c>
      <c r="E537" s="135" t="s">
        <v>1560</v>
      </c>
      <c r="F537" s="243" t="s">
        <v>1534</v>
      </c>
      <c r="G537" s="137" t="s">
        <v>477</v>
      </c>
      <c r="H537" s="237">
        <f t="shared" si="26"/>
        <v>5</v>
      </c>
      <c r="I537" s="137">
        <v>1402</v>
      </c>
      <c r="J537" s="137"/>
      <c r="K537" s="139">
        <v>8500000</v>
      </c>
      <c r="L537" s="253"/>
      <c r="M537" s="428"/>
    </row>
    <row r="538" spans="1:13" ht="15.75" customHeight="1">
      <c r="A538" s="194"/>
      <c r="B538" s="235">
        <f>SUMIFS('لیست واریزی کل خیرین'!B:B,'لیست واریزی کل خیرین'!D:D,Table1[[#This Row],[نام]],'لیست واریزی کل خیرین'!E:E,Table1[[#This Row],[نام خانوادگی]])</f>
        <v>64</v>
      </c>
      <c r="C538" s="137" t="s">
        <v>520</v>
      </c>
      <c r="D538" s="137" t="s">
        <v>713</v>
      </c>
      <c r="E538" s="137" t="s">
        <v>1584</v>
      </c>
      <c r="F538" s="243" t="s">
        <v>1585</v>
      </c>
      <c r="G538" s="137" t="s">
        <v>477</v>
      </c>
      <c r="H538" s="137">
        <f t="shared" ref="H538" si="28">IF(G538="","",VLOOKUP(G538,mah,2,0))</f>
        <v>5</v>
      </c>
      <c r="I538" s="137">
        <v>1402</v>
      </c>
      <c r="J538" s="137"/>
      <c r="K538" s="139">
        <v>5000000</v>
      </c>
      <c r="L538" s="368"/>
    </row>
    <row r="539" spans="1:13" ht="15.75" customHeight="1">
      <c r="A539" s="194"/>
      <c r="B539" s="235">
        <f>SUMIFS('لیست واریزی کل خیرین'!B:B,'لیست واریزی کل خیرین'!D:D,Table1[[#This Row],[نام]],'لیست واریزی کل خیرین'!E:E,Table1[[#This Row],[نام خانوادگی]])</f>
        <v>105</v>
      </c>
      <c r="C539" s="137" t="s">
        <v>1586</v>
      </c>
      <c r="D539" s="137" t="s">
        <v>1587</v>
      </c>
      <c r="E539" s="137" t="s">
        <v>1563</v>
      </c>
      <c r="F539" s="243" t="s">
        <v>1588</v>
      </c>
      <c r="G539" s="137" t="s">
        <v>477</v>
      </c>
      <c r="H539" s="137">
        <f t="shared" ref="H539" si="29">IF(G539="","",VLOOKUP(G539,mah,2,0))</f>
        <v>5</v>
      </c>
      <c r="I539" s="137">
        <v>1402</v>
      </c>
      <c r="J539" s="137"/>
      <c r="K539" s="139">
        <v>500000</v>
      </c>
      <c r="L539" s="368"/>
    </row>
    <row r="540" spans="1:13" ht="15.75" customHeight="1">
      <c r="A540" s="194"/>
      <c r="B540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540" s="137" t="s">
        <v>486</v>
      </c>
      <c r="D540" s="137" t="s">
        <v>487</v>
      </c>
      <c r="E540" s="137" t="s">
        <v>1589</v>
      </c>
      <c r="F540" s="243" t="s">
        <v>595</v>
      </c>
      <c r="G540" s="137" t="s">
        <v>477</v>
      </c>
      <c r="H540" s="137">
        <f t="shared" ref="H540" si="30">IF(G540="","",VLOOKUP(G540,mah,2,0))</f>
        <v>5</v>
      </c>
      <c r="I540" s="137">
        <v>1402</v>
      </c>
      <c r="J540" s="137"/>
      <c r="K540" s="139">
        <v>20000000</v>
      </c>
      <c r="L540" s="368"/>
    </row>
    <row r="541" spans="1:13" ht="15.75" customHeight="1">
      <c r="A541" s="194"/>
      <c r="B541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541" s="137" t="s">
        <v>814</v>
      </c>
      <c r="D541" s="137" t="s">
        <v>705</v>
      </c>
      <c r="E541" s="135" t="s">
        <v>1575</v>
      </c>
      <c r="F541" s="243" t="s">
        <v>1576</v>
      </c>
      <c r="G541" s="137" t="s">
        <v>477</v>
      </c>
      <c r="H541" s="237">
        <f t="shared" ref="H541" si="31">IF(G541="","",VLOOKUP(G541,mah,2,0))</f>
        <v>5</v>
      </c>
      <c r="I541" s="137">
        <v>1402</v>
      </c>
      <c r="J541" s="236"/>
      <c r="K541" s="139">
        <v>10000000</v>
      </c>
      <c r="L541" s="368"/>
    </row>
    <row r="542" spans="1:13" ht="17.25" customHeight="1">
      <c r="A542" s="194"/>
      <c r="B542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542" s="442" t="s">
        <v>522</v>
      </c>
      <c r="D542" s="442" t="s">
        <v>523</v>
      </c>
      <c r="E542" s="135" t="s">
        <v>1577</v>
      </c>
      <c r="F542" s="243" t="s">
        <v>1595</v>
      </c>
      <c r="G542" s="137" t="s">
        <v>477</v>
      </c>
      <c r="H542" s="237">
        <f t="shared" ref="H542" si="32">IF(G542="","",VLOOKUP(G542,mah,2,0))</f>
        <v>5</v>
      </c>
      <c r="I542" s="137">
        <v>1402</v>
      </c>
      <c r="J542" s="236"/>
      <c r="K542" s="139">
        <v>23182279</v>
      </c>
      <c r="L542" s="368"/>
    </row>
    <row r="543" spans="1:13" ht="17.25" customHeight="1">
      <c r="A543" s="194"/>
      <c r="B543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543" s="137" t="s">
        <v>489</v>
      </c>
      <c r="D543" s="437" t="s">
        <v>490</v>
      </c>
      <c r="E543" s="433" t="s">
        <v>1578</v>
      </c>
      <c r="F543" s="243" t="s">
        <v>835</v>
      </c>
      <c r="G543" s="137" t="s">
        <v>477</v>
      </c>
      <c r="H543" s="237">
        <f t="shared" ref="H543:H558" si="33">IF(G543="","",VLOOKUP(G543,mah,2,0))</f>
        <v>5</v>
      </c>
      <c r="I543" s="137">
        <v>1402</v>
      </c>
      <c r="J543" s="137"/>
      <c r="K543" s="139">
        <v>100000000</v>
      </c>
      <c r="L543" s="368"/>
    </row>
    <row r="544" spans="1:13" ht="15.75" customHeight="1">
      <c r="A544" s="194"/>
      <c r="B544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544" s="137" t="s">
        <v>494</v>
      </c>
      <c r="D544" s="432" t="s">
        <v>546</v>
      </c>
      <c r="E544" s="433" t="s">
        <v>1578</v>
      </c>
      <c r="F544" s="243" t="s">
        <v>835</v>
      </c>
      <c r="G544" s="137" t="s">
        <v>477</v>
      </c>
      <c r="H544" s="237">
        <f t="shared" si="33"/>
        <v>5</v>
      </c>
      <c r="I544" s="137">
        <v>1402</v>
      </c>
      <c r="J544" s="137"/>
      <c r="K544" s="139">
        <v>40000000</v>
      </c>
      <c r="L544" s="368"/>
    </row>
    <row r="545" spans="1:13" ht="15.75" customHeight="1">
      <c r="A545" s="194"/>
      <c r="B545" s="133">
        <f>SUMIFS('لیست واریزی کل خیرین'!B:B,'لیست واریزی کل خیرین'!D:D,Table1[[#This Row],[نام]],'لیست واریزی کل خیرین'!E:E,Table1[[#This Row],[نام خانوادگی]])</f>
        <v>106</v>
      </c>
      <c r="C545" s="137" t="s">
        <v>1590</v>
      </c>
      <c r="D545" s="438" t="s">
        <v>1591</v>
      </c>
      <c r="E545" s="433" t="s">
        <v>1578</v>
      </c>
      <c r="F545" s="243" t="s">
        <v>1592</v>
      </c>
      <c r="G545" s="137" t="s">
        <v>477</v>
      </c>
      <c r="H545" s="237">
        <f t="shared" si="33"/>
        <v>5</v>
      </c>
      <c r="I545" s="137">
        <v>1402</v>
      </c>
      <c r="J545" s="137"/>
      <c r="K545" s="139">
        <v>10000000</v>
      </c>
      <c r="L545" s="240"/>
      <c r="M545" s="430"/>
    </row>
    <row r="546" spans="1:13" ht="15.75" customHeight="1">
      <c r="A546" s="194"/>
      <c r="B546" s="133">
        <f>SUMIFS('لیست واریزی کل خیرین'!B:B,'لیست واریزی کل خیرین'!D:D,Table1[[#This Row],[نام]],'لیست واریزی کل خیرین'!E:E,Table1[[#This Row],[نام خانوادگی]])</f>
        <v>35</v>
      </c>
      <c r="C546" s="137" t="s">
        <v>596</v>
      </c>
      <c r="D546" s="438" t="s">
        <v>597</v>
      </c>
      <c r="E546" s="433" t="s">
        <v>1593</v>
      </c>
      <c r="F546" s="243" t="s">
        <v>598</v>
      </c>
      <c r="G546" s="137" t="s">
        <v>477</v>
      </c>
      <c r="H546" s="237">
        <f t="shared" si="33"/>
        <v>5</v>
      </c>
      <c r="I546" s="137">
        <v>1402</v>
      </c>
      <c r="J546" s="137"/>
      <c r="K546" s="139">
        <v>4000000</v>
      </c>
      <c r="L546" s="240"/>
      <c r="M546" s="430"/>
    </row>
    <row r="547" spans="1:13" ht="15.75" customHeight="1">
      <c r="A547" s="194"/>
      <c r="B547" s="133">
        <f>SUMIFS('لیست واریزی کل خیرین'!B:B,'لیست واریزی کل خیرین'!D:D,Table1[[#This Row],[نام]],'لیست واریزی کل خیرین'!E:E,Table1[[#This Row],[نام خانوادگی]])</f>
        <v>27</v>
      </c>
      <c r="C547" s="137" t="s">
        <v>543</v>
      </c>
      <c r="D547" s="432" t="s">
        <v>544</v>
      </c>
      <c r="E547" s="433" t="s">
        <v>1594</v>
      </c>
      <c r="F547" s="243" t="s">
        <v>856</v>
      </c>
      <c r="G547" s="137" t="s">
        <v>477</v>
      </c>
      <c r="H547" s="237">
        <f t="shared" si="33"/>
        <v>5</v>
      </c>
      <c r="I547" s="137">
        <v>1402</v>
      </c>
      <c r="J547" s="137"/>
      <c r="K547" s="139">
        <v>5000000</v>
      </c>
      <c r="L547" s="240"/>
      <c r="M547" s="430"/>
    </row>
    <row r="548" spans="1:13" ht="15.75" customHeight="1">
      <c r="A548" s="194"/>
      <c r="B548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548" s="137" t="s">
        <v>543</v>
      </c>
      <c r="D548" s="432" t="s">
        <v>544</v>
      </c>
      <c r="E548" s="433" t="s">
        <v>1594</v>
      </c>
      <c r="F548" s="243" t="s">
        <v>856</v>
      </c>
      <c r="G548" s="137" t="s">
        <v>468</v>
      </c>
      <c r="H548" s="237">
        <f>IF(G548="","",VLOOKUP(G548,mah,2,0))</f>
        <v>2</v>
      </c>
      <c r="I548" s="137">
        <v>1402</v>
      </c>
      <c r="J548" s="137"/>
      <c r="K548" s="139">
        <v>5000000</v>
      </c>
      <c r="L548" s="368"/>
    </row>
    <row r="549" spans="1:13" ht="15.75" customHeight="1">
      <c r="A549" s="194"/>
      <c r="B549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549" s="137" t="s">
        <v>543</v>
      </c>
      <c r="D549" s="432" t="s">
        <v>544</v>
      </c>
      <c r="E549" s="433" t="s">
        <v>1594</v>
      </c>
      <c r="F549" s="243" t="s">
        <v>856</v>
      </c>
      <c r="G549" s="137" t="s">
        <v>474</v>
      </c>
      <c r="H549" s="237">
        <f>IF(G549="","",VLOOKUP(G549,mah,2,0))</f>
        <v>4</v>
      </c>
      <c r="I549" s="137">
        <v>1402</v>
      </c>
      <c r="J549" s="137"/>
      <c r="K549" s="139">
        <v>5000000</v>
      </c>
      <c r="L549" s="368"/>
    </row>
    <row r="550" spans="1:13" ht="15.75" customHeight="1">
      <c r="A550" s="194"/>
      <c r="B550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550" s="137" t="s">
        <v>543</v>
      </c>
      <c r="D550" s="432" t="s">
        <v>544</v>
      </c>
      <c r="E550" s="433" t="s">
        <v>1594</v>
      </c>
      <c r="F550" s="243" t="s">
        <v>856</v>
      </c>
      <c r="G550" s="137" t="s">
        <v>462</v>
      </c>
      <c r="H550" s="237">
        <f>IF(G550="","",VLOOKUP(G550,mah,2,0))</f>
        <v>3</v>
      </c>
      <c r="I550" s="137">
        <v>1402</v>
      </c>
      <c r="J550" s="137"/>
      <c r="K550" s="139">
        <v>5000000</v>
      </c>
      <c r="L550" s="368"/>
    </row>
    <row r="551" spans="1:13" ht="15.75" customHeight="1">
      <c r="A551" s="194"/>
      <c r="B551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551" s="137" t="s">
        <v>497</v>
      </c>
      <c r="D551" s="440" t="s">
        <v>498</v>
      </c>
      <c r="E551" s="433" t="s">
        <v>1596</v>
      </c>
      <c r="F551" s="243" t="s">
        <v>1597</v>
      </c>
      <c r="G551" s="137" t="s">
        <v>499</v>
      </c>
      <c r="H551" s="237">
        <f t="shared" si="33"/>
        <v>12</v>
      </c>
      <c r="I551" s="137">
        <v>1402</v>
      </c>
      <c r="J551" s="137"/>
      <c r="K551" s="139">
        <v>17400000</v>
      </c>
      <c r="L551" s="240" t="s">
        <v>2010</v>
      </c>
      <c r="M551" s="430"/>
    </row>
    <row r="552" spans="1:13" ht="15.75" customHeight="1">
      <c r="A552" s="194"/>
      <c r="B552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552" s="137" t="s">
        <v>497</v>
      </c>
      <c r="D552" s="440" t="s">
        <v>498</v>
      </c>
      <c r="E552" s="433" t="s">
        <v>1596</v>
      </c>
      <c r="F552" s="243" t="s">
        <v>1597</v>
      </c>
      <c r="G552" s="137" t="s">
        <v>479</v>
      </c>
      <c r="H552" s="237">
        <f t="shared" ref="H552:H553" si="34">IF(G552="","",VLOOKUP(G552,mah,2,0))</f>
        <v>6</v>
      </c>
      <c r="I552" s="137">
        <v>1402</v>
      </c>
      <c r="J552" s="137"/>
      <c r="K552" s="139">
        <v>10000000</v>
      </c>
      <c r="L552" s="240" t="s">
        <v>2006</v>
      </c>
    </row>
    <row r="553" spans="1:13" ht="15.75" customHeight="1">
      <c r="A553" s="194"/>
      <c r="B553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553" s="137" t="s">
        <v>497</v>
      </c>
      <c r="D553" s="440" t="s">
        <v>498</v>
      </c>
      <c r="E553" s="433" t="s">
        <v>1596</v>
      </c>
      <c r="F553" s="243" t="s">
        <v>1597</v>
      </c>
      <c r="G553" s="137" t="s">
        <v>482</v>
      </c>
      <c r="H553" s="237">
        <f t="shared" si="34"/>
        <v>7</v>
      </c>
      <c r="I553" s="137">
        <v>1402</v>
      </c>
      <c r="J553" s="137"/>
      <c r="K553" s="139">
        <v>10000000</v>
      </c>
      <c r="L553" s="240" t="s">
        <v>2006</v>
      </c>
    </row>
    <row r="554" spans="1:13" ht="15.75" customHeight="1">
      <c r="A554" s="194"/>
      <c r="B554" s="133">
        <f>SUMIFS('لیست واریزی کل خیرین'!B:B,'لیست واریزی کل خیرین'!D:D,Table1[[#This Row],[نام]],'لیست واریزی کل خیرین'!E:E,Table1[[#This Row],[نام خانوادگی]])</f>
        <v>14</v>
      </c>
      <c r="C554" s="137" t="s">
        <v>202</v>
      </c>
      <c r="D554" s="432" t="s">
        <v>502</v>
      </c>
      <c r="E554" s="433" t="s">
        <v>1596</v>
      </c>
      <c r="F554" s="243" t="s">
        <v>1598</v>
      </c>
      <c r="G554" s="137" t="s">
        <v>474</v>
      </c>
      <c r="H554" s="237">
        <f t="shared" si="33"/>
        <v>4</v>
      </c>
      <c r="I554" s="137">
        <v>1402</v>
      </c>
      <c r="J554" s="137"/>
      <c r="K554" s="139">
        <v>10000000</v>
      </c>
      <c r="L554" s="240"/>
      <c r="M554" s="430"/>
    </row>
    <row r="555" spans="1:13" ht="15.75" customHeight="1">
      <c r="A555" s="194"/>
      <c r="B555" s="133">
        <f>SUMIFS('لیست واریزی کل خیرین'!B:B,'لیست واریزی کل خیرین'!D:D,Table1[[#This Row],[نام]],'لیست واریزی کل خیرین'!E:E,Table1[[#This Row],[نام خانوادگی]])</f>
        <v>44</v>
      </c>
      <c r="C555" s="137" t="s">
        <v>635</v>
      </c>
      <c r="D555" s="432" t="s">
        <v>636</v>
      </c>
      <c r="E555" s="433" t="s">
        <v>1596</v>
      </c>
      <c r="F555" s="243" t="s">
        <v>1543</v>
      </c>
      <c r="G555" s="137" t="s">
        <v>477</v>
      </c>
      <c r="H555" s="237">
        <f t="shared" si="33"/>
        <v>5</v>
      </c>
      <c r="I555" s="137">
        <v>1402</v>
      </c>
      <c r="J555" s="137"/>
      <c r="K555" s="139">
        <v>8000000</v>
      </c>
      <c r="L555" s="240"/>
      <c r="M555" s="430"/>
    </row>
    <row r="556" spans="1:13" ht="15.75" customHeight="1">
      <c r="A556" s="194"/>
      <c r="B556" s="133">
        <f>SUMIFS('لیست واریزی کل خیرین'!B:B,'لیست واریزی کل خیرین'!D:D,Table1[[#This Row],[نام]],'لیست واریزی کل خیرین'!E:E,Table1[[#This Row],[نام خانوادگی]])</f>
        <v>88</v>
      </c>
      <c r="C556" s="137" t="s">
        <v>207</v>
      </c>
      <c r="D556" s="438" t="s">
        <v>1462</v>
      </c>
      <c r="E556" s="433" t="s">
        <v>1596</v>
      </c>
      <c r="F556" s="243" t="s">
        <v>1534</v>
      </c>
      <c r="G556" s="137" t="s">
        <v>477</v>
      </c>
      <c r="H556" s="237">
        <f t="shared" si="33"/>
        <v>5</v>
      </c>
      <c r="I556" s="137">
        <v>1402</v>
      </c>
      <c r="J556" s="137"/>
      <c r="K556" s="139">
        <v>30000000</v>
      </c>
      <c r="L556" s="240"/>
      <c r="M556" s="430"/>
    </row>
    <row r="557" spans="1:13" ht="15.75" customHeight="1">
      <c r="A557" s="194"/>
      <c r="B557" s="133">
        <f>SUMIFS('لیست واریزی کل خیرین'!B:B,'لیست واریزی کل خیرین'!D:D,Table1[[#This Row],[نام]],'لیست واریزی کل خیرین'!E:E,Table1[[#This Row],[نام خانوادگی]])</f>
        <v>105</v>
      </c>
      <c r="C557" s="137" t="s">
        <v>1586</v>
      </c>
      <c r="D557" s="436" t="s">
        <v>1587</v>
      </c>
      <c r="E557" s="433" t="s">
        <v>1599</v>
      </c>
      <c r="F557" s="243" t="s">
        <v>1588</v>
      </c>
      <c r="G557" s="137" t="s">
        <v>477</v>
      </c>
      <c r="H557" s="237">
        <f t="shared" si="33"/>
        <v>5</v>
      </c>
      <c r="I557" s="137">
        <v>1402</v>
      </c>
      <c r="J557" s="137"/>
      <c r="K557" s="139">
        <v>500000</v>
      </c>
      <c r="L557" s="240"/>
      <c r="M557" s="430"/>
    </row>
    <row r="558" spans="1:13" ht="15.75" customHeight="1">
      <c r="A558" s="194"/>
      <c r="B558" s="133">
        <f>SUMIFS('لیست واریزی کل خیرین'!B:B,'لیست واریزی کل خیرین'!D:D,Table1[[#This Row],[نام]],'لیست واریزی کل خیرین'!E:E,Table1[[#This Row],[نام خانوادگی]])</f>
        <v>6</v>
      </c>
      <c r="C558" s="137" t="s">
        <v>207</v>
      </c>
      <c r="D558" s="438" t="s">
        <v>478</v>
      </c>
      <c r="E558" s="433" t="s">
        <v>1600</v>
      </c>
      <c r="F558" s="243" t="s">
        <v>570</v>
      </c>
      <c r="G558" s="137" t="s">
        <v>477</v>
      </c>
      <c r="H558" s="237">
        <f t="shared" si="33"/>
        <v>5</v>
      </c>
      <c r="I558" s="137">
        <v>1402</v>
      </c>
      <c r="J558" s="137"/>
      <c r="K558" s="139">
        <v>5000000</v>
      </c>
      <c r="L558" s="240"/>
      <c r="M558" s="430"/>
    </row>
    <row r="559" spans="1:13" ht="15.75" customHeight="1">
      <c r="A559" s="194"/>
      <c r="B559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559" s="137" t="s">
        <v>207</v>
      </c>
      <c r="D559" s="438" t="s">
        <v>478</v>
      </c>
      <c r="E559" s="433" t="s">
        <v>1600</v>
      </c>
      <c r="F559" s="243" t="s">
        <v>570</v>
      </c>
      <c r="G559" s="137" t="s">
        <v>474</v>
      </c>
      <c r="H559" s="237">
        <v>4</v>
      </c>
      <c r="I559" s="137">
        <v>1402</v>
      </c>
      <c r="J559" s="137"/>
      <c r="K559" s="139">
        <v>5000000</v>
      </c>
      <c r="L559" s="368"/>
    </row>
    <row r="560" spans="1:13" ht="15.75" customHeight="1">
      <c r="A560" s="194"/>
      <c r="B560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560" s="137" t="s">
        <v>207</v>
      </c>
      <c r="D560" s="438" t="s">
        <v>478</v>
      </c>
      <c r="E560" s="433" t="s">
        <v>1600</v>
      </c>
      <c r="F560" s="243" t="s">
        <v>570</v>
      </c>
      <c r="G560" s="137" t="s">
        <v>462</v>
      </c>
      <c r="H560" s="237">
        <f>IF(G560="","",VLOOKUP(G560,mah,2,0))</f>
        <v>3</v>
      </c>
      <c r="I560" s="137">
        <v>1402</v>
      </c>
      <c r="J560" s="137"/>
      <c r="K560" s="139">
        <v>5000000</v>
      </c>
      <c r="L560" s="368"/>
    </row>
    <row r="561" spans="1:12" ht="15.75" customHeight="1">
      <c r="A561" s="194"/>
      <c r="B561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561" s="137" t="s">
        <v>207</v>
      </c>
      <c r="D561" s="438" t="s">
        <v>478</v>
      </c>
      <c r="E561" s="433" t="s">
        <v>1600</v>
      </c>
      <c r="F561" s="243" t="s">
        <v>570</v>
      </c>
      <c r="G561" s="137" t="s">
        <v>479</v>
      </c>
      <c r="H561" s="237">
        <f>IF(G561="","",VLOOKUP(G561,mah,2,0))</f>
        <v>6</v>
      </c>
      <c r="I561" s="137">
        <v>1402</v>
      </c>
      <c r="J561" s="137"/>
      <c r="K561" s="139">
        <v>5000000</v>
      </c>
      <c r="L561" s="368"/>
    </row>
    <row r="562" spans="1:12" ht="15.75" customHeight="1">
      <c r="A562" s="194"/>
      <c r="B562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562" s="137" t="s">
        <v>207</v>
      </c>
      <c r="D562" s="438" t="s">
        <v>478</v>
      </c>
      <c r="E562" s="433" t="s">
        <v>1600</v>
      </c>
      <c r="F562" s="243" t="s">
        <v>570</v>
      </c>
      <c r="G562" s="137" t="s">
        <v>468</v>
      </c>
      <c r="H562" s="237">
        <f>IF(G562="","",VLOOKUP(G562,mah,2,0))</f>
        <v>2</v>
      </c>
      <c r="I562" s="137">
        <v>1402</v>
      </c>
      <c r="J562" s="137"/>
      <c r="K562" s="139">
        <v>5000000</v>
      </c>
      <c r="L562" s="368"/>
    </row>
    <row r="563" spans="1:12" ht="15.75" customHeight="1">
      <c r="A563" s="194"/>
      <c r="B563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563" s="137" t="s">
        <v>207</v>
      </c>
      <c r="D563" s="438" t="s">
        <v>478</v>
      </c>
      <c r="E563" s="433" t="s">
        <v>1600</v>
      </c>
      <c r="F563" s="243" t="s">
        <v>570</v>
      </c>
      <c r="G563" s="137" t="s">
        <v>463</v>
      </c>
      <c r="H563" s="237">
        <f>IF(G563="","",VLOOKUP(G563,mah,2,0))</f>
        <v>1</v>
      </c>
      <c r="I563" s="137">
        <v>1402</v>
      </c>
      <c r="J563" s="137"/>
      <c r="K563" s="139">
        <v>5000000</v>
      </c>
      <c r="L563" s="368"/>
    </row>
    <row r="564" spans="1:12" ht="15.75" customHeight="1">
      <c r="A564" s="194"/>
      <c r="B564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564" s="137" t="s">
        <v>480</v>
      </c>
      <c r="D564" s="137" t="s">
        <v>481</v>
      </c>
      <c r="E564" s="135" t="s">
        <v>1579</v>
      </c>
      <c r="F564" s="243" t="s">
        <v>579</v>
      </c>
      <c r="G564" s="137" t="s">
        <v>477</v>
      </c>
      <c r="H564" s="237">
        <f t="shared" ref="H564" si="35">IF(G564="","",VLOOKUP(G564,mah,2,0))</f>
        <v>5</v>
      </c>
      <c r="I564" s="137">
        <v>1402</v>
      </c>
      <c r="J564" s="137"/>
      <c r="K564" s="139">
        <v>50000000</v>
      </c>
      <c r="L564" s="368"/>
    </row>
    <row r="565" spans="1:12" ht="15.75" customHeight="1">
      <c r="A565" s="194"/>
      <c r="B565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565" s="137" t="s">
        <v>494</v>
      </c>
      <c r="D565" s="137" t="s">
        <v>533</v>
      </c>
      <c r="E565" s="135" t="s">
        <v>1580</v>
      </c>
      <c r="F565" s="243" t="s">
        <v>569</v>
      </c>
      <c r="G565" s="137" t="s">
        <v>477</v>
      </c>
      <c r="H565" s="237">
        <f t="shared" ref="H565" si="36">IF(G565="","",VLOOKUP(G565,mah,2,0))</f>
        <v>5</v>
      </c>
      <c r="I565" s="137">
        <v>1402</v>
      </c>
      <c r="J565" s="137"/>
      <c r="K565" s="139">
        <v>50000000</v>
      </c>
      <c r="L565" s="368"/>
    </row>
    <row r="566" spans="1:12" ht="15.75" customHeight="1">
      <c r="A566" s="194"/>
      <c r="B566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566" s="137" t="s">
        <v>497</v>
      </c>
      <c r="D566" s="432" t="s">
        <v>513</v>
      </c>
      <c r="E566" s="433" t="s">
        <v>1580</v>
      </c>
      <c r="F566" s="243" t="s">
        <v>667</v>
      </c>
      <c r="G566" s="137" t="s">
        <v>477</v>
      </c>
      <c r="H566" s="237">
        <f t="shared" ref="H566" si="37">IF(G566="","",VLOOKUP(G566,mah,2,0))</f>
        <v>5</v>
      </c>
      <c r="I566" s="137">
        <v>1402</v>
      </c>
      <c r="J566" s="137"/>
      <c r="K566" s="139">
        <v>20000000</v>
      </c>
      <c r="L566" s="368"/>
    </row>
    <row r="567" spans="1:12" ht="15.75" customHeight="1">
      <c r="A567" s="194"/>
      <c r="B567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567" s="137" t="s">
        <v>838</v>
      </c>
      <c r="D567" s="442" t="s">
        <v>839</v>
      </c>
      <c r="E567" s="431" t="s">
        <v>1581</v>
      </c>
      <c r="F567" s="243" t="s">
        <v>841</v>
      </c>
      <c r="G567" s="137" t="s">
        <v>479</v>
      </c>
      <c r="H567" s="237">
        <v>6</v>
      </c>
      <c r="I567" s="137">
        <v>1402</v>
      </c>
      <c r="J567" s="137"/>
      <c r="K567" s="139">
        <v>5000000</v>
      </c>
      <c r="L567" s="368"/>
    </row>
    <row r="568" spans="1:12" ht="15.75" customHeight="1">
      <c r="A568" s="194"/>
      <c r="B568" s="235">
        <f>SUMIFS('لیست واریزی کل خیرین'!B:B,'لیست واریزی کل خیرین'!D:D,Table1[[#This Row],[نام]],'لیست واریزی کل خیرین'!E:E,Table1[[#This Row],[نام خانوادگی]])</f>
        <v>75</v>
      </c>
      <c r="C568" s="137" t="s">
        <v>843</v>
      </c>
      <c r="D568" s="432" t="s">
        <v>844</v>
      </c>
      <c r="E568" s="432" t="s">
        <v>1580</v>
      </c>
      <c r="F568" s="243" t="s">
        <v>1601</v>
      </c>
      <c r="G568" s="137" t="s">
        <v>477</v>
      </c>
      <c r="H568" s="237">
        <f t="shared" ref="H568" si="38">IF(G568="","",VLOOKUP(G568,mah,2,0))</f>
        <v>5</v>
      </c>
      <c r="I568" s="137">
        <v>1402</v>
      </c>
      <c r="J568" s="137"/>
      <c r="K568" s="139">
        <v>10000000</v>
      </c>
      <c r="L568" s="368"/>
    </row>
    <row r="569" spans="1:12" ht="15.75" customHeight="1">
      <c r="A569" s="194"/>
      <c r="B569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569" s="137" t="s">
        <v>471</v>
      </c>
      <c r="D569" s="432" t="s">
        <v>472</v>
      </c>
      <c r="E569" s="432" t="s">
        <v>1602</v>
      </c>
      <c r="F569" s="243" t="s">
        <v>1291</v>
      </c>
      <c r="G569" s="137" t="s">
        <v>479</v>
      </c>
      <c r="H569" s="237">
        <v>6</v>
      </c>
      <c r="I569" s="137">
        <v>1402</v>
      </c>
      <c r="J569" s="137"/>
      <c r="K569" s="139">
        <v>2000000</v>
      </c>
      <c r="L569" s="368"/>
    </row>
    <row r="570" spans="1:12" ht="15.75" customHeight="1">
      <c r="A570" s="194"/>
      <c r="B570" s="235">
        <f>SUMIFS('لیست واریزی کل خیرین'!B:B,'لیست واریزی کل خیرین'!D:D,Table1[[#This Row],[نام]],'لیست واریزی کل خیرین'!E:E,Table1[[#This Row],[نام خانوادگی]])</f>
        <v>44</v>
      </c>
      <c r="C570" s="137" t="s">
        <v>635</v>
      </c>
      <c r="D570" s="432" t="s">
        <v>636</v>
      </c>
      <c r="E570" s="432" t="s">
        <v>1603</v>
      </c>
      <c r="F570" s="243" t="s">
        <v>1604</v>
      </c>
      <c r="G570" s="137" t="s">
        <v>479</v>
      </c>
      <c r="H570" s="237">
        <v>6</v>
      </c>
      <c r="I570" s="137">
        <v>1402</v>
      </c>
      <c r="J570" s="137"/>
      <c r="K570" s="139">
        <v>1000000</v>
      </c>
      <c r="L570" s="368"/>
    </row>
    <row r="571" spans="1:12" ht="15.75" customHeight="1">
      <c r="A571" s="194"/>
      <c r="B571" s="235">
        <f>SUMIFS('لیست واریزی کل خیرین'!B:B,'لیست واریزی کل خیرین'!D:D,Table1[[#This Row],[نام]],'لیست واریزی کل خیرین'!E:E,Table1[[#This Row],[نام خانوادگی]])</f>
        <v>107</v>
      </c>
      <c r="C571" s="137" t="s">
        <v>1605</v>
      </c>
      <c r="D571" s="432" t="s">
        <v>1606</v>
      </c>
      <c r="E571" s="432" t="s">
        <v>1603</v>
      </c>
      <c r="F571" s="243" t="s">
        <v>1607</v>
      </c>
      <c r="G571" s="137" t="s">
        <v>479</v>
      </c>
      <c r="H571" s="237">
        <v>6</v>
      </c>
      <c r="I571" s="137">
        <v>1402</v>
      </c>
      <c r="J571" s="137"/>
      <c r="K571" s="139">
        <v>1000000</v>
      </c>
      <c r="L571" s="368"/>
    </row>
    <row r="572" spans="1:12" ht="15.75" customHeight="1">
      <c r="A572" s="194"/>
      <c r="B572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572" s="137" t="s">
        <v>464</v>
      </c>
      <c r="D572" s="152" t="s">
        <v>465</v>
      </c>
      <c r="E572" s="432" t="s">
        <v>1603</v>
      </c>
      <c r="F572" s="243" t="s">
        <v>835</v>
      </c>
      <c r="G572" s="137" t="s">
        <v>477</v>
      </c>
      <c r="H572" s="237">
        <v>5</v>
      </c>
      <c r="I572" s="137">
        <v>1402</v>
      </c>
      <c r="J572" s="137"/>
      <c r="K572" s="139">
        <v>20000000</v>
      </c>
      <c r="L572" s="368"/>
    </row>
    <row r="573" spans="1:12" ht="15.75" customHeight="1">
      <c r="A573" s="194"/>
      <c r="B573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573" s="137" t="s">
        <v>464</v>
      </c>
      <c r="D573" s="152" t="s">
        <v>465</v>
      </c>
      <c r="E573" s="432" t="s">
        <v>1603</v>
      </c>
      <c r="F573" s="243" t="s">
        <v>835</v>
      </c>
      <c r="G573" s="137" t="s">
        <v>463</v>
      </c>
      <c r="H573" s="237">
        <f>IF(G573="","",VLOOKUP(G573,mah,2,0))</f>
        <v>1</v>
      </c>
      <c r="I573" s="137">
        <v>1402</v>
      </c>
      <c r="J573" s="137"/>
      <c r="K573" s="139">
        <v>20000000</v>
      </c>
      <c r="L573" s="368"/>
    </row>
    <row r="574" spans="1:12" ht="15.75" customHeight="1">
      <c r="A574" s="194"/>
      <c r="B574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574" s="137" t="s">
        <v>464</v>
      </c>
      <c r="D574" s="152" t="s">
        <v>465</v>
      </c>
      <c r="E574" s="432" t="s">
        <v>1603</v>
      </c>
      <c r="F574" s="243" t="s">
        <v>835</v>
      </c>
      <c r="G574" s="137" t="s">
        <v>468</v>
      </c>
      <c r="H574" s="237">
        <f>IF(G574="","",VLOOKUP(G574,mah,2,0))</f>
        <v>2</v>
      </c>
      <c r="I574" s="137">
        <v>1402</v>
      </c>
      <c r="J574" s="137"/>
      <c r="K574" s="139">
        <v>20000000</v>
      </c>
      <c r="L574" s="368"/>
    </row>
    <row r="575" spans="1:12" ht="15.75" customHeight="1">
      <c r="A575" s="194"/>
      <c r="B575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575" s="137" t="s">
        <v>464</v>
      </c>
      <c r="D575" s="152" t="s">
        <v>465</v>
      </c>
      <c r="E575" s="432" t="s">
        <v>1603</v>
      </c>
      <c r="F575" s="243" t="s">
        <v>835</v>
      </c>
      <c r="G575" s="137" t="s">
        <v>462</v>
      </c>
      <c r="H575" s="237">
        <f>IF(G575="","",VLOOKUP(G575,mah,2,0))</f>
        <v>3</v>
      </c>
      <c r="I575" s="137">
        <v>1402</v>
      </c>
      <c r="J575" s="137"/>
      <c r="K575" s="139">
        <v>20000000</v>
      </c>
      <c r="L575" s="368"/>
    </row>
    <row r="576" spans="1:12" ht="15.75" customHeight="1">
      <c r="A576" s="194"/>
      <c r="B576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576" s="137" t="s">
        <v>464</v>
      </c>
      <c r="D576" s="152" t="s">
        <v>465</v>
      </c>
      <c r="E576" s="432" t="s">
        <v>1603</v>
      </c>
      <c r="F576" s="243" t="s">
        <v>835</v>
      </c>
      <c r="G576" s="137" t="s">
        <v>474</v>
      </c>
      <c r="H576" s="237">
        <f>IF(G576="","",VLOOKUP(G576,mah,2,0))</f>
        <v>4</v>
      </c>
      <c r="I576" s="137">
        <v>1402</v>
      </c>
      <c r="J576" s="137"/>
      <c r="K576" s="139">
        <v>20000000</v>
      </c>
      <c r="L576" s="368"/>
    </row>
    <row r="577" spans="1:12" ht="15.75" customHeight="1">
      <c r="A577" s="194"/>
      <c r="B577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577" s="432" t="s">
        <v>522</v>
      </c>
      <c r="D577" s="432" t="s">
        <v>523</v>
      </c>
      <c r="E577" s="432" t="s">
        <v>1581</v>
      </c>
      <c r="F577" s="243" t="s">
        <v>1615</v>
      </c>
      <c r="G577" s="137" t="s">
        <v>479</v>
      </c>
      <c r="H577" s="237">
        <v>6</v>
      </c>
      <c r="I577" s="137">
        <v>1402</v>
      </c>
      <c r="J577" s="137"/>
      <c r="K577" s="139">
        <v>84481</v>
      </c>
      <c r="L577" s="368"/>
    </row>
    <row r="578" spans="1:12" ht="15.75" customHeight="1">
      <c r="A578" s="194"/>
      <c r="B578" s="235">
        <f>SUMIFS('لیست واریزی کل خیرین'!B:B,'لیست واریزی کل خیرین'!D:D,Table1[[#This Row],[نام]],'لیست واریزی کل خیرین'!E:E,Table1[[#This Row],[نام خانوادگی]])</f>
        <v>11</v>
      </c>
      <c r="C578" s="137" t="s">
        <v>494</v>
      </c>
      <c r="D578" s="137" t="s">
        <v>495</v>
      </c>
      <c r="E578" s="432" t="s">
        <v>1618</v>
      </c>
      <c r="F578" s="243">
        <v>6063731028949880</v>
      </c>
      <c r="G578" s="137" t="s">
        <v>479</v>
      </c>
      <c r="H578" s="237">
        <f t="shared" ref="H578:H611" si="39">IF(G578="","",VLOOKUP(G578,mah,2,0))</f>
        <v>6</v>
      </c>
      <c r="I578" s="137">
        <v>1402</v>
      </c>
      <c r="J578" s="137"/>
      <c r="K578" s="139">
        <v>50000000</v>
      </c>
      <c r="L578" s="368"/>
    </row>
    <row r="579" spans="1:12" ht="15.75" customHeight="1">
      <c r="A579" s="194"/>
      <c r="B579" s="235">
        <f>SUMIFS('لیست واریزی کل خیرین'!B:B,'لیست واریزی کل خیرین'!D:D,Table1[[#This Row],[نام]],'لیست واریزی کل خیرین'!E:E,Table1[[#This Row],[نام خانوادگی]])</f>
        <v>108</v>
      </c>
      <c r="C579" s="375" t="s">
        <v>1620</v>
      </c>
      <c r="D579" s="375" t="s">
        <v>1621</v>
      </c>
      <c r="E579" s="432" t="s">
        <v>1619</v>
      </c>
      <c r="F579" s="243" t="s">
        <v>835</v>
      </c>
      <c r="G579" s="236" t="s">
        <v>479</v>
      </c>
      <c r="H579" s="237">
        <f t="shared" si="39"/>
        <v>6</v>
      </c>
      <c r="I579" s="236">
        <v>1402</v>
      </c>
      <c r="J579" s="236"/>
      <c r="K579" s="139">
        <v>200000000</v>
      </c>
      <c r="L579" s="368"/>
    </row>
    <row r="580" spans="1:12" ht="15.75" customHeight="1">
      <c r="A580" s="194"/>
      <c r="B580" s="235">
        <f>SUMIFS('لیست واریزی کل خیرین'!B:B,'لیست واریزی کل خیرین'!D:D,Table1[[#This Row],[نام]],'لیست واریزی کل خیرین'!E:E,Table1[[#This Row],[نام خانوادگی]])</f>
        <v>109</v>
      </c>
      <c r="C580" s="358" t="s">
        <v>1624</v>
      </c>
      <c r="D580" s="358" t="s">
        <v>1623</v>
      </c>
      <c r="E580" s="432" t="s">
        <v>1622</v>
      </c>
      <c r="F580" s="243">
        <v>5859831099450680</v>
      </c>
      <c r="G580" s="236" t="s">
        <v>479</v>
      </c>
      <c r="H580" s="237">
        <f t="shared" si="39"/>
        <v>6</v>
      </c>
      <c r="I580" s="236">
        <v>1402</v>
      </c>
      <c r="J580" s="236"/>
      <c r="K580" s="139">
        <v>5000000</v>
      </c>
      <c r="L580" s="368"/>
    </row>
    <row r="581" spans="1:12" ht="15.75" customHeight="1">
      <c r="A581" s="194"/>
      <c r="B581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581" s="358" t="s">
        <v>483</v>
      </c>
      <c r="D581" s="358" t="s">
        <v>484</v>
      </c>
      <c r="E581" s="432" t="s">
        <v>1625</v>
      </c>
      <c r="F581" s="243">
        <v>6104337604787130</v>
      </c>
      <c r="G581" s="236" t="s">
        <v>477</v>
      </c>
      <c r="H581" s="237">
        <f t="shared" si="39"/>
        <v>5</v>
      </c>
      <c r="I581" s="236">
        <v>1402</v>
      </c>
      <c r="J581" s="236"/>
      <c r="K581" s="139">
        <v>5000000</v>
      </c>
      <c r="L581" s="368"/>
    </row>
    <row r="582" spans="1:12" ht="15.75" customHeight="1">
      <c r="A582" s="194"/>
      <c r="B582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582" s="358" t="s">
        <v>483</v>
      </c>
      <c r="D582" s="358" t="s">
        <v>484</v>
      </c>
      <c r="E582" s="432" t="s">
        <v>1625</v>
      </c>
      <c r="F582" s="243">
        <v>6104337604787130</v>
      </c>
      <c r="G582" s="236" t="s">
        <v>479</v>
      </c>
      <c r="H582" s="237">
        <f t="shared" si="39"/>
        <v>6</v>
      </c>
      <c r="I582" s="236">
        <v>1402</v>
      </c>
      <c r="J582" s="236"/>
      <c r="K582" s="139">
        <v>5000000</v>
      </c>
      <c r="L582" s="368"/>
    </row>
    <row r="583" spans="1:12" ht="15.75" customHeight="1">
      <c r="A583" s="194"/>
      <c r="B583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583" s="137" t="s">
        <v>497</v>
      </c>
      <c r="D583" s="358" t="s">
        <v>498</v>
      </c>
      <c r="E583" s="432" t="s">
        <v>1625</v>
      </c>
      <c r="F583" s="243">
        <v>6037997136517730</v>
      </c>
      <c r="G583" s="236" t="s">
        <v>485</v>
      </c>
      <c r="H583" s="237">
        <f t="shared" si="39"/>
        <v>8</v>
      </c>
      <c r="I583" s="236">
        <v>1402</v>
      </c>
      <c r="J583" s="236"/>
      <c r="K583" s="139">
        <v>10000000</v>
      </c>
      <c r="L583" s="368" t="s">
        <v>2007</v>
      </c>
    </row>
    <row r="584" spans="1:12" ht="15.75" customHeight="1">
      <c r="A584" s="194"/>
      <c r="B584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584" s="137" t="s">
        <v>497</v>
      </c>
      <c r="D584" s="358" t="s">
        <v>498</v>
      </c>
      <c r="E584" s="432" t="s">
        <v>1625</v>
      </c>
      <c r="F584" s="243">
        <v>6037997136517730</v>
      </c>
      <c r="G584" s="236" t="s">
        <v>488</v>
      </c>
      <c r="H584" s="237">
        <f>IF(G584="","",VLOOKUP(G584,mah,2,0))</f>
        <v>9</v>
      </c>
      <c r="I584" s="236">
        <v>1402</v>
      </c>
      <c r="J584" s="236"/>
      <c r="K584" s="139">
        <v>10000000</v>
      </c>
      <c r="L584" s="368" t="s">
        <v>2007</v>
      </c>
    </row>
    <row r="585" spans="1:12" ht="15.75" customHeight="1">
      <c r="A585" s="194"/>
      <c r="B585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585" s="137" t="s">
        <v>497</v>
      </c>
      <c r="D585" s="358" t="s">
        <v>498</v>
      </c>
      <c r="E585" s="432" t="s">
        <v>1625</v>
      </c>
      <c r="F585" s="243">
        <v>6037997136517730</v>
      </c>
      <c r="G585" s="236" t="s">
        <v>493</v>
      </c>
      <c r="H585" s="237">
        <f>IF(G585="","",VLOOKUP(G585,mah,2,0))</f>
        <v>10</v>
      </c>
      <c r="I585" s="236">
        <v>1402</v>
      </c>
      <c r="J585" s="236"/>
      <c r="K585" s="139">
        <v>10000000</v>
      </c>
      <c r="L585" s="368" t="s">
        <v>2007</v>
      </c>
    </row>
    <row r="586" spans="1:12" ht="15.75" customHeight="1">
      <c r="A586" s="194"/>
      <c r="B586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586" s="358" t="s">
        <v>486</v>
      </c>
      <c r="D586" s="358" t="s">
        <v>487</v>
      </c>
      <c r="E586" s="432" t="s">
        <v>1626</v>
      </c>
      <c r="F586" s="243" t="s">
        <v>595</v>
      </c>
      <c r="G586" s="236" t="s">
        <v>479</v>
      </c>
      <c r="H586" s="237">
        <f t="shared" si="39"/>
        <v>6</v>
      </c>
      <c r="I586" s="236">
        <v>1402</v>
      </c>
      <c r="J586" s="236"/>
      <c r="K586" s="139">
        <v>20000000</v>
      </c>
      <c r="L586" s="368"/>
    </row>
    <row r="587" spans="1:12" ht="15.75" customHeight="1">
      <c r="A587" s="194"/>
      <c r="B587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587" s="358" t="s">
        <v>489</v>
      </c>
      <c r="D587" s="358" t="s">
        <v>490</v>
      </c>
      <c r="E587" s="432" t="s">
        <v>1627</v>
      </c>
      <c r="F587" s="243" t="s">
        <v>835</v>
      </c>
      <c r="G587" s="236" t="s">
        <v>479</v>
      </c>
      <c r="H587" s="237">
        <f t="shared" si="39"/>
        <v>6</v>
      </c>
      <c r="I587" s="236">
        <v>1402</v>
      </c>
      <c r="J587" s="236"/>
      <c r="K587" s="139">
        <v>100000000</v>
      </c>
      <c r="L587" s="368"/>
    </row>
    <row r="588" spans="1:12" ht="15.75" customHeight="1">
      <c r="A588" s="194"/>
      <c r="B588" s="235">
        <f>SUMIFS('لیست واریزی کل خیرین'!B:B,'لیست واریزی کل خیرین'!D:D,Table1[[#This Row],[نام]],'لیست واریزی کل خیرین'!E:E,Table1[[#This Row],[نام خانوادگی]])</f>
        <v>110</v>
      </c>
      <c r="C588" s="375" t="s">
        <v>1628</v>
      </c>
      <c r="D588" s="375" t="s">
        <v>1629</v>
      </c>
      <c r="E588" s="432" t="s">
        <v>1630</v>
      </c>
      <c r="F588" s="243" t="s">
        <v>1631</v>
      </c>
      <c r="G588" s="236" t="s">
        <v>479</v>
      </c>
      <c r="H588" s="237">
        <f t="shared" si="39"/>
        <v>6</v>
      </c>
      <c r="I588" s="236">
        <v>1402</v>
      </c>
      <c r="J588" s="236"/>
      <c r="K588" s="139">
        <v>1000000</v>
      </c>
      <c r="L588" s="368"/>
    </row>
    <row r="589" spans="1:12" ht="15.75" customHeight="1">
      <c r="A589" s="194"/>
      <c r="B589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589" s="358" t="s">
        <v>486</v>
      </c>
      <c r="D589" s="358" t="s">
        <v>487</v>
      </c>
      <c r="E589" s="432" t="s">
        <v>1632</v>
      </c>
      <c r="F589" s="243" t="s">
        <v>595</v>
      </c>
      <c r="G589" s="236" t="s">
        <v>479</v>
      </c>
      <c r="H589" s="237">
        <f t="shared" si="39"/>
        <v>6</v>
      </c>
      <c r="I589" s="236">
        <v>1402</v>
      </c>
      <c r="J589" s="236"/>
      <c r="K589" s="139">
        <v>6000000</v>
      </c>
      <c r="L589" s="368"/>
    </row>
    <row r="590" spans="1:12" ht="15.75" customHeight="1">
      <c r="A590" s="194"/>
      <c r="B590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590" s="137" t="s">
        <v>596</v>
      </c>
      <c r="D590" s="137" t="s">
        <v>597</v>
      </c>
      <c r="E590" s="432" t="s">
        <v>1633</v>
      </c>
      <c r="F590" s="243" t="s">
        <v>598</v>
      </c>
      <c r="G590" s="236" t="s">
        <v>479</v>
      </c>
      <c r="H590" s="237">
        <f t="shared" si="39"/>
        <v>6</v>
      </c>
      <c r="I590" s="236">
        <v>1402</v>
      </c>
      <c r="J590" s="236"/>
      <c r="K590" s="139">
        <v>4000000</v>
      </c>
      <c r="L590" s="368"/>
    </row>
    <row r="591" spans="1:12" ht="15.75" customHeight="1">
      <c r="A591" s="194"/>
      <c r="B591" s="235">
        <f>SUMIFS('لیست واریزی کل خیرین'!B:B,'لیست واریزی کل خیرین'!D:D,Table1[[#This Row],[نام]],'لیست واریزی کل خیرین'!E:E,Table1[[#This Row],[نام خانوادگی]])</f>
        <v>55</v>
      </c>
      <c r="C591" s="137" t="s">
        <v>549</v>
      </c>
      <c r="D591" s="137" t="s">
        <v>1293</v>
      </c>
      <c r="E591" s="432" t="s">
        <v>1634</v>
      </c>
      <c r="F591" s="243" t="s">
        <v>1294</v>
      </c>
      <c r="G591" s="236" t="s">
        <v>479</v>
      </c>
      <c r="H591" s="237">
        <f t="shared" si="39"/>
        <v>6</v>
      </c>
      <c r="I591" s="236">
        <v>1402</v>
      </c>
      <c r="J591" s="236"/>
      <c r="K591" s="139">
        <v>5000000</v>
      </c>
      <c r="L591" s="368"/>
    </row>
    <row r="592" spans="1:12" ht="15.75" customHeight="1">
      <c r="A592" s="194"/>
      <c r="B592" s="235">
        <f>SUMIFS('لیست واریزی کل خیرین'!B:B,'لیست واریزی کل خیرین'!D:D,Table1[[#This Row],[نام]],'لیست واریزی کل خیرین'!E:E,Table1[[#This Row],[نام خانوادگی]])</f>
        <v>111</v>
      </c>
      <c r="C592" s="375" t="s">
        <v>1635</v>
      </c>
      <c r="D592" s="375" t="s">
        <v>1636</v>
      </c>
      <c r="E592" s="432" t="s">
        <v>1637</v>
      </c>
      <c r="F592" s="243" t="s">
        <v>1638</v>
      </c>
      <c r="G592" s="236" t="s">
        <v>479</v>
      </c>
      <c r="H592" s="237">
        <f t="shared" si="39"/>
        <v>6</v>
      </c>
      <c r="I592" s="236">
        <v>1402</v>
      </c>
      <c r="J592" s="236"/>
      <c r="K592" s="139">
        <v>10000000</v>
      </c>
      <c r="L592" s="368"/>
    </row>
    <row r="593" spans="1:12" ht="15.75" customHeight="1">
      <c r="A593" s="194"/>
      <c r="B593" s="235">
        <f>SUMIFS('لیست واریزی کل خیرین'!B:B,'لیست واریزی کل خیرین'!D:D,Table1[[#This Row],[نام]],'لیست واریزی کل خیرین'!E:E,Table1[[#This Row],[نام خانوادگی]])</f>
        <v>112</v>
      </c>
      <c r="C593" s="375" t="s">
        <v>1639</v>
      </c>
      <c r="D593" s="375" t="s">
        <v>1640</v>
      </c>
      <c r="E593" s="432" t="s">
        <v>1637</v>
      </c>
      <c r="F593" s="243" t="s">
        <v>1641</v>
      </c>
      <c r="G593" s="236" t="s">
        <v>479</v>
      </c>
      <c r="H593" s="237">
        <f t="shared" si="39"/>
        <v>6</v>
      </c>
      <c r="I593" s="236">
        <v>1402</v>
      </c>
      <c r="J593" s="236"/>
      <c r="K593" s="139">
        <v>3000000</v>
      </c>
      <c r="L593" s="368"/>
    </row>
    <row r="594" spans="1:12" ht="15.75" customHeight="1">
      <c r="A594" s="194"/>
      <c r="B594" s="235">
        <f>SUMIFS('لیست واریزی کل خیرین'!B:B,'لیست واریزی کل خیرین'!D:D,Table1[[#This Row],[نام]],'لیست واریزی کل خیرین'!E:E,Table1[[#This Row],[نام خانوادگی]])</f>
        <v>113</v>
      </c>
      <c r="C594" s="375" t="s">
        <v>207</v>
      </c>
      <c r="D594" s="375" t="s">
        <v>1642</v>
      </c>
      <c r="E594" s="432" t="s">
        <v>1637</v>
      </c>
      <c r="F594" s="243" t="s">
        <v>1643</v>
      </c>
      <c r="G594" s="236" t="s">
        <v>479</v>
      </c>
      <c r="H594" s="237">
        <f t="shared" si="39"/>
        <v>6</v>
      </c>
      <c r="I594" s="236">
        <v>1402</v>
      </c>
      <c r="J594" s="236"/>
      <c r="K594" s="139">
        <v>10000000</v>
      </c>
      <c r="L594" s="368"/>
    </row>
    <row r="595" spans="1:12" ht="15.75" customHeight="1">
      <c r="A595" s="194"/>
      <c r="B595" s="235">
        <f>SUMIFS('لیست واریزی کل خیرین'!B:B,'لیست واریزی کل خیرین'!D:D,Table1[[#This Row],[نام]],'لیست واریزی کل خیرین'!E:E,Table1[[#This Row],[نام خانوادگی]])</f>
        <v>114</v>
      </c>
      <c r="C595" s="358" t="s">
        <v>1644</v>
      </c>
      <c r="D595" s="358" t="s">
        <v>1645</v>
      </c>
      <c r="E595" s="432" t="s">
        <v>1637</v>
      </c>
      <c r="F595" s="243" t="s">
        <v>1646</v>
      </c>
      <c r="G595" s="236" t="s">
        <v>479</v>
      </c>
      <c r="H595" s="237">
        <f t="shared" si="39"/>
        <v>6</v>
      </c>
      <c r="I595" s="236">
        <v>1402</v>
      </c>
      <c r="J595" s="236"/>
      <c r="K595" s="139">
        <v>5000000</v>
      </c>
      <c r="L595" s="368"/>
    </row>
    <row r="596" spans="1:12" ht="15.75" customHeight="1">
      <c r="A596" s="194"/>
      <c r="B596" s="235">
        <f>SUMIFS('لیست واریزی کل خیرین'!B:B,'لیست واریزی کل خیرین'!D:D,Table1[[#This Row],[نام]],'لیست واریزی کل خیرین'!E:E,Table1[[#This Row],[نام خانوادگی]])</f>
        <v>115</v>
      </c>
      <c r="C596" s="375" t="s">
        <v>1647</v>
      </c>
      <c r="D596" s="375" t="s">
        <v>1648</v>
      </c>
      <c r="E596" s="432" t="s">
        <v>1637</v>
      </c>
      <c r="F596" s="243" t="s">
        <v>1649</v>
      </c>
      <c r="G596" s="236" t="s">
        <v>479</v>
      </c>
      <c r="H596" s="237">
        <f t="shared" si="39"/>
        <v>6</v>
      </c>
      <c r="I596" s="236">
        <v>1402</v>
      </c>
      <c r="J596" s="236"/>
      <c r="K596" s="139">
        <v>500000</v>
      </c>
      <c r="L596" s="368"/>
    </row>
    <row r="597" spans="1:12" ht="15.75" customHeight="1">
      <c r="A597" s="194"/>
      <c r="B597" s="235">
        <f>SUMIFS('لیست واریزی کل خیرین'!B:B,'لیست واریزی کل خیرین'!D:D,Table1[[#This Row],[نام]],'لیست واریزی کل خیرین'!E:E,Table1[[#This Row],[نام خانوادگی]])</f>
        <v>116</v>
      </c>
      <c r="C597" s="375" t="s">
        <v>997</v>
      </c>
      <c r="D597" s="375" t="s">
        <v>1650</v>
      </c>
      <c r="E597" s="432" t="s">
        <v>1637</v>
      </c>
      <c r="F597" s="243" t="s">
        <v>1651</v>
      </c>
      <c r="G597" s="236" t="s">
        <v>479</v>
      </c>
      <c r="H597" s="237">
        <f t="shared" si="39"/>
        <v>6</v>
      </c>
      <c r="I597" s="236">
        <v>1402</v>
      </c>
      <c r="J597" s="236"/>
      <c r="K597" s="139">
        <v>10000000</v>
      </c>
      <c r="L597" s="368"/>
    </row>
    <row r="598" spans="1:12" ht="15.75" customHeight="1">
      <c r="A598" s="194"/>
      <c r="B598" s="235">
        <f>SUMIFS('لیست واریزی کل خیرین'!B:B,'لیست واریزی کل خیرین'!D:D,Table1[[#This Row],[نام]],'لیست واریزی کل خیرین'!E:E,Table1[[#This Row],[نام خانوادگی]])</f>
        <v>117</v>
      </c>
      <c r="C598" s="375" t="s">
        <v>1653</v>
      </c>
      <c r="D598" s="375" t="s">
        <v>1652</v>
      </c>
      <c r="E598" s="432" t="s">
        <v>1637</v>
      </c>
      <c r="F598" s="243" t="s">
        <v>1654</v>
      </c>
      <c r="G598" s="236" t="s">
        <v>479</v>
      </c>
      <c r="H598" s="237">
        <f t="shared" si="39"/>
        <v>6</v>
      </c>
      <c r="I598" s="236">
        <v>1402</v>
      </c>
      <c r="J598" s="236"/>
      <c r="K598" s="139">
        <v>500000</v>
      </c>
      <c r="L598" s="368"/>
    </row>
    <row r="599" spans="1:12" ht="15.75" customHeight="1">
      <c r="A599" s="194"/>
      <c r="B599" s="235">
        <f>SUMIFS('لیست واریزی کل خیرین'!B:B,'لیست واریزی کل خیرین'!D:D,Table1[[#This Row],[نام]],'لیست واریزی کل خیرین'!E:E,Table1[[#This Row],[نام خانوادگی]])</f>
        <v>118</v>
      </c>
      <c r="C599" s="375" t="s">
        <v>1655</v>
      </c>
      <c r="D599" s="375" t="s">
        <v>1656</v>
      </c>
      <c r="E599" s="432" t="s">
        <v>1637</v>
      </c>
      <c r="F599" s="243" t="s">
        <v>1657</v>
      </c>
      <c r="G599" s="236" t="s">
        <v>479</v>
      </c>
      <c r="H599" s="237">
        <f t="shared" si="39"/>
        <v>6</v>
      </c>
      <c r="I599" s="236">
        <v>1402</v>
      </c>
      <c r="J599" s="236"/>
      <c r="K599" s="139">
        <v>500000</v>
      </c>
      <c r="L599" s="368"/>
    </row>
    <row r="600" spans="1:12" ht="15.75" customHeight="1">
      <c r="A600" s="194"/>
      <c r="B600" s="235">
        <f>SUMIFS('لیست واریزی کل خیرین'!B:B,'لیست واریزی کل خیرین'!D:D,Table1[[#This Row],[نام]],'لیست واریزی کل خیرین'!E:E,Table1[[#This Row],[نام خانوادگی]])</f>
        <v>99</v>
      </c>
      <c r="C600" s="375" t="s">
        <v>1335</v>
      </c>
      <c r="D600" s="375" t="s">
        <v>1412</v>
      </c>
      <c r="E600" s="432" t="s">
        <v>1658</v>
      </c>
      <c r="F600" s="243" t="s">
        <v>1411</v>
      </c>
      <c r="G600" s="236" t="s">
        <v>479</v>
      </c>
      <c r="H600" s="237">
        <f t="shared" si="39"/>
        <v>6</v>
      </c>
      <c r="I600" s="236">
        <v>1402</v>
      </c>
      <c r="J600" s="236"/>
      <c r="K600" s="139">
        <v>5000000</v>
      </c>
      <c r="L600" s="368"/>
    </row>
    <row r="601" spans="1:12" ht="15.75" customHeight="1">
      <c r="A601" s="194"/>
      <c r="B601" s="235">
        <f>SUMIFS('لیست واریزی کل خیرین'!B:B,'لیست واریزی کل خیرین'!D:D,Table1[[#This Row],[نام]],'لیست واریزی کل خیرین'!E:E,Table1[[#This Row],[نام خانوادگی]])</f>
        <v>119</v>
      </c>
      <c r="C601" s="375" t="s">
        <v>1416</v>
      </c>
      <c r="D601" s="375" t="s">
        <v>1659</v>
      </c>
      <c r="E601" s="432" t="s">
        <v>1658</v>
      </c>
      <c r="F601" s="243" t="s">
        <v>1660</v>
      </c>
      <c r="G601" s="236" t="s">
        <v>479</v>
      </c>
      <c r="H601" s="237">
        <f t="shared" si="39"/>
        <v>6</v>
      </c>
      <c r="I601" s="236">
        <v>1402</v>
      </c>
      <c r="J601" s="236"/>
      <c r="K601" s="139">
        <v>500000</v>
      </c>
      <c r="L601" s="368"/>
    </row>
    <row r="602" spans="1:12" ht="15.75" customHeight="1">
      <c r="A602" s="194"/>
      <c r="B602" s="235">
        <f>SUMIFS('لیست واریزی کل خیرین'!B:B,'لیست واریزی کل خیرین'!D:D,Table1[[#This Row],[نام]],'لیست واریزی کل خیرین'!E:E,Table1[[#This Row],[نام خانوادگی]])</f>
        <v>122</v>
      </c>
      <c r="C602" s="375" t="s">
        <v>671</v>
      </c>
      <c r="D602" s="375" t="s">
        <v>1735</v>
      </c>
      <c r="E602" s="432" t="s">
        <v>1661</v>
      </c>
      <c r="F602" s="243" t="s">
        <v>835</v>
      </c>
      <c r="G602" s="236" t="s">
        <v>479</v>
      </c>
      <c r="H602" s="237">
        <f t="shared" si="39"/>
        <v>6</v>
      </c>
      <c r="I602" s="236">
        <v>1402</v>
      </c>
      <c r="J602" s="236"/>
      <c r="K602" s="139">
        <v>92500000</v>
      </c>
      <c r="L602" s="368"/>
    </row>
    <row r="603" spans="1:12" ht="15.75" customHeight="1">
      <c r="A603" s="194"/>
      <c r="B603" s="235">
        <f>SUMIFS('لیست واریزی کل خیرین'!B:B,'لیست واریزی کل خیرین'!D:D,Table1[[#This Row],[نام]],'لیست واریزی کل خیرین'!E:E,Table1[[#This Row],[نام خانوادگی]])</f>
        <v>103</v>
      </c>
      <c r="C603" s="375" t="s">
        <v>1541</v>
      </c>
      <c r="D603" s="375" t="s">
        <v>1542</v>
      </c>
      <c r="E603" s="432" t="s">
        <v>1661</v>
      </c>
      <c r="F603" s="243" t="s">
        <v>1543</v>
      </c>
      <c r="G603" s="236" t="s">
        <v>479</v>
      </c>
      <c r="H603" s="237">
        <f t="shared" si="39"/>
        <v>6</v>
      </c>
      <c r="I603" s="236">
        <v>1402</v>
      </c>
      <c r="J603" s="236"/>
      <c r="K603" s="139">
        <v>5000000</v>
      </c>
      <c r="L603" s="368"/>
    </row>
    <row r="604" spans="1:12" ht="15.75" customHeight="1">
      <c r="A604" s="194"/>
      <c r="B604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604" s="137" t="s">
        <v>480</v>
      </c>
      <c r="D604" s="137" t="s">
        <v>481</v>
      </c>
      <c r="E604" s="432" t="s">
        <v>1662</v>
      </c>
      <c r="F604" s="243" t="s">
        <v>881</v>
      </c>
      <c r="G604" s="236" t="s">
        <v>479</v>
      </c>
      <c r="H604" s="237">
        <f t="shared" si="39"/>
        <v>6</v>
      </c>
      <c r="I604" s="236">
        <v>1402</v>
      </c>
      <c r="J604" s="236"/>
      <c r="K604" s="238">
        <v>50000000</v>
      </c>
      <c r="L604" s="368"/>
    </row>
    <row r="605" spans="1:12" ht="15.75" customHeight="1">
      <c r="A605" s="194"/>
      <c r="B605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605" s="137" t="s">
        <v>497</v>
      </c>
      <c r="D605" s="137" t="s">
        <v>513</v>
      </c>
      <c r="E605" s="432" t="s">
        <v>1662</v>
      </c>
      <c r="F605" s="243" t="s">
        <v>667</v>
      </c>
      <c r="G605" s="236" t="s">
        <v>479</v>
      </c>
      <c r="H605" s="237">
        <f t="shared" si="39"/>
        <v>6</v>
      </c>
      <c r="I605" s="236">
        <v>1402</v>
      </c>
      <c r="J605" s="236"/>
      <c r="K605" s="238">
        <v>10000000</v>
      </c>
      <c r="L605" s="368"/>
    </row>
    <row r="606" spans="1:12" ht="15.75" customHeight="1">
      <c r="A606" s="194"/>
      <c r="B606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606" s="137" t="s">
        <v>497</v>
      </c>
      <c r="D606" s="137" t="s">
        <v>513</v>
      </c>
      <c r="E606" s="432" t="s">
        <v>1662</v>
      </c>
      <c r="F606" s="243" t="s">
        <v>1663</v>
      </c>
      <c r="G606" s="236" t="s">
        <v>479</v>
      </c>
      <c r="H606" s="237">
        <f t="shared" si="39"/>
        <v>6</v>
      </c>
      <c r="I606" s="236">
        <v>1402</v>
      </c>
      <c r="J606" s="236"/>
      <c r="K606" s="238">
        <v>20000000</v>
      </c>
      <c r="L606" s="368"/>
    </row>
    <row r="607" spans="1:12" ht="15.75" customHeight="1">
      <c r="A607" s="194"/>
      <c r="B607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607" s="137" t="s">
        <v>494</v>
      </c>
      <c r="D607" s="137" t="s">
        <v>511</v>
      </c>
      <c r="E607" s="432" t="s">
        <v>1664</v>
      </c>
      <c r="F607" s="243" t="s">
        <v>835</v>
      </c>
      <c r="G607" s="236" t="s">
        <v>479</v>
      </c>
      <c r="H607" s="237">
        <f t="shared" si="39"/>
        <v>6</v>
      </c>
      <c r="I607" s="236">
        <v>1402</v>
      </c>
      <c r="J607" s="236"/>
      <c r="K607" s="238">
        <v>50000000</v>
      </c>
      <c r="L607" s="429" t="s">
        <v>1835</v>
      </c>
    </row>
    <row r="608" spans="1:12" ht="15.75" customHeight="1">
      <c r="A608" s="194"/>
      <c r="B608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608" s="137" t="s">
        <v>494</v>
      </c>
      <c r="D608" s="137" t="s">
        <v>511</v>
      </c>
      <c r="E608" s="432" t="s">
        <v>1664</v>
      </c>
      <c r="F608" s="243" t="s">
        <v>835</v>
      </c>
      <c r="G608" s="236" t="s">
        <v>482</v>
      </c>
      <c r="H608" s="237">
        <f>IF(G608="","",VLOOKUP(G608,mah,2,0))</f>
        <v>7</v>
      </c>
      <c r="I608" s="236">
        <v>1402</v>
      </c>
      <c r="J608" s="236"/>
      <c r="K608" s="238">
        <v>50000000</v>
      </c>
      <c r="L608" s="429" t="s">
        <v>1835</v>
      </c>
    </row>
    <row r="609" spans="1:12" ht="27.75" customHeight="1">
      <c r="A609" s="194"/>
      <c r="B609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609" s="358" t="s">
        <v>202</v>
      </c>
      <c r="D609" s="358" t="s">
        <v>502</v>
      </c>
      <c r="E609" s="432" t="s">
        <v>1664</v>
      </c>
      <c r="F609" s="243" t="s">
        <v>701</v>
      </c>
      <c r="G609" s="236" t="s">
        <v>477</v>
      </c>
      <c r="H609" s="237">
        <f t="shared" si="39"/>
        <v>5</v>
      </c>
      <c r="I609" s="236">
        <v>1402</v>
      </c>
      <c r="J609" s="236"/>
      <c r="K609" s="238">
        <v>10000000</v>
      </c>
      <c r="L609" s="429" t="s">
        <v>1686</v>
      </c>
    </row>
    <row r="610" spans="1:12" ht="27" customHeight="1">
      <c r="A610" s="194"/>
      <c r="B610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610" s="358" t="s">
        <v>202</v>
      </c>
      <c r="D610" s="358" t="s">
        <v>502</v>
      </c>
      <c r="E610" s="432" t="s">
        <v>1664</v>
      </c>
      <c r="F610" s="243" t="s">
        <v>701</v>
      </c>
      <c r="G610" s="236" t="s">
        <v>479</v>
      </c>
      <c r="H610" s="237">
        <f t="shared" ref="H610" si="40">IF(G610="","",VLOOKUP(G610,mah,2,0))</f>
        <v>6</v>
      </c>
      <c r="I610" s="236">
        <v>1402</v>
      </c>
      <c r="J610" s="236"/>
      <c r="K610" s="238">
        <v>10000000</v>
      </c>
      <c r="L610" s="429" t="s">
        <v>1686</v>
      </c>
    </row>
    <row r="611" spans="1:12" ht="15.75" customHeight="1">
      <c r="A611" s="194"/>
      <c r="B611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611" s="358" t="s">
        <v>518</v>
      </c>
      <c r="D611" s="358" t="s">
        <v>519</v>
      </c>
      <c r="E611" s="432" t="s">
        <v>1664</v>
      </c>
      <c r="F611" s="243" t="s">
        <v>611</v>
      </c>
      <c r="G611" s="236" t="s">
        <v>479</v>
      </c>
      <c r="H611" s="237">
        <f t="shared" si="39"/>
        <v>6</v>
      </c>
      <c r="I611" s="236">
        <v>1402</v>
      </c>
      <c r="J611" s="236"/>
      <c r="K611" s="238">
        <v>2000000</v>
      </c>
      <c r="L611" s="429" t="s">
        <v>1687</v>
      </c>
    </row>
    <row r="612" spans="1:12" ht="15.75" customHeight="1">
      <c r="A612" s="194"/>
      <c r="B612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612" s="358" t="s">
        <v>518</v>
      </c>
      <c r="D612" s="358" t="s">
        <v>519</v>
      </c>
      <c r="E612" s="432" t="s">
        <v>1664</v>
      </c>
      <c r="F612" s="243" t="s">
        <v>611</v>
      </c>
      <c r="G612" s="236" t="s">
        <v>474</v>
      </c>
      <c r="H612" s="237">
        <f>IF(G612="","",VLOOKUP(G612,mah,2,0))</f>
        <v>4</v>
      </c>
      <c r="I612" s="236">
        <v>1402</v>
      </c>
      <c r="J612" s="236"/>
      <c r="K612" s="238">
        <v>2000000</v>
      </c>
      <c r="L612" s="429" t="s">
        <v>1687</v>
      </c>
    </row>
    <row r="613" spans="1:12" ht="15.75" customHeight="1">
      <c r="A613" s="194"/>
      <c r="B613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613" s="358" t="s">
        <v>518</v>
      </c>
      <c r="D613" s="358" t="s">
        <v>519</v>
      </c>
      <c r="E613" s="432" t="s">
        <v>1664</v>
      </c>
      <c r="F613" s="243" t="s">
        <v>611</v>
      </c>
      <c r="G613" s="236" t="s">
        <v>477</v>
      </c>
      <c r="H613" s="237">
        <f>IF(G613="","",VLOOKUP(G613,mah,2,0))</f>
        <v>5</v>
      </c>
      <c r="I613" s="236">
        <v>1402</v>
      </c>
      <c r="J613" s="236"/>
      <c r="K613" s="238">
        <v>2000000</v>
      </c>
      <c r="L613" s="429" t="s">
        <v>1687</v>
      </c>
    </row>
    <row r="614" spans="1:12" ht="15.75" customHeight="1">
      <c r="A614" s="194"/>
      <c r="B614" s="235">
        <f>SUMIFS('لیست واریزی کل خیرین'!B:B,'لیست واریزی کل خیرین'!D:D,Table1[[#This Row],[نام]],'لیست واریزی کل خیرین'!E:E,Table1[[#This Row],[نام خانوادگی]])</f>
        <v>120</v>
      </c>
      <c r="C614" s="375" t="s">
        <v>1667</v>
      </c>
      <c r="D614" s="375" t="s">
        <v>1668</v>
      </c>
      <c r="E614" s="432" t="s">
        <v>1665</v>
      </c>
      <c r="F614" s="243" t="s">
        <v>1666</v>
      </c>
      <c r="G614" s="236" t="s">
        <v>482</v>
      </c>
      <c r="H614" s="237">
        <f t="shared" ref="H614:H649" si="41">IF(G614="","",VLOOKUP(G614,mah,2,0))</f>
        <v>7</v>
      </c>
      <c r="I614" s="236">
        <v>1402</v>
      </c>
      <c r="J614" s="236"/>
      <c r="K614" s="238">
        <v>2000000</v>
      </c>
      <c r="L614" s="368"/>
    </row>
    <row r="615" spans="1:12" ht="15.75" customHeight="1">
      <c r="A615" s="194"/>
      <c r="B615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615" s="358" t="s">
        <v>489</v>
      </c>
      <c r="D615" s="358" t="s">
        <v>490</v>
      </c>
      <c r="E615" s="432" t="s">
        <v>1669</v>
      </c>
      <c r="F615" s="243" t="s">
        <v>571</v>
      </c>
      <c r="G615" s="236" t="s">
        <v>482</v>
      </c>
      <c r="H615" s="237">
        <f t="shared" si="41"/>
        <v>7</v>
      </c>
      <c r="I615" s="236">
        <v>1402</v>
      </c>
      <c r="J615" s="236"/>
      <c r="K615" s="238">
        <v>30000000</v>
      </c>
      <c r="L615" s="240" t="s">
        <v>1736</v>
      </c>
    </row>
    <row r="616" spans="1:12" ht="15.75" customHeight="1">
      <c r="A616" s="194"/>
      <c r="B616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616" s="358" t="s">
        <v>471</v>
      </c>
      <c r="D616" s="358" t="s">
        <v>472</v>
      </c>
      <c r="E616" s="432" t="s">
        <v>1669</v>
      </c>
      <c r="F616" s="243" t="s">
        <v>1291</v>
      </c>
      <c r="G616" s="236" t="s">
        <v>482</v>
      </c>
      <c r="H616" s="237">
        <f t="shared" si="41"/>
        <v>7</v>
      </c>
      <c r="I616" s="236">
        <v>1402</v>
      </c>
      <c r="J616" s="236"/>
      <c r="K616" s="238">
        <v>2000000</v>
      </c>
      <c r="L616" s="368"/>
    </row>
    <row r="617" spans="1:12" ht="15.75" customHeight="1">
      <c r="A617" s="194"/>
      <c r="B617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617" s="358" t="s">
        <v>522</v>
      </c>
      <c r="D617" s="358" t="s">
        <v>523</v>
      </c>
      <c r="E617" s="432" t="s">
        <v>1670</v>
      </c>
      <c r="F617" s="243"/>
      <c r="G617" s="236" t="s">
        <v>482</v>
      </c>
      <c r="H617" s="237">
        <f t="shared" si="41"/>
        <v>7</v>
      </c>
      <c r="I617" s="236">
        <v>1402</v>
      </c>
      <c r="J617" s="236"/>
      <c r="K617" s="238">
        <v>5646626</v>
      </c>
      <c r="L617" s="368"/>
    </row>
    <row r="618" spans="1:12" ht="15.75" customHeight="1">
      <c r="A618" s="194"/>
      <c r="B618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618" s="358" t="s">
        <v>1671</v>
      </c>
      <c r="D618" s="358" t="s">
        <v>1672</v>
      </c>
      <c r="E618" s="432" t="s">
        <v>1670</v>
      </c>
      <c r="F618" s="243" t="s">
        <v>1674</v>
      </c>
      <c r="G618" s="236" t="s">
        <v>482</v>
      </c>
      <c r="H618" s="237">
        <f t="shared" si="41"/>
        <v>7</v>
      </c>
      <c r="I618" s="236">
        <v>1402</v>
      </c>
      <c r="J618" s="236"/>
      <c r="K618" s="238">
        <v>2000000</v>
      </c>
      <c r="L618" s="368"/>
    </row>
    <row r="619" spans="1:12" ht="15.75" customHeight="1">
      <c r="A619" s="194"/>
      <c r="B619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619" s="137" t="s">
        <v>529</v>
      </c>
      <c r="D619" s="137" t="s">
        <v>530</v>
      </c>
      <c r="E619" s="432" t="s">
        <v>1673</v>
      </c>
      <c r="F619" s="243" t="s">
        <v>689</v>
      </c>
      <c r="G619" s="236" t="s">
        <v>482</v>
      </c>
      <c r="H619" s="237">
        <f t="shared" si="41"/>
        <v>7</v>
      </c>
      <c r="I619" s="236">
        <v>1402</v>
      </c>
      <c r="J619" s="236"/>
      <c r="K619" s="238">
        <v>5000000</v>
      </c>
      <c r="L619" s="368"/>
    </row>
    <row r="620" spans="1:12" ht="15.75" customHeight="1">
      <c r="A620" s="194"/>
      <c r="B620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620" s="137" t="s">
        <v>497</v>
      </c>
      <c r="D620" s="137" t="s">
        <v>516</v>
      </c>
      <c r="E620" s="432" t="s">
        <v>1673</v>
      </c>
      <c r="F620" s="243" t="s">
        <v>1676</v>
      </c>
      <c r="G620" s="236" t="s">
        <v>474</v>
      </c>
      <c r="H620" s="237">
        <f t="shared" si="41"/>
        <v>4</v>
      </c>
      <c r="I620" s="236">
        <v>1402</v>
      </c>
      <c r="J620" s="236"/>
      <c r="K620" s="238">
        <v>5000000</v>
      </c>
      <c r="L620" s="368"/>
    </row>
    <row r="621" spans="1:12" ht="15.75" customHeight="1">
      <c r="A621" s="194"/>
      <c r="B621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621" s="137" t="s">
        <v>497</v>
      </c>
      <c r="D621" s="137" t="s">
        <v>516</v>
      </c>
      <c r="E621" s="432" t="s">
        <v>1673</v>
      </c>
      <c r="F621" s="243" t="s">
        <v>1676</v>
      </c>
      <c r="G621" s="236" t="s">
        <v>477</v>
      </c>
      <c r="H621" s="237">
        <f t="shared" si="41"/>
        <v>5</v>
      </c>
      <c r="I621" s="236">
        <v>1402</v>
      </c>
      <c r="J621" s="236"/>
      <c r="K621" s="238">
        <v>5000000</v>
      </c>
      <c r="L621" s="368"/>
    </row>
    <row r="622" spans="1:12" ht="15.75" customHeight="1">
      <c r="A622" s="194"/>
      <c r="B622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622" s="137" t="s">
        <v>497</v>
      </c>
      <c r="D622" s="137" t="s">
        <v>516</v>
      </c>
      <c r="E622" s="432" t="s">
        <v>1673</v>
      </c>
      <c r="F622" s="243" t="s">
        <v>1676</v>
      </c>
      <c r="G622" s="236" t="s">
        <v>479</v>
      </c>
      <c r="H622" s="237">
        <f t="shared" si="41"/>
        <v>6</v>
      </c>
      <c r="I622" s="236">
        <v>1402</v>
      </c>
      <c r="J622" s="236"/>
      <c r="K622" s="238">
        <v>5000000</v>
      </c>
      <c r="L622" s="368"/>
    </row>
    <row r="623" spans="1:12" ht="15.75" customHeight="1">
      <c r="A623" s="194"/>
      <c r="B623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623" s="137" t="s">
        <v>497</v>
      </c>
      <c r="D623" s="137" t="s">
        <v>516</v>
      </c>
      <c r="E623" s="432" t="s">
        <v>1673</v>
      </c>
      <c r="F623" s="243" t="s">
        <v>1676</v>
      </c>
      <c r="G623" s="236" t="s">
        <v>482</v>
      </c>
      <c r="H623" s="237">
        <f t="shared" si="41"/>
        <v>7</v>
      </c>
      <c r="I623" s="236">
        <v>1402</v>
      </c>
      <c r="J623" s="236"/>
      <c r="K623" s="238">
        <v>5000000</v>
      </c>
      <c r="L623" s="368"/>
    </row>
    <row r="624" spans="1:12" ht="15.75" customHeight="1">
      <c r="A624" s="194"/>
      <c r="B624" s="235">
        <f>SUMIFS('لیست واریزی کل خیرین'!B:B,'لیست واریزی کل خیرین'!D:D,Table1[[#This Row],[نام]],'لیست واریزی کل خیرین'!E:E,Table1[[#This Row],[نام خانوادگی]])</f>
        <v>11</v>
      </c>
      <c r="C624" s="137" t="s">
        <v>494</v>
      </c>
      <c r="D624" s="137" t="s">
        <v>495</v>
      </c>
      <c r="E624" s="432" t="s">
        <v>1675</v>
      </c>
      <c r="F624" s="243" t="s">
        <v>573</v>
      </c>
      <c r="G624" s="236" t="s">
        <v>482</v>
      </c>
      <c r="H624" s="237">
        <f t="shared" si="41"/>
        <v>7</v>
      </c>
      <c r="I624" s="236">
        <v>1402</v>
      </c>
      <c r="J624" s="236"/>
      <c r="K624" s="238">
        <v>50000000</v>
      </c>
      <c r="L624" s="368"/>
    </row>
    <row r="625" spans="1:13" ht="15.75" customHeight="1">
      <c r="A625" s="194"/>
      <c r="B625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625" s="358" t="s">
        <v>483</v>
      </c>
      <c r="D625" s="358" t="s">
        <v>484</v>
      </c>
      <c r="E625" s="432" t="s">
        <v>1677</v>
      </c>
      <c r="F625" s="243" t="s">
        <v>1663</v>
      </c>
      <c r="G625" s="236" t="s">
        <v>482</v>
      </c>
      <c r="H625" s="237">
        <f t="shared" si="41"/>
        <v>7</v>
      </c>
      <c r="I625" s="236">
        <v>1402</v>
      </c>
      <c r="J625" s="236"/>
      <c r="K625" s="238">
        <v>5000000</v>
      </c>
      <c r="L625" s="368" t="s">
        <v>1971</v>
      </c>
    </row>
    <row r="626" spans="1:13" ht="15.75" customHeight="1">
      <c r="A626" s="194"/>
      <c r="B626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626" s="358" t="s">
        <v>483</v>
      </c>
      <c r="D626" s="358" t="s">
        <v>484</v>
      </c>
      <c r="E626" s="432" t="s">
        <v>1677</v>
      </c>
      <c r="F626" s="243" t="s">
        <v>1663</v>
      </c>
      <c r="G626" s="236" t="s">
        <v>485</v>
      </c>
      <c r="H626" s="237">
        <f>IF(G626="","",VLOOKUP(G626,mah,2,0))</f>
        <v>8</v>
      </c>
      <c r="I626" s="236">
        <v>1402</v>
      </c>
      <c r="J626" s="236"/>
      <c r="K626" s="238">
        <v>5000000</v>
      </c>
      <c r="L626" s="368" t="s">
        <v>1971</v>
      </c>
    </row>
    <row r="627" spans="1:13" ht="15.75" customHeight="1">
      <c r="A627" s="194"/>
      <c r="B627" s="235">
        <f>SUMIFS('لیست واریزی کل خیرین'!B:B,'لیست واریزی کل خیرین'!D:D,Table1[[#This Row],[نام]],'لیست واریزی کل خیرین'!E:E,Table1[[#This Row],[نام خانوادگی]])</f>
        <v>3</v>
      </c>
      <c r="C627" s="137" t="s">
        <v>459</v>
      </c>
      <c r="D627" s="137" t="s">
        <v>460</v>
      </c>
      <c r="E627" s="432" t="s">
        <v>1679</v>
      </c>
      <c r="F627" s="243" t="s">
        <v>1678</v>
      </c>
      <c r="G627" s="236" t="s">
        <v>482</v>
      </c>
      <c r="H627" s="237">
        <f t="shared" si="41"/>
        <v>7</v>
      </c>
      <c r="I627" s="236">
        <v>1402</v>
      </c>
      <c r="J627" s="236"/>
      <c r="K627" s="238">
        <v>30000000</v>
      </c>
      <c r="L627" s="368"/>
    </row>
    <row r="628" spans="1:13" ht="15.75" customHeight="1">
      <c r="A628" s="194"/>
      <c r="B628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28" s="137" t="s">
        <v>459</v>
      </c>
      <c r="D628" s="137" t="s">
        <v>460</v>
      </c>
      <c r="E628" s="432" t="s">
        <v>1679</v>
      </c>
      <c r="F628" s="243" t="s">
        <v>1678</v>
      </c>
      <c r="G628" s="137" t="s">
        <v>479</v>
      </c>
      <c r="H628" s="138">
        <f t="shared" ref="H628:H640" si="42">IF(G628="","",VLOOKUP(G628,mah,2,0))</f>
        <v>6</v>
      </c>
      <c r="I628" s="236">
        <v>1402</v>
      </c>
      <c r="J628" s="137"/>
      <c r="K628" s="139">
        <v>30000000</v>
      </c>
      <c r="L628" s="240"/>
      <c r="M628" s="458"/>
    </row>
    <row r="629" spans="1:13" ht="15.75" customHeight="1">
      <c r="A629" s="194"/>
      <c r="B629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29" s="137" t="s">
        <v>459</v>
      </c>
      <c r="D629" s="137" t="s">
        <v>460</v>
      </c>
      <c r="E629" s="432" t="s">
        <v>1679</v>
      </c>
      <c r="F629" s="243" t="s">
        <v>1678</v>
      </c>
      <c r="G629" s="137" t="s">
        <v>477</v>
      </c>
      <c r="H629" s="138">
        <f t="shared" si="42"/>
        <v>5</v>
      </c>
      <c r="I629" s="236">
        <v>1402</v>
      </c>
      <c r="J629" s="137"/>
      <c r="K629" s="139">
        <v>30000000</v>
      </c>
      <c r="L629" s="240"/>
      <c r="M629" s="458"/>
    </row>
    <row r="630" spans="1:13" ht="15.75" customHeight="1">
      <c r="A630" s="194"/>
      <c r="B630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30" s="137" t="s">
        <v>459</v>
      </c>
      <c r="D630" s="137" t="s">
        <v>460</v>
      </c>
      <c r="E630" s="432" t="s">
        <v>1679</v>
      </c>
      <c r="F630" s="243" t="s">
        <v>1678</v>
      </c>
      <c r="G630" s="137" t="s">
        <v>474</v>
      </c>
      <c r="H630" s="138">
        <f t="shared" si="42"/>
        <v>4</v>
      </c>
      <c r="I630" s="236">
        <v>1402</v>
      </c>
      <c r="J630" s="137"/>
      <c r="K630" s="139">
        <v>30000000</v>
      </c>
      <c r="L630" s="240"/>
      <c r="M630" s="458"/>
    </row>
    <row r="631" spans="1:13" ht="15.75" customHeight="1">
      <c r="A631" s="194"/>
      <c r="B631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31" s="137" t="s">
        <v>459</v>
      </c>
      <c r="D631" s="137" t="s">
        <v>460</v>
      </c>
      <c r="E631" s="432" t="s">
        <v>1679</v>
      </c>
      <c r="F631" s="243" t="s">
        <v>1678</v>
      </c>
      <c r="G631" s="137" t="s">
        <v>462</v>
      </c>
      <c r="H631" s="138">
        <f t="shared" si="42"/>
        <v>3</v>
      </c>
      <c r="I631" s="236">
        <v>1402</v>
      </c>
      <c r="J631" s="137"/>
      <c r="K631" s="139">
        <v>30000000</v>
      </c>
      <c r="L631" s="240"/>
      <c r="M631" s="458"/>
    </row>
    <row r="632" spans="1:13" ht="15.75" customHeight="1">
      <c r="A632" s="194"/>
      <c r="B632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32" s="137" t="s">
        <v>459</v>
      </c>
      <c r="D632" s="137" t="s">
        <v>460</v>
      </c>
      <c r="E632" s="432" t="s">
        <v>1679</v>
      </c>
      <c r="F632" s="243" t="s">
        <v>1678</v>
      </c>
      <c r="G632" s="137" t="s">
        <v>468</v>
      </c>
      <c r="H632" s="138">
        <f t="shared" si="42"/>
        <v>2</v>
      </c>
      <c r="I632" s="236">
        <v>1402</v>
      </c>
      <c r="J632" s="137"/>
      <c r="K632" s="139">
        <v>30000000</v>
      </c>
      <c r="L632" s="240"/>
      <c r="M632" s="458"/>
    </row>
    <row r="633" spans="1:13" ht="15.75" customHeight="1">
      <c r="A633" s="194"/>
      <c r="B633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33" s="137" t="s">
        <v>459</v>
      </c>
      <c r="D633" s="137" t="s">
        <v>460</v>
      </c>
      <c r="E633" s="432" t="s">
        <v>1679</v>
      </c>
      <c r="F633" s="243" t="s">
        <v>1678</v>
      </c>
      <c r="G633" s="137" t="s">
        <v>463</v>
      </c>
      <c r="H633" s="138">
        <f t="shared" si="42"/>
        <v>1</v>
      </c>
      <c r="I633" s="236">
        <v>1402</v>
      </c>
      <c r="J633" s="137"/>
      <c r="K633" s="139">
        <v>30000000</v>
      </c>
      <c r="L633" s="240"/>
      <c r="M633" s="458"/>
    </row>
    <row r="634" spans="1:13" ht="15.75" customHeight="1">
      <c r="A634" s="194"/>
      <c r="B634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34" s="137" t="s">
        <v>459</v>
      </c>
      <c r="D634" s="137" t="s">
        <v>460</v>
      </c>
      <c r="E634" s="432" t="s">
        <v>1679</v>
      </c>
      <c r="F634" s="243" t="s">
        <v>1678</v>
      </c>
      <c r="G634" s="137" t="s">
        <v>499</v>
      </c>
      <c r="H634" s="138">
        <f t="shared" si="42"/>
        <v>12</v>
      </c>
      <c r="I634" s="137">
        <v>1401</v>
      </c>
      <c r="J634" s="137"/>
      <c r="K634" s="139">
        <v>30000000</v>
      </c>
      <c r="L634" s="240"/>
      <c r="M634" s="458"/>
    </row>
    <row r="635" spans="1:13" ht="15.75" customHeight="1">
      <c r="A635" s="194"/>
      <c r="B635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35" s="137" t="s">
        <v>459</v>
      </c>
      <c r="D635" s="137" t="s">
        <v>460</v>
      </c>
      <c r="E635" s="432" t="s">
        <v>1679</v>
      </c>
      <c r="F635" s="243" t="s">
        <v>1678</v>
      </c>
      <c r="G635" s="137" t="s">
        <v>496</v>
      </c>
      <c r="H635" s="138">
        <f t="shared" si="42"/>
        <v>11</v>
      </c>
      <c r="I635" s="137">
        <v>1401</v>
      </c>
      <c r="J635" s="137"/>
      <c r="K635" s="139">
        <v>30000000</v>
      </c>
      <c r="L635" s="240"/>
      <c r="M635" s="458"/>
    </row>
    <row r="636" spans="1:13" ht="15.75" customHeight="1">
      <c r="A636" s="194"/>
      <c r="B636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36" s="137" t="s">
        <v>459</v>
      </c>
      <c r="D636" s="137" t="s">
        <v>460</v>
      </c>
      <c r="E636" s="432" t="s">
        <v>1679</v>
      </c>
      <c r="F636" s="243" t="s">
        <v>1678</v>
      </c>
      <c r="G636" s="137" t="s">
        <v>493</v>
      </c>
      <c r="H636" s="138">
        <f t="shared" si="42"/>
        <v>10</v>
      </c>
      <c r="I636" s="137">
        <v>1401</v>
      </c>
      <c r="J636" s="137"/>
      <c r="K636" s="139">
        <v>30000000</v>
      </c>
      <c r="L636" s="240"/>
      <c r="M636" s="458"/>
    </row>
    <row r="637" spans="1:13" ht="15.75" customHeight="1">
      <c r="A637" s="194"/>
      <c r="B637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37" s="137" t="s">
        <v>459</v>
      </c>
      <c r="D637" s="137" t="s">
        <v>460</v>
      </c>
      <c r="E637" s="432" t="s">
        <v>1679</v>
      </c>
      <c r="F637" s="249" t="s">
        <v>1678</v>
      </c>
      <c r="G637" s="137" t="s">
        <v>488</v>
      </c>
      <c r="H637" s="138">
        <f t="shared" si="42"/>
        <v>9</v>
      </c>
      <c r="I637" s="137">
        <v>1401</v>
      </c>
      <c r="J637" s="137"/>
      <c r="K637" s="139">
        <v>30000000</v>
      </c>
      <c r="L637" s="240"/>
      <c r="M637" s="458"/>
    </row>
    <row r="638" spans="1:13" ht="15.75" customHeight="1">
      <c r="A638" s="194"/>
      <c r="B638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38" s="137" t="s">
        <v>459</v>
      </c>
      <c r="D638" s="137" t="s">
        <v>460</v>
      </c>
      <c r="E638" s="432" t="s">
        <v>1679</v>
      </c>
      <c r="F638" s="249" t="s">
        <v>1678</v>
      </c>
      <c r="G638" s="137" t="s">
        <v>485</v>
      </c>
      <c r="H638" s="138">
        <f t="shared" si="42"/>
        <v>8</v>
      </c>
      <c r="I638" s="137">
        <v>1401</v>
      </c>
      <c r="J638" s="137"/>
      <c r="K638" s="139">
        <v>30000000</v>
      </c>
      <c r="L638" s="240"/>
      <c r="M638" s="458"/>
    </row>
    <row r="639" spans="1:13" ht="15.75" customHeight="1">
      <c r="A639" s="194"/>
      <c r="B639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39" s="137" t="s">
        <v>459</v>
      </c>
      <c r="D639" s="137" t="s">
        <v>460</v>
      </c>
      <c r="E639" s="432" t="s">
        <v>1679</v>
      </c>
      <c r="F639" s="249" t="s">
        <v>1678</v>
      </c>
      <c r="G639" s="137" t="s">
        <v>482</v>
      </c>
      <c r="H639" s="138">
        <f t="shared" si="42"/>
        <v>7</v>
      </c>
      <c r="I639" s="137">
        <v>1401</v>
      </c>
      <c r="J639" s="137"/>
      <c r="K639" s="139">
        <v>30000000</v>
      </c>
      <c r="L639" s="240"/>
      <c r="M639" s="458"/>
    </row>
    <row r="640" spans="1:13" ht="15.75" customHeight="1">
      <c r="A640" s="194"/>
      <c r="B640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40" s="137" t="s">
        <v>459</v>
      </c>
      <c r="D640" s="137" t="s">
        <v>460</v>
      </c>
      <c r="E640" s="432" t="s">
        <v>1679</v>
      </c>
      <c r="F640" s="249" t="s">
        <v>1678</v>
      </c>
      <c r="G640" s="137" t="s">
        <v>479</v>
      </c>
      <c r="H640" s="138">
        <f t="shared" si="42"/>
        <v>6</v>
      </c>
      <c r="I640" s="137">
        <v>1401</v>
      </c>
      <c r="J640" s="137"/>
      <c r="K640" s="139">
        <v>30000000</v>
      </c>
      <c r="L640" s="240"/>
      <c r="M640" s="458"/>
    </row>
    <row r="641" spans="1:13" ht="15.75" customHeight="1">
      <c r="A641" s="194"/>
      <c r="B641" s="133">
        <f>SUMIFS('لیست واریزی کل خیرین'!B:B,'لیست واریزی کل خیرین'!D:D,Table1[[#This Row],[نام]],'لیست واریزی کل خیرین'!E:E,Table1[[#This Row],[نام خانوادگی]])</f>
        <v>3</v>
      </c>
      <c r="C641" s="137" t="s">
        <v>459</v>
      </c>
      <c r="D641" s="137" t="s">
        <v>460</v>
      </c>
      <c r="E641" s="432" t="s">
        <v>1679</v>
      </c>
      <c r="F641" s="249" t="s">
        <v>1678</v>
      </c>
      <c r="G641" s="137" t="s">
        <v>485</v>
      </c>
      <c r="H641" s="138">
        <v>8</v>
      </c>
      <c r="I641" s="137">
        <v>1402</v>
      </c>
      <c r="J641" s="137"/>
      <c r="K641" s="139">
        <v>580000000</v>
      </c>
      <c r="L641" s="240"/>
      <c r="M641" s="458"/>
    </row>
    <row r="642" spans="1:13" ht="15.75" customHeight="1">
      <c r="A642" s="194"/>
      <c r="B642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642" s="358" t="s">
        <v>486</v>
      </c>
      <c r="D642" s="358" t="s">
        <v>487</v>
      </c>
      <c r="E642" s="432" t="s">
        <v>1680</v>
      </c>
      <c r="F642" s="249" t="s">
        <v>595</v>
      </c>
      <c r="G642" s="236" t="s">
        <v>482</v>
      </c>
      <c r="H642" s="237">
        <f t="shared" si="41"/>
        <v>7</v>
      </c>
      <c r="I642" s="236">
        <v>1402</v>
      </c>
      <c r="J642" s="236"/>
      <c r="K642" s="238">
        <v>20000000</v>
      </c>
      <c r="L642" s="368"/>
    </row>
    <row r="643" spans="1:13" ht="27" customHeight="1">
      <c r="A643" s="194"/>
      <c r="B643" s="235">
        <f>SUMIFS('لیست واریزی کل خیرین'!B:B,'لیست واریزی کل خیرین'!D:D,Table1[[#This Row],[نام]],'لیست واریزی کل خیرین'!E:E,Table1[[#This Row],[نام خانوادگی]])</f>
        <v>16</v>
      </c>
      <c r="C643" s="137" t="s">
        <v>497</v>
      </c>
      <c r="D643" s="137" t="s">
        <v>505</v>
      </c>
      <c r="E643" s="432" t="s">
        <v>1681</v>
      </c>
      <c r="F643" s="249" t="s">
        <v>1682</v>
      </c>
      <c r="G643" s="236" t="s">
        <v>474</v>
      </c>
      <c r="H643" s="237">
        <f t="shared" si="41"/>
        <v>4</v>
      </c>
      <c r="I643" s="236">
        <v>1402</v>
      </c>
      <c r="J643" s="236"/>
      <c r="K643" s="238">
        <v>2000000</v>
      </c>
      <c r="L643" s="429" t="s">
        <v>1685</v>
      </c>
    </row>
    <row r="644" spans="1:13" ht="26.25" customHeight="1">
      <c r="A644" s="194"/>
      <c r="B644" s="235">
        <f>SUMIFS('لیست واریزی کل خیرین'!B:B,'لیست واریزی کل خیرین'!D:D,Table1[[#This Row],[نام]],'لیست واریزی کل خیرین'!E:E,Table1[[#This Row],[نام خانوادگی]])</f>
        <v>16</v>
      </c>
      <c r="C644" s="137" t="s">
        <v>497</v>
      </c>
      <c r="D644" s="137" t="s">
        <v>505</v>
      </c>
      <c r="E644" s="432" t="s">
        <v>1681</v>
      </c>
      <c r="F644" s="249" t="s">
        <v>1682</v>
      </c>
      <c r="G644" s="236" t="s">
        <v>477</v>
      </c>
      <c r="H644" s="237">
        <f>IF(G644="","",VLOOKUP(G644,mah,2,0))</f>
        <v>5</v>
      </c>
      <c r="I644" s="236">
        <v>1402</v>
      </c>
      <c r="J644" s="236"/>
      <c r="K644" s="238">
        <v>3000000</v>
      </c>
      <c r="L644" s="429" t="s">
        <v>1685</v>
      </c>
    </row>
    <row r="645" spans="1:13" ht="28.5" customHeight="1">
      <c r="A645" s="194"/>
      <c r="B645" s="235">
        <f>SUMIFS('لیست واریزی کل خیرین'!B:B,'لیست واریزی کل خیرین'!D:D,Table1[[#This Row],[نام]],'لیست واریزی کل خیرین'!E:E,Table1[[#This Row],[نام خانوادگی]])</f>
        <v>16</v>
      </c>
      <c r="C645" s="137" t="s">
        <v>497</v>
      </c>
      <c r="D645" s="137" t="s">
        <v>505</v>
      </c>
      <c r="E645" s="432" t="s">
        <v>1681</v>
      </c>
      <c r="F645" s="249" t="s">
        <v>1682</v>
      </c>
      <c r="G645" s="236" t="s">
        <v>479</v>
      </c>
      <c r="H645" s="237">
        <f>IF(G645="","",VLOOKUP(G645,mah,2,0))</f>
        <v>6</v>
      </c>
      <c r="I645" s="236">
        <v>1402</v>
      </c>
      <c r="J645" s="236"/>
      <c r="K645" s="238">
        <v>3000000</v>
      </c>
      <c r="L645" s="429" t="s">
        <v>1685</v>
      </c>
    </row>
    <row r="646" spans="1:13" ht="33.75" customHeight="1">
      <c r="A646" s="194"/>
      <c r="B646" s="235">
        <f>SUMIFS('لیست واریزی کل خیرین'!B:B,'لیست واریزی کل خیرین'!D:D,Table1[[#This Row],[نام]],'لیست واریزی کل خیرین'!E:E,Table1[[#This Row],[نام خانوادگی]])</f>
        <v>16</v>
      </c>
      <c r="C646" s="137" t="s">
        <v>497</v>
      </c>
      <c r="D646" s="137" t="s">
        <v>505</v>
      </c>
      <c r="E646" s="432" t="s">
        <v>1681</v>
      </c>
      <c r="F646" s="249" t="s">
        <v>1682</v>
      </c>
      <c r="G646" s="236" t="s">
        <v>482</v>
      </c>
      <c r="H646" s="237">
        <f>IF(G646="","",VLOOKUP(G646,mah,2,0))</f>
        <v>7</v>
      </c>
      <c r="I646" s="236">
        <v>1402</v>
      </c>
      <c r="J646" s="236"/>
      <c r="K646" s="238">
        <v>2000000</v>
      </c>
      <c r="L646" s="429" t="s">
        <v>1685</v>
      </c>
    </row>
    <row r="647" spans="1:13" ht="15.75" customHeight="1">
      <c r="A647" s="194"/>
      <c r="B647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647" s="137" t="s">
        <v>814</v>
      </c>
      <c r="D647" s="137" t="s">
        <v>705</v>
      </c>
      <c r="E647" s="432" t="s">
        <v>1681</v>
      </c>
      <c r="F647" s="249" t="s">
        <v>1576</v>
      </c>
      <c r="G647" s="236" t="s">
        <v>482</v>
      </c>
      <c r="H647" s="237">
        <f t="shared" si="41"/>
        <v>7</v>
      </c>
      <c r="I647" s="236">
        <v>1402</v>
      </c>
      <c r="J647" s="236"/>
      <c r="K647" s="238">
        <v>10000000</v>
      </c>
      <c r="L647" s="368"/>
    </row>
    <row r="648" spans="1:13" ht="15.75" customHeight="1">
      <c r="A648" s="194"/>
      <c r="B648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648" s="358" t="s">
        <v>489</v>
      </c>
      <c r="D648" s="358" t="s">
        <v>490</v>
      </c>
      <c r="E648" s="432" t="s">
        <v>1683</v>
      </c>
      <c r="F648" s="249" t="s">
        <v>835</v>
      </c>
      <c r="G648" s="236" t="s">
        <v>482</v>
      </c>
      <c r="H648" s="237">
        <f t="shared" si="41"/>
        <v>7</v>
      </c>
      <c r="I648" s="236">
        <v>1402</v>
      </c>
      <c r="J648" s="236"/>
      <c r="K648" s="238">
        <v>100000000</v>
      </c>
      <c r="L648" s="368"/>
    </row>
    <row r="649" spans="1:13" ht="15.75" customHeight="1">
      <c r="A649" s="194"/>
      <c r="B649" s="235">
        <f>SUMIFS('لیست واریزی کل خیرین'!B:B,'لیست واریزی کل خیرین'!D:D,Table1[[#This Row],[نام]],'لیست واریزی کل خیرین'!E:E,Table1[[#This Row],[نام خانوادگی]])</f>
        <v>103</v>
      </c>
      <c r="C649" s="358" t="s">
        <v>1541</v>
      </c>
      <c r="D649" s="358" t="s">
        <v>1542</v>
      </c>
      <c r="E649" s="432" t="s">
        <v>1684</v>
      </c>
      <c r="F649" s="249" t="s">
        <v>1543</v>
      </c>
      <c r="G649" s="236" t="s">
        <v>482</v>
      </c>
      <c r="H649" s="237">
        <f t="shared" si="41"/>
        <v>7</v>
      </c>
      <c r="I649" s="236">
        <v>1402</v>
      </c>
      <c r="J649" s="236"/>
      <c r="K649" s="238">
        <v>5000000</v>
      </c>
      <c r="L649" s="368"/>
    </row>
    <row r="650" spans="1:13" ht="15.75" customHeight="1">
      <c r="A650" s="194"/>
      <c r="B650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650" s="358" t="s">
        <v>475</v>
      </c>
      <c r="D650" s="358" t="s">
        <v>476</v>
      </c>
      <c r="E650" s="432" t="s">
        <v>1737</v>
      </c>
      <c r="F650" s="249" t="s">
        <v>867</v>
      </c>
      <c r="G650" s="236" t="s">
        <v>482</v>
      </c>
      <c r="H650" s="237">
        <f t="shared" ref="H650:H654" si="43">IF(G650="","",VLOOKUP(G650,mah,2,0))</f>
        <v>7</v>
      </c>
      <c r="I650" s="236">
        <v>1402</v>
      </c>
      <c r="J650" s="236"/>
      <c r="K650" s="238">
        <v>5000000</v>
      </c>
      <c r="L650" s="368" t="s">
        <v>1834</v>
      </c>
    </row>
    <row r="651" spans="1:13" ht="15.75" customHeight="1">
      <c r="A651" s="194"/>
      <c r="B651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651" s="358" t="s">
        <v>475</v>
      </c>
      <c r="D651" s="358" t="s">
        <v>476</v>
      </c>
      <c r="E651" s="432" t="s">
        <v>1737</v>
      </c>
      <c r="F651" s="249" t="s">
        <v>867</v>
      </c>
      <c r="G651" s="236" t="s">
        <v>485</v>
      </c>
      <c r="H651" s="237">
        <f>IF(G651="","",VLOOKUP(G651,mah,2,0))</f>
        <v>8</v>
      </c>
      <c r="I651" s="236">
        <v>1402</v>
      </c>
      <c r="J651" s="236"/>
      <c r="K651" s="238">
        <v>5000000</v>
      </c>
      <c r="L651" s="368" t="s">
        <v>1834</v>
      </c>
    </row>
    <row r="652" spans="1:13" ht="15.75" customHeight="1">
      <c r="A652" s="194"/>
      <c r="B652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652" s="358" t="s">
        <v>475</v>
      </c>
      <c r="D652" s="358" t="s">
        <v>476</v>
      </c>
      <c r="E652" s="432" t="s">
        <v>1737</v>
      </c>
      <c r="F652" s="249" t="s">
        <v>867</v>
      </c>
      <c r="G652" s="236" t="s">
        <v>488</v>
      </c>
      <c r="H652" s="237">
        <f>IF(G652="","",VLOOKUP(G652,mah,2,0))</f>
        <v>9</v>
      </c>
      <c r="I652" s="236">
        <v>1402</v>
      </c>
      <c r="J652" s="236"/>
      <c r="K652" s="238">
        <v>5000000</v>
      </c>
      <c r="L652" s="368" t="s">
        <v>1834</v>
      </c>
    </row>
    <row r="653" spans="1:13" ht="15.75" customHeight="1">
      <c r="A653" s="194"/>
      <c r="B653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653" s="137" t="s">
        <v>480</v>
      </c>
      <c r="D653" s="137" t="s">
        <v>481</v>
      </c>
      <c r="E653" s="432" t="s">
        <v>1737</v>
      </c>
      <c r="F653" s="249" t="s">
        <v>881</v>
      </c>
      <c r="G653" s="236" t="s">
        <v>482</v>
      </c>
      <c r="H653" s="237">
        <f t="shared" si="43"/>
        <v>7</v>
      </c>
      <c r="I653" s="236">
        <v>1402</v>
      </c>
      <c r="J653" s="236"/>
      <c r="K653" s="238">
        <v>50000000</v>
      </c>
      <c r="L653" s="368"/>
    </row>
    <row r="654" spans="1:13" ht="15.75" customHeight="1">
      <c r="A654" s="194"/>
      <c r="B654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654" s="137" t="s">
        <v>596</v>
      </c>
      <c r="D654" s="137" t="s">
        <v>597</v>
      </c>
      <c r="E654" s="432" t="s">
        <v>1737</v>
      </c>
      <c r="F654" s="249" t="s">
        <v>598</v>
      </c>
      <c r="G654" s="236" t="s">
        <v>482</v>
      </c>
      <c r="H654" s="237">
        <f t="shared" si="43"/>
        <v>7</v>
      </c>
      <c r="I654" s="236">
        <v>1402</v>
      </c>
      <c r="J654" s="236"/>
      <c r="K654" s="238">
        <v>4000000</v>
      </c>
      <c r="L654" s="368"/>
    </row>
    <row r="655" spans="1:13" ht="15.75" customHeight="1">
      <c r="A655" s="194"/>
      <c r="B655" s="235">
        <f>SUMIFS('لیست واریزی کل خیرین'!B:B,'لیست واریزی کل خیرین'!D:D,Table1[[#This Row],[نام]],'لیست واریزی کل خیرین'!E:E,Table1[[#This Row],[نام خانوادگی]])</f>
        <v>61</v>
      </c>
      <c r="C655" s="358" t="s">
        <v>702</v>
      </c>
      <c r="D655" s="358" t="s">
        <v>703</v>
      </c>
      <c r="E655" s="432" t="s">
        <v>1737</v>
      </c>
      <c r="F655" s="249" t="s">
        <v>704</v>
      </c>
      <c r="G655" s="236" t="s">
        <v>482</v>
      </c>
      <c r="H655" s="237">
        <f t="shared" ref="H655:H688" si="44">IF(G655="","",VLOOKUP(G655,mah,2,0))</f>
        <v>7</v>
      </c>
      <c r="I655" s="236">
        <v>1402</v>
      </c>
      <c r="J655" s="236"/>
      <c r="K655" s="238">
        <v>5000000</v>
      </c>
      <c r="L655" s="368"/>
    </row>
    <row r="656" spans="1:13" ht="15.75" customHeight="1">
      <c r="A656" s="194"/>
      <c r="B656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656" s="137" t="s">
        <v>497</v>
      </c>
      <c r="D656" s="137" t="s">
        <v>513</v>
      </c>
      <c r="E656" s="432" t="s">
        <v>1738</v>
      </c>
      <c r="F656" s="249" t="s">
        <v>667</v>
      </c>
      <c r="G656" s="236" t="s">
        <v>482</v>
      </c>
      <c r="H656" s="237">
        <f t="shared" si="44"/>
        <v>7</v>
      </c>
      <c r="I656" s="236">
        <v>1402</v>
      </c>
      <c r="J656" s="236"/>
      <c r="K656" s="238">
        <v>20000000</v>
      </c>
      <c r="L656" s="368"/>
    </row>
    <row r="657" spans="1:12" ht="15.75" customHeight="1">
      <c r="A657" s="194"/>
      <c r="B657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657" s="358" t="s">
        <v>202</v>
      </c>
      <c r="D657" s="358" t="s">
        <v>502</v>
      </c>
      <c r="E657" s="432" t="s">
        <v>1738</v>
      </c>
      <c r="F657" s="249" t="s">
        <v>601</v>
      </c>
      <c r="G657" s="236" t="s">
        <v>482</v>
      </c>
      <c r="H657" s="237">
        <f t="shared" si="44"/>
        <v>7</v>
      </c>
      <c r="I657" s="236">
        <v>1402</v>
      </c>
      <c r="J657" s="236"/>
      <c r="K657" s="238">
        <v>10000000</v>
      </c>
      <c r="L657" s="368"/>
    </row>
    <row r="658" spans="1:12" ht="15.75" customHeight="1">
      <c r="A658" s="194"/>
      <c r="B658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658" s="358" t="s">
        <v>471</v>
      </c>
      <c r="D658" s="358" t="s">
        <v>472</v>
      </c>
      <c r="E658" s="432" t="s">
        <v>1739</v>
      </c>
      <c r="F658" s="249" t="s">
        <v>1291</v>
      </c>
      <c r="G658" s="236" t="s">
        <v>485</v>
      </c>
      <c r="H658" s="237">
        <f t="shared" si="44"/>
        <v>8</v>
      </c>
      <c r="I658" s="236">
        <v>1402</v>
      </c>
      <c r="J658" s="236"/>
      <c r="K658" s="238">
        <v>2000000</v>
      </c>
      <c r="L658" s="368"/>
    </row>
    <row r="659" spans="1:12" ht="15.75" customHeight="1">
      <c r="A659" s="194"/>
      <c r="B659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659" s="358" t="s">
        <v>494</v>
      </c>
      <c r="D659" s="358" t="s">
        <v>533</v>
      </c>
      <c r="E659" s="432" t="s">
        <v>1740</v>
      </c>
      <c r="F659" s="249" t="s">
        <v>835</v>
      </c>
      <c r="G659" s="236" t="s">
        <v>485</v>
      </c>
      <c r="H659" s="237">
        <f t="shared" si="44"/>
        <v>8</v>
      </c>
      <c r="I659" s="236">
        <v>1402</v>
      </c>
      <c r="J659" s="236"/>
      <c r="K659" s="238">
        <v>50000000</v>
      </c>
      <c r="L659" s="368"/>
    </row>
    <row r="660" spans="1:12" ht="15.75" customHeight="1">
      <c r="A660" s="194"/>
      <c r="B660" s="235">
        <f>SUMIFS('لیست واریزی کل خیرین'!B:B,'لیست واریزی کل خیرین'!D:D,Table1[[#This Row],[نام]],'لیست واریزی کل خیرین'!E:E,Table1[[#This Row],[نام خانوادگی]])</f>
        <v>28</v>
      </c>
      <c r="C660" s="358" t="s">
        <v>545</v>
      </c>
      <c r="D660" s="358" t="s">
        <v>546</v>
      </c>
      <c r="E660" s="432" t="s">
        <v>1741</v>
      </c>
      <c r="F660" s="249" t="s">
        <v>1742</v>
      </c>
      <c r="G660" s="236" t="s">
        <v>485</v>
      </c>
      <c r="H660" s="237">
        <f t="shared" si="44"/>
        <v>8</v>
      </c>
      <c r="I660" s="236">
        <v>1402</v>
      </c>
      <c r="J660" s="236"/>
      <c r="K660" s="238">
        <v>10000000</v>
      </c>
      <c r="L660" s="368" t="s">
        <v>1968</v>
      </c>
    </row>
    <row r="661" spans="1:12" ht="15.75" customHeight="1">
      <c r="A661" s="194"/>
      <c r="B661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661" s="358" t="s">
        <v>522</v>
      </c>
      <c r="D661" s="358" t="s">
        <v>523</v>
      </c>
      <c r="E661" s="432" t="s">
        <v>1743</v>
      </c>
      <c r="F661" s="249" t="s">
        <v>1744</v>
      </c>
      <c r="G661" s="236" t="s">
        <v>485</v>
      </c>
      <c r="H661" s="237">
        <f t="shared" si="44"/>
        <v>8</v>
      </c>
      <c r="I661" s="236">
        <v>1402</v>
      </c>
      <c r="J661" s="236"/>
      <c r="K661" s="238">
        <v>12201354</v>
      </c>
      <c r="L661" s="368"/>
    </row>
    <row r="662" spans="1:12" ht="15.75" customHeight="1">
      <c r="A662" s="194"/>
      <c r="B662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662" s="137" t="s">
        <v>494</v>
      </c>
      <c r="D662" s="137" t="s">
        <v>533</v>
      </c>
      <c r="E662" s="432" t="s">
        <v>1743</v>
      </c>
      <c r="F662" s="249" t="s">
        <v>569</v>
      </c>
      <c r="G662" s="236" t="s">
        <v>485</v>
      </c>
      <c r="H662" s="237">
        <f t="shared" si="44"/>
        <v>8</v>
      </c>
      <c r="I662" s="236">
        <v>1402</v>
      </c>
      <c r="J662" s="236"/>
      <c r="K662" s="238">
        <v>50000000</v>
      </c>
      <c r="L662" s="368"/>
    </row>
    <row r="663" spans="1:12" ht="15.75" customHeight="1">
      <c r="A663" s="194"/>
      <c r="B663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663" s="137" t="s">
        <v>529</v>
      </c>
      <c r="D663" s="137" t="s">
        <v>530</v>
      </c>
      <c r="E663" s="432" t="s">
        <v>1745</v>
      </c>
      <c r="F663" s="249" t="s">
        <v>689</v>
      </c>
      <c r="G663" s="236" t="s">
        <v>485</v>
      </c>
      <c r="H663" s="237">
        <f t="shared" si="44"/>
        <v>8</v>
      </c>
      <c r="I663" s="236">
        <v>1402</v>
      </c>
      <c r="J663" s="236"/>
      <c r="K663" s="238">
        <v>5000000</v>
      </c>
      <c r="L663" s="368"/>
    </row>
    <row r="664" spans="1:12" ht="15.75" customHeight="1">
      <c r="A664" s="194"/>
      <c r="B664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664" s="358" t="s">
        <v>489</v>
      </c>
      <c r="D664" s="358" t="s">
        <v>490</v>
      </c>
      <c r="E664" s="432" t="s">
        <v>1745</v>
      </c>
      <c r="F664" s="249" t="s">
        <v>835</v>
      </c>
      <c r="G664" s="236" t="s">
        <v>485</v>
      </c>
      <c r="H664" s="237">
        <f t="shared" si="44"/>
        <v>8</v>
      </c>
      <c r="I664" s="236">
        <v>1402</v>
      </c>
      <c r="J664" s="236"/>
      <c r="K664" s="238">
        <v>200000000</v>
      </c>
      <c r="L664" s="368"/>
    </row>
    <row r="665" spans="1:12" ht="15.75" customHeight="1">
      <c r="A665" s="194"/>
      <c r="B665" s="235">
        <f>SUMIFS('لیست واریزی کل خیرین'!B:B,'لیست واریزی کل خیرین'!D:D,Table1[[#This Row],[نام]],'لیست واریزی کل خیرین'!E:E,Table1[[#This Row],[نام خانوادگی]])</f>
        <v>11</v>
      </c>
      <c r="C665" s="137" t="s">
        <v>494</v>
      </c>
      <c r="D665" s="137" t="s">
        <v>495</v>
      </c>
      <c r="E665" s="432" t="s">
        <v>1746</v>
      </c>
      <c r="F665" s="249" t="s">
        <v>573</v>
      </c>
      <c r="G665" s="236" t="s">
        <v>485</v>
      </c>
      <c r="H665" s="237">
        <f t="shared" si="44"/>
        <v>8</v>
      </c>
      <c r="I665" s="236">
        <v>1402</v>
      </c>
      <c r="J665" s="236"/>
      <c r="K665" s="238">
        <v>50000000</v>
      </c>
      <c r="L665" s="368"/>
    </row>
    <row r="666" spans="1:12" ht="15.75" customHeight="1">
      <c r="A666" s="194"/>
      <c r="B666" s="235">
        <f>SUMIFS('لیست واریزی کل خیرین'!B:B,'لیست واریزی کل خیرین'!D:D,Table1[[#This Row],[نام]],'لیست واریزی کل خیرین'!E:E,Table1[[#This Row],[نام خانوادگی]])</f>
        <v>69</v>
      </c>
      <c r="C666" s="137" t="s">
        <v>810</v>
      </c>
      <c r="D666" s="137" t="s">
        <v>811</v>
      </c>
      <c r="E666" s="432" t="s">
        <v>1747</v>
      </c>
      <c r="F666" s="249" t="s">
        <v>1748</v>
      </c>
      <c r="G666" s="236" t="s">
        <v>485</v>
      </c>
      <c r="H666" s="237">
        <f t="shared" si="44"/>
        <v>8</v>
      </c>
      <c r="I666" s="236">
        <v>1402</v>
      </c>
      <c r="J666" s="236"/>
      <c r="K666" s="238">
        <v>5000000</v>
      </c>
      <c r="L666" s="368"/>
    </row>
    <row r="667" spans="1:12" ht="15.75" customHeight="1">
      <c r="A667" s="194"/>
      <c r="B667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667" s="137" t="s">
        <v>480</v>
      </c>
      <c r="D667" s="137" t="s">
        <v>481</v>
      </c>
      <c r="E667" s="432" t="s">
        <v>1749</v>
      </c>
      <c r="F667" s="249" t="s">
        <v>579</v>
      </c>
      <c r="G667" s="236" t="s">
        <v>485</v>
      </c>
      <c r="H667" s="237">
        <f t="shared" si="44"/>
        <v>8</v>
      </c>
      <c r="I667" s="236">
        <v>1402</v>
      </c>
      <c r="J667" s="236"/>
      <c r="K667" s="238">
        <v>20000000</v>
      </c>
      <c r="L667" s="368"/>
    </row>
    <row r="668" spans="1:12" ht="15.75" customHeight="1">
      <c r="A668" s="194"/>
      <c r="B668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668" s="137" t="s">
        <v>494</v>
      </c>
      <c r="D668" s="137" t="s">
        <v>511</v>
      </c>
      <c r="E668" s="432" t="s">
        <v>1750</v>
      </c>
      <c r="F668" s="249" t="s">
        <v>835</v>
      </c>
      <c r="G668" s="236" t="s">
        <v>485</v>
      </c>
      <c r="H668" s="237">
        <f t="shared" si="44"/>
        <v>8</v>
      </c>
      <c r="I668" s="236">
        <v>1402</v>
      </c>
      <c r="J668" s="236"/>
      <c r="K668" s="238">
        <v>50000000</v>
      </c>
      <c r="L668" s="368"/>
    </row>
    <row r="669" spans="1:12" ht="15.75" customHeight="1">
      <c r="A669" s="194"/>
      <c r="B669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669" s="358" t="s">
        <v>1671</v>
      </c>
      <c r="D669" s="358" t="s">
        <v>1672</v>
      </c>
      <c r="E669" s="432" t="s">
        <v>1751</v>
      </c>
      <c r="F669" s="249" t="s">
        <v>1674</v>
      </c>
      <c r="G669" s="236" t="s">
        <v>485</v>
      </c>
      <c r="H669" s="237">
        <f t="shared" si="44"/>
        <v>8</v>
      </c>
      <c r="I669" s="236">
        <v>1402</v>
      </c>
      <c r="J669" s="236"/>
      <c r="K669" s="238">
        <v>2000000</v>
      </c>
      <c r="L669" s="368"/>
    </row>
    <row r="670" spans="1:12" ht="15.75" customHeight="1">
      <c r="A670" s="194"/>
      <c r="B670" s="235">
        <f>SUMIFS('لیست واریزی کل خیرین'!B:B,'لیست واریزی کل خیرین'!D:D,Table1[[#This Row],[نام]],'لیست واریزی کل خیرین'!E:E,Table1[[#This Row],[نام خانوادگی]])</f>
        <v>23</v>
      </c>
      <c r="C670" s="137" t="s">
        <v>588</v>
      </c>
      <c r="D670" s="137" t="s">
        <v>521</v>
      </c>
      <c r="E670" s="432" t="s">
        <v>1752</v>
      </c>
      <c r="F670" s="249" t="s">
        <v>1478</v>
      </c>
      <c r="G670" s="236" t="s">
        <v>485</v>
      </c>
      <c r="H670" s="237">
        <f t="shared" si="44"/>
        <v>8</v>
      </c>
      <c r="I670" s="236">
        <v>1402</v>
      </c>
      <c r="J670" s="236"/>
      <c r="K670" s="238">
        <v>50000000</v>
      </c>
      <c r="L670" s="368"/>
    </row>
    <row r="671" spans="1:12" ht="15.75" customHeight="1">
      <c r="A671" s="194"/>
      <c r="B671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671" s="358" t="s">
        <v>486</v>
      </c>
      <c r="D671" s="358" t="s">
        <v>487</v>
      </c>
      <c r="E671" s="432" t="s">
        <v>1753</v>
      </c>
      <c r="F671" s="249" t="s">
        <v>595</v>
      </c>
      <c r="G671" s="236" t="s">
        <v>485</v>
      </c>
      <c r="H671" s="237">
        <f t="shared" si="44"/>
        <v>8</v>
      </c>
      <c r="I671" s="236">
        <v>1402</v>
      </c>
      <c r="J671" s="236"/>
      <c r="K671" s="238">
        <v>20000000</v>
      </c>
      <c r="L671" s="368"/>
    </row>
    <row r="672" spans="1:12" ht="15.75" customHeight="1">
      <c r="A672" s="194"/>
      <c r="B672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672" s="137" t="s">
        <v>543</v>
      </c>
      <c r="D672" s="137" t="s">
        <v>544</v>
      </c>
      <c r="E672" s="432" t="s">
        <v>1754</v>
      </c>
      <c r="F672" s="249" t="s">
        <v>856</v>
      </c>
      <c r="G672" s="236" t="s">
        <v>485</v>
      </c>
      <c r="H672" s="237">
        <f t="shared" si="44"/>
        <v>8</v>
      </c>
      <c r="I672" s="236">
        <v>1402</v>
      </c>
      <c r="J672" s="236"/>
      <c r="K672" s="238">
        <v>5000000</v>
      </c>
      <c r="L672" s="368" t="s">
        <v>1837</v>
      </c>
    </row>
    <row r="673" spans="1:12" ht="15.75" customHeight="1">
      <c r="A673" s="194"/>
      <c r="B673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673" s="137" t="s">
        <v>543</v>
      </c>
      <c r="D673" s="137" t="s">
        <v>544</v>
      </c>
      <c r="E673" s="432" t="s">
        <v>1754</v>
      </c>
      <c r="F673" s="249" t="s">
        <v>856</v>
      </c>
      <c r="G673" s="236" t="s">
        <v>479</v>
      </c>
      <c r="H673" s="237">
        <f>IF(G673="","",VLOOKUP(G673,mah,2,0))</f>
        <v>6</v>
      </c>
      <c r="I673" s="236">
        <v>1402</v>
      </c>
      <c r="J673" s="236"/>
      <c r="K673" s="238">
        <v>5000000</v>
      </c>
      <c r="L673" s="368" t="s">
        <v>1837</v>
      </c>
    </row>
    <row r="674" spans="1:12" ht="15.75" customHeight="1">
      <c r="A674" s="194"/>
      <c r="B674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674" s="137" t="s">
        <v>543</v>
      </c>
      <c r="D674" s="137" t="s">
        <v>544</v>
      </c>
      <c r="E674" s="432" t="s">
        <v>1754</v>
      </c>
      <c r="F674" s="249" t="s">
        <v>856</v>
      </c>
      <c r="G674" s="236" t="s">
        <v>482</v>
      </c>
      <c r="H674" s="237">
        <f>IF(G674="","",VLOOKUP(G674,mah,2,0))</f>
        <v>7</v>
      </c>
      <c r="I674" s="236">
        <v>1402</v>
      </c>
      <c r="J674" s="236"/>
      <c r="K674" s="238">
        <v>5000000</v>
      </c>
      <c r="L674" s="368" t="s">
        <v>1837</v>
      </c>
    </row>
    <row r="675" spans="1:12" ht="15.75" customHeight="1">
      <c r="A675" s="194"/>
      <c r="B675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675" s="137" t="s">
        <v>814</v>
      </c>
      <c r="D675" s="137" t="s">
        <v>705</v>
      </c>
      <c r="E675" s="432" t="s">
        <v>1755</v>
      </c>
      <c r="F675" s="249" t="s">
        <v>1576</v>
      </c>
      <c r="G675" s="236" t="s">
        <v>485</v>
      </c>
      <c r="H675" s="237">
        <f t="shared" si="44"/>
        <v>8</v>
      </c>
      <c r="I675" s="236">
        <v>1402</v>
      </c>
      <c r="J675" s="236"/>
      <c r="K675" s="238">
        <v>10000000</v>
      </c>
      <c r="L675" s="368"/>
    </row>
    <row r="676" spans="1:12" ht="15.75" customHeight="1">
      <c r="A676" s="194"/>
      <c r="B676" s="235">
        <f>SUMIFS('لیست واریزی کل خیرین'!B:B,'لیست واریزی کل خیرین'!D:D,Table1[[#This Row],[نام]],'لیست واریزی کل خیرین'!E:E,Table1[[#This Row],[نام خانوادگی]])</f>
        <v>75</v>
      </c>
      <c r="C676" s="358" t="s">
        <v>843</v>
      </c>
      <c r="D676" s="358" t="s">
        <v>844</v>
      </c>
      <c r="E676" s="432" t="s">
        <v>1756</v>
      </c>
      <c r="F676" s="249" t="s">
        <v>1601</v>
      </c>
      <c r="G676" s="236" t="s">
        <v>485</v>
      </c>
      <c r="H676" s="237">
        <f t="shared" si="44"/>
        <v>8</v>
      </c>
      <c r="I676" s="236">
        <v>1402</v>
      </c>
      <c r="J676" s="236"/>
      <c r="K676" s="238">
        <v>10000000</v>
      </c>
      <c r="L676" s="368"/>
    </row>
    <row r="677" spans="1:12" ht="15.75" customHeight="1">
      <c r="A677" s="194"/>
      <c r="B677" s="235">
        <f>SUMIFS('لیست واریزی کل خیرین'!B:B,'لیست واریزی کل خیرین'!D:D,Table1[[#This Row],[نام]],'لیست واریزی کل خیرین'!E:E,Table1[[#This Row],[نام خانوادگی]])</f>
        <v>88</v>
      </c>
      <c r="C677" s="358" t="s">
        <v>207</v>
      </c>
      <c r="D677" s="358" t="s">
        <v>1462</v>
      </c>
      <c r="E677" s="432" t="s">
        <v>1757</v>
      </c>
      <c r="F677" s="249" t="s">
        <v>1534</v>
      </c>
      <c r="G677" s="236" t="s">
        <v>485</v>
      </c>
      <c r="H677" s="237">
        <f t="shared" si="44"/>
        <v>8</v>
      </c>
      <c r="I677" s="236">
        <v>1402</v>
      </c>
      <c r="J677" s="236"/>
      <c r="K677" s="238">
        <v>9000000</v>
      </c>
      <c r="L677" s="368"/>
    </row>
    <row r="678" spans="1:12" ht="15.75" customHeight="1">
      <c r="A678" s="194"/>
      <c r="B678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678" s="137" t="s">
        <v>480</v>
      </c>
      <c r="D678" s="137" t="s">
        <v>481</v>
      </c>
      <c r="E678" s="432" t="s">
        <v>1757</v>
      </c>
      <c r="F678" s="249" t="s">
        <v>579</v>
      </c>
      <c r="G678" s="236" t="s">
        <v>485</v>
      </c>
      <c r="H678" s="237">
        <f t="shared" si="44"/>
        <v>8</v>
      </c>
      <c r="I678" s="236">
        <v>1402</v>
      </c>
      <c r="J678" s="236"/>
      <c r="K678" s="238">
        <v>50000000</v>
      </c>
      <c r="L678" s="368"/>
    </row>
    <row r="679" spans="1:12" ht="15.75" customHeight="1">
      <c r="A679" s="194"/>
      <c r="B679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679" s="137" t="s">
        <v>596</v>
      </c>
      <c r="D679" s="137" t="s">
        <v>597</v>
      </c>
      <c r="E679" s="432" t="s">
        <v>1758</v>
      </c>
      <c r="F679" s="249" t="s">
        <v>598</v>
      </c>
      <c r="G679" s="236" t="s">
        <v>485</v>
      </c>
      <c r="H679" s="237">
        <f t="shared" si="44"/>
        <v>8</v>
      </c>
      <c r="I679" s="236">
        <v>1402</v>
      </c>
      <c r="J679" s="236"/>
      <c r="K679" s="238">
        <v>4000000</v>
      </c>
      <c r="L679" s="368"/>
    </row>
    <row r="680" spans="1:12" ht="15.75" customHeight="1">
      <c r="A680" s="194"/>
      <c r="B680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680" s="137" t="s">
        <v>497</v>
      </c>
      <c r="D680" s="137" t="s">
        <v>513</v>
      </c>
      <c r="E680" s="432" t="s">
        <v>1759</v>
      </c>
      <c r="F680" s="249" t="s">
        <v>1760</v>
      </c>
      <c r="G680" s="236" t="s">
        <v>485</v>
      </c>
      <c r="H680" s="237">
        <f t="shared" si="44"/>
        <v>8</v>
      </c>
      <c r="I680" s="236">
        <v>1402</v>
      </c>
      <c r="J680" s="236"/>
      <c r="K680" s="238">
        <v>20000000</v>
      </c>
      <c r="L680" s="368"/>
    </row>
    <row r="681" spans="1:12" ht="15.75" customHeight="1">
      <c r="A681" s="194"/>
      <c r="B681" s="235">
        <f>SUMIFS('لیست واریزی کل خیرین'!B:B,'لیست واریزی کل خیرین'!D:D,Table1[[#This Row],[نام]],'لیست واریزی کل خیرین'!E:E,Table1[[#This Row],[نام خانوادگی]])</f>
        <v>123</v>
      </c>
      <c r="C681" s="375" t="s">
        <v>1762</v>
      </c>
      <c r="D681" s="375" t="s">
        <v>1763</v>
      </c>
      <c r="E681" s="432" t="s">
        <v>1759</v>
      </c>
      <c r="F681" s="249" t="s">
        <v>1761</v>
      </c>
      <c r="G681" s="236" t="s">
        <v>485</v>
      </c>
      <c r="H681" s="237">
        <f t="shared" si="44"/>
        <v>8</v>
      </c>
      <c r="I681" s="236">
        <v>1402</v>
      </c>
      <c r="J681" s="236"/>
      <c r="K681" s="238">
        <v>20000000</v>
      </c>
      <c r="L681" s="368"/>
    </row>
    <row r="682" spans="1:12" ht="15.75" customHeight="1">
      <c r="A682" s="194"/>
      <c r="B682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682" s="358" t="s">
        <v>202</v>
      </c>
      <c r="D682" s="358" t="s">
        <v>502</v>
      </c>
      <c r="E682" s="432" t="s">
        <v>1759</v>
      </c>
      <c r="F682" s="249" t="s">
        <v>701</v>
      </c>
      <c r="G682" s="236" t="s">
        <v>485</v>
      </c>
      <c r="H682" s="237">
        <f t="shared" si="44"/>
        <v>8</v>
      </c>
      <c r="I682" s="236">
        <v>1402</v>
      </c>
      <c r="J682" s="236"/>
      <c r="K682" s="238">
        <v>10000000</v>
      </c>
      <c r="L682" s="368"/>
    </row>
    <row r="683" spans="1:12" ht="15.75" customHeight="1">
      <c r="A683" s="194"/>
      <c r="B68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683" s="358"/>
      <c r="D683" s="358"/>
      <c r="E683" s="432" t="s">
        <v>1764</v>
      </c>
      <c r="F683" s="249" t="s">
        <v>835</v>
      </c>
      <c r="G683" s="236" t="s">
        <v>488</v>
      </c>
      <c r="H683" s="237">
        <f t="shared" si="44"/>
        <v>9</v>
      </c>
      <c r="I683" s="236">
        <v>1402</v>
      </c>
      <c r="J683" s="236"/>
      <c r="K683" s="238">
        <v>200000000</v>
      </c>
      <c r="L683" s="368" t="s">
        <v>1969</v>
      </c>
    </row>
    <row r="684" spans="1:12" ht="15.75" customHeight="1">
      <c r="A684" s="194"/>
      <c r="B684" s="235">
        <f>SUMIFS('لیست واریزی کل خیرین'!B:B,'لیست واریزی کل خیرین'!D:D,Table1[[#This Row],[نام]],'لیست واریزی کل خیرین'!E:E,Table1[[#This Row],[نام خانوادگی]])</f>
        <v>61</v>
      </c>
      <c r="C684" s="358" t="s">
        <v>702</v>
      </c>
      <c r="D684" s="358" t="s">
        <v>703</v>
      </c>
      <c r="E684" s="432" t="s">
        <v>1764</v>
      </c>
      <c r="F684" s="249" t="s">
        <v>704</v>
      </c>
      <c r="G684" s="236" t="s">
        <v>488</v>
      </c>
      <c r="H684" s="237">
        <f t="shared" si="44"/>
        <v>9</v>
      </c>
      <c r="I684" s="236">
        <v>1402</v>
      </c>
      <c r="J684" s="236"/>
      <c r="K684" s="238">
        <v>5000000</v>
      </c>
      <c r="L684" s="368"/>
    </row>
    <row r="685" spans="1:12" ht="15.75" customHeight="1">
      <c r="A685" s="194"/>
      <c r="B685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685" s="358" t="s">
        <v>522</v>
      </c>
      <c r="D685" s="358" t="s">
        <v>523</v>
      </c>
      <c r="E685" s="432" t="s">
        <v>1765</v>
      </c>
      <c r="F685" s="249" t="s">
        <v>1766</v>
      </c>
      <c r="G685" s="236" t="s">
        <v>488</v>
      </c>
      <c r="H685" s="237">
        <f t="shared" si="44"/>
        <v>9</v>
      </c>
      <c r="I685" s="236">
        <v>1402</v>
      </c>
      <c r="J685" s="236"/>
      <c r="K685" s="238">
        <v>25789018</v>
      </c>
      <c r="L685" s="368"/>
    </row>
    <row r="686" spans="1:12" ht="15.75" customHeight="1">
      <c r="A686" s="194"/>
      <c r="B686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686" s="358" t="s">
        <v>471</v>
      </c>
      <c r="D686" s="358" t="s">
        <v>472</v>
      </c>
      <c r="E686" s="432" t="s">
        <v>1765</v>
      </c>
      <c r="F686" s="249" t="s">
        <v>1427</v>
      </c>
      <c r="G686" s="236" t="s">
        <v>488</v>
      </c>
      <c r="H686" s="237">
        <f t="shared" si="44"/>
        <v>9</v>
      </c>
      <c r="I686" s="236">
        <v>1402</v>
      </c>
      <c r="J686" s="236"/>
      <c r="K686" s="238">
        <v>2000000</v>
      </c>
      <c r="L686" s="368"/>
    </row>
    <row r="687" spans="1:12" ht="15.75" customHeight="1">
      <c r="A687" s="194"/>
      <c r="B687" s="235">
        <f>SUMIFS('لیست واریزی کل خیرین'!B:B,'لیست واریزی کل خیرین'!D:D,Table1[[#This Row],[نام]],'لیست واریزی کل خیرین'!E:E,Table1[[#This Row],[نام خانوادگی]])</f>
        <v>124</v>
      </c>
      <c r="C687" s="375" t="s">
        <v>1768</v>
      </c>
      <c r="D687" s="375" t="s">
        <v>1769</v>
      </c>
      <c r="E687" s="432" t="s">
        <v>1765</v>
      </c>
      <c r="F687" s="249" t="s">
        <v>1770</v>
      </c>
      <c r="G687" s="236" t="s">
        <v>488</v>
      </c>
      <c r="H687" s="237">
        <f t="shared" si="44"/>
        <v>9</v>
      </c>
      <c r="I687" s="236">
        <v>1402</v>
      </c>
      <c r="J687" s="236"/>
      <c r="K687" s="238">
        <v>50000000</v>
      </c>
      <c r="L687" s="368"/>
    </row>
    <row r="688" spans="1:12" ht="15.75" customHeight="1">
      <c r="A688" s="194"/>
      <c r="B688" s="235">
        <f>SUMIFS('لیست واریزی کل خیرین'!B:B,'لیست واریزی کل خیرین'!D:D,Table1[[#This Row],[نام]],'لیست واریزی کل خیرین'!E:E,Table1[[#This Row],[نام خانوادگی]])</f>
        <v>28</v>
      </c>
      <c r="C688" s="358" t="s">
        <v>545</v>
      </c>
      <c r="D688" s="358" t="s">
        <v>546</v>
      </c>
      <c r="E688" s="432" t="s">
        <v>1767</v>
      </c>
      <c r="F688" s="249" t="s">
        <v>1771</v>
      </c>
      <c r="G688" s="236" t="s">
        <v>488</v>
      </c>
      <c r="H688" s="237">
        <f t="shared" si="44"/>
        <v>9</v>
      </c>
      <c r="I688" s="236">
        <v>1402</v>
      </c>
      <c r="J688" s="236"/>
      <c r="K688" s="238">
        <v>10000000</v>
      </c>
      <c r="L688" s="368" t="s">
        <v>1968</v>
      </c>
    </row>
    <row r="689" spans="1:12" ht="15.75" customHeight="1">
      <c r="A689" s="194"/>
      <c r="B689" s="235">
        <f>SUMIFS('لیست واریزی کل خیرین'!B:B,'لیست واریزی کل خیرین'!D:D,Table1[[#This Row],[نام]],'لیست واریزی کل خیرین'!E:E,Table1[[#This Row],[نام خانوادگی]])</f>
        <v>103</v>
      </c>
      <c r="C689" s="454" t="s">
        <v>1541</v>
      </c>
      <c r="D689" s="375" t="s">
        <v>1542</v>
      </c>
      <c r="E689" s="432" t="s">
        <v>1772</v>
      </c>
      <c r="F689" s="249" t="s">
        <v>1770</v>
      </c>
      <c r="G689" s="236" t="s">
        <v>488</v>
      </c>
      <c r="H689" s="237">
        <f t="shared" ref="H689:H715" si="45">IF(G689="","",VLOOKUP(G689,mah,2,0))</f>
        <v>9</v>
      </c>
      <c r="I689" s="236">
        <v>1402</v>
      </c>
      <c r="J689" s="236"/>
      <c r="K689" s="238">
        <v>6000000</v>
      </c>
      <c r="L689" s="368"/>
    </row>
    <row r="690" spans="1:12" ht="15.75" customHeight="1">
      <c r="A690" s="194"/>
      <c r="B690" s="235">
        <f>SUMIFS('لیست واریزی کل خیرین'!B:B,'لیست واریزی کل خیرین'!D:D,Table1[[#This Row],[نام]],'لیست واریزی کل خیرین'!E:E,Table1[[#This Row],[نام خانوادگی]])</f>
        <v>11</v>
      </c>
      <c r="C690" s="137" t="s">
        <v>494</v>
      </c>
      <c r="D690" s="137" t="s">
        <v>495</v>
      </c>
      <c r="E690" s="432" t="s">
        <v>1772</v>
      </c>
      <c r="F690" s="249" t="s">
        <v>573</v>
      </c>
      <c r="G690" s="236" t="s">
        <v>488</v>
      </c>
      <c r="H690" s="237">
        <f t="shared" si="45"/>
        <v>9</v>
      </c>
      <c r="I690" s="236">
        <v>1402</v>
      </c>
      <c r="J690" s="236"/>
      <c r="K690" s="238">
        <v>50000000</v>
      </c>
      <c r="L690" s="368"/>
    </row>
    <row r="691" spans="1:12" ht="15.75" customHeight="1">
      <c r="A691" s="194"/>
      <c r="B691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691" s="358" t="s">
        <v>489</v>
      </c>
      <c r="D691" s="358" t="s">
        <v>490</v>
      </c>
      <c r="E691" s="432" t="s">
        <v>1772</v>
      </c>
      <c r="F691" s="249" t="s">
        <v>1770</v>
      </c>
      <c r="G691" s="236" t="s">
        <v>488</v>
      </c>
      <c r="H691" s="237">
        <f t="shared" si="45"/>
        <v>9</v>
      </c>
      <c r="I691" s="236">
        <v>1402</v>
      </c>
      <c r="J691" s="236"/>
      <c r="K691" s="238">
        <v>100000000</v>
      </c>
      <c r="L691" s="368"/>
    </row>
    <row r="692" spans="1:12" ht="15.75" customHeight="1">
      <c r="A692" s="194"/>
      <c r="B692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692" s="358" t="s">
        <v>494</v>
      </c>
      <c r="D692" s="358" t="s">
        <v>533</v>
      </c>
      <c r="E692" s="432" t="s">
        <v>1773</v>
      </c>
      <c r="F692" s="249" t="s">
        <v>1774</v>
      </c>
      <c r="G692" s="236" t="s">
        <v>488</v>
      </c>
      <c r="H692" s="237">
        <f t="shared" si="45"/>
        <v>9</v>
      </c>
      <c r="I692" s="236">
        <v>1402</v>
      </c>
      <c r="J692" s="236"/>
      <c r="K692" s="238">
        <v>50000000</v>
      </c>
      <c r="L692" s="368"/>
    </row>
    <row r="693" spans="1:12" ht="15.75" customHeight="1">
      <c r="A693" s="194"/>
      <c r="B693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693" s="137" t="s">
        <v>494</v>
      </c>
      <c r="D693" s="137" t="s">
        <v>511</v>
      </c>
      <c r="E693" s="432" t="s">
        <v>1775</v>
      </c>
      <c r="F693" s="249" t="s">
        <v>1770</v>
      </c>
      <c r="G693" s="236" t="s">
        <v>488</v>
      </c>
      <c r="H693" s="237">
        <f t="shared" si="45"/>
        <v>9</v>
      </c>
      <c r="I693" s="236">
        <v>1402</v>
      </c>
      <c r="J693" s="236"/>
      <c r="K693" s="238">
        <v>50000000</v>
      </c>
      <c r="L693" s="368"/>
    </row>
    <row r="694" spans="1:12" ht="15.75" customHeight="1">
      <c r="A694" s="194"/>
      <c r="B694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694" s="137" t="s">
        <v>497</v>
      </c>
      <c r="D694" s="152" t="s">
        <v>498</v>
      </c>
      <c r="E694" s="432" t="s">
        <v>1776</v>
      </c>
      <c r="F694" s="249" t="s">
        <v>862</v>
      </c>
      <c r="G694" s="236" t="s">
        <v>496</v>
      </c>
      <c r="H694" s="237">
        <f t="shared" si="45"/>
        <v>11</v>
      </c>
      <c r="I694" s="236">
        <v>1402</v>
      </c>
      <c r="J694" s="236"/>
      <c r="K694" s="238">
        <v>10000000</v>
      </c>
      <c r="L694" s="368" t="s">
        <v>2008</v>
      </c>
    </row>
    <row r="695" spans="1:12" ht="15.75" customHeight="1">
      <c r="A695" s="194"/>
      <c r="B695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695" s="137" t="s">
        <v>497</v>
      </c>
      <c r="D695" s="152" t="s">
        <v>498</v>
      </c>
      <c r="E695" s="432" t="s">
        <v>1776</v>
      </c>
      <c r="F695" s="249" t="s">
        <v>862</v>
      </c>
      <c r="G695" s="236" t="s">
        <v>463</v>
      </c>
      <c r="H695" s="237">
        <f>IF(G695="","",VLOOKUP(G695,mah,2,0))</f>
        <v>1</v>
      </c>
      <c r="I695" s="236">
        <v>1403</v>
      </c>
      <c r="J695" s="236"/>
      <c r="K695" s="238">
        <v>10000000</v>
      </c>
      <c r="L695" s="368" t="s">
        <v>2008</v>
      </c>
    </row>
    <row r="696" spans="1:12" ht="15.75" customHeight="1">
      <c r="A696" s="194"/>
      <c r="B696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696" s="137" t="s">
        <v>497</v>
      </c>
      <c r="D696" s="152" t="s">
        <v>498</v>
      </c>
      <c r="E696" s="432" t="s">
        <v>1776</v>
      </c>
      <c r="F696" s="249" t="s">
        <v>862</v>
      </c>
      <c r="G696" s="236" t="s">
        <v>463</v>
      </c>
      <c r="H696" s="237">
        <f>IF(G696="","",VLOOKUP(G696,mah,2,0))</f>
        <v>1</v>
      </c>
      <c r="I696" s="236">
        <v>1403</v>
      </c>
      <c r="J696" s="236"/>
      <c r="K696" s="238">
        <v>10000000</v>
      </c>
      <c r="L696" s="368" t="s">
        <v>2008</v>
      </c>
    </row>
    <row r="697" spans="1:12" ht="15.75" customHeight="1">
      <c r="A697" s="194"/>
      <c r="B697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697" s="455" t="s">
        <v>1671</v>
      </c>
      <c r="D697" s="358" t="s">
        <v>1672</v>
      </c>
      <c r="E697" s="432" t="s">
        <v>1777</v>
      </c>
      <c r="F697" s="249" t="s">
        <v>1674</v>
      </c>
      <c r="G697" s="236" t="s">
        <v>488</v>
      </c>
      <c r="H697" s="237">
        <f t="shared" si="45"/>
        <v>9</v>
      </c>
      <c r="I697" s="236">
        <v>1402</v>
      </c>
      <c r="J697" s="236"/>
      <c r="K697" s="238">
        <v>1000000</v>
      </c>
      <c r="L697" s="368"/>
    </row>
    <row r="698" spans="1:12" ht="15.75" customHeight="1">
      <c r="A698" s="194"/>
      <c r="B698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698" s="358" t="s">
        <v>486</v>
      </c>
      <c r="D698" s="358" t="s">
        <v>487</v>
      </c>
      <c r="E698" s="432" t="s">
        <v>1777</v>
      </c>
      <c r="F698" s="249" t="s">
        <v>595</v>
      </c>
      <c r="G698" s="236" t="s">
        <v>488</v>
      </c>
      <c r="H698" s="237">
        <f t="shared" si="45"/>
        <v>9</v>
      </c>
      <c r="I698" s="236">
        <v>1402</v>
      </c>
      <c r="J698" s="236"/>
      <c r="K698" s="238">
        <v>20000000</v>
      </c>
      <c r="L698" s="368"/>
    </row>
    <row r="699" spans="1:12" ht="15.75" customHeight="1">
      <c r="A699" s="194"/>
      <c r="B699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699" s="137" t="s">
        <v>814</v>
      </c>
      <c r="D699" s="137" t="s">
        <v>705</v>
      </c>
      <c r="E699" s="432" t="s">
        <v>1778</v>
      </c>
      <c r="F699" s="249" t="s">
        <v>1576</v>
      </c>
      <c r="G699" s="236" t="s">
        <v>488</v>
      </c>
      <c r="H699" s="237">
        <f t="shared" si="45"/>
        <v>9</v>
      </c>
      <c r="I699" s="236">
        <v>1402</v>
      </c>
      <c r="J699" s="236"/>
      <c r="K699" s="238">
        <v>10000000</v>
      </c>
      <c r="L699" s="368"/>
    </row>
    <row r="700" spans="1:12" ht="15.75" customHeight="1">
      <c r="A700" s="194"/>
      <c r="B700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700" s="358" t="s">
        <v>489</v>
      </c>
      <c r="D700" s="358" t="s">
        <v>490</v>
      </c>
      <c r="E700" s="432" t="s">
        <v>1779</v>
      </c>
      <c r="F700" s="249" t="s">
        <v>1770</v>
      </c>
      <c r="G700" s="236" t="s">
        <v>488</v>
      </c>
      <c r="H700" s="237">
        <f t="shared" si="45"/>
        <v>9</v>
      </c>
      <c r="I700" s="236">
        <v>1402</v>
      </c>
      <c r="J700" s="236"/>
      <c r="K700" s="238">
        <v>100000000</v>
      </c>
      <c r="L700" s="368"/>
    </row>
    <row r="701" spans="1:12" ht="15.75" customHeight="1">
      <c r="A701" s="194"/>
      <c r="B701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701" s="358" t="s">
        <v>202</v>
      </c>
      <c r="D701" s="358" t="s">
        <v>502</v>
      </c>
      <c r="E701" s="432" t="s">
        <v>1780</v>
      </c>
      <c r="F701" s="249" t="s">
        <v>701</v>
      </c>
      <c r="G701" s="236" t="s">
        <v>488</v>
      </c>
      <c r="H701" s="237">
        <f t="shared" si="45"/>
        <v>9</v>
      </c>
      <c r="I701" s="236">
        <v>1402</v>
      </c>
      <c r="J701" s="236"/>
      <c r="K701" s="238">
        <v>10000000</v>
      </c>
      <c r="L701" s="368"/>
    </row>
    <row r="702" spans="1:12" ht="15.75" customHeight="1">
      <c r="A702" s="194"/>
      <c r="B702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702" s="137" t="s">
        <v>497</v>
      </c>
      <c r="D702" s="137" t="s">
        <v>513</v>
      </c>
      <c r="E702" s="432" t="s">
        <v>1781</v>
      </c>
      <c r="F702" s="249" t="s">
        <v>1782</v>
      </c>
      <c r="G702" s="236" t="s">
        <v>488</v>
      </c>
      <c r="H702" s="237">
        <f t="shared" si="45"/>
        <v>9</v>
      </c>
      <c r="I702" s="236">
        <v>1402</v>
      </c>
      <c r="J702" s="236"/>
      <c r="K702" s="238">
        <v>20000000</v>
      </c>
      <c r="L702" s="368"/>
    </row>
    <row r="703" spans="1:12" ht="15.75" customHeight="1">
      <c r="A703" s="194"/>
      <c r="B703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703" s="137" t="s">
        <v>596</v>
      </c>
      <c r="D703" s="137" t="s">
        <v>597</v>
      </c>
      <c r="E703" s="432" t="s">
        <v>1781</v>
      </c>
      <c r="F703" s="249" t="s">
        <v>598</v>
      </c>
      <c r="G703" s="236" t="s">
        <v>488</v>
      </c>
      <c r="H703" s="237">
        <f t="shared" si="45"/>
        <v>9</v>
      </c>
      <c r="I703" s="236">
        <v>1402</v>
      </c>
      <c r="J703" s="236"/>
      <c r="K703" s="238">
        <v>4000000</v>
      </c>
      <c r="L703" s="368"/>
    </row>
    <row r="704" spans="1:12" ht="15.75" customHeight="1">
      <c r="A704" s="194"/>
      <c r="B704" s="235">
        <f>SUMIFS('لیست واریزی کل خیرین'!B:B,'لیست واریزی کل خیرین'!D:D,Table1[[#This Row],[نام]],'لیست واریزی کل خیرین'!E:E,Table1[[#This Row],[نام خانوادگی]])</f>
        <v>75</v>
      </c>
      <c r="C704" s="358" t="s">
        <v>843</v>
      </c>
      <c r="D704" s="358" t="s">
        <v>844</v>
      </c>
      <c r="E704" s="432" t="s">
        <v>1801</v>
      </c>
      <c r="F704" s="249" t="s">
        <v>1601</v>
      </c>
      <c r="G704" s="236" t="s">
        <v>493</v>
      </c>
      <c r="H704" s="237">
        <f t="shared" si="45"/>
        <v>10</v>
      </c>
      <c r="I704" s="236">
        <v>1402</v>
      </c>
      <c r="J704" s="236"/>
      <c r="K704" s="238">
        <v>5000000</v>
      </c>
      <c r="L704" s="368"/>
    </row>
    <row r="705" spans="1:12" ht="15.75" customHeight="1">
      <c r="A705" s="194"/>
      <c r="B705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705" s="358" t="s">
        <v>838</v>
      </c>
      <c r="D705" s="358" t="s">
        <v>839</v>
      </c>
      <c r="E705" s="432" t="s">
        <v>1801</v>
      </c>
      <c r="F705" s="249" t="s">
        <v>841</v>
      </c>
      <c r="G705" s="236" t="s">
        <v>493</v>
      </c>
      <c r="H705" s="237">
        <f t="shared" si="45"/>
        <v>10</v>
      </c>
      <c r="I705" s="236">
        <v>1402</v>
      </c>
      <c r="J705" s="236"/>
      <c r="K705" s="238">
        <v>5000000</v>
      </c>
      <c r="L705" s="368"/>
    </row>
    <row r="706" spans="1:12" ht="15.75" customHeight="1">
      <c r="A706" s="194"/>
      <c r="B706" s="235">
        <f>SUMIFS('لیست واریزی کل خیرین'!B:B,'لیست واریزی کل خیرین'!D:D,Table1[[#This Row],[نام]],'لیست واریزی کل خیرین'!E:E,Table1[[#This Row],[نام خانوادگی]])</f>
        <v>88</v>
      </c>
      <c r="C706" s="358" t="s">
        <v>207</v>
      </c>
      <c r="D706" s="358" t="s">
        <v>1462</v>
      </c>
      <c r="E706" s="432" t="s">
        <v>1801</v>
      </c>
      <c r="F706" s="249" t="s">
        <v>1534</v>
      </c>
      <c r="G706" s="236" t="s">
        <v>493</v>
      </c>
      <c r="H706" s="237">
        <f t="shared" si="45"/>
        <v>10</v>
      </c>
      <c r="I706" s="236">
        <v>1402</v>
      </c>
      <c r="J706" s="236"/>
      <c r="K706" s="238">
        <v>3000000</v>
      </c>
      <c r="L706" s="368"/>
    </row>
    <row r="707" spans="1:12" ht="15.75" customHeight="1">
      <c r="A707" s="194"/>
      <c r="B707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707" s="137" t="s">
        <v>480</v>
      </c>
      <c r="D707" s="137" t="s">
        <v>481</v>
      </c>
      <c r="E707" s="432" t="s">
        <v>1802</v>
      </c>
      <c r="F707" s="249" t="s">
        <v>881</v>
      </c>
      <c r="G707" s="236" t="s">
        <v>493</v>
      </c>
      <c r="H707" s="237">
        <f t="shared" si="45"/>
        <v>10</v>
      </c>
      <c r="I707" s="236">
        <v>1402</v>
      </c>
      <c r="J707" s="236"/>
      <c r="K707" s="238">
        <v>50000000</v>
      </c>
      <c r="L707" s="368"/>
    </row>
    <row r="708" spans="1:12" ht="15.75" customHeight="1">
      <c r="A708" s="194"/>
      <c r="B708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708" s="137" t="s">
        <v>494</v>
      </c>
      <c r="D708" s="137" t="s">
        <v>533</v>
      </c>
      <c r="E708" s="432" t="s">
        <v>1794</v>
      </c>
      <c r="F708" s="249" t="s">
        <v>835</v>
      </c>
      <c r="G708" s="236" t="s">
        <v>493</v>
      </c>
      <c r="H708" s="237">
        <f t="shared" si="45"/>
        <v>10</v>
      </c>
      <c r="I708" s="236">
        <v>1402</v>
      </c>
      <c r="J708" s="236"/>
      <c r="K708" s="238">
        <v>50000000</v>
      </c>
      <c r="L708" s="368"/>
    </row>
    <row r="709" spans="1:12" ht="15.75" customHeight="1">
      <c r="A709" s="194"/>
      <c r="B709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709" s="137" t="s">
        <v>494</v>
      </c>
      <c r="D709" s="137" t="s">
        <v>533</v>
      </c>
      <c r="E709" s="432" t="s">
        <v>1794</v>
      </c>
      <c r="F709" s="249" t="s">
        <v>835</v>
      </c>
      <c r="G709" s="236" t="s">
        <v>493</v>
      </c>
      <c r="H709" s="237">
        <f t="shared" si="45"/>
        <v>10</v>
      </c>
      <c r="I709" s="236">
        <v>1402</v>
      </c>
      <c r="J709" s="236"/>
      <c r="K709" s="238">
        <v>50000000</v>
      </c>
      <c r="L709" s="368"/>
    </row>
    <row r="710" spans="1:12" ht="15.75" customHeight="1">
      <c r="A710" s="194"/>
      <c r="B710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710" s="358" t="s">
        <v>522</v>
      </c>
      <c r="D710" s="358" t="s">
        <v>523</v>
      </c>
      <c r="E710" s="432" t="s">
        <v>1803</v>
      </c>
      <c r="F710" s="249"/>
      <c r="G710" s="236" t="s">
        <v>493</v>
      </c>
      <c r="H710" s="237">
        <f t="shared" si="45"/>
        <v>10</v>
      </c>
      <c r="I710" s="236">
        <v>1402</v>
      </c>
      <c r="J710" s="236"/>
      <c r="K710" s="238">
        <v>31010028</v>
      </c>
      <c r="L710" s="368"/>
    </row>
    <row r="711" spans="1:12" ht="15.75" customHeight="1">
      <c r="A711" s="194"/>
      <c r="B711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711" s="455" t="s">
        <v>1671</v>
      </c>
      <c r="D711" s="358" t="s">
        <v>1672</v>
      </c>
      <c r="E711" s="432" t="s">
        <v>1804</v>
      </c>
      <c r="F711" s="249" t="s">
        <v>1674</v>
      </c>
      <c r="G711" s="236" t="s">
        <v>493</v>
      </c>
      <c r="H711" s="237">
        <f t="shared" si="45"/>
        <v>10</v>
      </c>
      <c r="I711" s="236">
        <v>1402</v>
      </c>
      <c r="J711" s="236"/>
      <c r="K711" s="238">
        <v>1000000</v>
      </c>
      <c r="L711" s="368"/>
    </row>
    <row r="712" spans="1:12" ht="15.75" customHeight="1">
      <c r="A712" s="194"/>
      <c r="B712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712" s="137" t="s">
        <v>529</v>
      </c>
      <c r="D712" s="137" t="s">
        <v>530</v>
      </c>
      <c r="E712" s="432" t="s">
        <v>1795</v>
      </c>
      <c r="F712" s="249" t="s">
        <v>689</v>
      </c>
      <c r="G712" s="236" t="s">
        <v>493</v>
      </c>
      <c r="H712" s="237">
        <f t="shared" si="45"/>
        <v>10</v>
      </c>
      <c r="I712" s="236">
        <v>1402</v>
      </c>
      <c r="J712" s="236"/>
      <c r="K712" s="238">
        <v>5000000</v>
      </c>
      <c r="L712" s="368"/>
    </row>
    <row r="713" spans="1:12" ht="15.75" customHeight="1">
      <c r="A713" s="194"/>
      <c r="B713" s="235">
        <f>SUMIFS('لیست واریزی کل خیرین'!B:B,'لیست واریزی کل خیرین'!D:D,Table1[[#This Row],[نام]],'لیست واریزی کل خیرین'!E:E,Table1[[#This Row],[نام خانوادگی]])</f>
        <v>123</v>
      </c>
      <c r="C713" s="358" t="s">
        <v>1762</v>
      </c>
      <c r="D713" s="358" t="s">
        <v>1763</v>
      </c>
      <c r="E713" s="432" t="s">
        <v>1796</v>
      </c>
      <c r="F713" s="249" t="s">
        <v>1761</v>
      </c>
      <c r="G713" s="236" t="s">
        <v>493</v>
      </c>
      <c r="H713" s="237">
        <f t="shared" si="45"/>
        <v>10</v>
      </c>
      <c r="I713" s="236">
        <v>1402</v>
      </c>
      <c r="J713" s="236"/>
      <c r="K713" s="238">
        <v>20000000</v>
      </c>
      <c r="L713" s="368"/>
    </row>
    <row r="714" spans="1:12" ht="15.75" customHeight="1">
      <c r="A714" s="194"/>
      <c r="B714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714" s="137" t="s">
        <v>494</v>
      </c>
      <c r="D714" s="137" t="s">
        <v>546</v>
      </c>
      <c r="E714" s="432" t="s">
        <v>1805</v>
      </c>
      <c r="F714" s="249" t="s">
        <v>1806</v>
      </c>
      <c r="G714" s="236" t="s">
        <v>493</v>
      </c>
      <c r="H714" s="237">
        <f t="shared" si="45"/>
        <v>10</v>
      </c>
      <c r="I714" s="236">
        <v>1402</v>
      </c>
      <c r="J714" s="236"/>
      <c r="K714" s="238">
        <v>80000000</v>
      </c>
      <c r="L714" s="368"/>
    </row>
    <row r="715" spans="1:12" ht="15.75" customHeight="1">
      <c r="A715" s="194"/>
      <c r="B715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715" s="358" t="s">
        <v>471</v>
      </c>
      <c r="D715" s="358" t="s">
        <v>472</v>
      </c>
      <c r="E715" s="432" t="s">
        <v>1807</v>
      </c>
      <c r="F715" s="249" t="s">
        <v>1291</v>
      </c>
      <c r="G715" s="236" t="s">
        <v>493</v>
      </c>
      <c r="H715" s="237">
        <f t="shared" si="45"/>
        <v>10</v>
      </c>
      <c r="I715" s="236">
        <v>1402</v>
      </c>
      <c r="J715" s="236"/>
      <c r="K715" s="238">
        <v>2000000</v>
      </c>
      <c r="L715" s="368"/>
    </row>
    <row r="716" spans="1:12" ht="15.75" customHeight="1">
      <c r="A716" s="194"/>
      <c r="B716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716" s="137" t="s">
        <v>494</v>
      </c>
      <c r="D716" s="137" t="s">
        <v>511</v>
      </c>
      <c r="E716" s="432" t="s">
        <v>1808</v>
      </c>
      <c r="F716" s="249" t="s">
        <v>835</v>
      </c>
      <c r="G716" s="236" t="s">
        <v>493</v>
      </c>
      <c r="H716" s="237">
        <f t="shared" ref="H716:H727" si="46">IF(G716="","",VLOOKUP(G716,mah,2,0))</f>
        <v>10</v>
      </c>
      <c r="I716" s="236">
        <v>1402</v>
      </c>
      <c r="J716" s="236"/>
      <c r="K716" s="238">
        <v>50000000</v>
      </c>
      <c r="L716" s="368"/>
    </row>
    <row r="717" spans="1:12" ht="15.75" customHeight="1">
      <c r="A717" s="194"/>
      <c r="B717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717" s="358" t="s">
        <v>489</v>
      </c>
      <c r="D717" s="358" t="s">
        <v>490</v>
      </c>
      <c r="E717" s="432" t="s">
        <v>1797</v>
      </c>
      <c r="F717" s="249" t="s">
        <v>1809</v>
      </c>
      <c r="G717" s="236" t="s">
        <v>493</v>
      </c>
      <c r="H717" s="237">
        <f t="shared" si="46"/>
        <v>10</v>
      </c>
      <c r="I717" s="236">
        <v>1402</v>
      </c>
      <c r="J717" s="236"/>
      <c r="K717" s="238">
        <v>5000000</v>
      </c>
      <c r="L717" s="368"/>
    </row>
    <row r="718" spans="1:12" ht="15.75" customHeight="1">
      <c r="A718" s="194"/>
      <c r="B718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718" s="358" t="s">
        <v>475</v>
      </c>
      <c r="D718" s="358" t="s">
        <v>476</v>
      </c>
      <c r="E718" s="432" t="s">
        <v>1797</v>
      </c>
      <c r="F718" s="249" t="s">
        <v>867</v>
      </c>
      <c r="G718" s="236" t="s">
        <v>493</v>
      </c>
      <c r="H718" s="237">
        <f t="shared" si="46"/>
        <v>10</v>
      </c>
      <c r="I718" s="236">
        <v>1402</v>
      </c>
      <c r="J718" s="236"/>
      <c r="K718" s="238">
        <v>5000000</v>
      </c>
      <c r="L718" s="368" t="s">
        <v>1833</v>
      </c>
    </row>
    <row r="719" spans="1:12" ht="15.75" customHeight="1">
      <c r="A719" s="194"/>
      <c r="B719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719" s="358" t="s">
        <v>475</v>
      </c>
      <c r="D719" s="358" t="s">
        <v>476</v>
      </c>
      <c r="E719" s="432" t="s">
        <v>1797</v>
      </c>
      <c r="F719" s="249" t="s">
        <v>867</v>
      </c>
      <c r="G719" s="236" t="s">
        <v>496</v>
      </c>
      <c r="H719" s="237">
        <f>IF(G719="","",VLOOKUP(G719,mah,2,0))</f>
        <v>11</v>
      </c>
      <c r="I719" s="236">
        <v>1402</v>
      </c>
      <c r="J719" s="236"/>
      <c r="K719" s="238">
        <v>5000000</v>
      </c>
      <c r="L719" s="368" t="s">
        <v>1833</v>
      </c>
    </row>
    <row r="720" spans="1:12" ht="15.75" customHeight="1">
      <c r="A720" s="194"/>
      <c r="B720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720" s="358" t="s">
        <v>475</v>
      </c>
      <c r="D720" s="358" t="s">
        <v>476</v>
      </c>
      <c r="E720" s="432" t="s">
        <v>1797</v>
      </c>
      <c r="F720" s="249" t="s">
        <v>867</v>
      </c>
      <c r="G720" s="236" t="s">
        <v>499</v>
      </c>
      <c r="H720" s="237">
        <f>IF(G720="","",VLOOKUP(G720,mah,2,0))</f>
        <v>12</v>
      </c>
      <c r="I720" s="236">
        <v>1402</v>
      </c>
      <c r="J720" s="236"/>
      <c r="K720" s="238">
        <v>5000000</v>
      </c>
      <c r="L720" s="368" t="s">
        <v>1833</v>
      </c>
    </row>
    <row r="721" spans="1:12" ht="15.75" customHeight="1">
      <c r="A721" s="194"/>
      <c r="B721" s="235">
        <f>SUMIFS('لیست واریزی کل خیرین'!B:B,'لیست واریزی کل خیرین'!D:D,Table1[[#This Row],[نام]],'لیست واریزی کل خیرین'!E:E,Table1[[#This Row],[نام خانوادگی]])</f>
        <v>11</v>
      </c>
      <c r="C721" s="137" t="s">
        <v>494</v>
      </c>
      <c r="D721" s="137" t="s">
        <v>495</v>
      </c>
      <c r="E721" s="432" t="s">
        <v>1810</v>
      </c>
      <c r="F721" s="249" t="s">
        <v>1811</v>
      </c>
      <c r="G721" s="236" t="s">
        <v>493</v>
      </c>
      <c r="H721" s="237">
        <f t="shared" si="46"/>
        <v>10</v>
      </c>
      <c r="I721" s="236">
        <v>1402</v>
      </c>
      <c r="J721" s="236"/>
      <c r="K721" s="238">
        <v>50000000</v>
      </c>
      <c r="L721" s="368"/>
    </row>
    <row r="722" spans="1:12" ht="15.75" customHeight="1">
      <c r="A722" s="194"/>
      <c r="B722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722" s="358" t="s">
        <v>486</v>
      </c>
      <c r="D722" s="358" t="s">
        <v>487</v>
      </c>
      <c r="E722" s="432" t="s">
        <v>1812</v>
      </c>
      <c r="F722" s="249" t="s">
        <v>595</v>
      </c>
      <c r="G722" s="236" t="s">
        <v>493</v>
      </c>
      <c r="H722" s="237">
        <f t="shared" si="46"/>
        <v>10</v>
      </c>
      <c r="I722" s="236">
        <v>1402</v>
      </c>
      <c r="J722" s="236"/>
      <c r="K722" s="238">
        <v>40000000</v>
      </c>
      <c r="L722" s="368"/>
    </row>
    <row r="723" spans="1:12" ht="15.75" customHeight="1">
      <c r="A723" s="194"/>
      <c r="B723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723" s="137" t="s">
        <v>814</v>
      </c>
      <c r="D723" s="137" t="s">
        <v>705</v>
      </c>
      <c r="E723" s="432" t="s">
        <v>1813</v>
      </c>
      <c r="F723" s="249" t="s">
        <v>1576</v>
      </c>
      <c r="G723" s="236" t="s">
        <v>493</v>
      </c>
      <c r="H723" s="237">
        <f t="shared" si="46"/>
        <v>10</v>
      </c>
      <c r="I723" s="236">
        <v>1402</v>
      </c>
      <c r="J723" s="236"/>
      <c r="K723" s="238">
        <v>10000000</v>
      </c>
      <c r="L723" s="368"/>
    </row>
    <row r="724" spans="1:12" ht="15.75" customHeight="1">
      <c r="A724" s="194"/>
      <c r="B724" s="235">
        <f>SUMIFS('لیست واریزی کل خیرین'!B:B,'لیست واریزی کل خیرین'!D:D,Table1[[#This Row],[نام]],'لیست واریزی کل خیرین'!E:E,Table1[[#This Row],[نام خانوادگی]])</f>
        <v>71</v>
      </c>
      <c r="C724" s="137" t="s">
        <v>494</v>
      </c>
      <c r="D724" s="137" t="s">
        <v>816</v>
      </c>
      <c r="E724" s="432" t="s">
        <v>1814</v>
      </c>
      <c r="F724" s="249" t="s">
        <v>1601</v>
      </c>
      <c r="G724" s="236" t="s">
        <v>493</v>
      </c>
      <c r="H724" s="237">
        <f t="shared" si="46"/>
        <v>10</v>
      </c>
      <c r="I724" s="236">
        <v>1402</v>
      </c>
      <c r="J724" s="236"/>
      <c r="K724" s="238">
        <v>10000000</v>
      </c>
      <c r="L724" s="368"/>
    </row>
    <row r="725" spans="1:12" ht="15.75" customHeight="1">
      <c r="A725" s="194"/>
      <c r="B725" s="235">
        <f>SUMIFS('لیست واریزی کل خیرین'!B:B,'لیست واریزی کل خیرین'!D:D,Table1[[#This Row],[نام]],'لیست واریزی کل خیرین'!E:E,Table1[[#This Row],[نام خانوادگی]])</f>
        <v>29</v>
      </c>
      <c r="C725" s="137" t="s">
        <v>549</v>
      </c>
      <c r="D725" s="137" t="s">
        <v>550</v>
      </c>
      <c r="E725" s="432" t="s">
        <v>1815</v>
      </c>
      <c r="F725" s="249" t="s">
        <v>1816</v>
      </c>
      <c r="G725" s="236" t="s">
        <v>493</v>
      </c>
      <c r="H725" s="237">
        <f t="shared" si="46"/>
        <v>10</v>
      </c>
      <c r="I725" s="236">
        <v>1402</v>
      </c>
      <c r="J725" s="236"/>
      <c r="K725" s="238">
        <v>1500000</v>
      </c>
      <c r="L725" s="368"/>
    </row>
    <row r="726" spans="1:12" ht="15.75" customHeight="1">
      <c r="A726" s="194"/>
      <c r="B726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726" s="358" t="s">
        <v>489</v>
      </c>
      <c r="D726" s="358" t="s">
        <v>490</v>
      </c>
      <c r="E726" s="432" t="s">
        <v>1817</v>
      </c>
      <c r="F726" s="249" t="s">
        <v>571</v>
      </c>
      <c r="G726" s="236" t="s">
        <v>493</v>
      </c>
      <c r="H726" s="237">
        <f t="shared" si="46"/>
        <v>10</v>
      </c>
      <c r="I726" s="236">
        <v>1402</v>
      </c>
      <c r="J726" s="236"/>
      <c r="K726" s="238">
        <v>5000000</v>
      </c>
      <c r="L726" s="368"/>
    </row>
    <row r="727" spans="1:12" ht="15.75" customHeight="1">
      <c r="A727" s="194"/>
      <c r="B727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727" s="358" t="s">
        <v>202</v>
      </c>
      <c r="D727" s="358" t="s">
        <v>502</v>
      </c>
      <c r="E727" s="432" t="s">
        <v>1818</v>
      </c>
      <c r="F727" s="249" t="s">
        <v>701</v>
      </c>
      <c r="G727" s="236" t="s">
        <v>493</v>
      </c>
      <c r="H727" s="237">
        <f t="shared" si="46"/>
        <v>10</v>
      </c>
      <c r="I727" s="236">
        <v>1402</v>
      </c>
      <c r="J727" s="236"/>
      <c r="K727" s="238">
        <v>10000000</v>
      </c>
      <c r="L727" s="368"/>
    </row>
    <row r="728" spans="1:12" ht="15.75" customHeight="1">
      <c r="A728" s="194"/>
      <c r="B728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728" s="137" t="s">
        <v>480</v>
      </c>
      <c r="D728" s="137" t="s">
        <v>481</v>
      </c>
      <c r="E728" s="432" t="s">
        <v>1818</v>
      </c>
      <c r="F728" s="249" t="s">
        <v>579</v>
      </c>
      <c r="G728" s="236" t="s">
        <v>493</v>
      </c>
      <c r="H728" s="237">
        <f t="shared" ref="H728:H732" si="47">IF(G728="","",VLOOKUP(G728,mah,2,0))</f>
        <v>10</v>
      </c>
      <c r="I728" s="236">
        <v>1402</v>
      </c>
      <c r="J728" s="236"/>
      <c r="K728" s="238">
        <v>50000000</v>
      </c>
      <c r="L728" s="368"/>
    </row>
    <row r="729" spans="1:12" ht="15.75" customHeight="1">
      <c r="A729" s="194"/>
      <c r="B729" s="235">
        <f>SUMIFS('لیست واریزی کل خیرین'!B:B,'لیست واریزی کل خیرین'!D:D,Table1[[#This Row],[نام]],'لیست واریزی کل خیرین'!E:E,Table1[[#This Row],[نام خانوادگی]])</f>
        <v>50</v>
      </c>
      <c r="C729" s="137" t="s">
        <v>503</v>
      </c>
      <c r="D729" s="137" t="s">
        <v>664</v>
      </c>
      <c r="E729" s="432" t="s">
        <v>1818</v>
      </c>
      <c r="F729" s="249" t="s">
        <v>1418</v>
      </c>
      <c r="G729" s="236" t="s">
        <v>493</v>
      </c>
      <c r="H729" s="237">
        <f t="shared" si="47"/>
        <v>10</v>
      </c>
      <c r="I729" s="236">
        <v>1402</v>
      </c>
      <c r="J729" s="236"/>
      <c r="K729" s="238">
        <v>10000000</v>
      </c>
      <c r="L729" s="368"/>
    </row>
    <row r="730" spans="1:12" ht="15.75" customHeight="1">
      <c r="A730" s="194"/>
      <c r="B730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730" s="137" t="s">
        <v>596</v>
      </c>
      <c r="D730" s="137" t="s">
        <v>597</v>
      </c>
      <c r="E730" s="432" t="s">
        <v>1818</v>
      </c>
      <c r="F730" s="249" t="s">
        <v>598</v>
      </c>
      <c r="G730" s="236" t="s">
        <v>493</v>
      </c>
      <c r="H730" s="237">
        <f t="shared" si="47"/>
        <v>10</v>
      </c>
      <c r="I730" s="236">
        <v>1402</v>
      </c>
      <c r="J730" s="236"/>
      <c r="K730" s="238">
        <v>5000000</v>
      </c>
      <c r="L730" s="368"/>
    </row>
    <row r="731" spans="1:12" ht="15.75" customHeight="1">
      <c r="A731" s="194"/>
      <c r="B731" s="235">
        <f>SUMIFS('لیست واریزی کل خیرین'!B:B,'لیست واریزی کل خیرین'!D:D,Table1[[#This Row],[نام]],'لیست واریزی کل خیرین'!E:E,Table1[[#This Row],[نام خانوادگی]])</f>
        <v>125</v>
      </c>
      <c r="C731" s="375" t="s">
        <v>1819</v>
      </c>
      <c r="D731" s="375" t="s">
        <v>1820</v>
      </c>
      <c r="E731" s="432" t="s">
        <v>1818</v>
      </c>
      <c r="F731" s="249" t="s">
        <v>1821</v>
      </c>
      <c r="G731" s="236" t="s">
        <v>493</v>
      </c>
      <c r="H731" s="237">
        <f t="shared" si="47"/>
        <v>10</v>
      </c>
      <c r="I731" s="236">
        <v>1402</v>
      </c>
      <c r="J731" s="236"/>
      <c r="K731" s="238">
        <v>5000000</v>
      </c>
      <c r="L731" s="368"/>
    </row>
    <row r="732" spans="1:12" ht="15.75" customHeight="1">
      <c r="A732" s="194"/>
      <c r="B732" s="235">
        <f>SUMIFS('لیست واریزی کل خیرین'!B:B,'لیست واریزی کل خیرین'!D:D,Table1[[#This Row],[نام]],'لیست واریزی کل خیرین'!E:E,Table1[[#This Row],[نام خانوادگی]])</f>
        <v>61</v>
      </c>
      <c r="C732" s="358" t="s">
        <v>702</v>
      </c>
      <c r="D732" s="358" t="s">
        <v>703</v>
      </c>
      <c r="E732" s="432" t="s">
        <v>1822</v>
      </c>
      <c r="F732" s="249" t="s">
        <v>704</v>
      </c>
      <c r="G732" s="236" t="s">
        <v>496</v>
      </c>
      <c r="H732" s="237">
        <f t="shared" si="47"/>
        <v>11</v>
      </c>
      <c r="I732" s="236">
        <v>1402</v>
      </c>
      <c r="J732" s="236"/>
      <c r="K732" s="238">
        <v>5000000</v>
      </c>
      <c r="L732" s="368"/>
    </row>
    <row r="733" spans="1:12" ht="15.75" customHeight="1">
      <c r="A733" s="194"/>
      <c r="B733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733" s="358" t="s">
        <v>489</v>
      </c>
      <c r="D733" s="358" t="s">
        <v>490</v>
      </c>
      <c r="E733" s="432" t="s">
        <v>1823</v>
      </c>
      <c r="F733" s="249" t="s">
        <v>571</v>
      </c>
      <c r="G733" s="236" t="s">
        <v>496</v>
      </c>
      <c r="H733" s="237">
        <f t="shared" ref="H733:H744" si="48">IF(G733="","",VLOOKUP(G733,mah,2,0))</f>
        <v>11</v>
      </c>
      <c r="I733" s="236">
        <v>1402</v>
      </c>
      <c r="J733" s="236"/>
      <c r="K733" s="238">
        <v>3000000</v>
      </c>
      <c r="L733" s="368"/>
    </row>
    <row r="734" spans="1:12" ht="15.75" customHeight="1">
      <c r="A734" s="194"/>
      <c r="B734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734" s="358" t="s">
        <v>522</v>
      </c>
      <c r="D734" s="358" t="s">
        <v>523</v>
      </c>
      <c r="E734" s="432" t="s">
        <v>1824</v>
      </c>
      <c r="F734" s="249"/>
      <c r="G734" s="236" t="s">
        <v>496</v>
      </c>
      <c r="H734" s="237">
        <f t="shared" si="48"/>
        <v>11</v>
      </c>
      <c r="I734" s="236">
        <v>1402</v>
      </c>
      <c r="J734" s="236"/>
      <c r="K734" s="238">
        <v>33191770</v>
      </c>
      <c r="L734" s="368"/>
    </row>
    <row r="735" spans="1:12" ht="15.75" customHeight="1">
      <c r="A735" s="194"/>
      <c r="B735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735" s="358" t="s">
        <v>489</v>
      </c>
      <c r="D735" s="358" t="s">
        <v>490</v>
      </c>
      <c r="E735" s="432" t="s">
        <v>1824</v>
      </c>
      <c r="F735" s="249" t="s">
        <v>835</v>
      </c>
      <c r="G735" s="236" t="s">
        <v>496</v>
      </c>
      <c r="H735" s="237">
        <f t="shared" si="48"/>
        <v>11</v>
      </c>
      <c r="I735" s="236">
        <v>1402</v>
      </c>
      <c r="J735" s="236"/>
      <c r="K735" s="238">
        <v>175000000</v>
      </c>
      <c r="L735" s="368"/>
    </row>
    <row r="736" spans="1:12" ht="15.75" customHeight="1">
      <c r="A736" s="194"/>
      <c r="B736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736" s="358" t="s">
        <v>494</v>
      </c>
      <c r="D736" s="358" t="s">
        <v>533</v>
      </c>
      <c r="E736" s="432" t="s">
        <v>1824</v>
      </c>
      <c r="F736" s="249" t="s">
        <v>835</v>
      </c>
      <c r="G736" s="236" t="s">
        <v>496</v>
      </c>
      <c r="H736" s="237">
        <f t="shared" si="48"/>
        <v>11</v>
      </c>
      <c r="I736" s="236">
        <v>1402</v>
      </c>
      <c r="J736" s="236"/>
      <c r="K736" s="238">
        <v>50000000</v>
      </c>
      <c r="L736" s="368"/>
    </row>
    <row r="737" spans="1:12" ht="15.75" customHeight="1">
      <c r="A737" s="194"/>
      <c r="B737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737" s="358" t="s">
        <v>494</v>
      </c>
      <c r="D737" s="358" t="s">
        <v>533</v>
      </c>
      <c r="E737" s="432" t="s">
        <v>1824</v>
      </c>
      <c r="F737" s="249" t="s">
        <v>835</v>
      </c>
      <c r="G737" s="236" t="s">
        <v>496</v>
      </c>
      <c r="H737" s="237">
        <f t="shared" ref="H737" si="49">IF(G737="","",VLOOKUP(G737,mah,2,0))</f>
        <v>11</v>
      </c>
      <c r="I737" s="236">
        <v>1402</v>
      </c>
      <c r="J737" s="236"/>
      <c r="K737" s="238">
        <v>50000000</v>
      </c>
      <c r="L737" s="368"/>
    </row>
    <row r="738" spans="1:12" ht="15.75" customHeight="1">
      <c r="A738" s="194"/>
      <c r="B738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738" s="137" t="s">
        <v>497</v>
      </c>
      <c r="D738" s="137" t="s">
        <v>516</v>
      </c>
      <c r="E738" s="432" t="s">
        <v>1825</v>
      </c>
      <c r="F738" s="249" t="s">
        <v>619</v>
      </c>
      <c r="G738" s="236" t="s">
        <v>496</v>
      </c>
      <c r="H738" s="237">
        <f t="shared" si="48"/>
        <v>11</v>
      </c>
      <c r="I738" s="236">
        <v>1402</v>
      </c>
      <c r="J738" s="236"/>
      <c r="K738" s="238">
        <v>5000000</v>
      </c>
      <c r="L738" s="368" t="s">
        <v>1836</v>
      </c>
    </row>
    <row r="739" spans="1:12" ht="15.75" customHeight="1">
      <c r="A739" s="194"/>
      <c r="B739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739" s="137" t="s">
        <v>497</v>
      </c>
      <c r="D739" s="137" t="s">
        <v>516</v>
      </c>
      <c r="E739" s="432" t="s">
        <v>1825</v>
      </c>
      <c r="F739" s="249" t="s">
        <v>619</v>
      </c>
      <c r="G739" s="236" t="s">
        <v>485</v>
      </c>
      <c r="H739" s="237">
        <f>IF(G739="","",VLOOKUP(G739,mah,2,0))</f>
        <v>8</v>
      </c>
      <c r="I739" s="236">
        <v>1402</v>
      </c>
      <c r="J739" s="236"/>
      <c r="K739" s="238">
        <v>5000000</v>
      </c>
      <c r="L739" s="368" t="s">
        <v>1836</v>
      </c>
    </row>
    <row r="740" spans="1:12" ht="15.75" customHeight="1">
      <c r="A740" s="194"/>
      <c r="B740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740" s="137" t="s">
        <v>497</v>
      </c>
      <c r="D740" s="137" t="s">
        <v>516</v>
      </c>
      <c r="E740" s="432" t="s">
        <v>1825</v>
      </c>
      <c r="F740" s="249" t="s">
        <v>619</v>
      </c>
      <c r="G740" s="236" t="s">
        <v>488</v>
      </c>
      <c r="H740" s="237">
        <f>IF(G740="","",VLOOKUP(G740,mah,2,0))</f>
        <v>9</v>
      </c>
      <c r="I740" s="236">
        <v>1402</v>
      </c>
      <c r="J740" s="236"/>
      <c r="K740" s="238">
        <v>5000000</v>
      </c>
      <c r="L740" s="368" t="s">
        <v>1836</v>
      </c>
    </row>
    <row r="741" spans="1:12" ht="15.75" customHeight="1">
      <c r="A741" s="194"/>
      <c r="B741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741" s="137" t="s">
        <v>497</v>
      </c>
      <c r="D741" s="137" t="s">
        <v>516</v>
      </c>
      <c r="E741" s="432" t="s">
        <v>1825</v>
      </c>
      <c r="F741" s="249" t="s">
        <v>619</v>
      </c>
      <c r="G741" s="236" t="s">
        <v>493</v>
      </c>
      <c r="H741" s="237">
        <f>IF(G741="","",VLOOKUP(G741,mah,2,0))</f>
        <v>10</v>
      </c>
      <c r="I741" s="236">
        <v>1402</v>
      </c>
      <c r="J741" s="236"/>
      <c r="K741" s="238">
        <v>5000000</v>
      </c>
      <c r="L741" s="368" t="s">
        <v>1836</v>
      </c>
    </row>
    <row r="742" spans="1:12" ht="15.75" customHeight="1">
      <c r="A742" s="194"/>
      <c r="B742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742" s="137" t="s">
        <v>497</v>
      </c>
      <c r="D742" s="137" t="s">
        <v>516</v>
      </c>
      <c r="E742" s="432" t="s">
        <v>1825</v>
      </c>
      <c r="F742" s="249" t="s">
        <v>619</v>
      </c>
      <c r="G742" s="236" t="s">
        <v>499</v>
      </c>
      <c r="H742" s="237">
        <f>IF(G742="","",VLOOKUP(G742,mah,2,0))</f>
        <v>12</v>
      </c>
      <c r="I742" s="236">
        <v>1402</v>
      </c>
      <c r="J742" s="236"/>
      <c r="K742" s="238">
        <v>5000000</v>
      </c>
      <c r="L742" s="368" t="s">
        <v>1836</v>
      </c>
    </row>
    <row r="743" spans="1:12" ht="15.75" customHeight="1">
      <c r="A743" s="194"/>
      <c r="B743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743" s="358" t="s">
        <v>471</v>
      </c>
      <c r="D743" s="358" t="s">
        <v>472</v>
      </c>
      <c r="E743" s="432" t="s">
        <v>1826</v>
      </c>
      <c r="F743" s="249" t="s">
        <v>1291</v>
      </c>
      <c r="G743" s="236" t="s">
        <v>496</v>
      </c>
      <c r="H743" s="237">
        <f t="shared" si="48"/>
        <v>11</v>
      </c>
      <c r="I743" s="236">
        <v>1402</v>
      </c>
      <c r="J743" s="236"/>
      <c r="K743" s="238">
        <v>2000000</v>
      </c>
      <c r="L743" s="368"/>
    </row>
    <row r="744" spans="1:12" ht="15.75" customHeight="1">
      <c r="A744" s="194"/>
      <c r="B744" s="235">
        <f>SUMIFS('لیست واریزی کل خیرین'!B:B,'لیست واریزی کل خیرین'!D:D,Table1[[#This Row],[نام]],'لیست واریزی کل خیرین'!E:E,Table1[[#This Row],[نام خانوادگی]])</f>
        <v>123</v>
      </c>
      <c r="C744" s="358" t="s">
        <v>1762</v>
      </c>
      <c r="D744" s="358" t="s">
        <v>1763</v>
      </c>
      <c r="E744" s="432" t="s">
        <v>1827</v>
      </c>
      <c r="F744" s="249" t="s">
        <v>1761</v>
      </c>
      <c r="G744" s="236" t="s">
        <v>496</v>
      </c>
      <c r="H744" s="237">
        <f t="shared" si="48"/>
        <v>11</v>
      </c>
      <c r="I744" s="236">
        <v>1402</v>
      </c>
      <c r="J744" s="236"/>
      <c r="K744" s="238">
        <v>20000000</v>
      </c>
      <c r="L744" s="368"/>
    </row>
    <row r="745" spans="1:12" ht="15.75" customHeight="1">
      <c r="A745" s="194"/>
      <c r="B745" s="235">
        <f>SUMIFS('لیست واریزی کل خیرین'!B:B,'لیست واریزی کل خیرین'!D:D,Table1[[#This Row],[نام]],'لیست واریزی کل خیرین'!E:E,Table1[[#This Row],[نام خانوادگی]])</f>
        <v>28</v>
      </c>
      <c r="C745" s="358" t="s">
        <v>545</v>
      </c>
      <c r="D745" s="358" t="s">
        <v>546</v>
      </c>
      <c r="E745" s="432" t="s">
        <v>1827</v>
      </c>
      <c r="F745" s="249" t="s">
        <v>1831</v>
      </c>
      <c r="G745" s="236" t="s">
        <v>496</v>
      </c>
      <c r="H745" s="237">
        <f t="shared" ref="H745" si="50">IF(G745="","",VLOOKUP(G745,mah,2,0))</f>
        <v>11</v>
      </c>
      <c r="I745" s="236">
        <v>1402</v>
      </c>
      <c r="J745" s="236"/>
      <c r="K745" s="238">
        <v>10000000</v>
      </c>
      <c r="L745" s="368"/>
    </row>
    <row r="746" spans="1:12" ht="15.75" customHeight="1">
      <c r="A746" s="194"/>
      <c r="B746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746" s="137" t="s">
        <v>494</v>
      </c>
      <c r="D746" s="137" t="s">
        <v>511</v>
      </c>
      <c r="E746" s="432" t="s">
        <v>1828</v>
      </c>
      <c r="F746" s="249" t="s">
        <v>835</v>
      </c>
      <c r="G746" s="236" t="s">
        <v>496</v>
      </c>
      <c r="H746" s="237">
        <f t="shared" ref="H746" si="51">IF(G746="","",VLOOKUP(G746,mah,2,0))</f>
        <v>11</v>
      </c>
      <c r="I746" s="236">
        <v>1402</v>
      </c>
      <c r="J746" s="236"/>
      <c r="K746" s="238">
        <v>50000000</v>
      </c>
      <c r="L746" s="368"/>
    </row>
    <row r="747" spans="1:12" ht="15.75" customHeight="1">
      <c r="A747" s="194"/>
      <c r="B747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747" s="137" t="s">
        <v>494</v>
      </c>
      <c r="D747" s="137" t="s">
        <v>546</v>
      </c>
      <c r="E747" s="432" t="s">
        <v>1829</v>
      </c>
      <c r="F747" s="249" t="s">
        <v>835</v>
      </c>
      <c r="G747" s="236" t="s">
        <v>496</v>
      </c>
      <c r="H747" s="237">
        <f t="shared" ref="H747:H750" si="52">IF(G747="","",VLOOKUP(G747,mah,2,0))</f>
        <v>11</v>
      </c>
      <c r="I747" s="236">
        <v>1402</v>
      </c>
      <c r="J747" s="236"/>
      <c r="K747" s="238">
        <v>50000000</v>
      </c>
      <c r="L747" s="368"/>
    </row>
    <row r="748" spans="1:12" ht="15.75" customHeight="1">
      <c r="A748" s="194"/>
      <c r="B748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748" s="358" t="s">
        <v>486</v>
      </c>
      <c r="D748" s="358" t="s">
        <v>487</v>
      </c>
      <c r="E748" s="432" t="s">
        <v>1830</v>
      </c>
      <c r="F748" s="249" t="s">
        <v>595</v>
      </c>
      <c r="G748" s="236" t="s">
        <v>496</v>
      </c>
      <c r="H748" s="237">
        <f t="shared" si="52"/>
        <v>11</v>
      </c>
      <c r="I748" s="236">
        <v>1402</v>
      </c>
      <c r="J748" s="236"/>
      <c r="K748" s="238">
        <v>20000000</v>
      </c>
      <c r="L748" s="368"/>
    </row>
    <row r="749" spans="1:12" ht="15.75" customHeight="1">
      <c r="A749" s="194"/>
      <c r="B749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749" s="137" t="s">
        <v>814</v>
      </c>
      <c r="D749" s="137" t="s">
        <v>705</v>
      </c>
      <c r="E749" s="432" t="s">
        <v>1832</v>
      </c>
      <c r="F749" s="249" t="s">
        <v>1576</v>
      </c>
      <c r="G749" s="236" t="s">
        <v>496</v>
      </c>
      <c r="H749" s="237">
        <f t="shared" si="52"/>
        <v>11</v>
      </c>
      <c r="I749" s="236">
        <v>1402</v>
      </c>
      <c r="J749" s="236"/>
      <c r="K749" s="238">
        <v>10000000</v>
      </c>
      <c r="L749" s="368"/>
    </row>
    <row r="750" spans="1:12" ht="15.75" customHeight="1">
      <c r="A750" s="194"/>
      <c r="B750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750" s="358" t="s">
        <v>202</v>
      </c>
      <c r="D750" s="358" t="s">
        <v>502</v>
      </c>
      <c r="E750" s="432" t="s">
        <v>1864</v>
      </c>
      <c r="F750" s="249" t="s">
        <v>701</v>
      </c>
      <c r="G750" s="236" t="s">
        <v>496</v>
      </c>
      <c r="H750" s="237">
        <f t="shared" si="52"/>
        <v>11</v>
      </c>
      <c r="I750" s="236">
        <v>1402</v>
      </c>
      <c r="J750" s="236"/>
      <c r="K750" s="238">
        <v>10000000</v>
      </c>
      <c r="L750" s="368"/>
    </row>
    <row r="751" spans="1:12" ht="15.5" customHeight="1">
      <c r="A751" s="194"/>
      <c r="B751" s="235">
        <f>SUMIFS('لیست واریزی کل خیرین'!B:B,'لیست واریزی کل خیرین'!D:D,Table1[[#This Row],[نام]],'لیست واریزی کل خیرین'!E:E,Table1[[#This Row],[نام خانوادگی]])</f>
        <v>126</v>
      </c>
      <c r="C751" s="375" t="s">
        <v>1868</v>
      </c>
      <c r="D751" s="375" t="s">
        <v>1869</v>
      </c>
      <c r="E751" s="432" t="s">
        <v>1867</v>
      </c>
      <c r="F751" s="249" t="s">
        <v>1865</v>
      </c>
      <c r="G751" s="236" t="s">
        <v>496</v>
      </c>
      <c r="H751" s="237">
        <f t="shared" ref="H751:H752" si="53">IF(G751="","",VLOOKUP(G751,mah,2,0))</f>
        <v>11</v>
      </c>
      <c r="I751" s="236">
        <v>1402</v>
      </c>
      <c r="J751" s="236"/>
      <c r="K751" s="238">
        <v>100000000</v>
      </c>
      <c r="L751" s="368"/>
    </row>
    <row r="752" spans="1:12" ht="15.5" customHeight="1">
      <c r="A752" s="194"/>
      <c r="B752" s="235">
        <f>SUMIFS('لیست واریزی کل خیرین'!B:B,'لیست واریزی کل خیرین'!D:D,Table1[[#This Row],[نام]],'لیست واریزی کل خیرین'!E:E,Table1[[#This Row],[نام خانوادگی]])</f>
        <v>126</v>
      </c>
      <c r="C752" s="375" t="s">
        <v>1868</v>
      </c>
      <c r="D752" s="375" t="s">
        <v>1869</v>
      </c>
      <c r="E752" s="432" t="s">
        <v>1867</v>
      </c>
      <c r="F752" s="249" t="s">
        <v>1866</v>
      </c>
      <c r="G752" s="236" t="s">
        <v>496</v>
      </c>
      <c r="H752" s="237">
        <f t="shared" si="53"/>
        <v>11</v>
      </c>
      <c r="I752" s="236">
        <v>1402</v>
      </c>
      <c r="J752" s="236"/>
      <c r="K752" s="238">
        <v>100000000</v>
      </c>
      <c r="L752" s="368"/>
    </row>
    <row r="753" spans="1:12" ht="15.5" customHeight="1">
      <c r="A753" s="194"/>
      <c r="B753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753" s="137" t="s">
        <v>529</v>
      </c>
      <c r="D753" s="137" t="s">
        <v>530</v>
      </c>
      <c r="E753" s="432" t="s">
        <v>1870</v>
      </c>
      <c r="F753" s="249" t="s">
        <v>689</v>
      </c>
      <c r="G753" s="236" t="s">
        <v>496</v>
      </c>
      <c r="H753" s="237">
        <f t="shared" ref="H753:H758" si="54">IF(G753="","",VLOOKUP(G753,mah,2,0))</f>
        <v>11</v>
      </c>
      <c r="I753" s="236">
        <v>1402</v>
      </c>
      <c r="J753" s="236"/>
      <c r="K753" s="238">
        <v>5000000</v>
      </c>
      <c r="L753" s="368"/>
    </row>
    <row r="754" spans="1:12" ht="15.5" customHeight="1">
      <c r="A754" s="194"/>
      <c r="B754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754" s="358" t="s">
        <v>838</v>
      </c>
      <c r="D754" s="358" t="s">
        <v>839</v>
      </c>
      <c r="E754" s="432" t="s">
        <v>1871</v>
      </c>
      <c r="F754" s="249" t="s">
        <v>841</v>
      </c>
      <c r="G754" s="236" t="s">
        <v>496</v>
      </c>
      <c r="H754" s="237">
        <f t="shared" si="54"/>
        <v>11</v>
      </c>
      <c r="I754" s="236">
        <v>1402</v>
      </c>
      <c r="J754" s="236"/>
      <c r="K754" s="238">
        <v>5000000</v>
      </c>
      <c r="L754" s="368"/>
    </row>
    <row r="755" spans="1:12" ht="15.5" customHeight="1">
      <c r="A755" s="194"/>
      <c r="B755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755" s="137" t="s">
        <v>596</v>
      </c>
      <c r="D755" s="137" t="s">
        <v>597</v>
      </c>
      <c r="E755" s="432" t="s">
        <v>1872</v>
      </c>
      <c r="F755" s="249" t="s">
        <v>598</v>
      </c>
      <c r="G755" s="236" t="s">
        <v>496</v>
      </c>
      <c r="H755" s="237">
        <f t="shared" si="54"/>
        <v>11</v>
      </c>
      <c r="I755" s="236">
        <v>1402</v>
      </c>
      <c r="J755" s="236"/>
      <c r="K755" s="238">
        <v>4000000</v>
      </c>
      <c r="L755" s="368"/>
    </row>
    <row r="756" spans="1:12" ht="15.5" customHeight="1">
      <c r="A756" s="194"/>
      <c r="B756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756" s="137" t="s">
        <v>497</v>
      </c>
      <c r="D756" s="137" t="s">
        <v>513</v>
      </c>
      <c r="E756" s="432" t="s">
        <v>1873</v>
      </c>
      <c r="F756" s="249" t="s">
        <v>1782</v>
      </c>
      <c r="G756" s="236" t="s">
        <v>496</v>
      </c>
      <c r="H756" s="237">
        <f t="shared" si="54"/>
        <v>11</v>
      </c>
      <c r="I756" s="236">
        <v>1402</v>
      </c>
      <c r="J756" s="236"/>
      <c r="K756" s="238">
        <v>20000000</v>
      </c>
      <c r="L756" s="368"/>
    </row>
    <row r="757" spans="1:12" ht="15.5" customHeight="1">
      <c r="A757" s="194"/>
      <c r="B757" s="235">
        <f>SUMIFS('لیست واریزی کل خیرین'!B:B,'لیست واریزی کل خیرین'!D:D,Table1[[#This Row],[نام]],'لیست واریزی کل خیرین'!E:E,Table1[[#This Row],[نام خانوادگی]])</f>
        <v>127</v>
      </c>
      <c r="C757" s="375" t="s">
        <v>1876</v>
      </c>
      <c r="D757" s="375" t="s">
        <v>1877</v>
      </c>
      <c r="E757" s="432" t="s">
        <v>1874</v>
      </c>
      <c r="F757" s="249" t="s">
        <v>1875</v>
      </c>
      <c r="G757" s="236" t="s">
        <v>499</v>
      </c>
      <c r="H757" s="237">
        <f t="shared" si="54"/>
        <v>12</v>
      </c>
      <c r="I757" s="236">
        <v>1402</v>
      </c>
      <c r="J757" s="236"/>
      <c r="K757" s="238">
        <v>100000000</v>
      </c>
      <c r="L757" s="368"/>
    </row>
    <row r="758" spans="1:12" ht="15.5" customHeight="1">
      <c r="A758" s="194"/>
      <c r="B758" s="235">
        <f>SUMIFS('لیست واریزی کل خیرین'!B:B,'لیست واریزی کل خیرین'!D:D,Table1[[#This Row],[نام]],'لیست واریزی کل خیرین'!E:E,Table1[[#This Row],[نام خانوادگی]])</f>
        <v>124</v>
      </c>
      <c r="C758" s="358" t="s">
        <v>1768</v>
      </c>
      <c r="D758" s="358" t="s">
        <v>1769</v>
      </c>
      <c r="E758" s="432" t="s">
        <v>1878</v>
      </c>
      <c r="F758" s="249" t="s">
        <v>835</v>
      </c>
      <c r="G758" s="236" t="s">
        <v>499</v>
      </c>
      <c r="H758" s="237">
        <f t="shared" si="54"/>
        <v>12</v>
      </c>
      <c r="I758" s="236">
        <v>1402</v>
      </c>
      <c r="J758" s="236"/>
      <c r="K758" s="238">
        <v>50000000</v>
      </c>
      <c r="L758" s="368"/>
    </row>
    <row r="759" spans="1:12" ht="15.75" customHeight="1">
      <c r="A759" s="194"/>
      <c r="B759" s="235">
        <f>SUMIFS('لیست واریزی کل خیرین'!B:B,'لیست واریزی کل خیرین'!D:D,Table1[[#This Row],[نام]],'لیست واریزی کل خیرین'!E:E,Table1[[#This Row],[نام خانوادگی]])</f>
        <v>124</v>
      </c>
      <c r="C759" s="358" t="s">
        <v>1768</v>
      </c>
      <c r="D759" s="358" t="s">
        <v>1769</v>
      </c>
      <c r="E759" s="432" t="s">
        <v>1878</v>
      </c>
      <c r="F759" s="249" t="s">
        <v>835</v>
      </c>
      <c r="G759" s="236" t="s">
        <v>499</v>
      </c>
      <c r="H759" s="237">
        <f t="shared" ref="H759" si="55">IF(G759="","",VLOOKUP(G759,mah,2,0))</f>
        <v>12</v>
      </c>
      <c r="I759" s="236">
        <v>1402</v>
      </c>
      <c r="J759" s="236"/>
      <c r="K759" s="238">
        <v>50000000</v>
      </c>
      <c r="L759" s="368"/>
    </row>
    <row r="760" spans="1:12" ht="15.75" customHeight="1">
      <c r="A760" s="194"/>
      <c r="B760" s="235">
        <f>SUMIFS('لیست واریزی کل خیرین'!B:B,'لیست واریزی کل خیرین'!D:D,Table1[[#This Row],[نام]],'لیست واریزی کل خیرین'!E:E,Table1[[#This Row],[نام خانوادگی]])</f>
        <v>123</v>
      </c>
      <c r="C760" s="358" t="s">
        <v>1762</v>
      </c>
      <c r="D760" s="358" t="s">
        <v>1763</v>
      </c>
      <c r="E760" s="432" t="s">
        <v>1879</v>
      </c>
      <c r="F760" s="249" t="s">
        <v>1761</v>
      </c>
      <c r="G760" s="236" t="s">
        <v>499</v>
      </c>
      <c r="H760" s="237">
        <f t="shared" ref="H760:H775" si="56">IF(G760="","",VLOOKUP(G760,mah,2,0))</f>
        <v>12</v>
      </c>
      <c r="I760" s="236">
        <v>1402</v>
      </c>
      <c r="J760" s="236"/>
      <c r="K760" s="238">
        <v>20000000</v>
      </c>
      <c r="L760" s="368"/>
    </row>
    <row r="761" spans="1:12" ht="15.75" customHeight="1">
      <c r="A761" s="194" t="s">
        <v>1839</v>
      </c>
      <c r="B761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761" s="358" t="s">
        <v>522</v>
      </c>
      <c r="D761" s="358" t="s">
        <v>523</v>
      </c>
      <c r="E761" s="432" t="s">
        <v>1880</v>
      </c>
      <c r="F761" s="249"/>
      <c r="G761" s="236" t="s">
        <v>499</v>
      </c>
      <c r="H761" s="237">
        <f t="shared" si="56"/>
        <v>12</v>
      </c>
      <c r="I761" s="236">
        <v>1402</v>
      </c>
      <c r="J761" s="236"/>
      <c r="K761" s="238">
        <v>34404827</v>
      </c>
      <c r="L761" s="368"/>
    </row>
    <row r="762" spans="1:12" ht="15.75" customHeight="1">
      <c r="A762" s="194"/>
      <c r="B762" s="235">
        <f>SUMIFS('لیست واریزی کل خیرین'!B:B,'لیست واریزی کل خیرین'!D:D,Table1[[#This Row],[نام]],'لیست واریزی کل خیرین'!E:E,Table1[[#This Row],[نام خانوادگی]])</f>
        <v>107</v>
      </c>
      <c r="C762" s="454" t="s">
        <v>1605</v>
      </c>
      <c r="D762" s="375" t="s">
        <v>1606</v>
      </c>
      <c r="E762" s="432" t="s">
        <v>1881</v>
      </c>
      <c r="F762" s="249" t="s">
        <v>1882</v>
      </c>
      <c r="G762" s="236" t="s">
        <v>499</v>
      </c>
      <c r="H762" s="237">
        <f t="shared" si="56"/>
        <v>12</v>
      </c>
      <c r="I762" s="236">
        <v>1402</v>
      </c>
      <c r="J762" s="236"/>
      <c r="K762" s="238">
        <v>40000000</v>
      </c>
      <c r="L762" s="368"/>
    </row>
    <row r="763" spans="1:12" ht="15.75" customHeight="1">
      <c r="A763" s="194"/>
      <c r="B763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763" s="358" t="s">
        <v>471</v>
      </c>
      <c r="D763" s="358" t="s">
        <v>472</v>
      </c>
      <c r="E763" s="432" t="s">
        <v>1883</v>
      </c>
      <c r="F763" s="249" t="s">
        <v>1291</v>
      </c>
      <c r="G763" s="236" t="s">
        <v>499</v>
      </c>
      <c r="H763" s="237">
        <f t="shared" si="56"/>
        <v>12</v>
      </c>
      <c r="I763" s="236">
        <v>1402</v>
      </c>
      <c r="J763" s="236"/>
      <c r="K763" s="238">
        <v>2000000</v>
      </c>
      <c r="L763" s="368"/>
    </row>
    <row r="764" spans="1:12" ht="15.75" customHeight="1">
      <c r="A764" s="194"/>
      <c r="B764" s="235">
        <f>SUMIFS('لیست واریزی کل خیرین'!B:B,'لیست واریزی کل خیرین'!D:D,Table1[[#This Row],[نام]],'لیست واریزی کل خیرین'!E:E,Table1[[#This Row],[نام خانوادگی]])</f>
        <v>50</v>
      </c>
      <c r="C764" s="137" t="s">
        <v>503</v>
      </c>
      <c r="D764" s="137" t="s">
        <v>664</v>
      </c>
      <c r="E764" s="432" t="s">
        <v>1884</v>
      </c>
      <c r="F764" s="249" t="s">
        <v>1418</v>
      </c>
      <c r="G764" s="236" t="s">
        <v>499</v>
      </c>
      <c r="H764" s="237">
        <f t="shared" si="56"/>
        <v>12</v>
      </c>
      <c r="I764" s="236">
        <v>1402</v>
      </c>
      <c r="J764" s="236"/>
      <c r="K764" s="238">
        <v>5000000</v>
      </c>
      <c r="L764" s="368"/>
    </row>
    <row r="765" spans="1:12" ht="15.75" customHeight="1">
      <c r="A765" s="194"/>
      <c r="B765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765" s="137" t="s">
        <v>480</v>
      </c>
      <c r="D765" s="137" t="s">
        <v>481</v>
      </c>
      <c r="E765" s="432" t="s">
        <v>1885</v>
      </c>
      <c r="F765" s="249" t="s">
        <v>579</v>
      </c>
      <c r="G765" s="236" t="s">
        <v>499</v>
      </c>
      <c r="H765" s="237">
        <f t="shared" si="56"/>
        <v>12</v>
      </c>
      <c r="I765" s="236">
        <v>1402</v>
      </c>
      <c r="J765" s="236"/>
      <c r="K765" s="238">
        <v>50000000</v>
      </c>
      <c r="L765" s="368"/>
    </row>
    <row r="766" spans="1:12" ht="15.75" customHeight="1">
      <c r="A766" s="194"/>
      <c r="B766" s="235">
        <f>SUMIFS('لیست واریزی کل خیرین'!B:B,'لیست واریزی کل خیرین'!D:D,Table1[[#This Row],[نام]],'لیست واریزی کل خیرین'!E:E,Table1[[#This Row],[نام خانوادگی]])</f>
        <v>18</v>
      </c>
      <c r="C766" s="137" t="s">
        <v>509</v>
      </c>
      <c r="D766" s="137" t="s">
        <v>510</v>
      </c>
      <c r="E766" s="432" t="s">
        <v>1886</v>
      </c>
      <c r="F766" s="249" t="s">
        <v>835</v>
      </c>
      <c r="G766" s="236" t="s">
        <v>499</v>
      </c>
      <c r="H766" s="237">
        <f t="shared" si="56"/>
        <v>12</v>
      </c>
      <c r="I766" s="236">
        <v>1402</v>
      </c>
      <c r="J766" s="236"/>
      <c r="K766" s="238">
        <v>50000000</v>
      </c>
      <c r="L766" s="368"/>
    </row>
    <row r="767" spans="1:12" ht="15.75" customHeight="1">
      <c r="A767" s="194"/>
      <c r="B767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767" s="137" t="s">
        <v>497</v>
      </c>
      <c r="D767" s="152" t="s">
        <v>498</v>
      </c>
      <c r="E767" s="432" t="s">
        <v>1887</v>
      </c>
      <c r="F767" s="249" t="s">
        <v>862</v>
      </c>
      <c r="G767" s="236" t="s">
        <v>499</v>
      </c>
      <c r="H767" s="237">
        <f t="shared" si="56"/>
        <v>12</v>
      </c>
      <c r="I767" s="236">
        <v>1402</v>
      </c>
      <c r="J767" s="236"/>
      <c r="K767" s="238">
        <v>20000000</v>
      </c>
      <c r="L767" s="368" t="s">
        <v>2011</v>
      </c>
    </row>
    <row r="768" spans="1:12" ht="15.75" customHeight="1">
      <c r="A768" s="194"/>
      <c r="B768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768" s="137" t="s">
        <v>494</v>
      </c>
      <c r="D768" s="137" t="s">
        <v>511</v>
      </c>
      <c r="E768" s="432" t="s">
        <v>1888</v>
      </c>
      <c r="F768" s="249" t="s">
        <v>835</v>
      </c>
      <c r="G768" s="236" t="s">
        <v>499</v>
      </c>
      <c r="H768" s="237">
        <f t="shared" si="56"/>
        <v>12</v>
      </c>
      <c r="I768" s="236">
        <v>1402</v>
      </c>
      <c r="J768" s="236"/>
      <c r="K768" s="238">
        <v>50000000</v>
      </c>
      <c r="L768" s="368"/>
    </row>
    <row r="769" spans="1:12" ht="15.75" customHeight="1">
      <c r="A769" s="194"/>
      <c r="B769" s="235">
        <f>SUMIFS('لیست واریزی کل خیرین'!B:B,'لیست واریزی کل خیرین'!D:D,Table1[[#This Row],[نام]],'لیست واریزی کل خیرین'!E:E,Table1[[#This Row],[نام خانوادگی]])</f>
        <v>128</v>
      </c>
      <c r="C769" s="375" t="s">
        <v>1513</v>
      </c>
      <c r="D769" s="375" t="s">
        <v>1889</v>
      </c>
      <c r="E769" s="432" t="s">
        <v>1890</v>
      </c>
      <c r="F769" s="249" t="s">
        <v>835</v>
      </c>
      <c r="G769" s="236" t="s">
        <v>499</v>
      </c>
      <c r="H769" s="237">
        <f t="shared" si="56"/>
        <v>12</v>
      </c>
      <c r="I769" s="236">
        <v>1402</v>
      </c>
      <c r="J769" s="236"/>
      <c r="K769" s="238">
        <v>120000000</v>
      </c>
      <c r="L769" s="368"/>
    </row>
    <row r="770" spans="1:12" ht="15.75" customHeight="1">
      <c r="A770" s="194"/>
      <c r="B770" s="235">
        <f>SUMIFS('لیست واریزی کل خیرین'!B:B,'لیست واریزی کل خیرین'!D:D,Table1[[#This Row],[نام]],'لیست واریزی کل خیرین'!E:E,Table1[[#This Row],[نام خانوادگی]])</f>
        <v>128</v>
      </c>
      <c r="C770" s="375" t="s">
        <v>1513</v>
      </c>
      <c r="D770" s="375" t="s">
        <v>1889</v>
      </c>
      <c r="E770" s="432" t="s">
        <v>1890</v>
      </c>
      <c r="F770" s="249" t="s">
        <v>835</v>
      </c>
      <c r="G770" s="236" t="s">
        <v>499</v>
      </c>
      <c r="H770" s="237">
        <f t="shared" ref="H770" si="57">IF(G770="","",VLOOKUP(G770,mah,2,0))</f>
        <v>12</v>
      </c>
      <c r="I770" s="236">
        <v>1402</v>
      </c>
      <c r="J770" s="236"/>
      <c r="K770" s="238">
        <v>120000000</v>
      </c>
      <c r="L770" s="368"/>
    </row>
    <row r="771" spans="1:12" ht="15.75" customHeight="1">
      <c r="A771" s="194"/>
      <c r="B771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771" s="137" t="s">
        <v>486</v>
      </c>
      <c r="D771" s="137" t="s">
        <v>487</v>
      </c>
      <c r="E771" s="432" t="s">
        <v>1891</v>
      </c>
      <c r="F771" s="249" t="s">
        <v>595</v>
      </c>
      <c r="G771" s="236" t="s">
        <v>499</v>
      </c>
      <c r="H771" s="237">
        <f t="shared" si="56"/>
        <v>12</v>
      </c>
      <c r="I771" s="236">
        <v>1402</v>
      </c>
      <c r="J771" s="236"/>
      <c r="K771" s="238">
        <v>20000000</v>
      </c>
      <c r="L771" s="368"/>
    </row>
    <row r="772" spans="1:12" ht="15.75" customHeight="1">
      <c r="A772" s="194"/>
      <c r="B772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772" s="137" t="s">
        <v>207</v>
      </c>
      <c r="D772" s="137" t="s">
        <v>478</v>
      </c>
      <c r="E772" s="236"/>
      <c r="F772" s="249"/>
      <c r="G772" s="236" t="s">
        <v>499</v>
      </c>
      <c r="H772" s="237">
        <f t="shared" si="56"/>
        <v>12</v>
      </c>
      <c r="I772" s="236">
        <v>1402</v>
      </c>
      <c r="J772" s="236"/>
      <c r="K772" s="238">
        <v>5000000</v>
      </c>
      <c r="L772" s="368" t="s">
        <v>1892</v>
      </c>
    </row>
    <row r="773" spans="1:12" ht="15.75" customHeight="1">
      <c r="A773" s="194"/>
      <c r="B773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773" s="137" t="s">
        <v>207</v>
      </c>
      <c r="D773" s="137" t="s">
        <v>478</v>
      </c>
      <c r="E773" s="236"/>
      <c r="F773" s="249"/>
      <c r="G773" s="236" t="s">
        <v>496</v>
      </c>
      <c r="H773" s="237">
        <f t="shared" si="56"/>
        <v>11</v>
      </c>
      <c r="I773" s="236">
        <v>1402</v>
      </c>
      <c r="J773" s="236"/>
      <c r="K773" s="238">
        <v>5000000</v>
      </c>
      <c r="L773" s="368" t="s">
        <v>1892</v>
      </c>
    </row>
    <row r="774" spans="1:12" ht="15.75" customHeight="1">
      <c r="A774" s="194"/>
      <c r="B774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774" s="137" t="s">
        <v>207</v>
      </c>
      <c r="D774" s="137" t="s">
        <v>478</v>
      </c>
      <c r="E774" s="236"/>
      <c r="F774" s="249"/>
      <c r="G774" s="236" t="s">
        <v>493</v>
      </c>
      <c r="H774" s="237">
        <f t="shared" si="56"/>
        <v>10</v>
      </c>
      <c r="I774" s="236">
        <v>1402</v>
      </c>
      <c r="J774" s="236"/>
      <c r="K774" s="238">
        <v>5000000</v>
      </c>
      <c r="L774" s="368" t="s">
        <v>1892</v>
      </c>
    </row>
    <row r="775" spans="1:12" ht="15.75" customHeight="1">
      <c r="A775" s="194"/>
      <c r="B775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775" s="137" t="s">
        <v>207</v>
      </c>
      <c r="D775" s="137" t="s">
        <v>478</v>
      </c>
      <c r="E775" s="236"/>
      <c r="F775" s="249"/>
      <c r="G775" s="236" t="s">
        <v>488</v>
      </c>
      <c r="H775" s="237">
        <f t="shared" si="56"/>
        <v>9</v>
      </c>
      <c r="I775" s="236">
        <v>1402</v>
      </c>
      <c r="J775" s="236"/>
      <c r="K775" s="238">
        <v>5000000</v>
      </c>
      <c r="L775" s="368" t="s">
        <v>1892</v>
      </c>
    </row>
    <row r="776" spans="1:12" ht="15.75" customHeight="1">
      <c r="A776" s="194"/>
      <c r="B776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776" s="137" t="s">
        <v>469</v>
      </c>
      <c r="D776" s="137" t="s">
        <v>470</v>
      </c>
      <c r="E776" s="432" t="s">
        <v>1927</v>
      </c>
      <c r="F776" s="249"/>
      <c r="G776" s="236" t="s">
        <v>477</v>
      </c>
      <c r="H776" s="237">
        <f t="shared" ref="H776:H779" si="58">IF(G776="","",VLOOKUP(G776,mah,2,0))</f>
        <v>5</v>
      </c>
      <c r="I776" s="236">
        <v>1402</v>
      </c>
      <c r="J776" s="236"/>
      <c r="K776" s="238">
        <v>10000000</v>
      </c>
      <c r="L776" s="368" t="s">
        <v>1893</v>
      </c>
    </row>
    <row r="777" spans="1:12" ht="15.75" customHeight="1">
      <c r="A777" s="194"/>
      <c r="B777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777" s="137" t="s">
        <v>469</v>
      </c>
      <c r="D777" s="137" t="s">
        <v>470</v>
      </c>
      <c r="E777" s="432" t="s">
        <v>1927</v>
      </c>
      <c r="F777" s="249"/>
      <c r="G777" s="236" t="s">
        <v>479</v>
      </c>
      <c r="H777" s="237">
        <f t="shared" si="58"/>
        <v>6</v>
      </c>
      <c r="I777" s="236">
        <v>1402</v>
      </c>
      <c r="J777" s="236"/>
      <c r="K777" s="238">
        <v>10000000</v>
      </c>
      <c r="L777" s="368" t="s">
        <v>1893</v>
      </c>
    </row>
    <row r="778" spans="1:12" ht="15.75" customHeight="1">
      <c r="A778" s="194"/>
      <c r="B778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778" s="137" t="s">
        <v>469</v>
      </c>
      <c r="D778" s="137" t="s">
        <v>470</v>
      </c>
      <c r="E778" s="432" t="s">
        <v>1927</v>
      </c>
      <c r="F778" s="249"/>
      <c r="G778" s="236" t="s">
        <v>482</v>
      </c>
      <c r="H778" s="237">
        <f t="shared" si="58"/>
        <v>7</v>
      </c>
      <c r="I778" s="236">
        <v>1402</v>
      </c>
      <c r="J778" s="236"/>
      <c r="K778" s="238">
        <v>10000000</v>
      </c>
      <c r="L778" s="368" t="s">
        <v>1893</v>
      </c>
    </row>
    <row r="779" spans="1:12" ht="15.75" customHeight="1">
      <c r="A779" s="194"/>
      <c r="B779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779" s="137" t="s">
        <v>469</v>
      </c>
      <c r="D779" s="137" t="s">
        <v>470</v>
      </c>
      <c r="E779" s="432" t="s">
        <v>1927</v>
      </c>
      <c r="F779" s="249"/>
      <c r="G779" s="236" t="s">
        <v>485</v>
      </c>
      <c r="H779" s="237">
        <f t="shared" si="58"/>
        <v>8</v>
      </c>
      <c r="I779" s="236">
        <v>1402</v>
      </c>
      <c r="J779" s="236"/>
      <c r="K779" s="238">
        <v>10000000</v>
      </c>
      <c r="L779" s="368" t="s">
        <v>1893</v>
      </c>
    </row>
    <row r="780" spans="1:12" ht="15.75" customHeight="1">
      <c r="A780" s="194"/>
      <c r="B780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780" s="137" t="s">
        <v>469</v>
      </c>
      <c r="D780" s="137" t="s">
        <v>470</v>
      </c>
      <c r="E780" s="432" t="s">
        <v>1927</v>
      </c>
      <c r="F780" s="249"/>
      <c r="G780" s="236" t="s">
        <v>488</v>
      </c>
      <c r="H780" s="237">
        <f t="shared" ref="H780:H783" si="59">IF(G780="","",VLOOKUP(G780,mah,2,0))</f>
        <v>9</v>
      </c>
      <c r="I780" s="236">
        <v>1402</v>
      </c>
      <c r="J780" s="236"/>
      <c r="K780" s="238">
        <v>10000000</v>
      </c>
      <c r="L780" s="368" t="s">
        <v>1893</v>
      </c>
    </row>
    <row r="781" spans="1:12" ht="15.75" customHeight="1">
      <c r="A781" s="194"/>
      <c r="B781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781" s="137" t="s">
        <v>469</v>
      </c>
      <c r="D781" s="137" t="s">
        <v>470</v>
      </c>
      <c r="E781" s="432" t="s">
        <v>1927</v>
      </c>
      <c r="F781" s="249"/>
      <c r="G781" s="236" t="s">
        <v>493</v>
      </c>
      <c r="H781" s="237">
        <f t="shared" si="59"/>
        <v>10</v>
      </c>
      <c r="I781" s="236">
        <v>1402</v>
      </c>
      <c r="J781" s="236"/>
      <c r="K781" s="238">
        <v>10000000</v>
      </c>
      <c r="L781" s="368" t="s">
        <v>1893</v>
      </c>
    </row>
    <row r="782" spans="1:12" ht="15.75" customHeight="1">
      <c r="A782" s="194"/>
      <c r="B782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782" s="137" t="s">
        <v>469</v>
      </c>
      <c r="D782" s="137" t="s">
        <v>470</v>
      </c>
      <c r="E782" s="432" t="s">
        <v>1927</v>
      </c>
      <c r="F782" s="249"/>
      <c r="G782" s="236" t="s">
        <v>496</v>
      </c>
      <c r="H782" s="237">
        <f t="shared" si="59"/>
        <v>11</v>
      </c>
      <c r="I782" s="236">
        <v>1402</v>
      </c>
      <c r="J782" s="236"/>
      <c r="K782" s="238">
        <v>10000000</v>
      </c>
      <c r="L782" s="368" t="s">
        <v>1893</v>
      </c>
    </row>
    <row r="783" spans="1:12" ht="15.75" customHeight="1">
      <c r="A783" s="194"/>
      <c r="B783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783" s="137" t="s">
        <v>469</v>
      </c>
      <c r="D783" s="137" t="s">
        <v>470</v>
      </c>
      <c r="E783" s="432" t="s">
        <v>1927</v>
      </c>
      <c r="F783" s="249"/>
      <c r="G783" s="236" t="s">
        <v>499</v>
      </c>
      <c r="H783" s="237">
        <f t="shared" si="59"/>
        <v>12</v>
      </c>
      <c r="I783" s="236">
        <v>1402</v>
      </c>
      <c r="J783" s="236"/>
      <c r="K783" s="238">
        <v>10000000</v>
      </c>
      <c r="L783" s="368" t="s">
        <v>1893</v>
      </c>
    </row>
    <row r="784" spans="1:12" ht="15.75" customHeight="1">
      <c r="A784" s="194"/>
      <c r="B784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784" s="137" t="s">
        <v>494</v>
      </c>
      <c r="D784" s="137" t="s">
        <v>546</v>
      </c>
      <c r="E784" s="432" t="s">
        <v>1894</v>
      </c>
      <c r="F784" s="249"/>
      <c r="G784" s="236" t="s">
        <v>499</v>
      </c>
      <c r="H784" s="237">
        <f t="shared" ref="H784:H785" si="60">IF(G784="","",VLOOKUP(G784,mah,2,0))</f>
        <v>12</v>
      </c>
      <c r="I784" s="236">
        <v>1402</v>
      </c>
      <c r="J784" s="236"/>
      <c r="K784" s="238">
        <v>40000000</v>
      </c>
      <c r="L784" s="368"/>
    </row>
    <row r="785" spans="1:12" ht="15.75" customHeight="1">
      <c r="A785" s="194"/>
      <c r="B785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785" s="358" t="s">
        <v>838</v>
      </c>
      <c r="D785" s="358" t="s">
        <v>839</v>
      </c>
      <c r="E785" s="432" t="s">
        <v>1895</v>
      </c>
      <c r="F785" s="249"/>
      <c r="G785" s="236" t="s">
        <v>499</v>
      </c>
      <c r="H785" s="237">
        <f t="shared" si="60"/>
        <v>12</v>
      </c>
      <c r="I785" s="236">
        <v>1402</v>
      </c>
      <c r="J785" s="236"/>
      <c r="K785" s="238">
        <v>5000000</v>
      </c>
      <c r="L785" s="368"/>
    </row>
    <row r="786" spans="1:12" ht="15.75" customHeight="1">
      <c r="A786" s="194"/>
      <c r="B786" s="235">
        <f>SUMIFS('لیست واریزی کل خیرین'!B:B,'لیست واریزی کل خیرین'!D:D,Table1[[#This Row],[نام]],'لیست واریزی کل خیرین'!E:E,Table1[[#This Row],[نام خانوادگی]])</f>
        <v>61</v>
      </c>
      <c r="C786" s="137" t="s">
        <v>702</v>
      </c>
      <c r="D786" s="137" t="s">
        <v>703</v>
      </c>
      <c r="E786" s="432" t="s">
        <v>1897</v>
      </c>
      <c r="F786" s="249"/>
      <c r="G786" s="236" t="s">
        <v>499</v>
      </c>
      <c r="H786" s="237">
        <f t="shared" ref="H786" si="61">IF(G786="","",VLOOKUP(G786,mah,2,0))</f>
        <v>12</v>
      </c>
      <c r="I786" s="236">
        <v>1402</v>
      </c>
      <c r="J786" s="236"/>
      <c r="K786" s="238">
        <v>10000000</v>
      </c>
      <c r="L786" s="368"/>
    </row>
    <row r="787" spans="1:12" ht="15.75" customHeight="1">
      <c r="A787" s="194"/>
      <c r="B787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787" s="137" t="s">
        <v>529</v>
      </c>
      <c r="D787" s="137" t="s">
        <v>530</v>
      </c>
      <c r="E787" s="432" t="s">
        <v>1898</v>
      </c>
      <c r="F787" s="249" t="s">
        <v>689</v>
      </c>
      <c r="G787" s="236" t="s">
        <v>499</v>
      </c>
      <c r="H787" s="237">
        <f t="shared" ref="H787:H855" si="62">IF(G787="","",VLOOKUP(G787,mah,2,0))</f>
        <v>12</v>
      </c>
      <c r="I787" s="236">
        <v>1402</v>
      </c>
      <c r="J787" s="236"/>
      <c r="K787" s="238">
        <v>5000000</v>
      </c>
      <c r="L787" s="368"/>
    </row>
    <row r="788" spans="1:12" ht="15.75" customHeight="1">
      <c r="A788" s="194"/>
      <c r="B788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788" s="137" t="s">
        <v>202</v>
      </c>
      <c r="D788" s="137" t="s">
        <v>502</v>
      </c>
      <c r="E788" s="432" t="s">
        <v>1898</v>
      </c>
      <c r="F788" s="249" t="s">
        <v>701</v>
      </c>
      <c r="G788" s="236" t="s">
        <v>499</v>
      </c>
      <c r="H788" s="237">
        <f t="shared" si="62"/>
        <v>12</v>
      </c>
      <c r="I788" s="236">
        <v>1402</v>
      </c>
      <c r="J788" s="236"/>
      <c r="K788" s="238">
        <v>10000000</v>
      </c>
      <c r="L788" s="368"/>
    </row>
    <row r="789" spans="1:12" ht="15.75" customHeight="1">
      <c r="A789" s="194"/>
      <c r="B789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789" s="137" t="s">
        <v>489</v>
      </c>
      <c r="D789" s="137" t="s">
        <v>490</v>
      </c>
      <c r="E789" s="432" t="s">
        <v>1898</v>
      </c>
      <c r="F789" s="249" t="s">
        <v>835</v>
      </c>
      <c r="G789" s="236" t="s">
        <v>499</v>
      </c>
      <c r="H789" s="237">
        <f t="shared" si="62"/>
        <v>12</v>
      </c>
      <c r="I789" s="236">
        <v>1402</v>
      </c>
      <c r="J789" s="236"/>
      <c r="K789" s="238">
        <v>10000000</v>
      </c>
      <c r="L789" s="368"/>
    </row>
    <row r="790" spans="1:12" ht="15.75" customHeight="1">
      <c r="A790" s="194"/>
      <c r="B790" s="235">
        <f>SUMIFS('لیست واریزی کل خیرین'!B:B,'لیست واریزی کل خیرین'!D:D,Table1[[#This Row],[نام]],'لیست واریزی کل خیرین'!E:E,Table1[[#This Row],[نام خانوادگی]])</f>
        <v>129</v>
      </c>
      <c r="C790" s="375" t="s">
        <v>1899</v>
      </c>
      <c r="D790" s="375" t="s">
        <v>1900</v>
      </c>
      <c r="E790" s="432" t="s">
        <v>1901</v>
      </c>
      <c r="F790" s="249" t="s">
        <v>1902</v>
      </c>
      <c r="G790" s="236" t="s">
        <v>499</v>
      </c>
      <c r="H790" s="237">
        <f t="shared" si="62"/>
        <v>12</v>
      </c>
      <c r="I790" s="236">
        <v>1402</v>
      </c>
      <c r="J790" s="236"/>
      <c r="K790" s="238">
        <v>3000000</v>
      </c>
      <c r="L790" s="368"/>
    </row>
    <row r="791" spans="1:12" ht="15.75" customHeight="1">
      <c r="A791" s="194"/>
      <c r="B791" s="235">
        <f>SUMIFS('لیست واریزی کل خیرین'!B:B,'لیست واریزی کل خیرین'!D:D,Table1[[#This Row],[نام]],'لیست واریزی کل خیرین'!E:E,Table1[[#This Row],[نام خانوادگی]])</f>
        <v>130</v>
      </c>
      <c r="C791" s="375" t="s">
        <v>1903</v>
      </c>
      <c r="D791" s="375" t="s">
        <v>1904</v>
      </c>
      <c r="E791" s="432" t="s">
        <v>1901</v>
      </c>
      <c r="F791" s="249" t="s">
        <v>1905</v>
      </c>
      <c r="G791" s="236" t="s">
        <v>499</v>
      </c>
      <c r="H791" s="237">
        <f t="shared" si="62"/>
        <v>12</v>
      </c>
      <c r="I791" s="236">
        <v>1402</v>
      </c>
      <c r="J791" s="236"/>
      <c r="K791" s="238">
        <v>10000000</v>
      </c>
      <c r="L791" s="368"/>
    </row>
    <row r="792" spans="1:12" ht="15.75" customHeight="1">
      <c r="A792" s="194"/>
      <c r="B792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792" s="137" t="s">
        <v>497</v>
      </c>
      <c r="D792" s="137" t="s">
        <v>513</v>
      </c>
      <c r="E792" s="432" t="s">
        <v>1901</v>
      </c>
      <c r="F792" s="249" t="s">
        <v>1782</v>
      </c>
      <c r="G792" s="236" t="s">
        <v>499</v>
      </c>
      <c r="H792" s="237">
        <f t="shared" si="62"/>
        <v>12</v>
      </c>
      <c r="I792" s="236">
        <v>1402</v>
      </c>
      <c r="J792" s="236"/>
      <c r="K792" s="238">
        <v>20000000</v>
      </c>
      <c r="L792" s="368"/>
    </row>
    <row r="793" spans="1:12" ht="15.75" customHeight="1">
      <c r="A793" s="194"/>
      <c r="B793" s="235">
        <f>SUMIFS('لیست واریزی کل خیرین'!B:B,'لیست واریزی کل خیرین'!D:D,Table1[[#This Row],[نام]],'لیست واریزی کل خیرین'!E:E,Table1[[#This Row],[نام خانوادگی]])</f>
        <v>75</v>
      </c>
      <c r="C793" s="137" t="s">
        <v>843</v>
      </c>
      <c r="D793" s="137" t="s">
        <v>844</v>
      </c>
      <c r="E793" s="432" t="s">
        <v>1901</v>
      </c>
      <c r="F793" s="249" t="s">
        <v>845</v>
      </c>
      <c r="G793" s="236" t="s">
        <v>499</v>
      </c>
      <c r="H793" s="237">
        <f t="shared" si="62"/>
        <v>12</v>
      </c>
      <c r="I793" s="236">
        <v>1402</v>
      </c>
      <c r="J793" s="236"/>
      <c r="K793" s="238">
        <v>20000000</v>
      </c>
      <c r="L793" s="368"/>
    </row>
    <row r="794" spans="1:12" ht="15.75" customHeight="1">
      <c r="A794" s="194"/>
      <c r="B794" s="235">
        <f>SUMIFS('لیست واریزی کل خیرین'!B:B,'لیست واریزی کل خیرین'!D:D,Table1[[#This Row],[نام]],'لیست واریزی کل خیرین'!E:E,Table1[[#This Row],[نام خانوادگی]])</f>
        <v>131</v>
      </c>
      <c r="C794" s="375" t="s">
        <v>818</v>
      </c>
      <c r="D794" s="375" t="s">
        <v>1907</v>
      </c>
      <c r="E794" s="432" t="s">
        <v>1906</v>
      </c>
      <c r="F794" s="249" t="s">
        <v>1908</v>
      </c>
      <c r="G794" s="236" t="s">
        <v>499</v>
      </c>
      <c r="H794" s="237">
        <f t="shared" si="62"/>
        <v>12</v>
      </c>
      <c r="I794" s="236">
        <v>1402</v>
      </c>
      <c r="J794" s="236"/>
      <c r="K794" s="238">
        <v>10000000</v>
      </c>
      <c r="L794" s="368"/>
    </row>
    <row r="795" spans="1:12" ht="15.75" customHeight="1">
      <c r="A795" s="194"/>
      <c r="B795" s="235">
        <f>SUMIFS('لیست واریزی کل خیرین'!B:B,'لیست واریزی کل خیرین'!D:D,Table1[[#This Row],[نام]],'لیست واریزی کل خیرین'!E:E,Table1[[#This Row],[نام خانوادگی]])</f>
        <v>132</v>
      </c>
      <c r="C795" s="375" t="s">
        <v>1909</v>
      </c>
      <c r="D795" s="375" t="s">
        <v>1910</v>
      </c>
      <c r="E795" s="432" t="s">
        <v>1906</v>
      </c>
      <c r="F795" s="249" t="s">
        <v>1911</v>
      </c>
      <c r="G795" s="236" t="s">
        <v>499</v>
      </c>
      <c r="H795" s="237">
        <f t="shared" si="62"/>
        <v>12</v>
      </c>
      <c r="I795" s="236">
        <v>1402</v>
      </c>
      <c r="J795" s="236"/>
      <c r="K795" s="238">
        <v>5000000</v>
      </c>
      <c r="L795" s="368"/>
    </row>
    <row r="796" spans="1:12" ht="15.75" customHeight="1">
      <c r="A796" s="194"/>
      <c r="B796" s="235">
        <f>SUMIFS('لیست واریزی کل خیرین'!B:B,'لیست واریزی کل خیرین'!D:D,Table1[[#This Row],[نام]],'لیست واریزی کل خیرین'!E:E,Table1[[#This Row],[نام خانوادگی]])</f>
        <v>133</v>
      </c>
      <c r="C796" s="375" t="s">
        <v>1912</v>
      </c>
      <c r="D796" s="375" t="s">
        <v>490</v>
      </c>
      <c r="E796" s="432" t="s">
        <v>1906</v>
      </c>
      <c r="F796" s="249" t="s">
        <v>1913</v>
      </c>
      <c r="G796" s="236" t="s">
        <v>499</v>
      </c>
      <c r="H796" s="237">
        <f t="shared" si="62"/>
        <v>12</v>
      </c>
      <c r="I796" s="236">
        <v>1402</v>
      </c>
      <c r="J796" s="236"/>
      <c r="K796" s="238">
        <v>5000000</v>
      </c>
      <c r="L796" s="368"/>
    </row>
    <row r="797" spans="1:12" ht="15.75" customHeight="1">
      <c r="A797" s="194"/>
      <c r="B797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797" s="137" t="s">
        <v>522</v>
      </c>
      <c r="D797" s="137" t="s">
        <v>523</v>
      </c>
      <c r="E797" s="432" t="s">
        <v>1930</v>
      </c>
      <c r="F797" s="249"/>
      <c r="G797" s="236" t="s">
        <v>463</v>
      </c>
      <c r="H797" s="237">
        <f t="shared" si="62"/>
        <v>1</v>
      </c>
      <c r="I797" s="236">
        <v>1403</v>
      </c>
      <c r="J797" s="236"/>
      <c r="K797" s="238">
        <v>41716301</v>
      </c>
      <c r="L797" s="368"/>
    </row>
    <row r="798" spans="1:12" ht="15.75" customHeight="1">
      <c r="A798" s="194"/>
      <c r="B798" s="235">
        <f>SUMIFS('لیست واریزی کل خیرین'!B:B,'لیست واریزی کل خیرین'!D:D,Table1[[#This Row],[نام]],'لیست واریزی کل خیرین'!E:E,Table1[[#This Row],[نام خانوادگی]])</f>
        <v>126</v>
      </c>
      <c r="C798" s="375" t="s">
        <v>1868</v>
      </c>
      <c r="D798" s="375" t="s">
        <v>1869</v>
      </c>
      <c r="E798" s="432" t="s">
        <v>1929</v>
      </c>
      <c r="F798" s="249" t="s">
        <v>1914</v>
      </c>
      <c r="G798" s="236" t="s">
        <v>463</v>
      </c>
      <c r="H798" s="237">
        <f t="shared" si="62"/>
        <v>1</v>
      </c>
      <c r="I798" s="236">
        <v>1403</v>
      </c>
      <c r="J798" s="236"/>
      <c r="K798" s="238">
        <v>200000000</v>
      </c>
      <c r="L798" s="368"/>
    </row>
    <row r="799" spans="1:12" ht="15.75" customHeight="1">
      <c r="A799" s="194"/>
      <c r="B799" s="235">
        <f>SUMIFS('لیست واریزی کل خیرین'!B:B,'لیست واریزی کل خیرین'!D:D,Table1[[#This Row],[نام]],'لیست واریزی کل خیرین'!E:E,Table1[[#This Row],[نام خانوادگی]])</f>
        <v>97</v>
      </c>
      <c r="C799" s="454" t="s">
        <v>1379</v>
      </c>
      <c r="D799" s="375" t="s">
        <v>1380</v>
      </c>
      <c r="E799" s="432" t="s">
        <v>1929</v>
      </c>
      <c r="F799" s="249" t="s">
        <v>1915</v>
      </c>
      <c r="G799" s="236" t="s">
        <v>463</v>
      </c>
      <c r="H799" s="237">
        <f t="shared" si="62"/>
        <v>1</v>
      </c>
      <c r="I799" s="236">
        <v>1403</v>
      </c>
      <c r="J799" s="236"/>
      <c r="K799" s="238">
        <v>70000000</v>
      </c>
      <c r="L799" s="368"/>
    </row>
    <row r="800" spans="1:12" ht="15.75" customHeight="1">
      <c r="A800" s="194"/>
      <c r="B800" s="235">
        <f>SUMIFS('لیست واریزی کل خیرین'!B:B,'لیست واریزی کل خیرین'!D:D,Table1[[#This Row],[نام]],'لیست واریزی کل خیرین'!E:E,Table1[[#This Row],[نام خانوادگی]])</f>
        <v>136</v>
      </c>
      <c r="C800" s="375" t="s">
        <v>1966</v>
      </c>
      <c r="D800" s="375" t="s">
        <v>1967</v>
      </c>
      <c r="E800" s="432" t="s">
        <v>1929</v>
      </c>
      <c r="F800" s="249"/>
      <c r="G800" s="236" t="s">
        <v>463</v>
      </c>
      <c r="H800" s="237">
        <f t="shared" si="62"/>
        <v>1</v>
      </c>
      <c r="I800" s="236">
        <v>1403</v>
      </c>
      <c r="J800" s="236"/>
      <c r="K800" s="238">
        <v>515781453</v>
      </c>
      <c r="L800" s="368"/>
    </row>
    <row r="801" spans="1:12" ht="15.75" customHeight="1">
      <c r="A801" s="194"/>
      <c r="B801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801" s="358" t="s">
        <v>471</v>
      </c>
      <c r="D801" s="358" t="s">
        <v>472</v>
      </c>
      <c r="E801" s="432" t="s">
        <v>1928</v>
      </c>
      <c r="F801" s="249" t="s">
        <v>1291</v>
      </c>
      <c r="G801" s="236" t="s">
        <v>463</v>
      </c>
      <c r="H801" s="237">
        <f t="shared" si="62"/>
        <v>1</v>
      </c>
      <c r="I801" s="236">
        <v>1403</v>
      </c>
      <c r="J801" s="236"/>
      <c r="K801" s="238">
        <v>2000000</v>
      </c>
      <c r="L801" s="368"/>
    </row>
    <row r="802" spans="1:12" ht="15.75" customHeight="1">
      <c r="A802" s="194"/>
      <c r="B802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802" s="137" t="s">
        <v>494</v>
      </c>
      <c r="D802" s="137" t="s">
        <v>511</v>
      </c>
      <c r="E802" s="432" t="s">
        <v>1927</v>
      </c>
      <c r="F802" s="249" t="s">
        <v>835</v>
      </c>
      <c r="G802" s="236" t="s">
        <v>463</v>
      </c>
      <c r="H802" s="237">
        <f t="shared" si="62"/>
        <v>1</v>
      </c>
      <c r="I802" s="236">
        <v>1403</v>
      </c>
      <c r="J802" s="236"/>
      <c r="K802" s="238">
        <v>50000000</v>
      </c>
      <c r="L802" s="368"/>
    </row>
    <row r="803" spans="1:12" ht="15.75" customHeight="1">
      <c r="A803" s="194"/>
      <c r="B803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803" s="358" t="s">
        <v>486</v>
      </c>
      <c r="D803" s="358" t="s">
        <v>487</v>
      </c>
      <c r="E803" s="432" t="s">
        <v>1926</v>
      </c>
      <c r="F803" s="249" t="s">
        <v>595</v>
      </c>
      <c r="G803" s="236" t="s">
        <v>463</v>
      </c>
      <c r="H803" s="237">
        <f t="shared" si="62"/>
        <v>1</v>
      </c>
      <c r="I803" s="236">
        <v>1403</v>
      </c>
      <c r="J803" s="236"/>
      <c r="K803" s="238">
        <v>20000000</v>
      </c>
      <c r="L803" s="368"/>
    </row>
    <row r="804" spans="1:12" ht="15.75" customHeight="1">
      <c r="A804" s="194"/>
      <c r="B804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04" s="137" t="s">
        <v>475</v>
      </c>
      <c r="D804" s="137" t="s">
        <v>476</v>
      </c>
      <c r="E804" s="432" t="s">
        <v>1925</v>
      </c>
      <c r="F804" s="249" t="s">
        <v>835</v>
      </c>
      <c r="G804" s="236" t="s">
        <v>463</v>
      </c>
      <c r="H804" s="237">
        <f t="shared" si="62"/>
        <v>1</v>
      </c>
      <c r="I804" s="236">
        <v>1403</v>
      </c>
      <c r="J804" s="236"/>
      <c r="K804" s="238">
        <v>8333333</v>
      </c>
      <c r="L804" s="368" t="s">
        <v>1970</v>
      </c>
    </row>
    <row r="805" spans="1:12" ht="15.75" customHeight="1">
      <c r="A805" s="194"/>
      <c r="B805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05" s="137" t="s">
        <v>475</v>
      </c>
      <c r="D805" s="137" t="s">
        <v>476</v>
      </c>
      <c r="E805" s="432" t="s">
        <v>1925</v>
      </c>
      <c r="F805" s="249" t="s">
        <v>835</v>
      </c>
      <c r="G805" s="236" t="s">
        <v>468</v>
      </c>
      <c r="H805" s="237">
        <f t="shared" ref="H805:H815" si="63">IF(G805="","",VLOOKUP(G805,mah,2,0))</f>
        <v>2</v>
      </c>
      <c r="I805" s="236">
        <v>1403</v>
      </c>
      <c r="J805" s="236"/>
      <c r="K805" s="238">
        <v>8333333</v>
      </c>
      <c r="L805" s="368" t="s">
        <v>1970</v>
      </c>
    </row>
    <row r="806" spans="1:12" ht="15.75" customHeight="1">
      <c r="A806" s="194"/>
      <c r="B806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06" s="137" t="s">
        <v>475</v>
      </c>
      <c r="D806" s="137" t="s">
        <v>476</v>
      </c>
      <c r="E806" s="432" t="s">
        <v>1925</v>
      </c>
      <c r="F806" s="249" t="s">
        <v>835</v>
      </c>
      <c r="G806" s="236" t="s">
        <v>462</v>
      </c>
      <c r="H806" s="237">
        <f t="shared" si="63"/>
        <v>3</v>
      </c>
      <c r="I806" s="236">
        <v>1403</v>
      </c>
      <c r="J806" s="236"/>
      <c r="K806" s="238">
        <v>8333333</v>
      </c>
      <c r="L806" s="368" t="s">
        <v>1970</v>
      </c>
    </row>
    <row r="807" spans="1:12" ht="15.75" customHeight="1">
      <c r="A807" s="194"/>
      <c r="B807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07" s="137" t="s">
        <v>475</v>
      </c>
      <c r="D807" s="137" t="s">
        <v>476</v>
      </c>
      <c r="E807" s="432" t="s">
        <v>1925</v>
      </c>
      <c r="F807" s="249" t="s">
        <v>835</v>
      </c>
      <c r="G807" s="236" t="s">
        <v>474</v>
      </c>
      <c r="H807" s="237">
        <f t="shared" si="63"/>
        <v>4</v>
      </c>
      <c r="I807" s="236">
        <v>1403</v>
      </c>
      <c r="J807" s="236"/>
      <c r="K807" s="238">
        <v>8333333</v>
      </c>
      <c r="L807" s="368" t="s">
        <v>1970</v>
      </c>
    </row>
    <row r="808" spans="1:12" ht="15.75" customHeight="1">
      <c r="A808" s="194"/>
      <c r="B808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08" s="137" t="s">
        <v>475</v>
      </c>
      <c r="D808" s="137" t="s">
        <v>476</v>
      </c>
      <c r="E808" s="432" t="s">
        <v>1925</v>
      </c>
      <c r="F808" s="249" t="s">
        <v>835</v>
      </c>
      <c r="G808" s="236" t="s">
        <v>477</v>
      </c>
      <c r="H808" s="237">
        <f t="shared" si="63"/>
        <v>5</v>
      </c>
      <c r="I808" s="236">
        <v>1403</v>
      </c>
      <c r="J808" s="236"/>
      <c r="K808" s="238">
        <v>8333333</v>
      </c>
      <c r="L808" s="368" t="s">
        <v>1970</v>
      </c>
    </row>
    <row r="809" spans="1:12" ht="15.75" customHeight="1">
      <c r="A809" s="194"/>
      <c r="B809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09" s="137" t="s">
        <v>475</v>
      </c>
      <c r="D809" s="137" t="s">
        <v>476</v>
      </c>
      <c r="E809" s="432" t="s">
        <v>1925</v>
      </c>
      <c r="F809" s="249" t="s">
        <v>835</v>
      </c>
      <c r="G809" s="236" t="s">
        <v>479</v>
      </c>
      <c r="H809" s="237">
        <f t="shared" si="63"/>
        <v>6</v>
      </c>
      <c r="I809" s="236">
        <v>1403</v>
      </c>
      <c r="J809" s="236"/>
      <c r="K809" s="238">
        <v>8333333</v>
      </c>
      <c r="L809" s="368" t="s">
        <v>1970</v>
      </c>
    </row>
    <row r="810" spans="1:12" ht="15.75" customHeight="1">
      <c r="A810" s="194"/>
      <c r="B810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10" s="137" t="s">
        <v>475</v>
      </c>
      <c r="D810" s="137" t="s">
        <v>476</v>
      </c>
      <c r="E810" s="432" t="s">
        <v>1925</v>
      </c>
      <c r="F810" s="249" t="s">
        <v>835</v>
      </c>
      <c r="G810" s="236" t="s">
        <v>482</v>
      </c>
      <c r="H810" s="237">
        <f t="shared" si="63"/>
        <v>7</v>
      </c>
      <c r="I810" s="236">
        <v>1403</v>
      </c>
      <c r="J810" s="236"/>
      <c r="K810" s="238">
        <v>8333333</v>
      </c>
      <c r="L810" s="368" t="s">
        <v>1970</v>
      </c>
    </row>
    <row r="811" spans="1:12" ht="15.75" customHeight="1">
      <c r="A811" s="194"/>
      <c r="B811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11" s="137" t="s">
        <v>475</v>
      </c>
      <c r="D811" s="137" t="s">
        <v>476</v>
      </c>
      <c r="E811" s="432" t="s">
        <v>1925</v>
      </c>
      <c r="F811" s="249" t="s">
        <v>835</v>
      </c>
      <c r="G811" s="236" t="s">
        <v>485</v>
      </c>
      <c r="H811" s="237">
        <f t="shared" si="63"/>
        <v>8</v>
      </c>
      <c r="I811" s="236">
        <v>1403</v>
      </c>
      <c r="J811" s="236"/>
      <c r="K811" s="238">
        <v>8333333</v>
      </c>
      <c r="L811" s="368" t="s">
        <v>1970</v>
      </c>
    </row>
    <row r="812" spans="1:12" ht="15.75" customHeight="1">
      <c r="A812" s="194"/>
      <c r="B812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12" s="137" t="s">
        <v>475</v>
      </c>
      <c r="D812" s="137" t="s">
        <v>476</v>
      </c>
      <c r="E812" s="432" t="s">
        <v>1925</v>
      </c>
      <c r="F812" s="249" t="s">
        <v>835</v>
      </c>
      <c r="G812" s="236" t="s">
        <v>488</v>
      </c>
      <c r="H812" s="237">
        <f t="shared" si="63"/>
        <v>9</v>
      </c>
      <c r="I812" s="236">
        <v>1403</v>
      </c>
      <c r="J812" s="236"/>
      <c r="K812" s="238">
        <v>8333333</v>
      </c>
      <c r="L812" s="368" t="s">
        <v>1970</v>
      </c>
    </row>
    <row r="813" spans="1:12" ht="15.75" customHeight="1">
      <c r="A813" s="194"/>
      <c r="B813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13" s="137" t="s">
        <v>475</v>
      </c>
      <c r="D813" s="137" t="s">
        <v>476</v>
      </c>
      <c r="E813" s="432" t="s">
        <v>1925</v>
      </c>
      <c r="F813" s="249" t="s">
        <v>835</v>
      </c>
      <c r="G813" s="236" t="s">
        <v>493</v>
      </c>
      <c r="H813" s="237">
        <f t="shared" si="63"/>
        <v>10</v>
      </c>
      <c r="I813" s="236">
        <v>1403</v>
      </c>
      <c r="J813" s="236"/>
      <c r="K813" s="238">
        <v>8333333</v>
      </c>
      <c r="L813" s="368" t="s">
        <v>1970</v>
      </c>
    </row>
    <row r="814" spans="1:12" ht="15.75" customHeight="1">
      <c r="A814" s="194"/>
      <c r="B814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14" s="137" t="s">
        <v>475</v>
      </c>
      <c r="D814" s="137" t="s">
        <v>476</v>
      </c>
      <c r="E814" s="432" t="s">
        <v>1925</v>
      </c>
      <c r="F814" s="249" t="s">
        <v>835</v>
      </c>
      <c r="G814" s="236" t="s">
        <v>496</v>
      </c>
      <c r="H814" s="237">
        <f t="shared" si="63"/>
        <v>11</v>
      </c>
      <c r="I814" s="236">
        <v>1403</v>
      </c>
      <c r="J814" s="236"/>
      <c r="K814" s="238">
        <v>8333333</v>
      </c>
      <c r="L814" s="368" t="s">
        <v>1970</v>
      </c>
    </row>
    <row r="815" spans="1:12" ht="15.75" customHeight="1">
      <c r="A815" s="194"/>
      <c r="B815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815" s="137" t="s">
        <v>475</v>
      </c>
      <c r="D815" s="137" t="s">
        <v>476</v>
      </c>
      <c r="E815" s="432" t="s">
        <v>1925</v>
      </c>
      <c r="F815" s="249" t="s">
        <v>835</v>
      </c>
      <c r="G815" s="236" t="s">
        <v>499</v>
      </c>
      <c r="H815" s="237">
        <f t="shared" si="63"/>
        <v>12</v>
      </c>
      <c r="I815" s="236">
        <v>1403</v>
      </c>
      <c r="J815" s="236"/>
      <c r="K815" s="238">
        <v>8333333</v>
      </c>
      <c r="L815" s="368" t="s">
        <v>1970</v>
      </c>
    </row>
    <row r="816" spans="1:12" ht="15.75" customHeight="1">
      <c r="A816" s="194"/>
      <c r="B816" s="235">
        <f>SUMIFS('لیست واریزی کل خیرین'!B:B,'لیست واریزی کل خیرین'!D:D,Table1[[#This Row],[نام]],'لیست واریزی کل خیرین'!E:E,Table1[[#This Row],[نام خانوادگی]])</f>
        <v>122</v>
      </c>
      <c r="C816" s="375" t="s">
        <v>671</v>
      </c>
      <c r="D816" s="375" t="s">
        <v>1735</v>
      </c>
      <c r="E816" s="432" t="s">
        <v>1924</v>
      </c>
      <c r="F816" s="249" t="s">
        <v>571</v>
      </c>
      <c r="G816" s="236" t="s">
        <v>463</v>
      </c>
      <c r="H816" s="237">
        <f t="shared" si="62"/>
        <v>1</v>
      </c>
      <c r="I816" s="236">
        <v>1403</v>
      </c>
      <c r="J816" s="236"/>
      <c r="K816" s="238">
        <v>18191401</v>
      </c>
      <c r="L816" s="368"/>
    </row>
    <row r="817" spans="1:12" ht="15.75" customHeight="1">
      <c r="A817" s="194"/>
      <c r="B817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817" s="358" t="s">
        <v>1671</v>
      </c>
      <c r="D817" s="358" t="s">
        <v>1672</v>
      </c>
      <c r="E817" s="432" t="s">
        <v>1923</v>
      </c>
      <c r="F817" s="249" t="s">
        <v>1674</v>
      </c>
      <c r="G817" s="236" t="s">
        <v>463</v>
      </c>
      <c r="H817" s="237">
        <f t="shared" si="62"/>
        <v>1</v>
      </c>
      <c r="I817" s="236">
        <v>1403</v>
      </c>
      <c r="J817" s="236"/>
      <c r="K817" s="238">
        <v>2000000</v>
      </c>
      <c r="L817" s="368"/>
    </row>
    <row r="818" spans="1:12" ht="15.75" customHeight="1">
      <c r="A818" s="194"/>
      <c r="B818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818" s="358" t="s">
        <v>202</v>
      </c>
      <c r="D818" s="358" t="s">
        <v>502</v>
      </c>
      <c r="E818" s="432" t="s">
        <v>1922</v>
      </c>
      <c r="F818" s="249" t="s">
        <v>701</v>
      </c>
      <c r="G818" s="236" t="s">
        <v>463</v>
      </c>
      <c r="H818" s="237">
        <f t="shared" si="62"/>
        <v>1</v>
      </c>
      <c r="I818" s="236">
        <v>1403</v>
      </c>
      <c r="J818" s="236"/>
      <c r="K818" s="238">
        <v>10000000</v>
      </c>
      <c r="L818" s="368"/>
    </row>
    <row r="819" spans="1:12" ht="15.75" customHeight="1">
      <c r="A819" s="194"/>
      <c r="B819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819" s="358" t="s">
        <v>838</v>
      </c>
      <c r="D819" s="358" t="s">
        <v>839</v>
      </c>
      <c r="E819" s="432" t="s">
        <v>1922</v>
      </c>
      <c r="F819" s="249" t="s">
        <v>841</v>
      </c>
      <c r="G819" s="236" t="s">
        <v>463</v>
      </c>
      <c r="H819" s="237">
        <f t="shared" si="62"/>
        <v>1</v>
      </c>
      <c r="I819" s="236">
        <v>1403</v>
      </c>
      <c r="J819" s="236"/>
      <c r="K819" s="238">
        <v>5000000</v>
      </c>
      <c r="L819" s="368"/>
    </row>
    <row r="820" spans="1:12" ht="30" customHeight="1">
      <c r="A820" s="194"/>
      <c r="B820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820" s="358" t="s">
        <v>483</v>
      </c>
      <c r="D820" s="358" t="s">
        <v>484</v>
      </c>
      <c r="E820" s="432" t="s">
        <v>1931</v>
      </c>
      <c r="F820" s="249" t="s">
        <v>599</v>
      </c>
      <c r="G820" s="236" t="s">
        <v>463</v>
      </c>
      <c r="H820" s="237">
        <f t="shared" ref="H820:H826" si="64">IF(G820="","",VLOOKUP(G820,mah,2,0))</f>
        <v>1</v>
      </c>
      <c r="I820" s="236">
        <v>1403</v>
      </c>
      <c r="J820" s="236"/>
      <c r="K820" s="238">
        <v>5000000</v>
      </c>
      <c r="L820" s="427" t="s">
        <v>1972</v>
      </c>
    </row>
    <row r="821" spans="1:12" ht="27" customHeight="1">
      <c r="A821" s="194"/>
      <c r="B821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821" s="358" t="s">
        <v>483</v>
      </c>
      <c r="D821" s="358" t="s">
        <v>484</v>
      </c>
      <c r="E821" s="432" t="s">
        <v>1931</v>
      </c>
      <c r="F821" s="249" t="s">
        <v>599</v>
      </c>
      <c r="G821" s="236" t="s">
        <v>488</v>
      </c>
      <c r="H821" s="237">
        <f>IF(G821="","",VLOOKUP(G821,mah,2,0))</f>
        <v>9</v>
      </c>
      <c r="I821" s="236">
        <v>1402</v>
      </c>
      <c r="J821" s="236"/>
      <c r="K821" s="238">
        <v>5000000</v>
      </c>
      <c r="L821" s="427" t="s">
        <v>1972</v>
      </c>
    </row>
    <row r="822" spans="1:12" ht="29.25" customHeight="1">
      <c r="A822" s="194"/>
      <c r="B822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822" s="358" t="s">
        <v>483</v>
      </c>
      <c r="D822" s="358" t="s">
        <v>484</v>
      </c>
      <c r="E822" s="432" t="s">
        <v>1931</v>
      </c>
      <c r="F822" s="249" t="s">
        <v>599</v>
      </c>
      <c r="G822" s="236" t="s">
        <v>493</v>
      </c>
      <c r="H822" s="237">
        <f>IF(G822="","",VLOOKUP(G822,mah,2,0))</f>
        <v>10</v>
      </c>
      <c r="I822" s="236">
        <v>1402</v>
      </c>
      <c r="J822" s="236"/>
      <c r="K822" s="238">
        <v>5000000</v>
      </c>
      <c r="L822" s="427" t="s">
        <v>1972</v>
      </c>
    </row>
    <row r="823" spans="1:12" ht="27.75" customHeight="1">
      <c r="A823" s="194"/>
      <c r="B823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823" s="358" t="s">
        <v>483</v>
      </c>
      <c r="D823" s="358" t="s">
        <v>484</v>
      </c>
      <c r="E823" s="432" t="s">
        <v>1931</v>
      </c>
      <c r="F823" s="249" t="s">
        <v>599</v>
      </c>
      <c r="G823" s="236" t="s">
        <v>496</v>
      </c>
      <c r="H823" s="237">
        <f>IF(G823="","",VLOOKUP(G823,mah,2,0))</f>
        <v>11</v>
      </c>
      <c r="I823" s="236">
        <v>1402</v>
      </c>
      <c r="J823" s="236"/>
      <c r="K823" s="238">
        <v>5000000</v>
      </c>
      <c r="L823" s="427" t="s">
        <v>1972</v>
      </c>
    </row>
    <row r="824" spans="1:12" ht="29.25" customHeight="1">
      <c r="A824" s="194"/>
      <c r="B824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824" s="358" t="s">
        <v>483</v>
      </c>
      <c r="D824" s="358" t="s">
        <v>484</v>
      </c>
      <c r="E824" s="432" t="s">
        <v>1931</v>
      </c>
      <c r="F824" s="249" t="s">
        <v>599</v>
      </c>
      <c r="G824" s="236" t="s">
        <v>499</v>
      </c>
      <c r="H824" s="237">
        <f>IF(G824="","",VLOOKUP(G824,mah,2,0))</f>
        <v>12</v>
      </c>
      <c r="I824" s="236">
        <v>1402</v>
      </c>
      <c r="J824" s="236"/>
      <c r="K824" s="238">
        <v>5000000</v>
      </c>
      <c r="L824" s="427" t="s">
        <v>1972</v>
      </c>
    </row>
    <row r="825" spans="1:12" ht="30" customHeight="1">
      <c r="A825" s="194"/>
      <c r="B825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825" s="358" t="s">
        <v>483</v>
      </c>
      <c r="D825" s="358" t="s">
        <v>484</v>
      </c>
      <c r="E825" s="432" t="s">
        <v>1931</v>
      </c>
      <c r="F825" s="249" t="s">
        <v>599</v>
      </c>
      <c r="G825" s="236" t="s">
        <v>468</v>
      </c>
      <c r="H825" s="237">
        <f>IF(G825="","",VLOOKUP(G825,mah,2,0))</f>
        <v>2</v>
      </c>
      <c r="I825" s="236">
        <v>1403</v>
      </c>
      <c r="J825" s="236"/>
      <c r="K825" s="238">
        <v>5000000</v>
      </c>
      <c r="L825" s="427" t="s">
        <v>1972</v>
      </c>
    </row>
    <row r="826" spans="1:12" ht="15.75" customHeight="1">
      <c r="A826" s="194"/>
      <c r="B826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826" s="137" t="s">
        <v>480</v>
      </c>
      <c r="D826" s="137" t="s">
        <v>481</v>
      </c>
      <c r="E826" s="432" t="s">
        <v>1931</v>
      </c>
      <c r="F826" s="249" t="s">
        <v>579</v>
      </c>
      <c r="G826" s="236" t="s">
        <v>463</v>
      </c>
      <c r="H826" s="237">
        <f t="shared" si="64"/>
        <v>1</v>
      </c>
      <c r="I826" s="236">
        <v>1403</v>
      </c>
      <c r="J826" s="236"/>
      <c r="K826" s="238">
        <v>50000000</v>
      </c>
      <c r="L826" s="368"/>
    </row>
    <row r="827" spans="1:12" ht="15.75" customHeight="1">
      <c r="A827" s="194"/>
      <c r="B827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827" s="137" t="s">
        <v>497</v>
      </c>
      <c r="D827" s="137" t="s">
        <v>513</v>
      </c>
      <c r="E827" s="432" t="s">
        <v>1931</v>
      </c>
      <c r="F827" s="249" t="s">
        <v>667</v>
      </c>
      <c r="G827" s="236" t="s">
        <v>463</v>
      </c>
      <c r="H827" s="237">
        <f t="shared" ref="H827:H829" si="65">IF(G827="","",VLOOKUP(G827,mah,2,0))</f>
        <v>1</v>
      </c>
      <c r="I827" s="236">
        <v>1403</v>
      </c>
      <c r="J827" s="236"/>
      <c r="K827" s="238">
        <v>20000000</v>
      </c>
      <c r="L827" s="368"/>
    </row>
    <row r="828" spans="1:12" ht="15.75" customHeight="1">
      <c r="A828" s="194"/>
      <c r="B828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828" s="137" t="s">
        <v>596</v>
      </c>
      <c r="D828" s="137" t="s">
        <v>597</v>
      </c>
      <c r="E828" s="432" t="s">
        <v>1931</v>
      </c>
      <c r="F828" s="249" t="s">
        <v>598</v>
      </c>
      <c r="G828" s="236" t="s">
        <v>463</v>
      </c>
      <c r="H828" s="237">
        <f t="shared" si="65"/>
        <v>1</v>
      </c>
      <c r="I828" s="236">
        <v>1403</v>
      </c>
      <c r="J828" s="236"/>
      <c r="K828" s="238">
        <v>4000000</v>
      </c>
      <c r="L828" s="368"/>
    </row>
    <row r="829" spans="1:12" ht="15.75" customHeight="1">
      <c r="A829" s="194"/>
      <c r="B829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829" s="137" t="s">
        <v>596</v>
      </c>
      <c r="D829" s="137" t="s">
        <v>597</v>
      </c>
      <c r="E829" s="432" t="s">
        <v>1931</v>
      </c>
      <c r="F829" s="249" t="s">
        <v>598</v>
      </c>
      <c r="G829" s="236" t="s">
        <v>463</v>
      </c>
      <c r="H829" s="237">
        <f t="shared" si="65"/>
        <v>1</v>
      </c>
      <c r="I829" s="236">
        <v>1403</v>
      </c>
      <c r="J829" s="236"/>
      <c r="K829" s="238">
        <v>4000000</v>
      </c>
      <c r="L829" s="368"/>
    </row>
    <row r="830" spans="1:12" ht="15.75" customHeight="1">
      <c r="A830" s="194"/>
      <c r="B830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830" s="358" t="s">
        <v>489</v>
      </c>
      <c r="D830" s="358" t="s">
        <v>490</v>
      </c>
      <c r="E830" s="432" t="s">
        <v>1933</v>
      </c>
      <c r="F830" s="249" t="s">
        <v>835</v>
      </c>
      <c r="G830" s="236" t="s">
        <v>468</v>
      </c>
      <c r="H830" s="237">
        <f t="shared" si="62"/>
        <v>2</v>
      </c>
      <c r="I830" s="236">
        <v>1403</v>
      </c>
      <c r="J830" s="236"/>
      <c r="K830" s="238">
        <v>100000000</v>
      </c>
      <c r="L830" s="368"/>
    </row>
    <row r="831" spans="1:12" ht="15.75" customHeight="1">
      <c r="A831" s="194"/>
      <c r="B831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831" s="358" t="s">
        <v>522</v>
      </c>
      <c r="D831" s="358" t="s">
        <v>523</v>
      </c>
      <c r="E831" s="432" t="s">
        <v>1934</v>
      </c>
      <c r="F831" s="249"/>
      <c r="G831" s="236" t="s">
        <v>468</v>
      </c>
      <c r="H831" s="237">
        <f t="shared" si="62"/>
        <v>2</v>
      </c>
      <c r="I831" s="236">
        <v>1403</v>
      </c>
      <c r="J831" s="236"/>
      <c r="K831" s="238">
        <v>51635142</v>
      </c>
      <c r="L831" s="368"/>
    </row>
    <row r="832" spans="1:12" ht="15.75" customHeight="1">
      <c r="A832" s="194"/>
      <c r="B832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832" s="358" t="s">
        <v>494</v>
      </c>
      <c r="D832" s="358" t="s">
        <v>533</v>
      </c>
      <c r="E832" s="432" t="s">
        <v>1934</v>
      </c>
      <c r="F832" s="249" t="s">
        <v>835</v>
      </c>
      <c r="G832" s="236" t="s">
        <v>468</v>
      </c>
      <c r="H832" s="237">
        <f t="shared" si="62"/>
        <v>2</v>
      </c>
      <c r="I832" s="236">
        <v>1403</v>
      </c>
      <c r="J832" s="236"/>
      <c r="K832" s="238">
        <v>50000000</v>
      </c>
      <c r="L832" s="368"/>
    </row>
    <row r="833" spans="1:12" ht="15.75" customHeight="1">
      <c r="A833" s="194"/>
      <c r="B833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833" s="455" t="s">
        <v>1671</v>
      </c>
      <c r="D833" s="358" t="s">
        <v>1672</v>
      </c>
      <c r="E833" s="432" t="s">
        <v>1935</v>
      </c>
      <c r="F833" s="249" t="s">
        <v>1674</v>
      </c>
      <c r="G833" s="236" t="s">
        <v>468</v>
      </c>
      <c r="H833" s="237">
        <f t="shared" ref="H833:H854" si="66">IF(G833="","",VLOOKUP(G833,mah,2,0))</f>
        <v>2</v>
      </c>
      <c r="I833" s="236">
        <v>1403</v>
      </c>
      <c r="J833" s="236"/>
      <c r="K833" s="238">
        <v>10000000</v>
      </c>
      <c r="L833" s="368"/>
    </row>
    <row r="834" spans="1:12" ht="15.75" customHeight="1">
      <c r="A834" s="194"/>
      <c r="B834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834" s="137" t="s">
        <v>529</v>
      </c>
      <c r="D834" s="137" t="s">
        <v>530</v>
      </c>
      <c r="E834" s="432" t="s">
        <v>1936</v>
      </c>
      <c r="F834" s="249" t="s">
        <v>689</v>
      </c>
      <c r="G834" s="236" t="s">
        <v>468</v>
      </c>
      <c r="H834" s="237">
        <f t="shared" si="66"/>
        <v>2</v>
      </c>
      <c r="I834" s="236">
        <v>1403</v>
      </c>
      <c r="J834" s="236"/>
      <c r="K834" s="238">
        <v>5000000</v>
      </c>
      <c r="L834" s="368"/>
    </row>
    <row r="835" spans="1:12" ht="15.75" customHeight="1">
      <c r="A835" s="194"/>
      <c r="B835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835" s="358" t="s">
        <v>471</v>
      </c>
      <c r="D835" s="358" t="s">
        <v>472</v>
      </c>
      <c r="E835" s="432" t="s">
        <v>1936</v>
      </c>
      <c r="F835" s="249" t="s">
        <v>872</v>
      </c>
      <c r="G835" s="236" t="s">
        <v>468</v>
      </c>
      <c r="H835" s="237">
        <f t="shared" si="66"/>
        <v>2</v>
      </c>
      <c r="I835" s="236">
        <v>1403</v>
      </c>
      <c r="J835" s="236"/>
      <c r="K835" s="238">
        <v>2000000</v>
      </c>
      <c r="L835" s="368"/>
    </row>
    <row r="836" spans="1:12" ht="15.75" customHeight="1">
      <c r="A836" s="194"/>
      <c r="B836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836" s="137" t="s">
        <v>480</v>
      </c>
      <c r="D836" s="137" t="s">
        <v>481</v>
      </c>
      <c r="E836" s="432" t="s">
        <v>1937</v>
      </c>
      <c r="F836" s="249" t="s">
        <v>881</v>
      </c>
      <c r="G836" s="236" t="s">
        <v>468</v>
      </c>
      <c r="H836" s="237">
        <f t="shared" si="66"/>
        <v>2</v>
      </c>
      <c r="I836" s="236">
        <v>1403</v>
      </c>
      <c r="J836" s="236"/>
      <c r="K836" s="238">
        <v>50000000</v>
      </c>
      <c r="L836" s="368"/>
    </row>
    <row r="837" spans="1:12" ht="27" customHeight="1">
      <c r="A837" s="194"/>
      <c r="B837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837" s="137" t="s">
        <v>518</v>
      </c>
      <c r="D837" s="137" t="s">
        <v>519</v>
      </c>
      <c r="E837" s="432" t="s">
        <v>1937</v>
      </c>
      <c r="F837" s="249" t="s">
        <v>611</v>
      </c>
      <c r="G837" s="236" t="s">
        <v>468</v>
      </c>
      <c r="H837" s="237">
        <f t="shared" si="66"/>
        <v>2</v>
      </c>
      <c r="I837" s="236">
        <v>1403</v>
      </c>
      <c r="J837" s="236"/>
      <c r="K837" s="238">
        <v>2000000</v>
      </c>
      <c r="L837" s="427" t="s">
        <v>2013</v>
      </c>
    </row>
    <row r="838" spans="1:12" ht="15.75" customHeight="1">
      <c r="A838" s="194"/>
      <c r="B838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838" s="137" t="s">
        <v>518</v>
      </c>
      <c r="D838" s="137" t="s">
        <v>519</v>
      </c>
      <c r="E838" s="432" t="s">
        <v>1937</v>
      </c>
      <c r="F838" s="249" t="s">
        <v>611</v>
      </c>
      <c r="G838" s="236" t="s">
        <v>482</v>
      </c>
      <c r="H838" s="237">
        <f t="shared" ref="H838:H845" si="67">IF(G838="","",VLOOKUP(G838,mah,2,0))</f>
        <v>7</v>
      </c>
      <c r="I838" s="236">
        <v>1402</v>
      </c>
      <c r="J838" s="236"/>
      <c r="K838" s="238">
        <v>2000000</v>
      </c>
      <c r="L838" s="427" t="s">
        <v>2013</v>
      </c>
    </row>
    <row r="839" spans="1:12" ht="15.75" customHeight="1">
      <c r="A839" s="194"/>
      <c r="B839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839" s="137" t="s">
        <v>518</v>
      </c>
      <c r="D839" s="137" t="s">
        <v>519</v>
      </c>
      <c r="E839" s="432" t="s">
        <v>1937</v>
      </c>
      <c r="F839" s="249" t="s">
        <v>611</v>
      </c>
      <c r="G839" s="236" t="s">
        <v>485</v>
      </c>
      <c r="H839" s="237">
        <f t="shared" si="67"/>
        <v>8</v>
      </c>
      <c r="I839" s="236">
        <v>1402</v>
      </c>
      <c r="J839" s="236"/>
      <c r="K839" s="238">
        <v>2000000</v>
      </c>
      <c r="L839" s="427" t="s">
        <v>2013</v>
      </c>
    </row>
    <row r="840" spans="1:12" ht="15.75" customHeight="1">
      <c r="A840" s="194"/>
      <c r="B840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840" s="137" t="s">
        <v>518</v>
      </c>
      <c r="D840" s="137" t="s">
        <v>519</v>
      </c>
      <c r="E840" s="432" t="s">
        <v>1937</v>
      </c>
      <c r="F840" s="249" t="s">
        <v>611</v>
      </c>
      <c r="G840" s="236" t="s">
        <v>488</v>
      </c>
      <c r="H840" s="237">
        <f t="shared" si="67"/>
        <v>9</v>
      </c>
      <c r="I840" s="236">
        <v>1402</v>
      </c>
      <c r="J840" s="236"/>
      <c r="K840" s="238">
        <v>2000000</v>
      </c>
      <c r="L840" s="427" t="s">
        <v>2013</v>
      </c>
    </row>
    <row r="841" spans="1:12" ht="15.75" customHeight="1">
      <c r="A841" s="194"/>
      <c r="B841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841" s="137" t="s">
        <v>518</v>
      </c>
      <c r="D841" s="137" t="s">
        <v>519</v>
      </c>
      <c r="E841" s="432" t="s">
        <v>1937</v>
      </c>
      <c r="F841" s="249" t="s">
        <v>611</v>
      </c>
      <c r="G841" s="236" t="s">
        <v>493</v>
      </c>
      <c r="H841" s="237">
        <f t="shared" si="67"/>
        <v>10</v>
      </c>
      <c r="I841" s="236">
        <v>1402</v>
      </c>
      <c r="J841" s="236"/>
      <c r="K841" s="238">
        <v>2000000</v>
      </c>
      <c r="L841" s="427" t="s">
        <v>2013</v>
      </c>
    </row>
    <row r="842" spans="1:12" ht="15.75" customHeight="1">
      <c r="A842" s="194"/>
      <c r="B842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842" s="137" t="s">
        <v>518</v>
      </c>
      <c r="D842" s="137" t="s">
        <v>519</v>
      </c>
      <c r="E842" s="432" t="s">
        <v>1937</v>
      </c>
      <c r="F842" s="249" t="s">
        <v>611</v>
      </c>
      <c r="G842" s="236" t="s">
        <v>496</v>
      </c>
      <c r="H842" s="237">
        <f t="shared" si="67"/>
        <v>11</v>
      </c>
      <c r="I842" s="236">
        <v>1402</v>
      </c>
      <c r="J842" s="236"/>
      <c r="K842" s="238">
        <v>2000000</v>
      </c>
      <c r="L842" s="427" t="s">
        <v>2013</v>
      </c>
    </row>
    <row r="843" spans="1:12" ht="15.75" customHeight="1">
      <c r="A843" s="194"/>
      <c r="B843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843" s="137" t="s">
        <v>518</v>
      </c>
      <c r="D843" s="137" t="s">
        <v>519</v>
      </c>
      <c r="E843" s="432" t="s">
        <v>1937</v>
      </c>
      <c r="F843" s="249" t="s">
        <v>611</v>
      </c>
      <c r="G843" s="236" t="s">
        <v>499</v>
      </c>
      <c r="H843" s="237">
        <f t="shared" si="67"/>
        <v>12</v>
      </c>
      <c r="I843" s="236">
        <v>1402</v>
      </c>
      <c r="J843" s="236"/>
      <c r="K843" s="238">
        <v>2000000</v>
      </c>
      <c r="L843" s="427" t="s">
        <v>2013</v>
      </c>
    </row>
    <row r="844" spans="1:12" ht="15.75" customHeight="1">
      <c r="A844" s="194"/>
      <c r="B844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844" s="137" t="s">
        <v>518</v>
      </c>
      <c r="D844" s="137" t="s">
        <v>519</v>
      </c>
      <c r="E844" s="432" t="s">
        <v>1937</v>
      </c>
      <c r="F844" s="249" t="s">
        <v>611</v>
      </c>
      <c r="G844" s="236" t="s">
        <v>463</v>
      </c>
      <c r="H844" s="237">
        <f t="shared" si="67"/>
        <v>1</v>
      </c>
      <c r="I844" s="236">
        <v>1403</v>
      </c>
      <c r="J844" s="236"/>
      <c r="K844" s="238">
        <v>2000000</v>
      </c>
      <c r="L844" s="427" t="s">
        <v>2013</v>
      </c>
    </row>
    <row r="845" spans="1:12" ht="15.75" customHeight="1">
      <c r="A845" s="194"/>
      <c r="B845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845" s="137" t="s">
        <v>518</v>
      </c>
      <c r="D845" s="137" t="s">
        <v>519</v>
      </c>
      <c r="E845" s="432" t="s">
        <v>1937</v>
      </c>
      <c r="F845" s="249" t="s">
        <v>611</v>
      </c>
      <c r="G845" s="236" t="s">
        <v>462</v>
      </c>
      <c r="H845" s="237">
        <f t="shared" si="67"/>
        <v>3</v>
      </c>
      <c r="I845" s="236">
        <v>1403</v>
      </c>
      <c r="J845" s="236"/>
      <c r="K845" s="238">
        <v>2000000</v>
      </c>
      <c r="L845" s="427" t="s">
        <v>2013</v>
      </c>
    </row>
    <row r="846" spans="1:12" ht="15.75" customHeight="1">
      <c r="A846" s="194"/>
      <c r="B846" s="235">
        <f>SUMIFS('لیست واریزی کل خیرین'!B:B,'لیست واریزی کل خیرین'!D:D,Table1[[#This Row],[نام]],'لیست واریزی کل خیرین'!E:E,Table1[[#This Row],[نام خانوادگی]])</f>
        <v>123</v>
      </c>
      <c r="C846" s="358" t="s">
        <v>1762</v>
      </c>
      <c r="D846" s="358" t="s">
        <v>1763</v>
      </c>
      <c r="E846" s="432" t="s">
        <v>1938</v>
      </c>
      <c r="F846" s="249" t="s">
        <v>1761</v>
      </c>
      <c r="G846" s="236" t="s">
        <v>468</v>
      </c>
      <c r="H846" s="237">
        <f t="shared" si="66"/>
        <v>2</v>
      </c>
      <c r="I846" s="236">
        <v>1403</v>
      </c>
      <c r="J846" s="236"/>
      <c r="K846" s="238">
        <v>20000000</v>
      </c>
      <c r="L846" s="368"/>
    </row>
    <row r="847" spans="1:12" ht="15.75" customHeight="1">
      <c r="A847" s="194"/>
      <c r="B847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847" s="358" t="s">
        <v>486</v>
      </c>
      <c r="D847" s="358" t="s">
        <v>487</v>
      </c>
      <c r="E847" s="432" t="s">
        <v>1939</v>
      </c>
      <c r="F847" s="249" t="s">
        <v>595</v>
      </c>
      <c r="G847" s="236" t="s">
        <v>468</v>
      </c>
      <c r="H847" s="237">
        <f t="shared" si="66"/>
        <v>2</v>
      </c>
      <c r="I847" s="236">
        <v>1403</v>
      </c>
      <c r="J847" s="236"/>
      <c r="K847" s="238">
        <v>20000000</v>
      </c>
      <c r="L847" s="368"/>
    </row>
    <row r="848" spans="1:12" ht="15.75" customHeight="1">
      <c r="A848" s="194"/>
      <c r="B848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848" s="137" t="s">
        <v>494</v>
      </c>
      <c r="D848" s="137" t="s">
        <v>546</v>
      </c>
      <c r="E848" s="432" t="s">
        <v>1940</v>
      </c>
      <c r="F848" s="249" t="s">
        <v>1806</v>
      </c>
      <c r="G848" s="236" t="s">
        <v>468</v>
      </c>
      <c r="H848" s="237">
        <f t="shared" si="66"/>
        <v>2</v>
      </c>
      <c r="I848" s="236">
        <v>1403</v>
      </c>
      <c r="J848" s="236"/>
      <c r="K848" s="238">
        <v>40000000</v>
      </c>
      <c r="L848" s="368"/>
    </row>
    <row r="849" spans="1:12" ht="15.75" customHeight="1">
      <c r="A849" s="194"/>
      <c r="B849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849" s="358" t="s">
        <v>202</v>
      </c>
      <c r="D849" s="358" t="s">
        <v>502</v>
      </c>
      <c r="E849" s="432" t="s">
        <v>1941</v>
      </c>
      <c r="F849" s="249" t="s">
        <v>701</v>
      </c>
      <c r="G849" s="236" t="s">
        <v>468</v>
      </c>
      <c r="H849" s="237">
        <f t="shared" si="66"/>
        <v>2</v>
      </c>
      <c r="I849" s="236">
        <v>1403</v>
      </c>
      <c r="J849" s="236"/>
      <c r="K849" s="238">
        <v>10000000</v>
      </c>
      <c r="L849" s="368"/>
    </row>
    <row r="850" spans="1:12" ht="15.75" customHeight="1">
      <c r="A850" s="194"/>
      <c r="B85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850" s="358"/>
      <c r="D850" s="358"/>
      <c r="E850" s="432" t="s">
        <v>1941</v>
      </c>
      <c r="F850" s="249" t="s">
        <v>835</v>
      </c>
      <c r="G850" s="236" t="s">
        <v>468</v>
      </c>
      <c r="H850" s="237">
        <f t="shared" si="66"/>
        <v>2</v>
      </c>
      <c r="I850" s="236">
        <v>1403</v>
      </c>
      <c r="J850" s="236"/>
      <c r="K850" s="238">
        <v>100000000</v>
      </c>
      <c r="L850" s="368" t="s">
        <v>1965</v>
      </c>
    </row>
    <row r="851" spans="1:12" ht="15.75" customHeight="1">
      <c r="A851" s="194"/>
      <c r="B851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851" s="137" t="s">
        <v>497</v>
      </c>
      <c r="D851" s="152" t="s">
        <v>498</v>
      </c>
      <c r="E851" s="432" t="s">
        <v>1887</v>
      </c>
      <c r="F851" s="249" t="s">
        <v>862</v>
      </c>
      <c r="G851" s="236" t="s">
        <v>468</v>
      </c>
      <c r="H851" s="237">
        <f>IF(G851="","",VLOOKUP(G851,mah,2,0))</f>
        <v>2</v>
      </c>
      <c r="I851" s="236">
        <v>1403</v>
      </c>
      <c r="J851" s="236"/>
      <c r="K851" s="238">
        <v>20000000</v>
      </c>
      <c r="L851" s="368" t="s">
        <v>2011</v>
      </c>
    </row>
    <row r="852" spans="1:12" ht="15.75" customHeight="1">
      <c r="A852" s="194"/>
      <c r="B852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852" s="137" t="s">
        <v>497</v>
      </c>
      <c r="D852" s="152" t="s">
        <v>498</v>
      </c>
      <c r="E852" s="236"/>
      <c r="F852" s="249"/>
      <c r="G852" s="236" t="s">
        <v>462</v>
      </c>
      <c r="H852" s="237">
        <f>IF(G852="","",VLOOKUP(G852,mah,2,0))</f>
        <v>3</v>
      </c>
      <c r="I852" s="236">
        <v>1403</v>
      </c>
      <c r="J852" s="236"/>
      <c r="K852" s="238">
        <v>10000000</v>
      </c>
      <c r="L852" s="368" t="s">
        <v>2011</v>
      </c>
    </row>
    <row r="853" spans="1:12" ht="15.75" customHeight="1">
      <c r="A853" s="194"/>
      <c r="B853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853" s="137" t="s">
        <v>497</v>
      </c>
      <c r="D853" s="152" t="s">
        <v>498</v>
      </c>
      <c r="E853" s="432" t="s">
        <v>1941</v>
      </c>
      <c r="F853" s="249" t="s">
        <v>1942</v>
      </c>
      <c r="G853" s="236" t="s">
        <v>462</v>
      </c>
      <c r="H853" s="237">
        <f t="shared" si="66"/>
        <v>3</v>
      </c>
      <c r="I853" s="236">
        <v>1403</v>
      </c>
      <c r="J853" s="236"/>
      <c r="K853" s="238">
        <v>10000000</v>
      </c>
      <c r="L853" s="368" t="s">
        <v>2012</v>
      </c>
    </row>
    <row r="854" spans="1:12" ht="15.75" customHeight="1">
      <c r="A854" s="194"/>
      <c r="B854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854" s="137" t="s">
        <v>596</v>
      </c>
      <c r="D854" s="137" t="s">
        <v>597</v>
      </c>
      <c r="E854" s="432" t="s">
        <v>1943</v>
      </c>
      <c r="F854" s="249" t="s">
        <v>598</v>
      </c>
      <c r="G854" s="236" t="s">
        <v>468</v>
      </c>
      <c r="H854" s="237">
        <f t="shared" si="66"/>
        <v>2</v>
      </c>
      <c r="I854" s="236">
        <v>1403</v>
      </c>
      <c r="J854" s="236"/>
      <c r="K854" s="238">
        <v>4000000</v>
      </c>
      <c r="L854" s="368"/>
    </row>
    <row r="855" spans="1:12" ht="15.75" customHeight="1">
      <c r="A855" s="194"/>
      <c r="B855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855" s="455" t="s">
        <v>1671</v>
      </c>
      <c r="D855" s="358" t="s">
        <v>1672</v>
      </c>
      <c r="E855" s="432" t="s">
        <v>1944</v>
      </c>
      <c r="F855" s="249" t="s">
        <v>1674</v>
      </c>
      <c r="G855" s="236" t="s">
        <v>462</v>
      </c>
      <c r="H855" s="237">
        <f t="shared" si="62"/>
        <v>3</v>
      </c>
      <c r="I855" s="236">
        <v>1403</v>
      </c>
      <c r="J855" s="236"/>
      <c r="K855" s="238">
        <v>2000000</v>
      </c>
      <c r="L855" s="368"/>
    </row>
    <row r="856" spans="1:12" ht="15.75" customHeight="1">
      <c r="A856" s="194"/>
      <c r="B856" s="235">
        <f>SUMIFS('لیست واریزی کل خیرین'!B:B,'لیست واریزی کل خیرین'!D:D,Table1[[#This Row],[نام]],'لیست واریزی کل خیرین'!E:E,Table1[[#This Row],[نام خانوادگی]])</f>
        <v>106</v>
      </c>
      <c r="C856" s="454" t="s">
        <v>1590</v>
      </c>
      <c r="D856" s="375" t="s">
        <v>1591</v>
      </c>
      <c r="E856" s="432" t="s">
        <v>1945</v>
      </c>
      <c r="F856" s="249" t="s">
        <v>1592</v>
      </c>
      <c r="G856" s="236" t="s">
        <v>462</v>
      </c>
      <c r="H856" s="237">
        <f t="shared" ref="H856:H864" si="68">IF(G856="","",VLOOKUP(G856,mah,2,0))</f>
        <v>3</v>
      </c>
      <c r="I856" s="236">
        <v>1403</v>
      </c>
      <c r="J856" s="236"/>
      <c r="K856" s="238">
        <v>20000000</v>
      </c>
      <c r="L856" s="368"/>
    </row>
    <row r="857" spans="1:12" ht="15.75" customHeight="1">
      <c r="A857" s="194"/>
      <c r="B857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857" s="358" t="s">
        <v>838</v>
      </c>
      <c r="D857" s="358" t="s">
        <v>839</v>
      </c>
      <c r="E857" s="432" t="s">
        <v>1946</v>
      </c>
      <c r="F857" s="249" t="s">
        <v>841</v>
      </c>
      <c r="G857" s="236" t="s">
        <v>462</v>
      </c>
      <c r="H857" s="237">
        <f t="shared" si="68"/>
        <v>3</v>
      </c>
      <c r="I857" s="236">
        <v>1403</v>
      </c>
      <c r="J857" s="236"/>
      <c r="K857" s="238">
        <v>5000000</v>
      </c>
      <c r="L857" s="368"/>
    </row>
    <row r="858" spans="1:12" ht="15.75" customHeight="1">
      <c r="A858" s="194"/>
      <c r="B858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858" s="358" t="s">
        <v>522</v>
      </c>
      <c r="D858" s="358" t="s">
        <v>523</v>
      </c>
      <c r="E858" s="432" t="s">
        <v>1947</v>
      </c>
      <c r="F858" s="249"/>
      <c r="G858" s="236" t="s">
        <v>462</v>
      </c>
      <c r="H858" s="237">
        <f t="shared" si="68"/>
        <v>3</v>
      </c>
      <c r="I858" s="236">
        <v>1403</v>
      </c>
      <c r="J858" s="236"/>
      <c r="K858" s="238">
        <v>65982615</v>
      </c>
      <c r="L858" s="368"/>
    </row>
    <row r="859" spans="1:12" ht="15.75" customHeight="1">
      <c r="A859" s="194"/>
      <c r="B859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859" s="358" t="s">
        <v>670</v>
      </c>
      <c r="D859" s="358" t="s">
        <v>490</v>
      </c>
      <c r="E859" s="432" t="s">
        <v>1952</v>
      </c>
      <c r="F859" s="249" t="s">
        <v>1323</v>
      </c>
      <c r="G859" s="236" t="s">
        <v>462</v>
      </c>
      <c r="H859" s="237">
        <f t="shared" si="68"/>
        <v>3</v>
      </c>
      <c r="I859" s="236">
        <v>1403</v>
      </c>
      <c r="J859" s="236"/>
      <c r="K859" s="238">
        <v>20000000</v>
      </c>
      <c r="L859" s="368"/>
    </row>
    <row r="860" spans="1:12" ht="15.75" customHeight="1">
      <c r="A860" s="194"/>
      <c r="B860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860" s="358" t="s">
        <v>494</v>
      </c>
      <c r="D860" s="358" t="s">
        <v>533</v>
      </c>
      <c r="E860" s="432" t="s">
        <v>1953</v>
      </c>
      <c r="F860" s="249" t="s">
        <v>835</v>
      </c>
      <c r="G860" s="236" t="s">
        <v>462</v>
      </c>
      <c r="H860" s="237">
        <f t="shared" si="68"/>
        <v>3</v>
      </c>
      <c r="I860" s="236">
        <v>1403</v>
      </c>
      <c r="J860" s="236"/>
      <c r="K860" s="238">
        <v>50000000</v>
      </c>
      <c r="L860" s="368"/>
    </row>
    <row r="861" spans="1:12" ht="15.75" customHeight="1">
      <c r="A861" s="194"/>
      <c r="B861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861" s="358" t="s">
        <v>494</v>
      </c>
      <c r="D861" s="358" t="s">
        <v>533</v>
      </c>
      <c r="E861" s="432" t="s">
        <v>1953</v>
      </c>
      <c r="F861" s="249" t="s">
        <v>835</v>
      </c>
      <c r="G861" s="236" t="s">
        <v>462</v>
      </c>
      <c r="H861" s="237">
        <f t="shared" si="68"/>
        <v>3</v>
      </c>
      <c r="I861" s="236">
        <v>1403</v>
      </c>
      <c r="J861" s="236"/>
      <c r="K861" s="238">
        <v>50000000</v>
      </c>
      <c r="L861" s="368"/>
    </row>
    <row r="862" spans="1:12" ht="15.75" customHeight="1">
      <c r="A862" s="194"/>
      <c r="B86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862" s="358"/>
      <c r="D862" s="358"/>
      <c r="E862" s="432" t="s">
        <v>1953</v>
      </c>
      <c r="F862" s="249" t="s">
        <v>835</v>
      </c>
      <c r="G862" s="236" t="s">
        <v>462</v>
      </c>
      <c r="H862" s="237">
        <f t="shared" si="68"/>
        <v>3</v>
      </c>
      <c r="I862" s="236">
        <v>1403</v>
      </c>
      <c r="J862" s="236"/>
      <c r="K862" s="238">
        <v>163200000</v>
      </c>
      <c r="L862" s="240" t="s">
        <v>1973</v>
      </c>
    </row>
    <row r="863" spans="1:12" ht="15.75" customHeight="1">
      <c r="A863" s="194"/>
      <c r="B863" s="235">
        <f>SUMIFS('لیست واریزی کل خیرین'!B:B,'لیست واریزی کل خیرین'!D:D,Table1[[#This Row],[نام]],'لیست واریزی کل خیرین'!E:E,Table1[[#This Row],[نام خانوادگی]])</f>
        <v>126</v>
      </c>
      <c r="C863" s="358" t="s">
        <v>1868</v>
      </c>
      <c r="D863" s="358" t="s">
        <v>1869</v>
      </c>
      <c r="E863" s="432" t="s">
        <v>1954</v>
      </c>
      <c r="F863" s="249" t="s">
        <v>1865</v>
      </c>
      <c r="G863" s="236" t="s">
        <v>462</v>
      </c>
      <c r="H863" s="237">
        <f t="shared" si="68"/>
        <v>3</v>
      </c>
      <c r="I863" s="236">
        <v>1403</v>
      </c>
      <c r="J863" s="236"/>
      <c r="K863" s="238">
        <v>100000000</v>
      </c>
      <c r="L863" s="368"/>
    </row>
    <row r="864" spans="1:12" ht="15.75" customHeight="1">
      <c r="A864" s="194"/>
      <c r="B864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864" s="137" t="s">
        <v>480</v>
      </c>
      <c r="D864" s="137" t="s">
        <v>481</v>
      </c>
      <c r="E864" s="432" t="s">
        <v>1955</v>
      </c>
      <c r="F864" s="249" t="s">
        <v>579</v>
      </c>
      <c r="G864" s="236" t="s">
        <v>462</v>
      </c>
      <c r="H864" s="237">
        <f t="shared" si="68"/>
        <v>3</v>
      </c>
      <c r="I864" s="236">
        <v>1403</v>
      </c>
      <c r="J864" s="236"/>
      <c r="K864" s="238">
        <v>50000000</v>
      </c>
      <c r="L864" s="368"/>
    </row>
    <row r="865" spans="1:12" ht="15.75" customHeight="1">
      <c r="A865" s="194"/>
      <c r="B86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865" s="375" t="s">
        <v>1957</v>
      </c>
      <c r="D865" s="375" t="s">
        <v>1958</v>
      </c>
      <c r="E865" s="432" t="s">
        <v>1955</v>
      </c>
      <c r="F865" s="249" t="s">
        <v>1956</v>
      </c>
      <c r="G865" s="236" t="s">
        <v>462</v>
      </c>
      <c r="H865" s="237">
        <f t="shared" ref="H865:H870" si="69">IF(G865="","",VLOOKUP(G865,mah,2,0))</f>
        <v>3</v>
      </c>
      <c r="I865" s="236">
        <v>1403</v>
      </c>
      <c r="J865" s="236"/>
      <c r="K865" s="238">
        <v>20000000</v>
      </c>
      <c r="L865" s="368"/>
    </row>
    <row r="866" spans="1:12" ht="15.75" customHeight="1">
      <c r="A866" s="194"/>
      <c r="B866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866" s="358" t="s">
        <v>494</v>
      </c>
      <c r="D866" s="358" t="s">
        <v>511</v>
      </c>
      <c r="E866" s="432" t="s">
        <v>1959</v>
      </c>
      <c r="F866" s="249" t="s">
        <v>835</v>
      </c>
      <c r="G866" s="236" t="s">
        <v>462</v>
      </c>
      <c r="H866" s="237">
        <f t="shared" si="69"/>
        <v>3</v>
      </c>
      <c r="I866" s="236">
        <v>1403</v>
      </c>
      <c r="J866" s="236"/>
      <c r="K866" s="238">
        <v>50000000</v>
      </c>
      <c r="L866" s="368"/>
    </row>
    <row r="867" spans="1:12" ht="15.75" customHeight="1">
      <c r="A867" s="194"/>
      <c r="B867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867" s="358" t="s">
        <v>486</v>
      </c>
      <c r="D867" s="358" t="s">
        <v>487</v>
      </c>
      <c r="E867" s="432" t="s">
        <v>1960</v>
      </c>
      <c r="F867" s="249" t="s">
        <v>595</v>
      </c>
      <c r="G867" s="236" t="s">
        <v>462</v>
      </c>
      <c r="H867" s="237">
        <f t="shared" si="69"/>
        <v>3</v>
      </c>
      <c r="I867" s="236">
        <v>1403</v>
      </c>
      <c r="J867" s="236"/>
      <c r="K867" s="238">
        <v>20000000</v>
      </c>
      <c r="L867" s="368"/>
    </row>
    <row r="868" spans="1:12" ht="15.75" customHeight="1">
      <c r="A868" s="194"/>
      <c r="B868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868" s="358" t="s">
        <v>596</v>
      </c>
      <c r="D868" s="358" t="s">
        <v>597</v>
      </c>
      <c r="E868" s="432" t="s">
        <v>1961</v>
      </c>
      <c r="F868" s="249" t="s">
        <v>598</v>
      </c>
      <c r="G868" s="236" t="s">
        <v>462</v>
      </c>
      <c r="H868" s="237">
        <f t="shared" si="69"/>
        <v>3</v>
      </c>
      <c r="I868" s="236">
        <v>1403</v>
      </c>
      <c r="J868" s="236"/>
      <c r="K868" s="238">
        <v>4000000</v>
      </c>
      <c r="L868" s="368"/>
    </row>
    <row r="869" spans="1:12" ht="15.75" customHeight="1">
      <c r="A869" s="194"/>
      <c r="B869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869" s="358" t="s">
        <v>814</v>
      </c>
      <c r="D869" s="358" t="s">
        <v>705</v>
      </c>
      <c r="E869" s="432" t="s">
        <v>1962</v>
      </c>
      <c r="F869" s="249" t="s">
        <v>1438</v>
      </c>
      <c r="G869" s="236" t="s">
        <v>462</v>
      </c>
      <c r="H869" s="237">
        <f t="shared" si="69"/>
        <v>3</v>
      </c>
      <c r="I869" s="236">
        <v>1403</v>
      </c>
      <c r="J869" s="236"/>
      <c r="K869" s="238">
        <v>10000000</v>
      </c>
      <c r="L869" s="368"/>
    </row>
    <row r="870" spans="1:12" ht="15.75" customHeight="1">
      <c r="A870" s="194"/>
      <c r="B870" s="235">
        <f>SUMIFS('لیست واریزی کل خیرین'!B:B,'لیست واریزی کل خیرین'!D:D,Table1[[#This Row],[نام]],'لیست واریزی کل خیرین'!E:E,Table1[[#This Row],[نام خانوادگی]])</f>
        <v>126</v>
      </c>
      <c r="C870" s="358" t="s">
        <v>1868</v>
      </c>
      <c r="D870" s="358" t="s">
        <v>1869</v>
      </c>
      <c r="E870" s="432" t="s">
        <v>1963</v>
      </c>
      <c r="F870" s="249" t="s">
        <v>1865</v>
      </c>
      <c r="G870" s="236" t="s">
        <v>462</v>
      </c>
      <c r="H870" s="237">
        <f t="shared" si="69"/>
        <v>3</v>
      </c>
      <c r="I870" s="236">
        <v>1403</v>
      </c>
      <c r="J870" s="236"/>
      <c r="K870" s="238">
        <v>100000000</v>
      </c>
      <c r="L870" s="368"/>
    </row>
    <row r="871" spans="1:12" ht="15.75" customHeight="1">
      <c r="A871" s="194"/>
      <c r="B871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871" s="358" t="s">
        <v>202</v>
      </c>
      <c r="D871" s="358" t="s">
        <v>502</v>
      </c>
      <c r="E871" s="432" t="s">
        <v>1963</v>
      </c>
      <c r="F871" s="249" t="s">
        <v>701</v>
      </c>
      <c r="G871" s="236" t="s">
        <v>462</v>
      </c>
      <c r="H871" s="237">
        <f t="shared" ref="H871:H873" si="70">IF(G871="","",VLOOKUP(G871,mah,2,0))</f>
        <v>3</v>
      </c>
      <c r="I871" s="236">
        <v>1403</v>
      </c>
      <c r="J871" s="236"/>
      <c r="K871" s="238">
        <v>10000000</v>
      </c>
      <c r="L871" s="368"/>
    </row>
    <row r="872" spans="1:12" ht="15.75" customHeight="1">
      <c r="A872" s="194"/>
      <c r="B872" s="235">
        <f>SUMIFS('لیست واریزی کل خیرین'!B:B,'لیست واریزی کل خیرین'!D:D,Table1[[#This Row],[نام]],'لیست واریزی کل خیرین'!E:E,Table1[[#This Row],[نام خانوادگی]])</f>
        <v>39</v>
      </c>
      <c r="C872" s="358" t="s">
        <v>207</v>
      </c>
      <c r="D872" s="358" t="s">
        <v>525</v>
      </c>
      <c r="E872" s="432" t="s">
        <v>1964</v>
      </c>
      <c r="F872" s="249" t="s">
        <v>1285</v>
      </c>
      <c r="G872" s="236" t="s">
        <v>462</v>
      </c>
      <c r="H872" s="237">
        <f t="shared" si="70"/>
        <v>3</v>
      </c>
      <c r="I872" s="236">
        <v>1403</v>
      </c>
      <c r="J872" s="236"/>
      <c r="K872" s="238">
        <v>60000000</v>
      </c>
      <c r="L872" s="368"/>
    </row>
    <row r="873" spans="1:12" ht="15.75" customHeight="1">
      <c r="A873" s="194"/>
      <c r="B873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873" s="358" t="s">
        <v>207</v>
      </c>
      <c r="D873" s="358" t="s">
        <v>478</v>
      </c>
      <c r="E873" s="432" t="s">
        <v>1997</v>
      </c>
      <c r="F873" s="249" t="s">
        <v>2005</v>
      </c>
      <c r="G873" s="236" t="s">
        <v>462</v>
      </c>
      <c r="H873" s="237">
        <f t="shared" si="70"/>
        <v>3</v>
      </c>
      <c r="I873" s="236">
        <v>1403</v>
      </c>
      <c r="J873" s="236"/>
      <c r="K873" s="238">
        <v>5000000</v>
      </c>
      <c r="L873" s="368"/>
    </row>
    <row r="874" spans="1:12" ht="15.75" customHeight="1">
      <c r="A874" s="194"/>
      <c r="B874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874" s="358" t="s">
        <v>207</v>
      </c>
      <c r="D874" s="358" t="s">
        <v>478</v>
      </c>
      <c r="E874" s="432" t="s">
        <v>1997</v>
      </c>
      <c r="F874" s="249" t="s">
        <v>2005</v>
      </c>
      <c r="G874" s="236" t="s">
        <v>468</v>
      </c>
      <c r="H874" s="237">
        <f t="shared" ref="H874:H878" si="71">IF(G874="","",VLOOKUP(G874,mah,2,0))</f>
        <v>2</v>
      </c>
      <c r="I874" s="236">
        <v>1403</v>
      </c>
      <c r="J874" s="236"/>
      <c r="K874" s="238">
        <v>5000000</v>
      </c>
      <c r="L874" s="368"/>
    </row>
    <row r="875" spans="1:12" ht="15.75" customHeight="1">
      <c r="A875" s="194"/>
      <c r="B875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875" s="358" t="s">
        <v>207</v>
      </c>
      <c r="D875" s="358" t="s">
        <v>478</v>
      </c>
      <c r="E875" s="432" t="s">
        <v>1997</v>
      </c>
      <c r="F875" s="249" t="s">
        <v>2005</v>
      </c>
      <c r="G875" s="236" t="s">
        <v>463</v>
      </c>
      <c r="H875" s="237">
        <f t="shared" si="71"/>
        <v>1</v>
      </c>
      <c r="I875" s="236">
        <v>1403</v>
      </c>
      <c r="J875" s="236"/>
      <c r="K875" s="238">
        <v>5000000</v>
      </c>
      <c r="L875" s="368"/>
    </row>
    <row r="876" spans="1:12" ht="15.75" customHeight="1">
      <c r="A876" s="194"/>
      <c r="B876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876" s="358" t="s">
        <v>207</v>
      </c>
      <c r="D876" s="358" t="s">
        <v>478</v>
      </c>
      <c r="E876" s="432" t="s">
        <v>1997</v>
      </c>
      <c r="F876" s="249" t="s">
        <v>2005</v>
      </c>
      <c r="G876" s="236" t="s">
        <v>474</v>
      </c>
      <c r="H876" s="237">
        <f t="shared" si="71"/>
        <v>4</v>
      </c>
      <c r="I876" s="236">
        <v>1403</v>
      </c>
      <c r="J876" s="236"/>
      <c r="K876" s="238">
        <v>5000000</v>
      </c>
      <c r="L876" s="368"/>
    </row>
    <row r="877" spans="1:12" ht="15.75" customHeight="1">
      <c r="A877" s="194"/>
      <c r="B877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877" s="358" t="s">
        <v>207</v>
      </c>
      <c r="D877" s="358" t="s">
        <v>478</v>
      </c>
      <c r="E877" s="432" t="s">
        <v>1997</v>
      </c>
      <c r="F877" s="249" t="s">
        <v>2005</v>
      </c>
      <c r="G877" s="236" t="s">
        <v>482</v>
      </c>
      <c r="H877" s="237">
        <f t="shared" si="71"/>
        <v>7</v>
      </c>
      <c r="I877" s="236">
        <v>1403</v>
      </c>
      <c r="J877" s="236"/>
      <c r="K877" s="238">
        <v>5000000</v>
      </c>
      <c r="L877" s="368"/>
    </row>
    <row r="878" spans="1:12" ht="15.75" customHeight="1">
      <c r="A878" s="194"/>
      <c r="B878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878" s="358" t="s">
        <v>207</v>
      </c>
      <c r="D878" s="358" t="s">
        <v>478</v>
      </c>
      <c r="E878" s="432" t="s">
        <v>1997</v>
      </c>
      <c r="F878" s="249" t="s">
        <v>2005</v>
      </c>
      <c r="G878" s="236" t="s">
        <v>485</v>
      </c>
      <c r="H878" s="237">
        <f t="shared" si="71"/>
        <v>8</v>
      </c>
      <c r="I878" s="236">
        <v>1403</v>
      </c>
      <c r="J878" s="236"/>
      <c r="K878" s="238">
        <v>5000000</v>
      </c>
      <c r="L878" s="368"/>
    </row>
    <row r="879" spans="1:12" ht="15.75" customHeight="1">
      <c r="A879" s="194"/>
      <c r="B879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879" s="134" t="s">
        <v>471</v>
      </c>
      <c r="D879" s="134" t="s">
        <v>472</v>
      </c>
      <c r="E879" s="432" t="s">
        <v>2222</v>
      </c>
      <c r="F879" s="243" t="s">
        <v>872</v>
      </c>
      <c r="G879" s="137" t="s">
        <v>474</v>
      </c>
      <c r="H879" s="237">
        <f t="shared" ref="H879:H885" si="72">IF(G879="","",VLOOKUP(G879,mah,2,0))</f>
        <v>4</v>
      </c>
      <c r="I879" s="236">
        <v>1403</v>
      </c>
      <c r="J879" s="236"/>
      <c r="K879" s="238">
        <v>4000000</v>
      </c>
      <c r="L879" s="368"/>
    </row>
    <row r="880" spans="1:12" ht="15.75" customHeight="1">
      <c r="A880" s="194"/>
      <c r="B880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880" s="134" t="s">
        <v>522</v>
      </c>
      <c r="D880" s="134" t="s">
        <v>523</v>
      </c>
      <c r="E880" s="432" t="s">
        <v>2210</v>
      </c>
      <c r="F880" s="249"/>
      <c r="G880" s="137" t="s">
        <v>474</v>
      </c>
      <c r="H880" s="237">
        <f t="shared" si="72"/>
        <v>4</v>
      </c>
      <c r="I880" s="236">
        <v>1403</v>
      </c>
      <c r="J880" s="236"/>
      <c r="K880" s="238">
        <v>68741441</v>
      </c>
      <c r="L880" s="368"/>
    </row>
    <row r="881" spans="1:13" ht="15.75" customHeight="1">
      <c r="A881" s="194"/>
      <c r="B881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881" s="137" t="s">
        <v>497</v>
      </c>
      <c r="D881" s="137" t="s">
        <v>516</v>
      </c>
      <c r="E881" s="432" t="s">
        <v>2219</v>
      </c>
      <c r="F881" s="243" t="s">
        <v>619</v>
      </c>
      <c r="G881" s="137" t="s">
        <v>474</v>
      </c>
      <c r="H881" s="237">
        <f t="shared" si="72"/>
        <v>4</v>
      </c>
      <c r="I881" s="236">
        <v>1403</v>
      </c>
      <c r="J881" s="236"/>
      <c r="K881" s="238">
        <v>10000000</v>
      </c>
      <c r="L881" s="368"/>
    </row>
    <row r="882" spans="1:13" ht="15.75" customHeight="1">
      <c r="A882" s="194"/>
      <c r="B88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882" s="134" t="s">
        <v>1957</v>
      </c>
      <c r="D882" s="134" t="s">
        <v>1958</v>
      </c>
      <c r="E882" s="432" t="s">
        <v>2219</v>
      </c>
      <c r="F882" s="243" t="s">
        <v>2223</v>
      </c>
      <c r="G882" s="137" t="s">
        <v>474</v>
      </c>
      <c r="H882" s="237">
        <f t="shared" si="72"/>
        <v>4</v>
      </c>
      <c r="I882" s="236">
        <v>1403</v>
      </c>
      <c r="J882" s="236"/>
      <c r="K882" s="238">
        <v>7000000</v>
      </c>
      <c r="L882" s="368"/>
    </row>
    <row r="883" spans="1:13" ht="15.75" customHeight="1">
      <c r="A883" s="194"/>
      <c r="B883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883" s="134" t="s">
        <v>494</v>
      </c>
      <c r="D883" s="134" t="s">
        <v>533</v>
      </c>
      <c r="E883" s="432" t="s">
        <v>2220</v>
      </c>
      <c r="F883" s="243" t="s">
        <v>835</v>
      </c>
      <c r="G883" s="137" t="s">
        <v>474</v>
      </c>
      <c r="H883" s="237">
        <f t="shared" si="72"/>
        <v>4</v>
      </c>
      <c r="I883" s="236">
        <v>1403</v>
      </c>
      <c r="J883" s="236"/>
      <c r="K883" s="238">
        <v>50000000</v>
      </c>
      <c r="L883" s="368"/>
    </row>
    <row r="884" spans="1:13" ht="15.75" customHeight="1">
      <c r="A884" s="194"/>
      <c r="B884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884" s="134" t="s">
        <v>494</v>
      </c>
      <c r="D884" s="134" t="s">
        <v>533</v>
      </c>
      <c r="E884" s="432" t="s">
        <v>2220</v>
      </c>
      <c r="F884" s="243" t="s">
        <v>835</v>
      </c>
      <c r="G884" s="137" t="s">
        <v>474</v>
      </c>
      <c r="H884" s="237">
        <f t="shared" si="72"/>
        <v>4</v>
      </c>
      <c r="I884" s="236">
        <v>1403</v>
      </c>
      <c r="J884" s="236"/>
      <c r="K884" s="238">
        <v>50000000</v>
      </c>
      <c r="L884" s="368"/>
    </row>
    <row r="885" spans="1:13" ht="15.75" customHeight="1">
      <c r="A885" s="194"/>
      <c r="B885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885" s="134" t="s">
        <v>503</v>
      </c>
      <c r="D885" s="134" t="s">
        <v>504</v>
      </c>
      <c r="E885" s="432" t="s">
        <v>2221</v>
      </c>
      <c r="F885" s="243" t="s">
        <v>2224</v>
      </c>
      <c r="G885" s="137" t="s">
        <v>474</v>
      </c>
      <c r="H885" s="237">
        <f t="shared" si="72"/>
        <v>4</v>
      </c>
      <c r="I885" s="236">
        <v>1403</v>
      </c>
      <c r="J885" s="236"/>
      <c r="K885" s="238">
        <v>30000000</v>
      </c>
      <c r="L885" s="368"/>
    </row>
    <row r="886" spans="1:13" ht="15.75" customHeight="1">
      <c r="A886" s="194"/>
      <c r="B886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886" s="370" t="s">
        <v>497</v>
      </c>
      <c r="D886" s="370" t="s">
        <v>498</v>
      </c>
      <c r="E886" s="241" t="s">
        <v>1941</v>
      </c>
      <c r="F886" s="365"/>
      <c r="G886" s="241" t="s">
        <v>474</v>
      </c>
      <c r="H886" s="366">
        <f t="shared" ref="H886:H899" si="73">IF(G886="","",VLOOKUP(G886,mah,2,0))</f>
        <v>4</v>
      </c>
      <c r="I886" s="241">
        <v>1403</v>
      </c>
      <c r="J886" s="241"/>
      <c r="K886" s="367">
        <v>20000000</v>
      </c>
      <c r="L886" s="368" t="s">
        <v>2012</v>
      </c>
    </row>
    <row r="887" spans="1:13" ht="15.75" customHeight="1">
      <c r="A887" s="194"/>
      <c r="B887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887" s="137" t="s">
        <v>480</v>
      </c>
      <c r="D887" s="137" t="s">
        <v>481</v>
      </c>
      <c r="E887" s="432" t="s">
        <v>2229</v>
      </c>
      <c r="F887" s="243" t="s">
        <v>881</v>
      </c>
      <c r="G887" s="137" t="s">
        <v>474</v>
      </c>
      <c r="H887" s="138">
        <f t="shared" si="73"/>
        <v>4</v>
      </c>
      <c r="I887" s="137">
        <v>1403</v>
      </c>
      <c r="J887" s="137"/>
      <c r="K887" s="139">
        <v>50000000</v>
      </c>
      <c r="L887" s="253"/>
      <c r="M887" s="459"/>
    </row>
    <row r="888" spans="1:13" ht="15.75" customHeight="1">
      <c r="A888" s="194"/>
      <c r="B888" s="133">
        <f>SUMIFS('لیست واریزی کل خیرین'!B:B,'لیست واریزی کل خیرین'!D:D,Table1[[#This Row],[نام]],'لیست واریزی کل خیرین'!E:E,Table1[[#This Row],[نام خانوادگی]])</f>
        <v>12</v>
      </c>
      <c r="C888" s="370" t="s">
        <v>497</v>
      </c>
      <c r="D888" s="370" t="s">
        <v>498</v>
      </c>
      <c r="E888" s="432" t="s">
        <v>2230</v>
      </c>
      <c r="F888" s="243" t="s">
        <v>862</v>
      </c>
      <c r="G888" s="137" t="s">
        <v>474</v>
      </c>
      <c r="H888" s="138">
        <f t="shared" si="73"/>
        <v>4</v>
      </c>
      <c r="I888" s="137">
        <v>1403</v>
      </c>
      <c r="J888" s="137"/>
      <c r="K888" s="139">
        <v>10000000</v>
      </c>
      <c r="L888" s="253"/>
      <c r="M888" s="459"/>
    </row>
    <row r="889" spans="1:13" ht="15.75" customHeight="1">
      <c r="A889" s="194"/>
      <c r="B889" s="133">
        <f>SUMIFS('لیست واریزی کل خیرین'!B:B,'لیست واریزی کل خیرین'!D:D,Table1[[#This Row],[نام]],'لیست واریزی کل خیرین'!E:E,Table1[[#This Row],[نام خانوادگی]])</f>
        <v>9</v>
      </c>
      <c r="C889" s="134" t="s">
        <v>486</v>
      </c>
      <c r="D889" s="134" t="s">
        <v>487</v>
      </c>
      <c r="E889" s="432" t="s">
        <v>2231</v>
      </c>
      <c r="F889" s="243" t="s">
        <v>595</v>
      </c>
      <c r="G889" s="137" t="s">
        <v>474</v>
      </c>
      <c r="H889" s="138">
        <f t="shared" si="73"/>
        <v>4</v>
      </c>
      <c r="I889" s="137">
        <v>1403</v>
      </c>
      <c r="J889" s="137"/>
      <c r="K889" s="139">
        <v>20000000</v>
      </c>
      <c r="L889" s="253"/>
      <c r="M889" s="459"/>
    </row>
    <row r="890" spans="1:13" ht="15.75" customHeight="1">
      <c r="A890" s="194"/>
      <c r="B890" s="133">
        <f>SUMIFS('لیست واریزی کل خیرین'!B:B,'لیست واریزی کل خیرین'!D:D,Table1[[#This Row],[نام]],'لیست واریزی کل خیرین'!E:E,Table1[[#This Row],[نام خانوادگی]])</f>
        <v>62</v>
      </c>
      <c r="C890" s="137" t="s">
        <v>814</v>
      </c>
      <c r="D890" s="137" t="s">
        <v>705</v>
      </c>
      <c r="E890" s="432" t="s">
        <v>2232</v>
      </c>
      <c r="F890" s="243" t="s">
        <v>1438</v>
      </c>
      <c r="G890" s="137" t="s">
        <v>474</v>
      </c>
      <c r="H890" s="138">
        <f t="shared" si="73"/>
        <v>4</v>
      </c>
      <c r="I890" s="137">
        <v>1403</v>
      </c>
      <c r="J890" s="137"/>
      <c r="K890" s="139">
        <v>10000000</v>
      </c>
      <c r="L890" s="253"/>
      <c r="M890" s="459"/>
    </row>
    <row r="891" spans="1:13" ht="15.75" customHeight="1">
      <c r="A891" s="194"/>
      <c r="B891" s="133">
        <f>SUMIFS('لیست واریزی کل خیرین'!B:B,'لیست واریزی کل خیرین'!D:D,Table1[[#This Row],[نام]],'لیست واریزی کل خیرین'!E:E,Table1[[#This Row],[نام خانوادگی]])</f>
        <v>14</v>
      </c>
      <c r="C891" s="134" t="s">
        <v>202</v>
      </c>
      <c r="D891" s="134" t="s">
        <v>502</v>
      </c>
      <c r="E891" s="432" t="s">
        <v>2278</v>
      </c>
      <c r="F891" s="243" t="s">
        <v>701</v>
      </c>
      <c r="G891" s="137" t="s">
        <v>474</v>
      </c>
      <c r="H891" s="138">
        <f t="shared" si="73"/>
        <v>4</v>
      </c>
      <c r="I891" s="137">
        <v>1403</v>
      </c>
      <c r="J891" s="137"/>
      <c r="K891" s="139">
        <v>15000000</v>
      </c>
      <c r="L891" s="253"/>
      <c r="M891" s="459"/>
    </row>
    <row r="892" spans="1:13" ht="15.75" customHeight="1">
      <c r="A892" s="194"/>
      <c r="B892" s="133">
        <f>SUMIFS('لیست واریزی کل خیرین'!B:B,'لیست واریزی کل خیرین'!D:D,Table1[[#This Row],[نام]],'لیست واریزی کل خیرین'!E:E,Table1[[#This Row],[نام خانوادگی]])</f>
        <v>0</v>
      </c>
      <c r="C892" s="134" t="s">
        <v>2280</v>
      </c>
      <c r="D892" s="134" t="s">
        <v>2281</v>
      </c>
      <c r="E892" s="432" t="s">
        <v>2278</v>
      </c>
      <c r="F892" s="243" t="s">
        <v>2279</v>
      </c>
      <c r="G892" s="137" t="s">
        <v>474</v>
      </c>
      <c r="H892" s="138">
        <f t="shared" si="73"/>
        <v>4</v>
      </c>
      <c r="I892" s="137">
        <v>1403</v>
      </c>
      <c r="J892" s="137"/>
      <c r="K892" s="139">
        <v>10000000</v>
      </c>
      <c r="L892" s="253"/>
      <c r="M892" s="459"/>
    </row>
    <row r="893" spans="1:13" ht="15.75" customHeight="1">
      <c r="A893" s="194"/>
      <c r="B893" s="133">
        <f>SUMIFS('لیست واریزی کل خیرین'!B:B,'لیست واریزی کل خیرین'!D:D,Table1[[#This Row],[نام]],'لیست واریزی کل خیرین'!E:E,Table1[[#This Row],[نام خانوادگی]])</f>
        <v>0</v>
      </c>
      <c r="C893" s="134" t="s">
        <v>520</v>
      </c>
      <c r="D893" s="134" t="s">
        <v>2282</v>
      </c>
      <c r="E893" s="432" t="s">
        <v>2283</v>
      </c>
      <c r="F893" s="243" t="s">
        <v>2284</v>
      </c>
      <c r="G893" s="137" t="s">
        <v>474</v>
      </c>
      <c r="H893" s="138">
        <f t="shared" si="73"/>
        <v>4</v>
      </c>
      <c r="I893" s="137">
        <v>1403</v>
      </c>
      <c r="J893" s="137"/>
      <c r="K893" s="139">
        <v>5000000</v>
      </c>
      <c r="L893" s="253"/>
      <c r="M893" s="459"/>
    </row>
    <row r="894" spans="1:13" ht="15.75" customHeight="1">
      <c r="A894" s="194"/>
      <c r="B894" s="133">
        <f>SUMIFS('لیست واریزی کل خیرین'!B:B,'لیست واریزی کل خیرین'!D:D,Table1[[#This Row],[نام]],'لیست واریزی کل خیرین'!E:E,Table1[[#This Row],[نام خانوادگی]])</f>
        <v>10</v>
      </c>
      <c r="C894" s="134" t="s">
        <v>489</v>
      </c>
      <c r="D894" s="134" t="s">
        <v>490</v>
      </c>
      <c r="E894" s="432" t="s">
        <v>2238</v>
      </c>
      <c r="F894" s="243" t="s">
        <v>835</v>
      </c>
      <c r="G894" s="137" t="s">
        <v>474</v>
      </c>
      <c r="H894" s="138">
        <f t="shared" si="73"/>
        <v>4</v>
      </c>
      <c r="I894" s="137">
        <v>1403</v>
      </c>
      <c r="J894" s="137"/>
      <c r="K894" s="139">
        <v>100000000</v>
      </c>
      <c r="L894" s="253"/>
      <c r="M894" s="459"/>
    </row>
    <row r="895" spans="1:13" ht="15.75" customHeight="1">
      <c r="A895" s="194"/>
      <c r="B895" s="133">
        <f>SUMIFS('لیست واریزی کل خیرین'!B:B,'لیست واریزی کل خیرین'!D:D,Table1[[#This Row],[نام]],'لیست واریزی کل خیرین'!E:E,Table1[[#This Row],[نام خانوادگی]])</f>
        <v>0</v>
      </c>
      <c r="C895" s="134" t="s">
        <v>2286</v>
      </c>
      <c r="D895" s="134" t="s">
        <v>2285</v>
      </c>
      <c r="E895" s="432" t="s">
        <v>2264</v>
      </c>
      <c r="F895" s="243" t="s">
        <v>2287</v>
      </c>
      <c r="G895" s="137" t="s">
        <v>477</v>
      </c>
      <c r="H895" s="138">
        <f t="shared" si="73"/>
        <v>5</v>
      </c>
      <c r="I895" s="137">
        <v>1403</v>
      </c>
      <c r="J895" s="137"/>
      <c r="K895" s="139">
        <v>6000000</v>
      </c>
      <c r="L895" s="253"/>
      <c r="M895" s="459"/>
    </row>
    <row r="896" spans="1:13" ht="15.75" customHeight="1">
      <c r="A896" s="194"/>
      <c r="B896" s="133">
        <f>SUMIFS('لیست واریزی کل خیرین'!B:B,'لیست واریزی کل خیرین'!D:D,Table1[[#This Row],[نام]],'لیست واریزی کل خیرین'!E:E,Table1[[#This Row],[نام خانوادگی]])</f>
        <v>0</v>
      </c>
      <c r="C896" s="134" t="s">
        <v>472</v>
      </c>
      <c r="D896" s="134" t="s">
        <v>2289</v>
      </c>
      <c r="E896" s="432" t="s">
        <v>2288</v>
      </c>
      <c r="F896" s="243" t="s">
        <v>1291</v>
      </c>
      <c r="G896" s="137" t="s">
        <v>477</v>
      </c>
      <c r="H896" s="138">
        <f t="shared" si="73"/>
        <v>5</v>
      </c>
      <c r="I896" s="137">
        <v>1403</v>
      </c>
      <c r="J896" s="137"/>
      <c r="K896" s="139">
        <v>6000000</v>
      </c>
      <c r="L896" s="253"/>
      <c r="M896" s="459"/>
    </row>
    <row r="897" spans="1:13" ht="15.75" customHeight="1">
      <c r="A897" s="194"/>
      <c r="B897" s="133">
        <f>SUMIFS('لیست واریزی کل خیرین'!B:B,'لیست واریزی کل خیرین'!D:D,Table1[[#This Row],[نام]],'لیست واریزی کل خیرین'!E:E,Table1[[#This Row],[نام خانوادگی]])</f>
        <v>40</v>
      </c>
      <c r="C897" s="137" t="s">
        <v>494</v>
      </c>
      <c r="D897" s="137" t="s">
        <v>533</v>
      </c>
      <c r="E897" s="432" t="s">
        <v>2288</v>
      </c>
      <c r="F897" s="243" t="s">
        <v>835</v>
      </c>
      <c r="G897" s="137" t="s">
        <v>477</v>
      </c>
      <c r="H897" s="138">
        <f t="shared" si="73"/>
        <v>5</v>
      </c>
      <c r="I897" s="137">
        <v>1403</v>
      </c>
      <c r="J897" s="137"/>
      <c r="K897" s="139">
        <v>50000000</v>
      </c>
      <c r="L897" s="253"/>
      <c r="M897" s="459"/>
    </row>
    <row r="898" spans="1:13" ht="15.75" customHeight="1">
      <c r="A898" s="194"/>
      <c r="B898" s="133">
        <f>SUMIFS('لیست واریزی کل خیرین'!B:B,'لیست واریزی کل خیرین'!D:D,Table1[[#This Row],[نام]],'لیست واریزی کل خیرین'!E:E,Table1[[#This Row],[نام خانوادگی]])</f>
        <v>40</v>
      </c>
      <c r="C898" s="137" t="s">
        <v>494</v>
      </c>
      <c r="D898" s="137" t="s">
        <v>533</v>
      </c>
      <c r="E898" s="432" t="s">
        <v>2288</v>
      </c>
      <c r="F898" s="243" t="s">
        <v>835</v>
      </c>
      <c r="G898" s="137" t="s">
        <v>477</v>
      </c>
      <c r="H898" s="138">
        <f t="shared" si="73"/>
        <v>5</v>
      </c>
      <c r="I898" s="137">
        <v>1403</v>
      </c>
      <c r="J898" s="137"/>
      <c r="K898" s="139">
        <v>50000000</v>
      </c>
      <c r="L898" s="253"/>
      <c r="M898" s="459"/>
    </row>
    <row r="899" spans="1:13" ht="15.75" customHeight="1">
      <c r="A899" s="194"/>
      <c r="B899" s="133">
        <f>SUMIFS('لیست واریزی کل خیرین'!B:B,'لیست واریزی کل خیرین'!D:D,Table1[[#This Row],[نام]],'لیست واریزی کل خیرین'!E:E,Table1[[#This Row],[نام خانوادگی]])</f>
        <v>7</v>
      </c>
      <c r="C899" s="137" t="s">
        <v>480</v>
      </c>
      <c r="D899" s="137" t="s">
        <v>481</v>
      </c>
      <c r="E899" s="432" t="s">
        <v>2290</v>
      </c>
      <c r="F899" s="243" t="s">
        <v>579</v>
      </c>
      <c r="G899" s="137" t="s">
        <v>477</v>
      </c>
      <c r="H899" s="138">
        <f t="shared" si="73"/>
        <v>5</v>
      </c>
      <c r="I899" s="137">
        <v>1403</v>
      </c>
      <c r="J899" s="137"/>
      <c r="K899" s="139">
        <v>50000000</v>
      </c>
      <c r="L899" s="253"/>
      <c r="M899" s="459"/>
    </row>
    <row r="900" spans="1:13" ht="15.75" customHeight="1">
      <c r="A900" s="194"/>
      <c r="B90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00" s="358" t="s">
        <v>1003</v>
      </c>
      <c r="D900" s="358" t="s">
        <v>2291</v>
      </c>
      <c r="E900" s="432" t="s">
        <v>2290</v>
      </c>
      <c r="F900" s="249" t="s">
        <v>1742</v>
      </c>
      <c r="G900" s="236" t="s">
        <v>477</v>
      </c>
      <c r="H900" s="237">
        <f t="shared" ref="H900:H931" si="74">IF(G900="","",VLOOKUP(G900,mah,2,0))</f>
        <v>5</v>
      </c>
      <c r="I900" s="137">
        <v>1403</v>
      </c>
      <c r="J900" s="236"/>
      <c r="K900" s="238">
        <v>10000000</v>
      </c>
      <c r="L900" s="368"/>
    </row>
    <row r="901" spans="1:13" ht="15.75" customHeight="1">
      <c r="A901" s="194"/>
      <c r="B901" s="235">
        <f>SUMIFS('لیست واریزی کل خیرین'!B:B,'لیست واریزی کل خیرین'!D:D,Table1[[#This Row],[نام]],'لیست واریزی کل خیرین'!E:E,Table1[[#This Row],[نام خانوادگی]])</f>
        <v>123</v>
      </c>
      <c r="C901" s="358" t="s">
        <v>1762</v>
      </c>
      <c r="D901" s="358" t="s">
        <v>1763</v>
      </c>
      <c r="E901" s="432" t="s">
        <v>2290</v>
      </c>
      <c r="F901" s="249" t="s">
        <v>1761</v>
      </c>
      <c r="G901" s="236" t="s">
        <v>477</v>
      </c>
      <c r="H901" s="237">
        <f t="shared" si="74"/>
        <v>5</v>
      </c>
      <c r="I901" s="236">
        <v>1403</v>
      </c>
      <c r="J901" s="236"/>
      <c r="K901" s="238">
        <v>20000000</v>
      </c>
      <c r="L901" s="368"/>
    </row>
    <row r="902" spans="1:13" ht="15.75" customHeight="1">
      <c r="A902" s="194"/>
      <c r="B902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902" s="358" t="s">
        <v>522</v>
      </c>
      <c r="D902" s="358" t="s">
        <v>523</v>
      </c>
      <c r="E902" s="432" t="s">
        <v>2292</v>
      </c>
      <c r="F902" s="249"/>
      <c r="G902" s="236" t="s">
        <v>477</v>
      </c>
      <c r="H902" s="237">
        <f t="shared" si="74"/>
        <v>5</v>
      </c>
      <c r="I902" s="236">
        <v>1403</v>
      </c>
      <c r="J902" s="236"/>
      <c r="K902" s="238">
        <v>75121182</v>
      </c>
      <c r="L902" s="368"/>
    </row>
    <row r="903" spans="1:13" ht="15.75" customHeight="1">
      <c r="A903" s="194"/>
      <c r="B903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903" s="358" t="s">
        <v>838</v>
      </c>
      <c r="D903" s="358" t="s">
        <v>839</v>
      </c>
      <c r="E903" s="432" t="s">
        <v>2292</v>
      </c>
      <c r="F903" s="249" t="s">
        <v>841</v>
      </c>
      <c r="G903" s="236" t="s">
        <v>477</v>
      </c>
      <c r="H903" s="237">
        <f t="shared" si="74"/>
        <v>5</v>
      </c>
      <c r="I903" s="236">
        <v>1403</v>
      </c>
      <c r="J903" s="236"/>
      <c r="K903" s="238">
        <v>5000000</v>
      </c>
      <c r="L903" s="368"/>
    </row>
    <row r="904" spans="1:13" ht="15.75" customHeight="1">
      <c r="A904" s="194"/>
      <c r="B904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904" s="137" t="s">
        <v>497</v>
      </c>
      <c r="D904" s="137" t="s">
        <v>513</v>
      </c>
      <c r="E904" s="432" t="s">
        <v>2293</v>
      </c>
      <c r="F904" s="249" t="s">
        <v>667</v>
      </c>
      <c r="G904" s="236" t="s">
        <v>477</v>
      </c>
      <c r="H904" s="237">
        <f t="shared" si="74"/>
        <v>5</v>
      </c>
      <c r="I904" s="236">
        <v>1403</v>
      </c>
      <c r="J904" s="236"/>
      <c r="K904" s="238">
        <v>20000000</v>
      </c>
      <c r="L904" s="368"/>
    </row>
    <row r="905" spans="1:13" ht="15.75" customHeight="1">
      <c r="A905" s="194"/>
      <c r="B905" s="235">
        <f>SUMIFS('لیست واریزی کل خیرین'!B:B,'لیست واریزی کل خیرین'!D:D,Table1[[#This Row],[نام]],'لیست واریزی کل خیرین'!E:E,Table1[[#This Row],[نام خانوادگی]])</f>
        <v>108</v>
      </c>
      <c r="C905" s="454" t="s">
        <v>1620</v>
      </c>
      <c r="D905" s="375" t="s">
        <v>1621</v>
      </c>
      <c r="E905" s="432" t="s">
        <v>2294</v>
      </c>
      <c r="F905" s="249" t="s">
        <v>2295</v>
      </c>
      <c r="G905" s="236" t="s">
        <v>477</v>
      </c>
      <c r="H905" s="237">
        <f t="shared" si="74"/>
        <v>5</v>
      </c>
      <c r="I905" s="236">
        <v>1403</v>
      </c>
      <c r="J905" s="236"/>
      <c r="K905" s="238">
        <v>30000000</v>
      </c>
      <c r="L905" s="368"/>
    </row>
    <row r="906" spans="1:13" ht="15.75" customHeight="1">
      <c r="A906" s="194"/>
      <c r="B906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906" s="358" t="s">
        <v>596</v>
      </c>
      <c r="D906" s="358" t="s">
        <v>597</v>
      </c>
      <c r="E906" s="432" t="s">
        <v>2296</v>
      </c>
      <c r="F906" s="249" t="s">
        <v>598</v>
      </c>
      <c r="G906" s="236" t="s">
        <v>477</v>
      </c>
      <c r="H906" s="237">
        <f t="shared" si="74"/>
        <v>5</v>
      </c>
      <c r="I906" s="236">
        <v>1403</v>
      </c>
      <c r="J906" s="236"/>
      <c r="K906" s="238">
        <v>8000000</v>
      </c>
      <c r="L906" s="368"/>
    </row>
    <row r="907" spans="1:13" ht="15.75" customHeight="1">
      <c r="A907" s="194"/>
      <c r="B907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907" s="358" t="s">
        <v>503</v>
      </c>
      <c r="D907" s="358" t="s">
        <v>504</v>
      </c>
      <c r="E907" s="432" t="s">
        <v>2297</v>
      </c>
      <c r="F907" s="249" t="s">
        <v>2224</v>
      </c>
      <c r="G907" s="236" t="s">
        <v>477</v>
      </c>
      <c r="H907" s="237">
        <f t="shared" si="74"/>
        <v>5</v>
      </c>
      <c r="I907" s="236">
        <v>1403</v>
      </c>
      <c r="J907" s="236"/>
      <c r="K907" s="238">
        <v>10000000</v>
      </c>
      <c r="L907" s="368"/>
    </row>
    <row r="908" spans="1:13" ht="15.75" customHeight="1">
      <c r="A908" s="194"/>
      <c r="B908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908" s="358" t="s">
        <v>486</v>
      </c>
      <c r="D908" s="358" t="s">
        <v>487</v>
      </c>
      <c r="E908" s="432" t="s">
        <v>2298</v>
      </c>
      <c r="F908" s="249" t="s">
        <v>595</v>
      </c>
      <c r="G908" s="236" t="s">
        <v>477</v>
      </c>
      <c r="H908" s="237">
        <f t="shared" si="74"/>
        <v>5</v>
      </c>
      <c r="I908" s="236">
        <v>1403</v>
      </c>
      <c r="J908" s="236"/>
      <c r="K908" s="238">
        <v>20000000</v>
      </c>
      <c r="L908" s="368"/>
    </row>
    <row r="909" spans="1:13" ht="15.75" customHeight="1">
      <c r="A909" s="194"/>
      <c r="B909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909" s="358" t="s">
        <v>489</v>
      </c>
      <c r="D909" s="358" t="s">
        <v>490</v>
      </c>
      <c r="E909" s="432" t="s">
        <v>2299</v>
      </c>
      <c r="F909" s="249" t="s">
        <v>571</v>
      </c>
      <c r="G909" s="236" t="s">
        <v>477</v>
      </c>
      <c r="H909" s="237">
        <f t="shared" si="74"/>
        <v>5</v>
      </c>
      <c r="I909" s="236">
        <v>1403</v>
      </c>
      <c r="J909" s="236"/>
      <c r="K909" s="238">
        <v>10000000</v>
      </c>
      <c r="L909" s="368"/>
    </row>
    <row r="910" spans="1:13" ht="15.75" customHeight="1">
      <c r="A910" s="194"/>
      <c r="B910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910" s="137" t="s">
        <v>814</v>
      </c>
      <c r="D910" s="137" t="s">
        <v>705</v>
      </c>
      <c r="E910" s="432" t="s">
        <v>2275</v>
      </c>
      <c r="F910" s="249" t="s">
        <v>1425</v>
      </c>
      <c r="G910" s="236" t="s">
        <v>477</v>
      </c>
      <c r="H910" s="237">
        <f t="shared" si="74"/>
        <v>5</v>
      </c>
      <c r="I910" s="236">
        <v>1403</v>
      </c>
      <c r="J910" s="236"/>
      <c r="K910" s="238">
        <v>10000000</v>
      </c>
      <c r="L910" s="368"/>
    </row>
    <row r="911" spans="1:13" ht="15.75" customHeight="1">
      <c r="A911" s="194"/>
      <c r="B911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911" s="358" t="s">
        <v>489</v>
      </c>
      <c r="D911" s="358" t="s">
        <v>490</v>
      </c>
      <c r="E911" s="432" t="s">
        <v>2277</v>
      </c>
      <c r="F911" s="249" t="s">
        <v>835</v>
      </c>
      <c r="G911" s="236" t="s">
        <v>477</v>
      </c>
      <c r="H911" s="237">
        <f t="shared" si="74"/>
        <v>5</v>
      </c>
      <c r="I911" s="236">
        <v>1403</v>
      </c>
      <c r="J911" s="236"/>
      <c r="K911" s="238">
        <v>100000000</v>
      </c>
      <c r="L911" s="368"/>
    </row>
    <row r="912" spans="1:13" ht="15.75" customHeight="1">
      <c r="A912" s="194"/>
      <c r="B912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912" s="358" t="s">
        <v>202</v>
      </c>
      <c r="D912" s="358" t="s">
        <v>502</v>
      </c>
      <c r="E912" s="432" t="s">
        <v>2300</v>
      </c>
      <c r="F912" s="249" t="s">
        <v>701</v>
      </c>
      <c r="G912" s="236" t="s">
        <v>477</v>
      </c>
      <c r="H912" s="237">
        <f t="shared" si="74"/>
        <v>5</v>
      </c>
      <c r="I912" s="236">
        <v>1403</v>
      </c>
      <c r="J912" s="236"/>
      <c r="K912" s="238">
        <v>15000000</v>
      </c>
      <c r="L912" s="368"/>
    </row>
    <row r="913" spans="1:12" ht="15.75" customHeight="1">
      <c r="A913" s="194"/>
      <c r="B913" s="235">
        <f>SUMIFS('لیست واریزی کل خیرین'!B:B,'لیست واریزی کل خیرین'!D:D,Table1[[#This Row],[نام]],'لیست واریزی کل خیرین'!E:E,Table1[[#This Row],[نام خانوادگی]])</f>
        <v>75</v>
      </c>
      <c r="C913" s="358" t="s">
        <v>843</v>
      </c>
      <c r="D913" s="358" t="s">
        <v>844</v>
      </c>
      <c r="E913" s="432" t="s">
        <v>2300</v>
      </c>
      <c r="F913" s="249" t="s">
        <v>1601</v>
      </c>
      <c r="G913" s="236" t="s">
        <v>477</v>
      </c>
      <c r="H913" s="237">
        <f t="shared" si="74"/>
        <v>5</v>
      </c>
      <c r="I913" s="236">
        <v>1403</v>
      </c>
      <c r="J913" s="236"/>
      <c r="K913" s="238">
        <v>10000000</v>
      </c>
      <c r="L913" s="368"/>
    </row>
    <row r="914" spans="1:12" ht="15.75" customHeight="1">
      <c r="A914" s="194"/>
      <c r="B914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914" s="358" t="s">
        <v>1671</v>
      </c>
      <c r="D914" s="358" t="s">
        <v>1672</v>
      </c>
      <c r="E914" s="432" t="s">
        <v>2300</v>
      </c>
      <c r="F914" s="249" t="s">
        <v>1674</v>
      </c>
      <c r="G914" s="236" t="s">
        <v>477</v>
      </c>
      <c r="H914" s="237">
        <f t="shared" si="74"/>
        <v>5</v>
      </c>
      <c r="I914" s="236">
        <v>1403</v>
      </c>
      <c r="J914" s="236"/>
      <c r="K914" s="238">
        <v>2000000</v>
      </c>
      <c r="L914" s="368"/>
    </row>
    <row r="915" spans="1:12" ht="15.75" customHeight="1">
      <c r="A915" s="194"/>
      <c r="B91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15" s="358" t="s">
        <v>2301</v>
      </c>
      <c r="D915" s="358" t="s">
        <v>516</v>
      </c>
      <c r="E915" s="432" t="s">
        <v>2302</v>
      </c>
      <c r="F915" s="249" t="s">
        <v>2303</v>
      </c>
      <c r="G915" s="236" t="s">
        <v>479</v>
      </c>
      <c r="H915" s="237">
        <f t="shared" si="74"/>
        <v>6</v>
      </c>
      <c r="I915" s="236">
        <v>1403</v>
      </c>
      <c r="J915" s="236"/>
      <c r="K915" s="238">
        <v>15000000</v>
      </c>
      <c r="L915" s="368"/>
    </row>
    <row r="916" spans="1:12" ht="15.75" customHeight="1">
      <c r="A916" s="194"/>
      <c r="B916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916" s="137" t="s">
        <v>497</v>
      </c>
      <c r="D916" s="137" t="s">
        <v>513</v>
      </c>
      <c r="E916" s="432" t="s">
        <v>2302</v>
      </c>
      <c r="F916" s="249" t="s">
        <v>667</v>
      </c>
      <c r="G916" s="236" t="s">
        <v>479</v>
      </c>
      <c r="H916" s="237">
        <f t="shared" si="74"/>
        <v>6</v>
      </c>
      <c r="I916" s="236">
        <v>1403</v>
      </c>
      <c r="J916" s="236"/>
      <c r="K916" s="238">
        <v>20000000</v>
      </c>
      <c r="L916" s="368"/>
    </row>
    <row r="917" spans="1:12" ht="15.75" customHeight="1">
      <c r="A917" s="194"/>
      <c r="B917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917" s="358" t="s">
        <v>471</v>
      </c>
      <c r="D917" s="358" t="s">
        <v>472</v>
      </c>
      <c r="E917" s="432" t="s">
        <v>2304</v>
      </c>
      <c r="F917" s="249" t="s">
        <v>1291</v>
      </c>
      <c r="G917" s="236" t="s">
        <v>479</v>
      </c>
      <c r="H917" s="237">
        <f t="shared" si="74"/>
        <v>6</v>
      </c>
      <c r="I917" s="236">
        <v>1403</v>
      </c>
      <c r="J917" s="236"/>
      <c r="K917" s="238">
        <v>2000000</v>
      </c>
      <c r="L917" s="368"/>
    </row>
    <row r="918" spans="1:12" ht="15.75" customHeight="1">
      <c r="A918" s="194"/>
      <c r="B918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918" s="358" t="s">
        <v>838</v>
      </c>
      <c r="D918" s="358" t="s">
        <v>839</v>
      </c>
      <c r="E918" s="432" t="s">
        <v>2305</v>
      </c>
      <c r="F918" s="249" t="s">
        <v>841</v>
      </c>
      <c r="G918" s="236" t="s">
        <v>479</v>
      </c>
      <c r="H918" s="237">
        <f t="shared" si="74"/>
        <v>6</v>
      </c>
      <c r="I918" s="236">
        <v>1403</v>
      </c>
      <c r="J918" s="236"/>
      <c r="K918" s="238">
        <v>5000000</v>
      </c>
      <c r="L918" s="368"/>
    </row>
    <row r="919" spans="1:12" ht="15.75" customHeight="1">
      <c r="A919" s="194"/>
      <c r="B919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919" s="137" t="s">
        <v>480</v>
      </c>
      <c r="D919" s="137" t="s">
        <v>481</v>
      </c>
      <c r="E919" s="432" t="s">
        <v>2305</v>
      </c>
      <c r="F919" s="249" t="s">
        <v>579</v>
      </c>
      <c r="G919" s="236" t="s">
        <v>479</v>
      </c>
      <c r="H919" s="237">
        <f t="shared" si="74"/>
        <v>6</v>
      </c>
      <c r="I919" s="236">
        <v>1403</v>
      </c>
      <c r="J919" s="236"/>
      <c r="K919" s="238">
        <v>50000000</v>
      </c>
      <c r="L919" s="368"/>
    </row>
    <row r="920" spans="1:12" ht="15.75" customHeight="1">
      <c r="A920" s="194"/>
      <c r="B920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920" s="358" t="s">
        <v>522</v>
      </c>
      <c r="D920" s="358" t="s">
        <v>523</v>
      </c>
      <c r="E920" s="432" t="s">
        <v>2306</v>
      </c>
      <c r="F920" s="249"/>
      <c r="G920" s="236" t="s">
        <v>479</v>
      </c>
      <c r="H920" s="237">
        <f t="shared" si="74"/>
        <v>6</v>
      </c>
      <c r="I920" s="236">
        <v>1403</v>
      </c>
      <c r="J920" s="236"/>
      <c r="K920" s="238">
        <v>84833355</v>
      </c>
      <c r="L920" s="368"/>
    </row>
    <row r="921" spans="1:12" ht="15.75" customHeight="1">
      <c r="A921" s="194"/>
      <c r="B921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921" s="137" t="s">
        <v>497</v>
      </c>
      <c r="D921" s="152" t="s">
        <v>498</v>
      </c>
      <c r="E921" s="432" t="s">
        <v>2306</v>
      </c>
      <c r="F921" s="249" t="s">
        <v>862</v>
      </c>
      <c r="G921" s="236" t="s">
        <v>479</v>
      </c>
      <c r="H921" s="237">
        <f t="shared" si="74"/>
        <v>6</v>
      </c>
      <c r="I921" s="236">
        <v>1403</v>
      </c>
      <c r="J921" s="236"/>
      <c r="K921" s="238">
        <v>50000000</v>
      </c>
      <c r="L921" s="368"/>
    </row>
    <row r="922" spans="1:12" ht="15.75" customHeight="1">
      <c r="A922" s="194"/>
      <c r="B922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922" s="358" t="s">
        <v>596</v>
      </c>
      <c r="D922" s="358" t="s">
        <v>597</v>
      </c>
      <c r="E922" s="432" t="s">
        <v>2306</v>
      </c>
      <c r="F922" s="249" t="s">
        <v>598</v>
      </c>
      <c r="G922" s="236" t="s">
        <v>479</v>
      </c>
      <c r="H922" s="237">
        <f t="shared" si="74"/>
        <v>6</v>
      </c>
      <c r="I922" s="236">
        <v>1403</v>
      </c>
      <c r="J922" s="236"/>
      <c r="K922" s="238">
        <v>4000000</v>
      </c>
      <c r="L922" s="368"/>
    </row>
    <row r="923" spans="1:12" ht="15.75" customHeight="1">
      <c r="A923" s="194"/>
      <c r="B923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923" s="358" t="s">
        <v>489</v>
      </c>
      <c r="D923" s="358" t="s">
        <v>490</v>
      </c>
      <c r="E923" s="432" t="s">
        <v>2308</v>
      </c>
      <c r="F923" s="249" t="s">
        <v>835</v>
      </c>
      <c r="G923" s="236" t="s">
        <v>479</v>
      </c>
      <c r="H923" s="237">
        <f t="shared" si="74"/>
        <v>6</v>
      </c>
      <c r="I923" s="236">
        <v>1403</v>
      </c>
      <c r="J923" s="236"/>
      <c r="K923" s="238">
        <v>500000000</v>
      </c>
      <c r="L923" s="368"/>
    </row>
    <row r="924" spans="1:12" ht="15.75" customHeight="1">
      <c r="A924" s="194"/>
      <c r="B924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924" s="137" t="s">
        <v>494</v>
      </c>
      <c r="D924" s="137" t="s">
        <v>533</v>
      </c>
      <c r="E924" s="432" t="s">
        <v>2308</v>
      </c>
      <c r="F924" s="249" t="s">
        <v>835</v>
      </c>
      <c r="G924" s="236" t="s">
        <v>479</v>
      </c>
      <c r="H924" s="237">
        <f t="shared" si="74"/>
        <v>6</v>
      </c>
      <c r="I924" s="236">
        <v>1403</v>
      </c>
      <c r="J924" s="236"/>
      <c r="K924" s="238">
        <v>50000000</v>
      </c>
      <c r="L924" s="368"/>
    </row>
    <row r="925" spans="1:12" ht="15.75" customHeight="1">
      <c r="A925" s="194"/>
      <c r="B925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925" s="137" t="s">
        <v>494</v>
      </c>
      <c r="D925" s="137" t="s">
        <v>533</v>
      </c>
      <c r="E925" s="432" t="s">
        <v>2308</v>
      </c>
      <c r="F925" s="249" t="s">
        <v>835</v>
      </c>
      <c r="G925" s="236" t="s">
        <v>479</v>
      </c>
      <c r="H925" s="237">
        <f t="shared" si="74"/>
        <v>6</v>
      </c>
      <c r="I925" s="236">
        <v>1403</v>
      </c>
      <c r="J925" s="236"/>
      <c r="K925" s="238">
        <v>50000000</v>
      </c>
      <c r="L925" s="368"/>
    </row>
    <row r="926" spans="1:12" ht="15.75" customHeight="1">
      <c r="A926" s="194"/>
      <c r="B92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26" s="358" t="s">
        <v>2311</v>
      </c>
      <c r="D926" s="358" t="s">
        <v>2312</v>
      </c>
      <c r="E926" s="432" t="s">
        <v>2309</v>
      </c>
      <c r="F926" s="249" t="s">
        <v>835</v>
      </c>
      <c r="G926" s="236" t="s">
        <v>479</v>
      </c>
      <c r="H926" s="237">
        <f t="shared" si="74"/>
        <v>6</v>
      </c>
      <c r="I926" s="236">
        <v>1403</v>
      </c>
      <c r="J926" s="236"/>
      <c r="K926" s="238">
        <v>500000000</v>
      </c>
      <c r="L926" s="368"/>
    </row>
    <row r="927" spans="1:12" ht="15.75" customHeight="1">
      <c r="A927" s="194"/>
      <c r="B92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27" s="358" t="s">
        <v>1003</v>
      </c>
      <c r="D927" s="358" t="s">
        <v>2313</v>
      </c>
      <c r="E927" s="432" t="s">
        <v>2310</v>
      </c>
      <c r="F927" s="249" t="s">
        <v>2307</v>
      </c>
      <c r="G927" s="236" t="s">
        <v>479</v>
      </c>
      <c r="H927" s="237">
        <f t="shared" si="74"/>
        <v>6</v>
      </c>
      <c r="I927" s="236">
        <v>1403</v>
      </c>
      <c r="J927" s="236"/>
      <c r="K927" s="238">
        <v>2000000</v>
      </c>
      <c r="L927" s="368"/>
    </row>
    <row r="928" spans="1:12" ht="15.75" customHeight="1">
      <c r="A928" s="194"/>
      <c r="B92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28" s="358" t="s">
        <v>2314</v>
      </c>
      <c r="D928" s="358" t="s">
        <v>2315</v>
      </c>
      <c r="E928" s="432" t="s">
        <v>2316</v>
      </c>
      <c r="F928" s="249" t="s">
        <v>2317</v>
      </c>
      <c r="G928" s="236" t="s">
        <v>479</v>
      </c>
      <c r="H928" s="237">
        <f t="shared" si="74"/>
        <v>6</v>
      </c>
      <c r="I928" s="236">
        <v>1403</v>
      </c>
      <c r="J928" s="236"/>
      <c r="K928" s="238">
        <v>100000</v>
      </c>
      <c r="L928" s="368"/>
    </row>
    <row r="929" spans="1:12" ht="15.75" customHeight="1">
      <c r="A929" s="194"/>
      <c r="B92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29" s="358" t="s">
        <v>2325</v>
      </c>
      <c r="D929" s="358" t="s">
        <v>2326</v>
      </c>
      <c r="E929" s="432" t="s">
        <v>2320</v>
      </c>
      <c r="F929" s="249" t="s">
        <v>2318</v>
      </c>
      <c r="G929" s="236" t="s">
        <v>479</v>
      </c>
      <c r="H929" s="237">
        <f t="shared" si="74"/>
        <v>6</v>
      </c>
      <c r="I929" s="236">
        <v>1403</v>
      </c>
      <c r="J929" s="236"/>
      <c r="K929" s="238">
        <v>2500000</v>
      </c>
      <c r="L929" s="368"/>
    </row>
    <row r="930" spans="1:12" ht="15.75" customHeight="1">
      <c r="A930" s="194"/>
      <c r="B930" s="235">
        <f>SUMIFS('لیست واریزی کل خیرین'!B:B,'لیست واریزی کل خیرین'!D:D,Table1[[#This Row],[نام]],'لیست واریزی کل خیرین'!E:E,Table1[[#This Row],[نام خانوادگی]])</f>
        <v>75</v>
      </c>
      <c r="C930" s="358" t="s">
        <v>843</v>
      </c>
      <c r="D930" s="358" t="s">
        <v>844</v>
      </c>
      <c r="E930" s="432" t="s">
        <v>2321</v>
      </c>
      <c r="F930" s="249" t="s">
        <v>1601</v>
      </c>
      <c r="G930" s="236" t="s">
        <v>479</v>
      </c>
      <c r="H930" s="237">
        <f t="shared" si="74"/>
        <v>6</v>
      </c>
      <c r="I930" s="236">
        <v>1403</v>
      </c>
      <c r="J930" s="236"/>
      <c r="K930" s="238">
        <v>5000000</v>
      </c>
      <c r="L930" s="368"/>
    </row>
    <row r="931" spans="1:12" ht="15.75" customHeight="1">
      <c r="A931" s="194"/>
      <c r="B93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31" s="358" t="s">
        <v>942</v>
      </c>
      <c r="D931" s="358" t="s">
        <v>2327</v>
      </c>
      <c r="E931" s="432" t="s">
        <v>2322</v>
      </c>
      <c r="F931" s="249" t="s">
        <v>2319</v>
      </c>
      <c r="G931" s="236" t="s">
        <v>479</v>
      </c>
      <c r="H931" s="237">
        <f t="shared" si="74"/>
        <v>6</v>
      </c>
      <c r="I931" s="236">
        <v>1403</v>
      </c>
      <c r="J931" s="236"/>
      <c r="K931" s="238">
        <v>50000000</v>
      </c>
      <c r="L931" s="368"/>
    </row>
    <row r="932" spans="1:12" ht="15.75" customHeight="1">
      <c r="A932" s="194"/>
      <c r="B932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932" s="358" t="s">
        <v>489</v>
      </c>
      <c r="D932" s="358" t="s">
        <v>490</v>
      </c>
      <c r="E932" s="432" t="s">
        <v>2323</v>
      </c>
      <c r="F932" s="249" t="s">
        <v>571</v>
      </c>
      <c r="G932" s="236" t="s">
        <v>479</v>
      </c>
      <c r="H932" s="237">
        <f t="shared" ref="H932:H977" si="75">IF(G932="","",VLOOKUP(G932,mah,2,0))</f>
        <v>6</v>
      </c>
      <c r="I932" s="236">
        <v>1403</v>
      </c>
      <c r="J932" s="236"/>
      <c r="K932" s="238">
        <v>2500000</v>
      </c>
      <c r="L932" s="368"/>
    </row>
    <row r="933" spans="1:12" ht="15.75" customHeight="1">
      <c r="A933" s="194"/>
      <c r="B933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933" s="358" t="s">
        <v>486</v>
      </c>
      <c r="D933" s="358" t="s">
        <v>487</v>
      </c>
      <c r="E933" s="432" t="s">
        <v>2324</v>
      </c>
      <c r="F933" s="249" t="s">
        <v>595</v>
      </c>
      <c r="G933" s="236" t="s">
        <v>479</v>
      </c>
      <c r="H933" s="237">
        <f t="shared" si="75"/>
        <v>6</v>
      </c>
      <c r="I933" s="236">
        <v>1403</v>
      </c>
      <c r="J933" s="236"/>
      <c r="K933" s="238">
        <v>20000000</v>
      </c>
      <c r="L933" s="368"/>
    </row>
    <row r="934" spans="1:12" ht="15.75" customHeight="1">
      <c r="A934" s="194"/>
      <c r="B934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934" s="137" t="s">
        <v>814</v>
      </c>
      <c r="D934" s="137" t="s">
        <v>705</v>
      </c>
      <c r="E934" s="432" t="s">
        <v>2333</v>
      </c>
      <c r="F934" s="249" t="s">
        <v>1425</v>
      </c>
      <c r="G934" s="236" t="s">
        <v>479</v>
      </c>
      <c r="H934" s="237">
        <f t="shared" si="75"/>
        <v>6</v>
      </c>
      <c r="I934" s="236">
        <v>1403</v>
      </c>
      <c r="J934" s="236"/>
      <c r="K934" s="238">
        <v>10000000</v>
      </c>
      <c r="L934" s="368"/>
    </row>
    <row r="935" spans="1:12" ht="15.75" customHeight="1">
      <c r="A935" s="194"/>
      <c r="B93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35" s="358" t="s">
        <v>2337</v>
      </c>
      <c r="D935" s="358" t="s">
        <v>2338</v>
      </c>
      <c r="E935" s="432" t="s">
        <v>2334</v>
      </c>
      <c r="F935" s="249" t="s">
        <v>2328</v>
      </c>
      <c r="G935" s="236" t="s">
        <v>479</v>
      </c>
      <c r="H935" s="237">
        <f t="shared" si="75"/>
        <v>6</v>
      </c>
      <c r="I935" s="236">
        <v>1403</v>
      </c>
      <c r="J935" s="236"/>
      <c r="K935" s="238">
        <v>3000000</v>
      </c>
      <c r="L935" s="368"/>
    </row>
    <row r="936" spans="1:12" ht="15.75" customHeight="1">
      <c r="A936" s="194"/>
      <c r="B936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936" s="358" t="s">
        <v>489</v>
      </c>
      <c r="D936" s="358" t="s">
        <v>490</v>
      </c>
      <c r="E936" s="432" t="s">
        <v>2335</v>
      </c>
      <c r="F936" s="249" t="s">
        <v>835</v>
      </c>
      <c r="G936" s="236" t="s">
        <v>479</v>
      </c>
      <c r="H936" s="237">
        <f t="shared" si="75"/>
        <v>6</v>
      </c>
      <c r="I936" s="236">
        <v>1403</v>
      </c>
      <c r="J936" s="236"/>
      <c r="K936" s="238">
        <v>100000000</v>
      </c>
      <c r="L936" s="368"/>
    </row>
    <row r="937" spans="1:12" ht="15.75" customHeight="1">
      <c r="A937" s="194"/>
      <c r="B937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937" s="137" t="s">
        <v>529</v>
      </c>
      <c r="D937" s="137" t="s">
        <v>530</v>
      </c>
      <c r="E937" s="432" t="s">
        <v>2335</v>
      </c>
      <c r="F937" s="249" t="s">
        <v>2329</v>
      </c>
      <c r="G937" s="236" t="s">
        <v>479</v>
      </c>
      <c r="H937" s="237">
        <f t="shared" si="75"/>
        <v>6</v>
      </c>
      <c r="I937" s="236">
        <v>1403</v>
      </c>
      <c r="J937" s="236"/>
      <c r="K937" s="238">
        <v>2500000</v>
      </c>
      <c r="L937" s="368"/>
    </row>
    <row r="938" spans="1:12" ht="15.75" customHeight="1">
      <c r="A938" s="194"/>
      <c r="B93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38" s="358" t="s">
        <v>2339</v>
      </c>
      <c r="D938" s="358" t="s">
        <v>2340</v>
      </c>
      <c r="E938" s="432" t="s">
        <v>2335</v>
      </c>
      <c r="F938" s="249" t="s">
        <v>2330</v>
      </c>
      <c r="G938" s="236" t="s">
        <v>479</v>
      </c>
      <c r="H938" s="237">
        <f t="shared" si="75"/>
        <v>6</v>
      </c>
      <c r="I938" s="236">
        <v>1403</v>
      </c>
      <c r="J938" s="236"/>
      <c r="K938" s="238">
        <v>10000000</v>
      </c>
      <c r="L938" s="368"/>
    </row>
    <row r="939" spans="1:12" ht="15.75" customHeight="1">
      <c r="A939" s="194"/>
      <c r="B93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39" s="358" t="s">
        <v>2341</v>
      </c>
      <c r="D939" s="358" t="s">
        <v>2342</v>
      </c>
      <c r="E939" s="432" t="s">
        <v>2336</v>
      </c>
      <c r="F939" s="249" t="s">
        <v>2331</v>
      </c>
      <c r="G939" s="236" t="s">
        <v>479</v>
      </c>
      <c r="H939" s="237">
        <f t="shared" si="75"/>
        <v>6</v>
      </c>
      <c r="I939" s="236">
        <v>1403</v>
      </c>
      <c r="J939" s="236"/>
      <c r="K939" s="238">
        <v>2500000</v>
      </c>
      <c r="L939" s="368"/>
    </row>
    <row r="940" spans="1:12" ht="15.75" customHeight="1">
      <c r="A940" s="194"/>
      <c r="B94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40" s="358" t="s">
        <v>2343</v>
      </c>
      <c r="D940" s="358" t="s">
        <v>2344</v>
      </c>
      <c r="E940" s="432" t="s">
        <v>2336</v>
      </c>
      <c r="F940" s="249" t="s">
        <v>2332</v>
      </c>
      <c r="G940" s="236" t="s">
        <v>479</v>
      </c>
      <c r="H940" s="237">
        <f t="shared" si="75"/>
        <v>6</v>
      </c>
      <c r="I940" s="236">
        <v>1403</v>
      </c>
      <c r="J940" s="236"/>
      <c r="K940" s="238">
        <v>10000000</v>
      </c>
      <c r="L940" s="368"/>
    </row>
    <row r="941" spans="1:12" ht="15.75" customHeight="1">
      <c r="A941" s="194"/>
      <c r="B94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41" s="358" t="s">
        <v>520</v>
      </c>
      <c r="D941" s="358" t="s">
        <v>2345</v>
      </c>
      <c r="E941" s="432" t="s">
        <v>2346</v>
      </c>
      <c r="F941" s="249" t="s">
        <v>2347</v>
      </c>
      <c r="G941" s="236" t="s">
        <v>479</v>
      </c>
      <c r="H941" s="237">
        <f t="shared" si="75"/>
        <v>6</v>
      </c>
      <c r="I941" s="236">
        <v>1403</v>
      </c>
      <c r="J941" s="236"/>
      <c r="K941" s="238">
        <v>5000000</v>
      </c>
      <c r="L941" s="368"/>
    </row>
    <row r="942" spans="1:12" ht="15.75" customHeight="1">
      <c r="A942" s="194"/>
      <c r="B942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942" s="358" t="s">
        <v>497</v>
      </c>
      <c r="D942" s="358" t="s">
        <v>513</v>
      </c>
      <c r="E942" s="432" t="s">
        <v>2346</v>
      </c>
      <c r="F942" s="249" t="s">
        <v>667</v>
      </c>
      <c r="G942" s="236" t="s">
        <v>479</v>
      </c>
      <c r="H942" s="237">
        <f t="shared" si="75"/>
        <v>6</v>
      </c>
      <c r="I942" s="236">
        <v>1403</v>
      </c>
      <c r="J942" s="236"/>
      <c r="K942" s="238">
        <v>20000000</v>
      </c>
      <c r="L942" s="368"/>
    </row>
    <row r="943" spans="1:12" ht="15.75" customHeight="1">
      <c r="A943" s="194"/>
      <c r="B943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943" s="358" t="s">
        <v>838</v>
      </c>
      <c r="D943" s="358" t="s">
        <v>839</v>
      </c>
      <c r="E943" s="432" t="s">
        <v>2346</v>
      </c>
      <c r="F943" s="249" t="s">
        <v>841</v>
      </c>
      <c r="G943" s="236" t="s">
        <v>479</v>
      </c>
      <c r="H943" s="237">
        <f t="shared" si="75"/>
        <v>6</v>
      </c>
      <c r="I943" s="236">
        <v>1403</v>
      </c>
      <c r="J943" s="236"/>
      <c r="K943" s="238">
        <v>5000000</v>
      </c>
      <c r="L943" s="368"/>
    </row>
    <row r="944" spans="1:12" ht="15.75" customHeight="1">
      <c r="A944" s="194"/>
      <c r="B944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944" s="358" t="s">
        <v>202</v>
      </c>
      <c r="D944" s="358" t="s">
        <v>502</v>
      </c>
      <c r="E944" s="432" t="s">
        <v>2348</v>
      </c>
      <c r="F944" s="249" t="s">
        <v>701</v>
      </c>
      <c r="G944" s="236" t="s">
        <v>482</v>
      </c>
      <c r="H944" s="237">
        <f t="shared" si="75"/>
        <v>7</v>
      </c>
      <c r="I944" s="236">
        <v>1403</v>
      </c>
      <c r="J944" s="236"/>
      <c r="K944" s="238">
        <v>15000000</v>
      </c>
      <c r="L944" s="368"/>
    </row>
    <row r="945" spans="1:12" ht="15.75" customHeight="1">
      <c r="A945" s="194"/>
      <c r="B94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45" s="358" t="s">
        <v>2301</v>
      </c>
      <c r="D945" s="358" t="s">
        <v>516</v>
      </c>
      <c r="E945" s="432" t="s">
        <v>2348</v>
      </c>
      <c r="F945" s="249" t="s">
        <v>2303</v>
      </c>
      <c r="G945" s="236" t="s">
        <v>482</v>
      </c>
      <c r="H945" s="237">
        <f t="shared" si="75"/>
        <v>7</v>
      </c>
      <c r="I945" s="236">
        <v>1403</v>
      </c>
      <c r="J945" s="236"/>
      <c r="K945" s="238">
        <v>15000000</v>
      </c>
      <c r="L945" s="368"/>
    </row>
    <row r="946" spans="1:12" ht="15.75" customHeight="1">
      <c r="A946" s="194"/>
      <c r="B94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46" s="358" t="s">
        <v>2341</v>
      </c>
      <c r="D946" s="358" t="s">
        <v>2342</v>
      </c>
      <c r="E946" s="432" t="s">
        <v>2348</v>
      </c>
      <c r="F946" s="249" t="s">
        <v>2349</v>
      </c>
      <c r="G946" s="236" t="s">
        <v>482</v>
      </c>
      <c r="H946" s="237">
        <f t="shared" si="75"/>
        <v>7</v>
      </c>
      <c r="I946" s="236">
        <v>1403</v>
      </c>
      <c r="J946" s="236"/>
      <c r="K946" s="238">
        <v>2000000</v>
      </c>
      <c r="L946" s="368"/>
    </row>
    <row r="947" spans="1:12" ht="15.75" customHeight="1">
      <c r="A947" s="194"/>
      <c r="B947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947" s="358" t="s">
        <v>497</v>
      </c>
      <c r="D947" s="358" t="s">
        <v>498</v>
      </c>
      <c r="E947" s="432" t="s">
        <v>2350</v>
      </c>
      <c r="F947" s="249" t="s">
        <v>835</v>
      </c>
      <c r="G947" s="236" t="s">
        <v>482</v>
      </c>
      <c r="H947" s="237">
        <f t="shared" si="75"/>
        <v>7</v>
      </c>
      <c r="I947" s="236">
        <v>1403</v>
      </c>
      <c r="J947" s="236"/>
      <c r="K947" s="238">
        <v>100000000</v>
      </c>
      <c r="L947" s="368"/>
    </row>
    <row r="948" spans="1:12" ht="15.75" customHeight="1">
      <c r="A948" s="194"/>
      <c r="B94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48" s="358" t="s">
        <v>2354</v>
      </c>
      <c r="D948" s="358" t="s">
        <v>1138</v>
      </c>
      <c r="E948" s="432" t="s">
        <v>2350</v>
      </c>
      <c r="F948" s="249" t="s">
        <v>2353</v>
      </c>
      <c r="G948" s="236" t="s">
        <v>482</v>
      </c>
      <c r="H948" s="237">
        <f t="shared" si="75"/>
        <v>7</v>
      </c>
      <c r="I948" s="236">
        <v>1403</v>
      </c>
      <c r="J948" s="236"/>
      <c r="K948" s="238">
        <v>86000000</v>
      </c>
      <c r="L948" s="368"/>
    </row>
    <row r="949" spans="1:12" ht="15.75" customHeight="1">
      <c r="A949" s="194"/>
      <c r="B94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49" s="358" t="s">
        <v>2354</v>
      </c>
      <c r="D949" s="358" t="s">
        <v>1138</v>
      </c>
      <c r="E949" s="432" t="s">
        <v>2350</v>
      </c>
      <c r="F949" s="249" t="s">
        <v>2353</v>
      </c>
      <c r="G949" s="236" t="s">
        <v>482</v>
      </c>
      <c r="H949" s="237">
        <f t="shared" si="75"/>
        <v>7</v>
      </c>
      <c r="I949" s="236">
        <v>1403</v>
      </c>
      <c r="J949" s="236"/>
      <c r="K949" s="238">
        <v>5000000</v>
      </c>
      <c r="L949" s="368"/>
    </row>
    <row r="950" spans="1:12" ht="15.75" customHeight="1">
      <c r="A950" s="194"/>
      <c r="B950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950" s="358" t="s">
        <v>522</v>
      </c>
      <c r="D950" s="358" t="s">
        <v>523</v>
      </c>
      <c r="E950" s="432" t="s">
        <v>2351</v>
      </c>
      <c r="F950" s="249"/>
      <c r="G950" s="236" t="s">
        <v>482</v>
      </c>
      <c r="H950" s="237">
        <f t="shared" si="75"/>
        <v>7</v>
      </c>
      <c r="I950" s="236">
        <v>1403</v>
      </c>
      <c r="J950" s="236"/>
      <c r="K950" s="238">
        <v>87274308</v>
      </c>
      <c r="L950" s="368"/>
    </row>
    <row r="951" spans="1:12" ht="15.75" customHeight="1">
      <c r="A951" s="194"/>
      <c r="B951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951" s="358" t="s">
        <v>494</v>
      </c>
      <c r="D951" s="358" t="s">
        <v>533</v>
      </c>
      <c r="E951" s="432" t="s">
        <v>2351</v>
      </c>
      <c r="F951" s="249" t="s">
        <v>835</v>
      </c>
      <c r="G951" s="236" t="s">
        <v>482</v>
      </c>
      <c r="H951" s="237">
        <f t="shared" si="75"/>
        <v>7</v>
      </c>
      <c r="I951" s="236">
        <v>1403</v>
      </c>
      <c r="J951" s="236"/>
      <c r="K951" s="238">
        <v>50000000</v>
      </c>
      <c r="L951" s="368"/>
    </row>
    <row r="952" spans="1:12" ht="15.75" customHeight="1">
      <c r="A952" s="194"/>
      <c r="B952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952" s="358" t="s">
        <v>494</v>
      </c>
      <c r="D952" s="358" t="s">
        <v>533</v>
      </c>
      <c r="E952" s="432" t="s">
        <v>2351</v>
      </c>
      <c r="F952" s="249" t="s">
        <v>835</v>
      </c>
      <c r="G952" s="236" t="s">
        <v>482</v>
      </c>
      <c r="H952" s="237">
        <f t="shared" si="75"/>
        <v>7</v>
      </c>
      <c r="I952" s="236">
        <v>1403</v>
      </c>
      <c r="J952" s="236"/>
      <c r="K952" s="238">
        <v>50000000</v>
      </c>
      <c r="L952" s="368"/>
    </row>
    <row r="953" spans="1:12" ht="15.75" customHeight="1">
      <c r="A953" s="194"/>
      <c r="B953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953" s="358" t="s">
        <v>480</v>
      </c>
      <c r="D953" s="358" t="s">
        <v>481</v>
      </c>
      <c r="E953" s="432" t="s">
        <v>2352</v>
      </c>
      <c r="F953" s="249" t="s">
        <v>579</v>
      </c>
      <c r="G953" s="236" t="s">
        <v>482</v>
      </c>
      <c r="H953" s="237">
        <f t="shared" si="75"/>
        <v>7</v>
      </c>
      <c r="I953" s="236">
        <v>1403</v>
      </c>
      <c r="J953" s="236"/>
      <c r="K953" s="238">
        <v>50000000</v>
      </c>
      <c r="L953" s="368"/>
    </row>
    <row r="954" spans="1:12" ht="15.75" customHeight="1">
      <c r="A954" s="194"/>
      <c r="B954" s="235">
        <f>SUMIFS('لیست واریزی کل خیرین'!B:B,'لیست واریزی کل خیرین'!D:D,Table1[[#This Row],[نام]],'لیست واریزی کل خیرین'!E:E,Table1[[#This Row],[نام خانوادگی]])</f>
        <v>75</v>
      </c>
      <c r="C954" s="358" t="s">
        <v>843</v>
      </c>
      <c r="D954" s="358" t="s">
        <v>844</v>
      </c>
      <c r="E954" s="432" t="s">
        <v>2355</v>
      </c>
      <c r="F954" s="249" t="s">
        <v>1601</v>
      </c>
      <c r="G954" s="236" t="s">
        <v>482</v>
      </c>
      <c r="H954" s="237">
        <f t="shared" si="75"/>
        <v>7</v>
      </c>
      <c r="I954" s="236">
        <v>1403</v>
      </c>
      <c r="J954" s="236"/>
      <c r="K954" s="238">
        <v>5000000</v>
      </c>
      <c r="L954" s="368"/>
    </row>
    <row r="955" spans="1:12" ht="15.75" customHeight="1">
      <c r="A955" s="194"/>
      <c r="B955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955" s="358" t="s">
        <v>494</v>
      </c>
      <c r="D955" s="358" t="s">
        <v>546</v>
      </c>
      <c r="E955" s="432" t="s">
        <v>2356</v>
      </c>
      <c r="F955" s="249" t="s">
        <v>835</v>
      </c>
      <c r="G955" s="236" t="s">
        <v>482</v>
      </c>
      <c r="H955" s="237">
        <f t="shared" si="75"/>
        <v>7</v>
      </c>
      <c r="I955" s="236">
        <v>1403</v>
      </c>
      <c r="J955" s="236"/>
      <c r="K955" s="238">
        <v>200000000</v>
      </c>
      <c r="L955" s="368"/>
    </row>
    <row r="956" spans="1:12" ht="15.75" customHeight="1">
      <c r="A956" s="194"/>
      <c r="B956" s="235">
        <f>SUMIFS('لیست واریزی کل خیرین'!B:B,'لیست واریزی کل خیرین'!D:D,Table1[[#This Row],[نام]],'لیست واریزی کل خیرین'!E:E,Table1[[#This Row],[نام خانوادگی]])</f>
        <v>61</v>
      </c>
      <c r="C956" s="358" t="s">
        <v>702</v>
      </c>
      <c r="D956" s="358" t="s">
        <v>703</v>
      </c>
      <c r="E956" s="432" t="s">
        <v>2357</v>
      </c>
      <c r="F956" s="249" t="s">
        <v>704</v>
      </c>
      <c r="G956" s="236" t="s">
        <v>482</v>
      </c>
      <c r="H956" s="237">
        <f t="shared" si="75"/>
        <v>7</v>
      </c>
      <c r="I956" s="236">
        <v>1403</v>
      </c>
      <c r="J956" s="236"/>
      <c r="K956" s="238">
        <v>10000000</v>
      </c>
      <c r="L956" s="368"/>
    </row>
    <row r="957" spans="1:12" ht="15.75" customHeight="1">
      <c r="A957" s="194"/>
      <c r="B957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957" s="358" t="s">
        <v>483</v>
      </c>
      <c r="D957" s="358" t="s">
        <v>484</v>
      </c>
      <c r="E957" s="432" t="s">
        <v>2367</v>
      </c>
      <c r="F957" s="249" t="s">
        <v>2369</v>
      </c>
      <c r="G957" s="236" t="s">
        <v>482</v>
      </c>
      <c r="H957" s="237">
        <f t="shared" si="75"/>
        <v>7</v>
      </c>
      <c r="I957" s="236">
        <v>1403</v>
      </c>
      <c r="J957" s="236"/>
      <c r="K957" s="238">
        <v>45000000</v>
      </c>
      <c r="L957" s="368"/>
    </row>
    <row r="958" spans="1:12" ht="15.75" customHeight="1">
      <c r="A958" s="194"/>
      <c r="B958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958" s="358" t="s">
        <v>471</v>
      </c>
      <c r="D958" s="358" t="s">
        <v>472</v>
      </c>
      <c r="E958" s="432" t="s">
        <v>2368</v>
      </c>
      <c r="F958" s="249" t="s">
        <v>1291</v>
      </c>
      <c r="G958" s="236" t="s">
        <v>482</v>
      </c>
      <c r="H958" s="237">
        <f t="shared" si="75"/>
        <v>7</v>
      </c>
      <c r="I958" s="236">
        <v>1403</v>
      </c>
      <c r="J958" s="236"/>
      <c r="K958" s="238">
        <v>2000000</v>
      </c>
      <c r="L958" s="368"/>
    </row>
    <row r="959" spans="1:12" ht="15.75" customHeight="1">
      <c r="A959" s="194"/>
      <c r="B959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959" s="358" t="s">
        <v>486</v>
      </c>
      <c r="D959" s="358" t="s">
        <v>487</v>
      </c>
      <c r="E959" s="432" t="s">
        <v>2370</v>
      </c>
      <c r="F959" s="249" t="s">
        <v>595</v>
      </c>
      <c r="G959" s="236" t="s">
        <v>482</v>
      </c>
      <c r="H959" s="237">
        <f t="shared" si="75"/>
        <v>7</v>
      </c>
      <c r="I959" s="236">
        <v>1403</v>
      </c>
      <c r="J959" s="236"/>
      <c r="K959" s="238">
        <v>10000000</v>
      </c>
      <c r="L959" s="368"/>
    </row>
    <row r="960" spans="1:12" ht="15.75" customHeight="1">
      <c r="A960" s="194"/>
      <c r="B960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960" s="358" t="s">
        <v>1671</v>
      </c>
      <c r="D960" s="358" t="s">
        <v>1672</v>
      </c>
      <c r="E960" s="432" t="s">
        <v>2371</v>
      </c>
      <c r="F960" s="249" t="s">
        <v>1674</v>
      </c>
      <c r="G960" s="236" t="s">
        <v>482</v>
      </c>
      <c r="H960" s="237">
        <f t="shared" si="75"/>
        <v>7</v>
      </c>
      <c r="I960" s="236">
        <v>1403</v>
      </c>
      <c r="J960" s="236"/>
      <c r="K960" s="238">
        <v>2000000</v>
      </c>
      <c r="L960" s="368"/>
    </row>
    <row r="961" spans="1:12" ht="15.75" customHeight="1">
      <c r="A961" s="194"/>
      <c r="B961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961" s="358" t="s">
        <v>486</v>
      </c>
      <c r="D961" s="358" t="s">
        <v>487</v>
      </c>
      <c r="E961" s="432" t="s">
        <v>2371</v>
      </c>
      <c r="F961" s="249" t="s">
        <v>595</v>
      </c>
      <c r="G961" s="236" t="s">
        <v>482</v>
      </c>
      <c r="H961" s="237">
        <f t="shared" si="75"/>
        <v>7</v>
      </c>
      <c r="I961" s="236">
        <v>1403</v>
      </c>
      <c r="J961" s="236"/>
      <c r="K961" s="238">
        <v>20000000</v>
      </c>
      <c r="L961" s="368"/>
    </row>
    <row r="962" spans="1:12" ht="15.75" customHeight="1">
      <c r="A962" s="194"/>
      <c r="B96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62" s="358" t="s">
        <v>997</v>
      </c>
      <c r="D962" s="358" t="s">
        <v>490</v>
      </c>
      <c r="E962" s="432" t="s">
        <v>2372</v>
      </c>
      <c r="F962" s="249" t="s">
        <v>2373</v>
      </c>
      <c r="G962" s="236" t="s">
        <v>482</v>
      </c>
      <c r="H962" s="237">
        <f t="shared" si="75"/>
        <v>7</v>
      </c>
      <c r="I962" s="236">
        <v>1403</v>
      </c>
      <c r="J962" s="236"/>
      <c r="K962" s="238">
        <v>2000000</v>
      </c>
      <c r="L962" s="368"/>
    </row>
    <row r="963" spans="1:12" ht="15.75" customHeight="1">
      <c r="A963" s="194"/>
      <c r="B963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963" s="358" t="s">
        <v>489</v>
      </c>
      <c r="D963" s="358" t="s">
        <v>490</v>
      </c>
      <c r="E963" s="432" t="s">
        <v>2359</v>
      </c>
      <c r="F963" s="249" t="s">
        <v>835</v>
      </c>
      <c r="G963" s="236" t="s">
        <v>482</v>
      </c>
      <c r="H963" s="237">
        <f t="shared" si="75"/>
        <v>7</v>
      </c>
      <c r="I963" s="236">
        <v>1403</v>
      </c>
      <c r="J963" s="236"/>
      <c r="K963" s="238">
        <v>100000000</v>
      </c>
      <c r="L963" s="368"/>
    </row>
    <row r="964" spans="1:12" ht="15.75" customHeight="1">
      <c r="A964" s="194"/>
      <c r="B964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964" s="358" t="s">
        <v>814</v>
      </c>
      <c r="D964" s="358" t="s">
        <v>705</v>
      </c>
      <c r="E964" s="432" t="s">
        <v>2359</v>
      </c>
      <c r="F964" s="249" t="s">
        <v>1425</v>
      </c>
      <c r="G964" s="236" t="s">
        <v>482</v>
      </c>
      <c r="H964" s="237">
        <f t="shared" si="75"/>
        <v>7</v>
      </c>
      <c r="I964" s="236">
        <v>1403</v>
      </c>
      <c r="J964" s="236"/>
      <c r="K964" s="238">
        <v>10000000</v>
      </c>
      <c r="L964" s="368"/>
    </row>
    <row r="965" spans="1:12" ht="15.75" customHeight="1">
      <c r="A965" s="194"/>
      <c r="B965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965" s="358" t="s">
        <v>596</v>
      </c>
      <c r="D965" s="358" t="s">
        <v>597</v>
      </c>
      <c r="E965" s="432" t="s">
        <v>2360</v>
      </c>
      <c r="F965" s="249" t="s">
        <v>598</v>
      </c>
      <c r="G965" s="236" t="s">
        <v>482</v>
      </c>
      <c r="H965" s="237">
        <f t="shared" si="75"/>
        <v>7</v>
      </c>
      <c r="I965" s="236">
        <v>1403</v>
      </c>
      <c r="J965" s="236"/>
      <c r="K965" s="238">
        <v>4000000</v>
      </c>
      <c r="L965" s="368"/>
    </row>
    <row r="966" spans="1:12" ht="15.75" customHeight="1">
      <c r="A966" s="194"/>
      <c r="B96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66" s="358" t="s">
        <v>1003</v>
      </c>
      <c r="D966" s="358" t="s">
        <v>2358</v>
      </c>
      <c r="E966" s="432" t="s">
        <v>2360</v>
      </c>
      <c r="F966" s="249" t="s">
        <v>835</v>
      </c>
      <c r="G966" s="236" t="s">
        <v>482</v>
      </c>
      <c r="H966" s="237">
        <f t="shared" si="75"/>
        <v>7</v>
      </c>
      <c r="I966" s="236">
        <v>1403</v>
      </c>
      <c r="J966" s="236"/>
      <c r="K966" s="238">
        <v>200000000</v>
      </c>
      <c r="L966" s="368"/>
    </row>
    <row r="967" spans="1:12" ht="15.75" customHeight="1">
      <c r="A967" s="194"/>
      <c r="B967" s="235">
        <f>SUMIFS('لیست واریزی کل خیرین'!B:B,'لیست واریزی کل خیرین'!D:D,Table1[[#This Row],[نام]],'لیست واریزی کل خیرین'!E:E,Table1[[#This Row],[نام خانوادگی]])</f>
        <v>50</v>
      </c>
      <c r="C967" s="358" t="s">
        <v>503</v>
      </c>
      <c r="D967" s="358" t="s">
        <v>664</v>
      </c>
      <c r="E967" s="432" t="s">
        <v>2361</v>
      </c>
      <c r="F967" s="249" t="s">
        <v>1418</v>
      </c>
      <c r="G967" s="236" t="s">
        <v>482</v>
      </c>
      <c r="H967" s="237">
        <f t="shared" si="75"/>
        <v>7</v>
      </c>
      <c r="I967" s="236">
        <v>1403</v>
      </c>
      <c r="J967" s="236"/>
      <c r="K967" s="238">
        <v>30000000</v>
      </c>
      <c r="L967" s="368"/>
    </row>
    <row r="968" spans="1:12" ht="15.75" customHeight="1">
      <c r="A968" s="194"/>
      <c r="B968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968" s="137" t="s">
        <v>529</v>
      </c>
      <c r="D968" s="137" t="s">
        <v>530</v>
      </c>
      <c r="E968" s="432" t="s">
        <v>2361</v>
      </c>
      <c r="F968" s="249" t="s">
        <v>2365</v>
      </c>
      <c r="G968" s="236" t="s">
        <v>482</v>
      </c>
      <c r="H968" s="237">
        <f t="shared" si="75"/>
        <v>7</v>
      </c>
      <c r="I968" s="236">
        <v>1403</v>
      </c>
      <c r="J968" s="236"/>
      <c r="K968" s="238">
        <v>10000000</v>
      </c>
      <c r="L968" s="368"/>
    </row>
    <row r="969" spans="1:12" ht="15.75" customHeight="1">
      <c r="A969" s="194"/>
      <c r="B96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69" s="358" t="s">
        <v>997</v>
      </c>
      <c r="D969" s="358" t="s">
        <v>2364</v>
      </c>
      <c r="E969" s="432" t="s">
        <v>2362</v>
      </c>
      <c r="F969" s="249" t="s">
        <v>2366</v>
      </c>
      <c r="G969" s="236" t="s">
        <v>482</v>
      </c>
      <c r="H969" s="237">
        <f t="shared" si="75"/>
        <v>7</v>
      </c>
      <c r="I969" s="236">
        <v>1403</v>
      </c>
      <c r="J969" s="236"/>
      <c r="K969" s="238">
        <v>300000</v>
      </c>
      <c r="L969" s="368"/>
    </row>
    <row r="970" spans="1:12" ht="15.75" customHeight="1">
      <c r="A970" s="194"/>
      <c r="B970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970" s="358" t="s">
        <v>497</v>
      </c>
      <c r="D970" s="358" t="s">
        <v>498</v>
      </c>
      <c r="E970" s="432" t="s">
        <v>2362</v>
      </c>
      <c r="F970" s="249" t="s">
        <v>862</v>
      </c>
      <c r="G970" s="236" t="s">
        <v>482</v>
      </c>
      <c r="H970" s="237">
        <f t="shared" si="75"/>
        <v>7</v>
      </c>
      <c r="I970" s="236">
        <v>1403</v>
      </c>
      <c r="J970" s="236"/>
      <c r="K970" s="238">
        <v>50000000</v>
      </c>
      <c r="L970" s="368"/>
    </row>
    <row r="971" spans="1:12" ht="15.75" customHeight="1">
      <c r="A971" s="194"/>
      <c r="B97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71" s="358" t="s">
        <v>2377</v>
      </c>
      <c r="D971" s="358" t="s">
        <v>2378</v>
      </c>
      <c r="E971" s="432" t="s">
        <v>2363</v>
      </c>
      <c r="F971" s="249" t="s">
        <v>2374</v>
      </c>
      <c r="G971" s="236" t="s">
        <v>482</v>
      </c>
      <c r="H971" s="237">
        <f t="shared" si="75"/>
        <v>7</v>
      </c>
      <c r="I971" s="236">
        <v>1403</v>
      </c>
      <c r="J971" s="236"/>
      <c r="K971" s="238">
        <v>10000000</v>
      </c>
      <c r="L971" s="368"/>
    </row>
    <row r="972" spans="1:12" ht="15.75" customHeight="1">
      <c r="A972" s="194"/>
      <c r="B97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72" s="358" t="s">
        <v>2379</v>
      </c>
      <c r="D972" s="358" t="s">
        <v>1513</v>
      </c>
      <c r="E972" s="432" t="s">
        <v>2363</v>
      </c>
      <c r="F972" s="249" t="s">
        <v>2375</v>
      </c>
      <c r="G972" s="236" t="s">
        <v>482</v>
      </c>
      <c r="H972" s="237">
        <f t="shared" si="75"/>
        <v>7</v>
      </c>
      <c r="I972" s="236">
        <v>1403</v>
      </c>
      <c r="J972" s="236"/>
      <c r="K972" s="238">
        <v>50000000</v>
      </c>
      <c r="L972" s="368"/>
    </row>
    <row r="973" spans="1:12" ht="15.75" customHeight="1">
      <c r="A973" s="194"/>
      <c r="B97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73" s="358" t="s">
        <v>1639</v>
      </c>
      <c r="D973" s="358" t="s">
        <v>1659</v>
      </c>
      <c r="E973" s="432" t="s">
        <v>2363</v>
      </c>
      <c r="F973" s="249" t="s">
        <v>2376</v>
      </c>
      <c r="G973" s="236" t="s">
        <v>482</v>
      </c>
      <c r="H973" s="237">
        <f t="shared" si="75"/>
        <v>7</v>
      </c>
      <c r="I973" s="236">
        <v>1403</v>
      </c>
      <c r="J973" s="236"/>
      <c r="K973" s="238">
        <v>30000000</v>
      </c>
      <c r="L973" s="368"/>
    </row>
    <row r="974" spans="1:12" ht="15.75" customHeight="1">
      <c r="A974" s="194"/>
      <c r="B974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974" s="358" t="s">
        <v>489</v>
      </c>
      <c r="D974" s="358" t="s">
        <v>490</v>
      </c>
      <c r="E974" s="432" t="s">
        <v>2363</v>
      </c>
      <c r="F974" s="249" t="s">
        <v>571</v>
      </c>
      <c r="G974" s="236" t="s">
        <v>482</v>
      </c>
      <c r="H974" s="237">
        <f t="shared" si="75"/>
        <v>7</v>
      </c>
      <c r="I974" s="236">
        <v>1403</v>
      </c>
      <c r="J974" s="236"/>
      <c r="K974" s="238">
        <v>30000000</v>
      </c>
      <c r="L974" s="368"/>
    </row>
    <row r="975" spans="1:12" ht="15.75" customHeight="1">
      <c r="A975" s="194"/>
      <c r="B975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975" s="358" t="s">
        <v>202</v>
      </c>
      <c r="D975" s="358" t="s">
        <v>502</v>
      </c>
      <c r="E975" s="432" t="s">
        <v>2363</v>
      </c>
      <c r="F975" s="249" t="s">
        <v>701</v>
      </c>
      <c r="G975" s="236" t="s">
        <v>482</v>
      </c>
      <c r="H975" s="237">
        <f t="shared" si="75"/>
        <v>7</v>
      </c>
      <c r="I975" s="236">
        <v>1403</v>
      </c>
      <c r="J975" s="236"/>
      <c r="K975" s="238">
        <v>15000000</v>
      </c>
      <c r="L975" s="368"/>
    </row>
    <row r="976" spans="1:12" ht="15.75" customHeight="1">
      <c r="A976" s="194"/>
      <c r="B97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76" s="358" t="s">
        <v>2382</v>
      </c>
      <c r="D976" s="358" t="s">
        <v>2383</v>
      </c>
      <c r="E976" s="432" t="s">
        <v>2363</v>
      </c>
      <c r="F976" s="249" t="s">
        <v>577</v>
      </c>
      <c r="G976" s="236" t="s">
        <v>482</v>
      </c>
      <c r="H976" s="237">
        <f t="shared" si="75"/>
        <v>7</v>
      </c>
      <c r="I976" s="236">
        <v>1403</v>
      </c>
      <c r="J976" s="236"/>
      <c r="K976" s="238">
        <v>20000000</v>
      </c>
      <c r="L976" s="368"/>
    </row>
    <row r="977" spans="1:12" ht="15.75" customHeight="1">
      <c r="A977" s="194"/>
      <c r="B977" s="235">
        <f>SUMIFS('لیست واریزی کل خیرین'!B:B,'لیست واریزی کل خیرین'!D:D,Table1[[#This Row],[نام]],'لیست واریزی کل خیرین'!E:E,Table1[[#This Row],[نام خانوادگی]])</f>
        <v>111</v>
      </c>
      <c r="C977" s="358" t="s">
        <v>1635</v>
      </c>
      <c r="D977" s="358" t="s">
        <v>1636</v>
      </c>
      <c r="E977" s="432" t="s">
        <v>2380</v>
      </c>
      <c r="F977" s="249" t="s">
        <v>2381</v>
      </c>
      <c r="G977" s="236" t="s">
        <v>482</v>
      </c>
      <c r="H977" s="237">
        <f t="shared" si="75"/>
        <v>7</v>
      </c>
      <c r="I977" s="236">
        <v>1403</v>
      </c>
      <c r="J977" s="236"/>
      <c r="K977" s="238">
        <v>30000000</v>
      </c>
      <c r="L977" s="368"/>
    </row>
    <row r="978" spans="1:12" ht="15.75" customHeight="1">
      <c r="A978" s="194"/>
      <c r="B97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78" s="358" t="s">
        <v>507</v>
      </c>
      <c r="D978" s="358" t="s">
        <v>2384</v>
      </c>
      <c r="E978" s="432" t="s">
        <v>2380</v>
      </c>
      <c r="F978" s="249" t="s">
        <v>2385</v>
      </c>
      <c r="G978" s="236" t="s">
        <v>482</v>
      </c>
      <c r="H978" s="237">
        <f t="shared" ref="H978" si="76">IF(G978="","",VLOOKUP(G978,mah,2,0))</f>
        <v>7</v>
      </c>
      <c r="I978" s="236">
        <v>1403</v>
      </c>
      <c r="J978" s="236"/>
      <c r="K978" s="238">
        <v>10000000</v>
      </c>
      <c r="L978" s="368"/>
    </row>
    <row r="979" spans="1:12" ht="15.75" customHeight="1">
      <c r="A979" s="194"/>
      <c r="B97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79" s="358" t="s">
        <v>2386</v>
      </c>
      <c r="D979" s="358" t="s">
        <v>516</v>
      </c>
      <c r="E979" s="432" t="s">
        <v>2387</v>
      </c>
      <c r="F979" s="249" t="s">
        <v>2388</v>
      </c>
      <c r="G979" s="236" t="s">
        <v>485</v>
      </c>
      <c r="H979" s="237">
        <f t="shared" ref="H979:H1010" si="77">IF(G979="","",VLOOKUP(G979,mah,2,0))</f>
        <v>8</v>
      </c>
      <c r="I979" s="236">
        <v>1403</v>
      </c>
      <c r="J979" s="236"/>
      <c r="K979" s="238">
        <v>5000000</v>
      </c>
      <c r="L979" s="368"/>
    </row>
    <row r="980" spans="1:12" ht="15.75" customHeight="1">
      <c r="A980" s="194"/>
      <c r="B98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80" s="358" t="s">
        <v>2389</v>
      </c>
      <c r="D980" s="358" t="s">
        <v>2390</v>
      </c>
      <c r="E980" s="432" t="s">
        <v>2387</v>
      </c>
      <c r="F980" s="249" t="s">
        <v>2391</v>
      </c>
      <c r="G980" s="236" t="s">
        <v>485</v>
      </c>
      <c r="H980" s="237">
        <f t="shared" si="77"/>
        <v>8</v>
      </c>
      <c r="I980" s="236">
        <v>1403</v>
      </c>
      <c r="J980" s="236"/>
      <c r="K980" s="238">
        <v>3000000</v>
      </c>
      <c r="L980" s="368"/>
    </row>
    <row r="981" spans="1:12" ht="15.75" customHeight="1">
      <c r="A981" s="194"/>
      <c r="B98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81" s="358" t="s">
        <v>2301</v>
      </c>
      <c r="D981" s="358" t="s">
        <v>516</v>
      </c>
      <c r="E981" s="432" t="s">
        <v>2387</v>
      </c>
      <c r="F981" s="249" t="s">
        <v>2303</v>
      </c>
      <c r="G981" s="236" t="s">
        <v>485</v>
      </c>
      <c r="H981" s="237">
        <f t="shared" si="77"/>
        <v>8</v>
      </c>
      <c r="I981" s="236">
        <v>1403</v>
      </c>
      <c r="J981" s="236"/>
      <c r="K981" s="238">
        <v>15000000</v>
      </c>
      <c r="L981" s="368"/>
    </row>
    <row r="982" spans="1:12" ht="15.75" customHeight="1">
      <c r="A982" s="194"/>
      <c r="B982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982" s="358" t="s">
        <v>670</v>
      </c>
      <c r="D982" s="358" t="s">
        <v>490</v>
      </c>
      <c r="E982" s="432" t="s">
        <v>2387</v>
      </c>
      <c r="F982" s="249" t="s">
        <v>1323</v>
      </c>
      <c r="G982" s="236" t="s">
        <v>485</v>
      </c>
      <c r="H982" s="237">
        <f t="shared" si="77"/>
        <v>8</v>
      </c>
      <c r="I982" s="236">
        <v>1403</v>
      </c>
      <c r="J982" s="236"/>
      <c r="K982" s="238">
        <v>20000000</v>
      </c>
      <c r="L982" s="368"/>
    </row>
    <row r="983" spans="1:12" ht="15.75" customHeight="1">
      <c r="A983" s="194"/>
      <c r="B98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83" s="358" t="s">
        <v>2392</v>
      </c>
      <c r="D983" s="358" t="s">
        <v>2393</v>
      </c>
      <c r="E983" s="432" t="s">
        <v>2387</v>
      </c>
      <c r="F983" s="249" t="s">
        <v>2394</v>
      </c>
      <c r="G983" s="236" t="s">
        <v>485</v>
      </c>
      <c r="H983" s="237">
        <f t="shared" si="77"/>
        <v>8</v>
      </c>
      <c r="I983" s="236">
        <v>1403</v>
      </c>
      <c r="J983" s="236"/>
      <c r="K983" s="238">
        <v>5000000</v>
      </c>
      <c r="L983" s="368"/>
    </row>
    <row r="984" spans="1:12" ht="15.75" customHeight="1">
      <c r="A984" s="194"/>
      <c r="B984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984" s="358" t="s">
        <v>838</v>
      </c>
      <c r="D984" s="358" t="s">
        <v>839</v>
      </c>
      <c r="E984" s="432" t="s">
        <v>2395</v>
      </c>
      <c r="F984" s="249" t="s">
        <v>841</v>
      </c>
      <c r="G984" s="236" t="s">
        <v>485</v>
      </c>
      <c r="H984" s="237">
        <f t="shared" si="77"/>
        <v>8</v>
      </c>
      <c r="I984" s="236">
        <v>1403</v>
      </c>
      <c r="J984" s="236"/>
      <c r="K984" s="238">
        <v>5000000</v>
      </c>
      <c r="L984" s="368"/>
    </row>
    <row r="985" spans="1:12" ht="15.75" customHeight="1">
      <c r="A985" s="194"/>
      <c r="B98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85" s="358" t="s">
        <v>2396</v>
      </c>
      <c r="D985" s="358" t="s">
        <v>2326</v>
      </c>
      <c r="E985" s="432" t="s">
        <v>2397</v>
      </c>
      <c r="F985" s="249" t="s">
        <v>2318</v>
      </c>
      <c r="G985" s="236" t="s">
        <v>485</v>
      </c>
      <c r="H985" s="237">
        <f t="shared" si="77"/>
        <v>8</v>
      </c>
      <c r="I985" s="236">
        <v>1403</v>
      </c>
      <c r="J985" s="236"/>
      <c r="K985" s="238">
        <v>6000000</v>
      </c>
      <c r="L985" s="368"/>
    </row>
    <row r="986" spans="1:12" ht="15.75" customHeight="1">
      <c r="A986" s="194"/>
      <c r="B986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986" s="137" t="s">
        <v>529</v>
      </c>
      <c r="D986" s="137" t="s">
        <v>530</v>
      </c>
      <c r="E986" s="432" t="s">
        <v>2397</v>
      </c>
      <c r="F986" s="249" t="s">
        <v>2329</v>
      </c>
      <c r="G986" s="236" t="s">
        <v>485</v>
      </c>
      <c r="H986" s="237">
        <f t="shared" si="77"/>
        <v>8</v>
      </c>
      <c r="I986" s="236">
        <v>1403</v>
      </c>
      <c r="J986" s="236"/>
      <c r="K986" s="238">
        <v>30000000</v>
      </c>
      <c r="L986" s="368"/>
    </row>
    <row r="987" spans="1:12" ht="15.75" customHeight="1">
      <c r="A987" s="194"/>
      <c r="B98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87" s="358" t="s">
        <v>1017</v>
      </c>
      <c r="D987" s="358" t="s">
        <v>2402</v>
      </c>
      <c r="E987" s="432" t="s">
        <v>2397</v>
      </c>
      <c r="F987" s="249" t="s">
        <v>2398</v>
      </c>
      <c r="G987" s="236" t="s">
        <v>485</v>
      </c>
      <c r="H987" s="237">
        <f t="shared" si="77"/>
        <v>8</v>
      </c>
      <c r="I987" s="236">
        <v>1403</v>
      </c>
      <c r="J987" s="236"/>
      <c r="K987" s="238">
        <v>3000000</v>
      </c>
      <c r="L987" s="368"/>
    </row>
    <row r="988" spans="1:12" ht="15.75" customHeight="1">
      <c r="A988" s="194"/>
      <c r="B98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88" s="358" t="s">
        <v>2403</v>
      </c>
      <c r="D988" s="358" t="s">
        <v>676</v>
      </c>
      <c r="E988" s="432" t="s">
        <v>2397</v>
      </c>
      <c r="F988" s="249" t="s">
        <v>2399</v>
      </c>
      <c r="G988" s="236" t="s">
        <v>485</v>
      </c>
      <c r="H988" s="237">
        <f t="shared" si="77"/>
        <v>8</v>
      </c>
      <c r="I988" s="236">
        <v>1403</v>
      </c>
      <c r="J988" s="236"/>
      <c r="K988" s="238">
        <v>3000000</v>
      </c>
      <c r="L988" s="368"/>
    </row>
    <row r="989" spans="1:12" ht="15.75" customHeight="1">
      <c r="A989" s="194"/>
      <c r="B98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89" s="358" t="s">
        <v>997</v>
      </c>
      <c r="D989" s="358" t="s">
        <v>676</v>
      </c>
      <c r="E989" s="432" t="s">
        <v>2397</v>
      </c>
      <c r="F989" s="249" t="s">
        <v>2400</v>
      </c>
      <c r="G989" s="236" t="s">
        <v>485</v>
      </c>
      <c r="H989" s="237">
        <f t="shared" si="77"/>
        <v>8</v>
      </c>
      <c r="I989" s="236">
        <v>1403</v>
      </c>
      <c r="J989" s="236"/>
      <c r="K989" s="238">
        <v>3000000</v>
      </c>
      <c r="L989" s="368"/>
    </row>
    <row r="990" spans="1:12" ht="15.75" customHeight="1">
      <c r="A990" s="194"/>
      <c r="B99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90" s="358" t="s">
        <v>997</v>
      </c>
      <c r="D990" s="358" t="s">
        <v>676</v>
      </c>
      <c r="E990" s="432" t="s">
        <v>2397</v>
      </c>
      <c r="F990" s="249" t="s">
        <v>2400</v>
      </c>
      <c r="G990" s="236" t="s">
        <v>485</v>
      </c>
      <c r="H990" s="237">
        <f t="shared" si="77"/>
        <v>8</v>
      </c>
      <c r="I990" s="236">
        <v>1403</v>
      </c>
      <c r="J990" s="236"/>
      <c r="K990" s="238">
        <v>3000000</v>
      </c>
      <c r="L990" s="368"/>
    </row>
    <row r="991" spans="1:12" ht="15.75" customHeight="1">
      <c r="A991" s="194"/>
      <c r="B99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91" s="358" t="s">
        <v>2404</v>
      </c>
      <c r="D991" s="358" t="s">
        <v>2405</v>
      </c>
      <c r="E991" s="432" t="s">
        <v>2397</v>
      </c>
      <c r="F991" s="249" t="s">
        <v>2401</v>
      </c>
      <c r="G991" s="236" t="s">
        <v>485</v>
      </c>
      <c r="H991" s="237">
        <f t="shared" si="77"/>
        <v>8</v>
      </c>
      <c r="I991" s="236">
        <v>1403</v>
      </c>
      <c r="J991" s="236"/>
      <c r="K991" s="238">
        <v>3000000</v>
      </c>
      <c r="L991" s="368"/>
    </row>
    <row r="992" spans="1:12" ht="15.75" customHeight="1">
      <c r="A992" s="194"/>
      <c r="B99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92" s="358" t="s">
        <v>1017</v>
      </c>
      <c r="D992" s="358" t="s">
        <v>2405</v>
      </c>
      <c r="E992" s="432" t="s">
        <v>2406</v>
      </c>
      <c r="F992" s="249" t="s">
        <v>835</v>
      </c>
      <c r="G992" s="236" t="s">
        <v>485</v>
      </c>
      <c r="H992" s="237">
        <f t="shared" si="77"/>
        <v>8</v>
      </c>
      <c r="I992" s="236">
        <v>1403</v>
      </c>
      <c r="J992" s="236"/>
      <c r="K992" s="238">
        <v>5000000</v>
      </c>
      <c r="L992" s="368"/>
    </row>
    <row r="993" spans="1:12" ht="15.75" customHeight="1">
      <c r="A993" s="194"/>
      <c r="B993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993" s="358" t="s">
        <v>202</v>
      </c>
      <c r="D993" s="358" t="s">
        <v>502</v>
      </c>
      <c r="E993" s="432" t="s">
        <v>2406</v>
      </c>
      <c r="F993" s="249" t="s">
        <v>701</v>
      </c>
      <c r="G993" s="236" t="s">
        <v>485</v>
      </c>
      <c r="H993" s="237">
        <f t="shared" si="77"/>
        <v>8</v>
      </c>
      <c r="I993" s="236">
        <v>1403</v>
      </c>
      <c r="J993" s="236"/>
      <c r="K993" s="238">
        <v>20000000</v>
      </c>
      <c r="L993" s="368"/>
    </row>
    <row r="994" spans="1:12" ht="15.75" customHeight="1">
      <c r="A994" s="194"/>
      <c r="B994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994" s="137" t="s">
        <v>494</v>
      </c>
      <c r="D994" s="137" t="s">
        <v>533</v>
      </c>
      <c r="E994" s="432" t="s">
        <v>2406</v>
      </c>
      <c r="F994" s="249" t="s">
        <v>835</v>
      </c>
      <c r="G994" s="236" t="s">
        <v>485</v>
      </c>
      <c r="H994" s="237">
        <f t="shared" si="77"/>
        <v>8</v>
      </c>
      <c r="I994" s="236">
        <v>1403</v>
      </c>
      <c r="J994" s="236"/>
      <c r="K994" s="238">
        <v>50000000</v>
      </c>
      <c r="L994" s="368"/>
    </row>
    <row r="995" spans="1:12" ht="15.75" customHeight="1">
      <c r="A995" s="194"/>
      <c r="B995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995" s="137" t="s">
        <v>494</v>
      </c>
      <c r="D995" s="137" t="s">
        <v>533</v>
      </c>
      <c r="E995" s="432" t="s">
        <v>2406</v>
      </c>
      <c r="F995" s="249" t="s">
        <v>835</v>
      </c>
      <c r="G995" s="236" t="s">
        <v>485</v>
      </c>
      <c r="H995" s="237">
        <f t="shared" si="77"/>
        <v>8</v>
      </c>
      <c r="I995" s="236">
        <v>1403</v>
      </c>
      <c r="J995" s="236"/>
      <c r="K995" s="238">
        <v>50000000</v>
      </c>
      <c r="L995" s="368"/>
    </row>
    <row r="996" spans="1:12" ht="15.75" customHeight="1">
      <c r="A996" s="194"/>
      <c r="B996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996" s="358" t="s">
        <v>489</v>
      </c>
      <c r="D996" s="358" t="s">
        <v>490</v>
      </c>
      <c r="E996" s="432" t="s">
        <v>2407</v>
      </c>
      <c r="F996" s="249" t="s">
        <v>2409</v>
      </c>
      <c r="G996" s="236" t="s">
        <v>485</v>
      </c>
      <c r="H996" s="237">
        <f t="shared" si="77"/>
        <v>8</v>
      </c>
      <c r="I996" s="236">
        <v>1403</v>
      </c>
      <c r="J996" s="236"/>
      <c r="K996" s="238">
        <v>120000000</v>
      </c>
      <c r="L996" s="368" t="s">
        <v>2410</v>
      </c>
    </row>
    <row r="997" spans="1:12" ht="15.75" customHeight="1">
      <c r="A997" s="194"/>
      <c r="B99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97" s="358" t="s">
        <v>2411</v>
      </c>
      <c r="D997" s="358" t="s">
        <v>490</v>
      </c>
      <c r="E997" s="432" t="s">
        <v>2408</v>
      </c>
      <c r="F997" s="249" t="s">
        <v>835</v>
      </c>
      <c r="G997" s="236" t="s">
        <v>485</v>
      </c>
      <c r="H997" s="237">
        <f t="shared" si="77"/>
        <v>8</v>
      </c>
      <c r="I997" s="236">
        <v>1403</v>
      </c>
      <c r="J997" s="236"/>
      <c r="K997" s="238">
        <v>100000000</v>
      </c>
      <c r="L997" s="368"/>
    </row>
    <row r="998" spans="1:12" ht="15.75" customHeight="1">
      <c r="A998" s="194"/>
      <c r="B998" s="235">
        <f>SUMIFS('لیست واریزی کل خیرین'!B:B,'لیست واریزی کل خیرین'!D:D,Table1[[#This Row],[نام]],'لیست واریزی کل خیرین'!E:E,Table1[[#This Row],[نام خانوادگی]])</f>
        <v>133</v>
      </c>
      <c r="C998" s="358" t="s">
        <v>1912</v>
      </c>
      <c r="D998" s="358" t="s">
        <v>490</v>
      </c>
      <c r="E998" s="432" t="s">
        <v>2408</v>
      </c>
      <c r="F998" s="249" t="s">
        <v>2414</v>
      </c>
      <c r="G998" s="236" t="s">
        <v>485</v>
      </c>
      <c r="H998" s="237">
        <f t="shared" si="77"/>
        <v>8</v>
      </c>
      <c r="I998" s="236">
        <v>1403</v>
      </c>
      <c r="J998" s="236"/>
      <c r="K998" s="238">
        <v>50000000</v>
      </c>
      <c r="L998" s="368"/>
    </row>
    <row r="999" spans="1:12" ht="15.75" customHeight="1">
      <c r="A999" s="194"/>
      <c r="B99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999" s="358" t="s">
        <v>2412</v>
      </c>
      <c r="D999" s="358" t="s">
        <v>2413</v>
      </c>
      <c r="E999" s="432" t="s">
        <v>2408</v>
      </c>
      <c r="F999" s="249" t="s">
        <v>2415</v>
      </c>
      <c r="G999" s="236" t="s">
        <v>485</v>
      </c>
      <c r="H999" s="237">
        <f t="shared" si="77"/>
        <v>8</v>
      </c>
      <c r="I999" s="236">
        <v>1403</v>
      </c>
      <c r="J999" s="236"/>
      <c r="K999" s="238">
        <v>100000000</v>
      </c>
      <c r="L999" s="368"/>
    </row>
    <row r="1000" spans="1:12" ht="15.75" customHeight="1">
      <c r="A1000" s="194"/>
      <c r="B100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00" s="358" t="s">
        <v>2416</v>
      </c>
      <c r="D1000" s="358" t="s">
        <v>2417</v>
      </c>
      <c r="E1000" s="432" t="s">
        <v>2419</v>
      </c>
      <c r="F1000" s="249" t="s">
        <v>2420</v>
      </c>
      <c r="G1000" s="236" t="s">
        <v>485</v>
      </c>
      <c r="H1000" s="237">
        <f t="shared" si="77"/>
        <v>8</v>
      </c>
      <c r="I1000" s="236">
        <v>1403</v>
      </c>
      <c r="J1000" s="236"/>
      <c r="K1000" s="238">
        <v>20000000</v>
      </c>
      <c r="L1000" s="368"/>
    </row>
    <row r="1001" spans="1:12" ht="15.75" customHeight="1">
      <c r="A1001" s="194"/>
      <c r="B100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01" s="358" t="s">
        <v>507</v>
      </c>
      <c r="D1001" s="358" t="s">
        <v>2384</v>
      </c>
      <c r="E1001" s="432" t="s">
        <v>2419</v>
      </c>
      <c r="F1001" s="249" t="s">
        <v>2385</v>
      </c>
      <c r="G1001" s="236" t="s">
        <v>485</v>
      </c>
      <c r="H1001" s="237">
        <f t="shared" si="77"/>
        <v>8</v>
      </c>
      <c r="I1001" s="236">
        <v>1403</v>
      </c>
      <c r="J1001" s="236"/>
      <c r="K1001" s="238">
        <v>5000000</v>
      </c>
      <c r="L1001" s="368"/>
    </row>
    <row r="1002" spans="1:12" ht="15.75" customHeight="1">
      <c r="A1002" s="194"/>
      <c r="B100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02" s="358" t="s">
        <v>503</v>
      </c>
      <c r="D1002" s="358" t="s">
        <v>508</v>
      </c>
      <c r="E1002" s="432" t="s">
        <v>2419</v>
      </c>
      <c r="F1002" s="249" t="s">
        <v>2421</v>
      </c>
      <c r="G1002" s="236" t="s">
        <v>485</v>
      </c>
      <c r="H1002" s="237">
        <f t="shared" si="77"/>
        <v>8</v>
      </c>
      <c r="I1002" s="236">
        <v>1403</v>
      </c>
      <c r="J1002" s="236"/>
      <c r="K1002" s="238">
        <v>50000000</v>
      </c>
      <c r="L1002" s="368"/>
    </row>
    <row r="1003" spans="1:12" ht="15.75" customHeight="1">
      <c r="A1003" s="194"/>
      <c r="B1003" s="235">
        <f>SUMIFS('لیست واریزی کل خیرین'!B:B,'لیست واریزی کل خیرین'!D:D,Table1[[#This Row],[نام]],'لیست واریزی کل خیرین'!E:E,Table1[[#This Row],[نام خانوادگی]])</f>
        <v>111</v>
      </c>
      <c r="C1003" s="358" t="s">
        <v>1635</v>
      </c>
      <c r="D1003" s="358" t="s">
        <v>1636</v>
      </c>
      <c r="E1003" s="432" t="s">
        <v>2419</v>
      </c>
      <c r="F1003" s="249" t="s">
        <v>2381</v>
      </c>
      <c r="G1003" s="236" t="s">
        <v>485</v>
      </c>
      <c r="H1003" s="237">
        <f t="shared" si="77"/>
        <v>8</v>
      </c>
      <c r="I1003" s="236">
        <v>1403</v>
      </c>
      <c r="J1003" s="236"/>
      <c r="K1003" s="238">
        <v>10000000</v>
      </c>
      <c r="L1003" s="368"/>
    </row>
    <row r="1004" spans="1:12" ht="15.75" customHeight="1">
      <c r="A1004" s="194"/>
      <c r="B100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04" s="358" t="s">
        <v>207</v>
      </c>
      <c r="D1004" s="358" t="s">
        <v>2418</v>
      </c>
      <c r="E1004" s="432" t="s">
        <v>2419</v>
      </c>
      <c r="F1004" s="249" t="s">
        <v>2422</v>
      </c>
      <c r="G1004" s="236" t="s">
        <v>485</v>
      </c>
      <c r="H1004" s="237">
        <f t="shared" si="77"/>
        <v>8</v>
      </c>
      <c r="I1004" s="236">
        <v>1403</v>
      </c>
      <c r="J1004" s="236"/>
      <c r="K1004" s="238">
        <v>10000000</v>
      </c>
      <c r="L1004" s="368"/>
    </row>
    <row r="1005" spans="1:12" ht="15.75" customHeight="1">
      <c r="A1005" s="194"/>
      <c r="B100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05" s="358" t="s">
        <v>997</v>
      </c>
      <c r="D1005" s="358" t="s">
        <v>490</v>
      </c>
      <c r="E1005" s="432" t="s">
        <v>2419</v>
      </c>
      <c r="F1005" s="249" t="s">
        <v>2373</v>
      </c>
      <c r="G1005" s="236" t="s">
        <v>485</v>
      </c>
      <c r="H1005" s="237">
        <f t="shared" si="77"/>
        <v>8</v>
      </c>
      <c r="I1005" s="236">
        <v>1403</v>
      </c>
      <c r="J1005" s="236"/>
      <c r="K1005" s="238">
        <v>30000000</v>
      </c>
      <c r="L1005" s="368"/>
    </row>
    <row r="1006" spans="1:12" ht="15.75" customHeight="1">
      <c r="A1006" s="194"/>
      <c r="B1006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06" s="358" t="s">
        <v>489</v>
      </c>
      <c r="D1006" s="358" t="s">
        <v>490</v>
      </c>
      <c r="E1006" s="432" t="s">
        <v>2419</v>
      </c>
      <c r="F1006" s="249" t="s">
        <v>571</v>
      </c>
      <c r="G1006" s="236" t="s">
        <v>485</v>
      </c>
      <c r="H1006" s="237">
        <f t="shared" si="77"/>
        <v>8</v>
      </c>
      <c r="I1006" s="236">
        <v>1403</v>
      </c>
      <c r="J1006" s="236"/>
      <c r="K1006" s="238">
        <v>5000000</v>
      </c>
      <c r="L1006" s="368"/>
    </row>
    <row r="1007" spans="1:12" ht="15.75" customHeight="1">
      <c r="A1007" s="194"/>
      <c r="B100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07" s="358" t="s">
        <v>2411</v>
      </c>
      <c r="D1007" s="358" t="s">
        <v>490</v>
      </c>
      <c r="E1007" s="432" t="s">
        <v>2419</v>
      </c>
      <c r="F1007" s="249" t="s">
        <v>835</v>
      </c>
      <c r="G1007" s="236" t="s">
        <v>485</v>
      </c>
      <c r="H1007" s="237">
        <f t="shared" si="77"/>
        <v>8</v>
      </c>
      <c r="I1007" s="236">
        <v>1403</v>
      </c>
      <c r="J1007" s="236"/>
      <c r="K1007" s="238">
        <v>100000000</v>
      </c>
      <c r="L1007" s="368"/>
    </row>
    <row r="1008" spans="1:12" ht="15.75" customHeight="1">
      <c r="A1008" s="194"/>
      <c r="B100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08" s="358" t="s">
        <v>818</v>
      </c>
      <c r="D1008" s="358" t="s">
        <v>676</v>
      </c>
      <c r="E1008" s="432" t="s">
        <v>2419</v>
      </c>
      <c r="F1008" s="249" t="s">
        <v>835</v>
      </c>
      <c r="G1008" s="236" t="s">
        <v>485</v>
      </c>
      <c r="H1008" s="237">
        <f t="shared" si="77"/>
        <v>8</v>
      </c>
      <c r="I1008" s="236">
        <v>1403</v>
      </c>
      <c r="J1008" s="236"/>
      <c r="K1008" s="238">
        <v>2000000</v>
      </c>
      <c r="L1008" s="368"/>
    </row>
    <row r="1009" spans="1:12" ht="15.75" customHeight="1">
      <c r="A1009" s="194"/>
      <c r="B100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09" s="358" t="s">
        <v>490</v>
      </c>
      <c r="D1009" s="358" t="s">
        <v>2423</v>
      </c>
      <c r="E1009" s="432" t="s">
        <v>2426</v>
      </c>
      <c r="F1009" s="249" t="s">
        <v>2427</v>
      </c>
      <c r="G1009" s="236" t="s">
        <v>485</v>
      </c>
      <c r="H1009" s="237">
        <f t="shared" si="77"/>
        <v>8</v>
      </c>
      <c r="I1009" s="236">
        <v>1403</v>
      </c>
      <c r="J1009" s="236"/>
      <c r="K1009" s="238">
        <v>50000000</v>
      </c>
      <c r="L1009" s="368"/>
    </row>
    <row r="1010" spans="1:12" ht="15.75" customHeight="1">
      <c r="A1010" s="194"/>
      <c r="B101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10" s="358" t="s">
        <v>507</v>
      </c>
      <c r="D1010" s="358" t="s">
        <v>2424</v>
      </c>
      <c r="E1010" s="432" t="s">
        <v>2426</v>
      </c>
      <c r="F1010" s="249" t="s">
        <v>2428</v>
      </c>
      <c r="G1010" s="236" t="s">
        <v>485</v>
      </c>
      <c r="H1010" s="237">
        <f t="shared" si="77"/>
        <v>8</v>
      </c>
      <c r="I1010" s="236">
        <v>1403</v>
      </c>
      <c r="J1010" s="236"/>
      <c r="K1010" s="238">
        <v>10000000</v>
      </c>
      <c r="L1010" s="368"/>
    </row>
    <row r="1011" spans="1:12" ht="15.75" customHeight="1">
      <c r="A1011" s="194"/>
      <c r="B101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11" s="358" t="s">
        <v>1003</v>
      </c>
      <c r="D1011" s="358" t="s">
        <v>2425</v>
      </c>
      <c r="E1011" s="432" t="s">
        <v>2426</v>
      </c>
      <c r="F1011" s="249" t="s">
        <v>835</v>
      </c>
      <c r="G1011" s="236" t="s">
        <v>485</v>
      </c>
      <c r="H1011" s="237">
        <f t="shared" ref="H1011:H1059" si="78">IF(G1011="","",VLOOKUP(G1011,mah,2,0))</f>
        <v>8</v>
      </c>
      <c r="I1011" s="236">
        <v>1403</v>
      </c>
      <c r="J1011" s="236"/>
      <c r="K1011" s="238">
        <v>30000000</v>
      </c>
      <c r="L1011" s="368"/>
    </row>
    <row r="1012" spans="1:12" ht="15.75" customHeight="1">
      <c r="A1012" s="194"/>
      <c r="B101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12" s="358" t="s">
        <v>2435</v>
      </c>
      <c r="D1012" s="358" t="s">
        <v>2436</v>
      </c>
      <c r="E1012" s="432" t="s">
        <v>2426</v>
      </c>
      <c r="F1012" s="249" t="s">
        <v>2429</v>
      </c>
      <c r="G1012" s="236" t="s">
        <v>485</v>
      </c>
      <c r="H1012" s="237">
        <f t="shared" si="78"/>
        <v>8</v>
      </c>
      <c r="I1012" s="236">
        <v>1403</v>
      </c>
      <c r="J1012" s="236"/>
      <c r="K1012" s="238">
        <v>50000000</v>
      </c>
      <c r="L1012" s="368"/>
    </row>
    <row r="1013" spans="1:12" ht="15.75" customHeight="1">
      <c r="A1013" s="194"/>
      <c r="B101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13" s="358" t="s">
        <v>818</v>
      </c>
      <c r="D1013" s="358" t="s">
        <v>2437</v>
      </c>
      <c r="E1013" s="432" t="s">
        <v>2426</v>
      </c>
      <c r="F1013" s="249" t="s">
        <v>2430</v>
      </c>
      <c r="G1013" s="236" t="s">
        <v>485</v>
      </c>
      <c r="H1013" s="237">
        <f t="shared" si="78"/>
        <v>8</v>
      </c>
      <c r="I1013" s="236">
        <v>1403</v>
      </c>
      <c r="J1013" s="236"/>
      <c r="K1013" s="238">
        <v>15000000</v>
      </c>
      <c r="L1013" s="368"/>
    </row>
    <row r="1014" spans="1:12" ht="15.75" customHeight="1">
      <c r="A1014" s="194"/>
      <c r="B101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14" s="358" t="s">
        <v>2438</v>
      </c>
      <c r="D1014" s="358" t="s">
        <v>2439</v>
      </c>
      <c r="E1014" s="432" t="s">
        <v>2426</v>
      </c>
      <c r="F1014" s="249" t="s">
        <v>2431</v>
      </c>
      <c r="G1014" s="236" t="s">
        <v>485</v>
      </c>
      <c r="H1014" s="237">
        <f t="shared" si="78"/>
        <v>8</v>
      </c>
      <c r="I1014" s="236">
        <v>1403</v>
      </c>
      <c r="J1014" s="236"/>
      <c r="K1014" s="238">
        <v>20000000</v>
      </c>
      <c r="L1014" s="368"/>
    </row>
    <row r="1015" spans="1:12" ht="15.75" customHeight="1">
      <c r="A1015" s="194"/>
      <c r="B101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15" s="358" t="s">
        <v>2440</v>
      </c>
      <c r="D1015" s="358" t="s">
        <v>2441</v>
      </c>
      <c r="E1015" s="432" t="s">
        <v>2426</v>
      </c>
      <c r="F1015" s="249" t="s">
        <v>2432</v>
      </c>
      <c r="G1015" s="236" t="s">
        <v>485</v>
      </c>
      <c r="H1015" s="237">
        <f t="shared" si="78"/>
        <v>8</v>
      </c>
      <c r="I1015" s="236">
        <v>1403</v>
      </c>
      <c r="J1015" s="236"/>
      <c r="K1015" s="238">
        <v>5000000</v>
      </c>
      <c r="L1015" s="368"/>
    </row>
    <row r="1016" spans="1:12" ht="15.75" customHeight="1">
      <c r="A1016" s="194"/>
      <c r="B1016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016" s="358" t="s">
        <v>670</v>
      </c>
      <c r="D1016" s="358" t="s">
        <v>490</v>
      </c>
      <c r="E1016" s="432" t="s">
        <v>2426</v>
      </c>
      <c r="F1016" s="249" t="s">
        <v>1323</v>
      </c>
      <c r="G1016" s="236" t="s">
        <v>485</v>
      </c>
      <c r="H1016" s="237">
        <f t="shared" si="78"/>
        <v>8</v>
      </c>
      <c r="I1016" s="236">
        <v>1403</v>
      </c>
      <c r="J1016" s="236"/>
      <c r="K1016" s="238">
        <v>150000000</v>
      </c>
      <c r="L1016" s="368"/>
    </row>
    <row r="1017" spans="1:12" ht="15.75" customHeight="1">
      <c r="A1017" s="194"/>
      <c r="B101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17" s="358" t="s">
        <v>2442</v>
      </c>
      <c r="D1017" s="358" t="s">
        <v>1406</v>
      </c>
      <c r="E1017" s="432" t="s">
        <v>2426</v>
      </c>
      <c r="F1017" s="249" t="s">
        <v>2433</v>
      </c>
      <c r="G1017" s="236" t="s">
        <v>485</v>
      </c>
      <c r="H1017" s="237">
        <f t="shared" si="78"/>
        <v>8</v>
      </c>
      <c r="I1017" s="236">
        <v>1403</v>
      </c>
      <c r="J1017" s="236"/>
      <c r="K1017" s="238">
        <v>20000000</v>
      </c>
      <c r="L1017" s="368"/>
    </row>
    <row r="1018" spans="1:12" ht="15.75" customHeight="1">
      <c r="A1018" s="194"/>
      <c r="B101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18" s="358" t="s">
        <v>818</v>
      </c>
      <c r="D1018" s="358" t="s">
        <v>2446</v>
      </c>
      <c r="E1018" s="432" t="s">
        <v>2426</v>
      </c>
      <c r="F1018" s="249" t="s">
        <v>2434</v>
      </c>
      <c r="G1018" s="236" t="s">
        <v>485</v>
      </c>
      <c r="H1018" s="237">
        <f t="shared" si="78"/>
        <v>8</v>
      </c>
      <c r="I1018" s="236">
        <v>1403</v>
      </c>
      <c r="J1018" s="236"/>
      <c r="K1018" s="238">
        <v>40000000</v>
      </c>
      <c r="L1018" s="368"/>
    </row>
    <row r="1019" spans="1:12" ht="15.75" customHeight="1">
      <c r="A1019" s="194"/>
      <c r="B101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19" s="358" t="s">
        <v>2447</v>
      </c>
      <c r="D1019" s="358" t="s">
        <v>2448</v>
      </c>
      <c r="E1019" s="432" t="s">
        <v>2426</v>
      </c>
      <c r="F1019" s="249" t="s">
        <v>835</v>
      </c>
      <c r="G1019" s="236" t="s">
        <v>485</v>
      </c>
      <c r="H1019" s="237">
        <f t="shared" si="78"/>
        <v>8</v>
      </c>
      <c r="I1019" s="236">
        <v>1403</v>
      </c>
      <c r="J1019" s="236"/>
      <c r="K1019" s="238">
        <v>40000000</v>
      </c>
      <c r="L1019" s="368"/>
    </row>
    <row r="1020" spans="1:12" ht="15.75" customHeight="1">
      <c r="A1020" s="194"/>
      <c r="B102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20" s="358" t="s">
        <v>702</v>
      </c>
      <c r="D1020" s="358" t="s">
        <v>2449</v>
      </c>
      <c r="E1020" s="432" t="s">
        <v>2426</v>
      </c>
      <c r="F1020" s="249" t="s">
        <v>2443</v>
      </c>
      <c r="G1020" s="236" t="s">
        <v>485</v>
      </c>
      <c r="H1020" s="237">
        <f t="shared" si="78"/>
        <v>8</v>
      </c>
      <c r="I1020" s="236">
        <v>1403</v>
      </c>
      <c r="J1020" s="236"/>
      <c r="K1020" s="238">
        <v>20000000</v>
      </c>
      <c r="L1020" s="368"/>
    </row>
    <row r="1021" spans="1:12" ht="15.75" customHeight="1">
      <c r="A1021" s="194"/>
      <c r="B102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21" s="358" t="s">
        <v>480</v>
      </c>
      <c r="D1021" s="358" t="s">
        <v>2450</v>
      </c>
      <c r="E1021" s="432" t="s">
        <v>2426</v>
      </c>
      <c r="F1021" s="249" t="s">
        <v>579</v>
      </c>
      <c r="G1021" s="236" t="s">
        <v>485</v>
      </c>
      <c r="H1021" s="237">
        <f t="shared" si="78"/>
        <v>8</v>
      </c>
      <c r="I1021" s="236">
        <v>1403</v>
      </c>
      <c r="J1021" s="236"/>
      <c r="K1021" s="238">
        <v>50000000</v>
      </c>
      <c r="L1021" s="368"/>
    </row>
    <row r="1022" spans="1:12" ht="15.75" customHeight="1">
      <c r="A1022" s="194"/>
      <c r="B1022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22" s="358" t="s">
        <v>489</v>
      </c>
      <c r="D1022" s="358" t="s">
        <v>490</v>
      </c>
      <c r="E1022" s="432" t="s">
        <v>2426</v>
      </c>
      <c r="F1022" s="249" t="s">
        <v>835</v>
      </c>
      <c r="G1022" s="236" t="s">
        <v>485</v>
      </c>
      <c r="H1022" s="237">
        <f t="shared" si="78"/>
        <v>8</v>
      </c>
      <c r="I1022" s="236">
        <v>1403</v>
      </c>
      <c r="J1022" s="236"/>
      <c r="K1022" s="238">
        <v>50000000</v>
      </c>
      <c r="L1022" s="368"/>
    </row>
    <row r="1023" spans="1:12" ht="15.75" customHeight="1">
      <c r="A1023" s="194"/>
      <c r="B102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23" s="358" t="s">
        <v>2451</v>
      </c>
      <c r="D1023" s="358" t="s">
        <v>2452</v>
      </c>
      <c r="E1023" s="432" t="s">
        <v>2426</v>
      </c>
      <c r="F1023" s="249" t="s">
        <v>2444</v>
      </c>
      <c r="G1023" s="236" t="s">
        <v>485</v>
      </c>
      <c r="H1023" s="237">
        <f t="shared" si="78"/>
        <v>8</v>
      </c>
      <c r="I1023" s="236">
        <v>1403</v>
      </c>
      <c r="J1023" s="236"/>
      <c r="K1023" s="238">
        <v>5000000</v>
      </c>
      <c r="L1023" s="368"/>
    </row>
    <row r="1024" spans="1:12" ht="15.75" customHeight="1">
      <c r="A1024" s="194"/>
      <c r="B102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24" s="358" t="s">
        <v>2453</v>
      </c>
      <c r="D1024" s="358" t="s">
        <v>516</v>
      </c>
      <c r="E1024" s="432" t="s">
        <v>2426</v>
      </c>
      <c r="F1024" s="249" t="s">
        <v>2445</v>
      </c>
      <c r="G1024" s="236" t="s">
        <v>485</v>
      </c>
      <c r="H1024" s="237">
        <f t="shared" si="78"/>
        <v>8</v>
      </c>
      <c r="I1024" s="236">
        <v>1403</v>
      </c>
      <c r="J1024" s="236"/>
      <c r="K1024" s="238">
        <v>10000000</v>
      </c>
      <c r="L1024" s="368"/>
    </row>
    <row r="1025" spans="1:12" ht="15.75" customHeight="1">
      <c r="A1025" s="194"/>
      <c r="B102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25" s="358" t="s">
        <v>2460</v>
      </c>
      <c r="D1025" s="358" t="s">
        <v>2461</v>
      </c>
      <c r="E1025" s="432" t="s">
        <v>2426</v>
      </c>
      <c r="F1025" s="249" t="s">
        <v>2455</v>
      </c>
      <c r="G1025" s="236" t="s">
        <v>485</v>
      </c>
      <c r="H1025" s="237">
        <f t="shared" si="78"/>
        <v>8</v>
      </c>
      <c r="I1025" s="236">
        <v>1403</v>
      </c>
      <c r="J1025" s="236"/>
      <c r="K1025" s="238">
        <v>12000000</v>
      </c>
      <c r="L1025" s="368"/>
    </row>
    <row r="1026" spans="1:12" ht="15.75" customHeight="1">
      <c r="A1026" s="194"/>
      <c r="B102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26" s="358" t="s">
        <v>2462</v>
      </c>
      <c r="D1026" s="358" t="s">
        <v>2463</v>
      </c>
      <c r="E1026" s="432" t="s">
        <v>2426</v>
      </c>
      <c r="F1026" s="249" t="s">
        <v>2456</v>
      </c>
      <c r="G1026" s="236" t="s">
        <v>485</v>
      </c>
      <c r="H1026" s="237">
        <f t="shared" si="78"/>
        <v>8</v>
      </c>
      <c r="I1026" s="236">
        <v>1403</v>
      </c>
      <c r="J1026" s="236"/>
      <c r="K1026" s="238">
        <v>10000000</v>
      </c>
      <c r="L1026" s="368"/>
    </row>
    <row r="1027" spans="1:12" ht="15.75" customHeight="1">
      <c r="A1027" s="194"/>
      <c r="B102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27" s="358" t="s">
        <v>2464</v>
      </c>
      <c r="D1027" s="358" t="s">
        <v>2465</v>
      </c>
      <c r="E1027" s="432" t="s">
        <v>2426</v>
      </c>
      <c r="F1027" s="249" t="s">
        <v>835</v>
      </c>
      <c r="G1027" s="236" t="s">
        <v>485</v>
      </c>
      <c r="H1027" s="237">
        <f t="shared" si="78"/>
        <v>8</v>
      </c>
      <c r="I1027" s="236">
        <v>1403</v>
      </c>
      <c r="J1027" s="236"/>
      <c r="K1027" s="238">
        <v>50000000</v>
      </c>
      <c r="L1027" s="368"/>
    </row>
    <row r="1028" spans="1:12" ht="15.75" customHeight="1">
      <c r="A1028" s="194"/>
      <c r="B102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28" s="358" t="s">
        <v>2466</v>
      </c>
      <c r="D1028" s="358" t="s">
        <v>2467</v>
      </c>
      <c r="E1028" s="432" t="s">
        <v>2426</v>
      </c>
      <c r="F1028" s="249" t="s">
        <v>835</v>
      </c>
      <c r="G1028" s="236" t="s">
        <v>485</v>
      </c>
      <c r="H1028" s="237">
        <f t="shared" si="78"/>
        <v>8</v>
      </c>
      <c r="I1028" s="236">
        <v>1403</v>
      </c>
      <c r="J1028" s="236"/>
      <c r="K1028" s="238">
        <v>50000000</v>
      </c>
      <c r="L1028" s="368"/>
    </row>
    <row r="1029" spans="1:12" ht="15.75" customHeight="1">
      <c r="A1029" s="194"/>
      <c r="B1029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1029" s="358" t="s">
        <v>469</v>
      </c>
      <c r="D1029" s="358" t="s">
        <v>470</v>
      </c>
      <c r="E1029" s="432" t="s">
        <v>2426</v>
      </c>
      <c r="F1029" s="249" t="s">
        <v>2457</v>
      </c>
      <c r="G1029" s="236" t="s">
        <v>485</v>
      </c>
      <c r="H1029" s="237">
        <f t="shared" si="78"/>
        <v>8</v>
      </c>
      <c r="I1029" s="236">
        <v>1403</v>
      </c>
      <c r="J1029" s="236"/>
      <c r="K1029" s="238">
        <v>50000000</v>
      </c>
      <c r="L1029" s="368"/>
    </row>
    <row r="1030" spans="1:12" ht="15.75" customHeight="1">
      <c r="A1030" s="194"/>
      <c r="B103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30" s="358" t="s">
        <v>2435</v>
      </c>
      <c r="D1030" s="358" t="s">
        <v>2468</v>
      </c>
      <c r="E1030" s="432" t="s">
        <v>2454</v>
      </c>
      <c r="F1030" s="249" t="s">
        <v>2458</v>
      </c>
      <c r="G1030" s="236" t="s">
        <v>485</v>
      </c>
      <c r="H1030" s="237">
        <f t="shared" si="78"/>
        <v>8</v>
      </c>
      <c r="I1030" s="236">
        <v>1403</v>
      </c>
      <c r="J1030" s="236"/>
      <c r="K1030" s="238">
        <v>50000000</v>
      </c>
      <c r="L1030" s="368"/>
    </row>
    <row r="1031" spans="1:12" ht="15.75" customHeight="1">
      <c r="A1031" s="194"/>
      <c r="B103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31" s="358" t="s">
        <v>2469</v>
      </c>
      <c r="D1031" s="358" t="s">
        <v>2470</v>
      </c>
      <c r="E1031" s="432" t="s">
        <v>2454</v>
      </c>
      <c r="F1031" s="249" t="s">
        <v>2459</v>
      </c>
      <c r="G1031" s="236" t="s">
        <v>485</v>
      </c>
      <c r="H1031" s="237">
        <f t="shared" si="78"/>
        <v>8</v>
      </c>
      <c r="I1031" s="236">
        <v>1403</v>
      </c>
      <c r="J1031" s="236"/>
      <c r="K1031" s="238">
        <v>15000000</v>
      </c>
      <c r="L1031" s="368"/>
    </row>
    <row r="1032" spans="1:12" ht="15.75" customHeight="1">
      <c r="A1032" s="194"/>
      <c r="B103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32" s="358" t="s">
        <v>2477</v>
      </c>
      <c r="D1032" s="358" t="s">
        <v>2478</v>
      </c>
      <c r="E1032" s="432" t="s">
        <v>2454</v>
      </c>
      <c r="F1032" s="249" t="s">
        <v>2471</v>
      </c>
      <c r="G1032" s="236" t="s">
        <v>485</v>
      </c>
      <c r="H1032" s="237">
        <f t="shared" si="78"/>
        <v>8</v>
      </c>
      <c r="I1032" s="236">
        <v>1403</v>
      </c>
      <c r="J1032" s="236"/>
      <c r="K1032" s="238">
        <v>20000000</v>
      </c>
      <c r="L1032" s="368"/>
    </row>
    <row r="1033" spans="1:12" ht="15.75" customHeight="1">
      <c r="A1033" s="194"/>
      <c r="B103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33" s="358" t="s">
        <v>2479</v>
      </c>
      <c r="D1033" s="358" t="s">
        <v>2480</v>
      </c>
      <c r="E1033" s="432" t="s">
        <v>2454</v>
      </c>
      <c r="F1033" s="249" t="s">
        <v>2472</v>
      </c>
      <c r="G1033" s="236" t="s">
        <v>485</v>
      </c>
      <c r="H1033" s="237">
        <f t="shared" si="78"/>
        <v>8</v>
      </c>
      <c r="I1033" s="236">
        <v>1403</v>
      </c>
      <c r="J1033" s="236"/>
      <c r="K1033" s="238">
        <v>15000000</v>
      </c>
      <c r="L1033" s="368"/>
    </row>
    <row r="1034" spans="1:12" ht="15.75" customHeight="1">
      <c r="A1034" s="194"/>
      <c r="B103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34" s="358" t="s">
        <v>2481</v>
      </c>
      <c r="D1034" s="358" t="s">
        <v>2482</v>
      </c>
      <c r="E1034" s="432" t="s">
        <v>2454</v>
      </c>
      <c r="F1034" s="249" t="s">
        <v>2473</v>
      </c>
      <c r="G1034" s="236" t="s">
        <v>485</v>
      </c>
      <c r="H1034" s="237">
        <f t="shared" si="78"/>
        <v>8</v>
      </c>
      <c r="I1034" s="236">
        <v>1403</v>
      </c>
      <c r="J1034" s="236"/>
      <c r="K1034" s="238">
        <v>10000000</v>
      </c>
      <c r="L1034" s="368"/>
    </row>
    <row r="1035" spans="1:12" ht="15.75" customHeight="1">
      <c r="A1035" s="194"/>
      <c r="B103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35" s="358" t="s">
        <v>483</v>
      </c>
      <c r="D1035" s="358" t="s">
        <v>511</v>
      </c>
      <c r="E1035" s="432" t="s">
        <v>2454</v>
      </c>
      <c r="F1035" s="249" t="s">
        <v>2474</v>
      </c>
      <c r="G1035" s="236" t="s">
        <v>485</v>
      </c>
      <c r="H1035" s="237">
        <f t="shared" si="78"/>
        <v>8</v>
      </c>
      <c r="I1035" s="236">
        <v>1403</v>
      </c>
      <c r="J1035" s="236"/>
      <c r="K1035" s="238">
        <v>30000000</v>
      </c>
      <c r="L1035" s="368"/>
    </row>
    <row r="1036" spans="1:12" ht="15.75" customHeight="1">
      <c r="A1036" s="194"/>
      <c r="B103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36" s="358" t="s">
        <v>2483</v>
      </c>
      <c r="D1036" s="358" t="s">
        <v>2484</v>
      </c>
      <c r="E1036" s="432" t="s">
        <v>2454</v>
      </c>
      <c r="F1036" s="249" t="s">
        <v>2475</v>
      </c>
      <c r="G1036" s="236" t="s">
        <v>485</v>
      </c>
      <c r="H1036" s="237">
        <f t="shared" si="78"/>
        <v>8</v>
      </c>
      <c r="I1036" s="236">
        <v>1403</v>
      </c>
      <c r="J1036" s="236"/>
      <c r="K1036" s="238">
        <v>10000000</v>
      </c>
      <c r="L1036" s="368"/>
    </row>
    <row r="1037" spans="1:12" ht="15.75" customHeight="1">
      <c r="A1037" s="194"/>
      <c r="B103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37" s="358" t="s">
        <v>588</v>
      </c>
      <c r="D1037" s="358" t="s">
        <v>2485</v>
      </c>
      <c r="E1037" s="432" t="s">
        <v>2454</v>
      </c>
      <c r="F1037" s="249" t="s">
        <v>2476</v>
      </c>
      <c r="G1037" s="236" t="s">
        <v>485</v>
      </c>
      <c r="H1037" s="237">
        <f t="shared" si="78"/>
        <v>8</v>
      </c>
      <c r="I1037" s="236">
        <v>1403</v>
      </c>
      <c r="J1037" s="236"/>
      <c r="K1037" s="238">
        <v>15000000</v>
      </c>
      <c r="L1037" s="368"/>
    </row>
    <row r="1038" spans="1:12" ht="15.75" customHeight="1">
      <c r="A1038" s="194"/>
      <c r="B103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38" s="358" t="s">
        <v>588</v>
      </c>
      <c r="D1038" s="358" t="s">
        <v>2485</v>
      </c>
      <c r="E1038" s="432" t="s">
        <v>2454</v>
      </c>
      <c r="F1038" s="249" t="s">
        <v>2476</v>
      </c>
      <c r="G1038" s="236" t="s">
        <v>485</v>
      </c>
      <c r="H1038" s="237">
        <f t="shared" si="78"/>
        <v>8</v>
      </c>
      <c r="I1038" s="236">
        <v>1403</v>
      </c>
      <c r="J1038" s="236"/>
      <c r="K1038" s="238">
        <v>15000000</v>
      </c>
      <c r="L1038" s="368"/>
    </row>
    <row r="1039" spans="1:12" ht="15.75" customHeight="1">
      <c r="A1039" s="194"/>
      <c r="B103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39" s="358" t="s">
        <v>2487</v>
      </c>
      <c r="D1039" s="358" t="s">
        <v>2488</v>
      </c>
      <c r="E1039" s="432" t="s">
        <v>2454</v>
      </c>
      <c r="F1039" s="249" t="s">
        <v>835</v>
      </c>
      <c r="G1039" s="236" t="s">
        <v>485</v>
      </c>
      <c r="H1039" s="237">
        <f t="shared" si="78"/>
        <v>8</v>
      </c>
      <c r="I1039" s="236">
        <v>1403</v>
      </c>
      <c r="J1039" s="236"/>
      <c r="K1039" s="238">
        <v>20000000</v>
      </c>
      <c r="L1039" s="368"/>
    </row>
    <row r="1040" spans="1:12" ht="15.75" customHeight="1">
      <c r="A1040" s="194"/>
      <c r="B1040" s="235">
        <f>SUMIFS('لیست واریزی کل خیرین'!B:B,'لیست واریزی کل خیرین'!D:D,Table1[[#This Row],[نام]],'لیست واریزی کل خیرین'!E:E,Table1[[#This Row],[نام خانوادگی]])</f>
        <v>18</v>
      </c>
      <c r="C1040" s="358" t="s">
        <v>509</v>
      </c>
      <c r="D1040" s="358" t="s">
        <v>510</v>
      </c>
      <c r="E1040" s="432" t="s">
        <v>2486</v>
      </c>
      <c r="F1040" s="249" t="s">
        <v>2495</v>
      </c>
      <c r="G1040" s="236" t="s">
        <v>485</v>
      </c>
      <c r="H1040" s="237">
        <f t="shared" si="78"/>
        <v>8</v>
      </c>
      <c r="I1040" s="236">
        <v>1403</v>
      </c>
      <c r="J1040" s="236"/>
      <c r="K1040" s="238">
        <v>100000000</v>
      </c>
      <c r="L1040" s="368"/>
    </row>
    <row r="1041" spans="1:12" ht="15.75" customHeight="1">
      <c r="A1041" s="194"/>
      <c r="B104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41" s="358" t="s">
        <v>2489</v>
      </c>
      <c r="D1041" s="358" t="s">
        <v>2490</v>
      </c>
      <c r="E1041" s="432" t="s">
        <v>2486</v>
      </c>
      <c r="F1041" s="249" t="s">
        <v>2496</v>
      </c>
      <c r="G1041" s="236" t="s">
        <v>485</v>
      </c>
      <c r="H1041" s="237">
        <f t="shared" si="78"/>
        <v>8</v>
      </c>
      <c r="I1041" s="236">
        <v>1403</v>
      </c>
      <c r="J1041" s="236"/>
      <c r="K1041" s="238">
        <v>3000000</v>
      </c>
      <c r="L1041" s="368"/>
    </row>
    <row r="1042" spans="1:12" ht="15.75" customHeight="1">
      <c r="A1042" s="194"/>
      <c r="B104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42" s="358" t="s">
        <v>2491</v>
      </c>
      <c r="D1042" s="358" t="s">
        <v>2492</v>
      </c>
      <c r="E1042" s="432" t="s">
        <v>2486</v>
      </c>
      <c r="F1042" s="249" t="s">
        <v>2497</v>
      </c>
      <c r="G1042" s="236" t="s">
        <v>485</v>
      </c>
      <c r="H1042" s="237">
        <f t="shared" si="78"/>
        <v>8</v>
      </c>
      <c r="I1042" s="236">
        <v>1403</v>
      </c>
      <c r="J1042" s="236"/>
      <c r="K1042" s="238">
        <v>10000000</v>
      </c>
      <c r="L1042" s="368"/>
    </row>
    <row r="1043" spans="1:12" ht="15.75" customHeight="1">
      <c r="A1043" s="194"/>
      <c r="B104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43" s="358" t="s">
        <v>2493</v>
      </c>
      <c r="D1043" s="358" t="s">
        <v>2494</v>
      </c>
      <c r="E1043" s="432" t="s">
        <v>2486</v>
      </c>
      <c r="F1043" s="249" t="s">
        <v>2498</v>
      </c>
      <c r="G1043" s="236" t="s">
        <v>485</v>
      </c>
      <c r="H1043" s="237">
        <f t="shared" si="78"/>
        <v>8</v>
      </c>
      <c r="I1043" s="236">
        <v>1403</v>
      </c>
      <c r="J1043" s="236"/>
      <c r="K1043" s="238">
        <v>10000000</v>
      </c>
      <c r="L1043" s="368"/>
    </row>
    <row r="1044" spans="1:12" ht="15.75" customHeight="1">
      <c r="A1044" s="194"/>
      <c r="B104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44" s="358" t="s">
        <v>2392</v>
      </c>
      <c r="D1044" s="358" t="s">
        <v>475</v>
      </c>
      <c r="E1044" s="432" t="s">
        <v>2486</v>
      </c>
      <c r="F1044" s="249" t="s">
        <v>2499</v>
      </c>
      <c r="G1044" s="236" t="s">
        <v>485</v>
      </c>
      <c r="H1044" s="237">
        <f t="shared" si="78"/>
        <v>8</v>
      </c>
      <c r="I1044" s="236">
        <v>1403</v>
      </c>
      <c r="J1044" s="236"/>
      <c r="K1044" s="238">
        <v>10000000</v>
      </c>
      <c r="L1044" s="368"/>
    </row>
    <row r="1045" spans="1:12" ht="15.75" customHeight="1">
      <c r="A1045" s="194"/>
      <c r="B104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45" s="358" t="s">
        <v>2500</v>
      </c>
      <c r="D1045" s="358" t="s">
        <v>2501</v>
      </c>
      <c r="E1045" s="432" t="s">
        <v>2486</v>
      </c>
      <c r="F1045" s="249" t="s">
        <v>2506</v>
      </c>
      <c r="G1045" s="236" t="s">
        <v>485</v>
      </c>
      <c r="H1045" s="237">
        <f t="shared" si="78"/>
        <v>8</v>
      </c>
      <c r="I1045" s="236">
        <v>1403</v>
      </c>
      <c r="J1045" s="236"/>
      <c r="K1045" s="238">
        <v>40000000</v>
      </c>
      <c r="L1045" s="368"/>
    </row>
    <row r="1046" spans="1:12" ht="15.75" customHeight="1">
      <c r="A1046" s="194"/>
      <c r="B104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46" s="358" t="s">
        <v>520</v>
      </c>
      <c r="D1046" s="358" t="s">
        <v>2502</v>
      </c>
      <c r="E1046" s="432" t="s">
        <v>2486</v>
      </c>
      <c r="F1046" s="249" t="s">
        <v>2507</v>
      </c>
      <c r="G1046" s="236" t="s">
        <v>485</v>
      </c>
      <c r="H1046" s="237">
        <f t="shared" si="78"/>
        <v>8</v>
      </c>
      <c r="I1046" s="236">
        <v>1403</v>
      </c>
      <c r="J1046" s="236"/>
      <c r="K1046" s="238">
        <v>6000000</v>
      </c>
      <c r="L1046" s="368"/>
    </row>
    <row r="1047" spans="1:12" ht="15.75" customHeight="1">
      <c r="A1047" s="194"/>
      <c r="B104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47" s="358" t="s">
        <v>997</v>
      </c>
      <c r="D1047" s="358" t="s">
        <v>2503</v>
      </c>
      <c r="E1047" s="432" t="s">
        <v>2486</v>
      </c>
      <c r="F1047" s="249" t="s">
        <v>2508</v>
      </c>
      <c r="G1047" s="236" t="s">
        <v>485</v>
      </c>
      <c r="H1047" s="237">
        <f t="shared" si="78"/>
        <v>8</v>
      </c>
      <c r="I1047" s="236">
        <v>1403</v>
      </c>
      <c r="J1047" s="236"/>
      <c r="K1047" s="238">
        <v>5000000</v>
      </c>
      <c r="L1047" s="368"/>
    </row>
    <row r="1048" spans="1:12" ht="15.75" customHeight="1">
      <c r="A1048" s="194"/>
      <c r="B104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48" s="358" t="s">
        <v>2504</v>
      </c>
      <c r="D1048" s="358" t="s">
        <v>1513</v>
      </c>
      <c r="E1048" s="432" t="s">
        <v>2505</v>
      </c>
      <c r="F1048" s="249" t="s">
        <v>2509</v>
      </c>
      <c r="G1048" s="236" t="s">
        <v>485</v>
      </c>
      <c r="H1048" s="237">
        <f t="shared" si="78"/>
        <v>8</v>
      </c>
      <c r="I1048" s="236">
        <v>1403</v>
      </c>
      <c r="J1048" s="236"/>
      <c r="K1048" s="238">
        <v>30000000</v>
      </c>
      <c r="L1048" s="368"/>
    </row>
    <row r="1049" spans="1:12" ht="15.75" customHeight="1">
      <c r="A1049" s="194"/>
      <c r="B1049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049" s="358" t="s">
        <v>486</v>
      </c>
      <c r="D1049" s="358" t="s">
        <v>487</v>
      </c>
      <c r="E1049" s="432" t="s">
        <v>2511</v>
      </c>
      <c r="F1049" s="249" t="s">
        <v>595</v>
      </c>
      <c r="G1049" s="236" t="s">
        <v>485</v>
      </c>
      <c r="H1049" s="237">
        <f t="shared" si="78"/>
        <v>8</v>
      </c>
      <c r="I1049" s="236">
        <v>1403</v>
      </c>
      <c r="J1049" s="236"/>
      <c r="K1049" s="238">
        <v>20000000</v>
      </c>
      <c r="L1049" s="368"/>
    </row>
    <row r="1050" spans="1:12" ht="15.75" customHeight="1">
      <c r="A1050" s="194"/>
      <c r="B105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50" s="358" t="s">
        <v>1819</v>
      </c>
      <c r="D1050" s="358" t="s">
        <v>2510</v>
      </c>
      <c r="E1050" s="432" t="s">
        <v>2512</v>
      </c>
      <c r="F1050" s="249" t="s">
        <v>2513</v>
      </c>
      <c r="G1050" s="236" t="s">
        <v>485</v>
      </c>
      <c r="H1050" s="237">
        <f t="shared" si="78"/>
        <v>8</v>
      </c>
      <c r="I1050" s="236">
        <v>1403</v>
      </c>
      <c r="J1050" s="236"/>
      <c r="K1050" s="238">
        <v>10000000</v>
      </c>
      <c r="L1050" s="368"/>
    </row>
    <row r="1051" spans="1:12" ht="15.75" customHeight="1">
      <c r="A1051" s="194"/>
      <c r="B1051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51" s="358" t="s">
        <v>489</v>
      </c>
      <c r="D1051" s="358" t="s">
        <v>490</v>
      </c>
      <c r="E1051" s="432" t="s">
        <v>2512</v>
      </c>
      <c r="F1051" s="249" t="s">
        <v>571</v>
      </c>
      <c r="G1051" s="236" t="s">
        <v>485</v>
      </c>
      <c r="H1051" s="237">
        <f t="shared" si="78"/>
        <v>8</v>
      </c>
      <c r="I1051" s="236">
        <v>1403</v>
      </c>
      <c r="J1051" s="236"/>
      <c r="K1051" s="238">
        <v>3000000</v>
      </c>
      <c r="L1051" s="368"/>
    </row>
    <row r="1052" spans="1:12" ht="15.75" customHeight="1">
      <c r="A1052" s="194"/>
      <c r="B1052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052" s="137" t="s">
        <v>494</v>
      </c>
      <c r="D1052" s="137" t="s">
        <v>546</v>
      </c>
      <c r="E1052" s="432" t="s">
        <v>2512</v>
      </c>
      <c r="F1052" s="249" t="s">
        <v>835</v>
      </c>
      <c r="G1052" s="236" t="s">
        <v>485</v>
      </c>
      <c r="H1052" s="237">
        <f t="shared" si="78"/>
        <v>8</v>
      </c>
      <c r="I1052" s="236">
        <v>1403</v>
      </c>
      <c r="J1052" s="236"/>
      <c r="K1052" s="238">
        <v>40000000</v>
      </c>
      <c r="L1052" s="368"/>
    </row>
    <row r="1053" spans="1:12" ht="15.75" customHeight="1">
      <c r="A1053" s="194"/>
      <c r="B1053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053" s="358" t="s">
        <v>464</v>
      </c>
      <c r="D1053" s="358" t="s">
        <v>465</v>
      </c>
      <c r="E1053" s="432" t="s">
        <v>2514</v>
      </c>
      <c r="F1053" s="249" t="s">
        <v>835</v>
      </c>
      <c r="G1053" s="236" t="s">
        <v>485</v>
      </c>
      <c r="H1053" s="237">
        <f t="shared" si="78"/>
        <v>8</v>
      </c>
      <c r="I1053" s="236">
        <v>1403</v>
      </c>
      <c r="J1053" s="236"/>
      <c r="K1053" s="238">
        <v>100000000</v>
      </c>
      <c r="L1053" s="368"/>
    </row>
    <row r="1054" spans="1:12" ht="15.75" customHeight="1">
      <c r="A1054" s="194"/>
      <c r="B1054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054" s="358" t="s">
        <v>486</v>
      </c>
      <c r="D1054" s="358" t="s">
        <v>487</v>
      </c>
      <c r="E1054" s="432" t="s">
        <v>2515</v>
      </c>
      <c r="F1054" s="249" t="s">
        <v>595</v>
      </c>
      <c r="G1054" s="236" t="s">
        <v>485</v>
      </c>
      <c r="H1054" s="237">
        <f t="shared" si="78"/>
        <v>8</v>
      </c>
      <c r="I1054" s="236">
        <v>1403</v>
      </c>
      <c r="J1054" s="236"/>
      <c r="K1054" s="238">
        <v>20000000</v>
      </c>
      <c r="L1054" s="368"/>
    </row>
    <row r="1055" spans="1:12" ht="15.75" customHeight="1">
      <c r="A1055" s="194"/>
      <c r="B1055" s="235">
        <f>SUMIFS('لیست واریزی کل خیرین'!B:B,'لیست واریزی کل خیرین'!D:D,Table1[[#This Row],[نام]],'لیست واریزی کل خیرین'!E:E,Table1[[#This Row],[نام خانوادگی]])</f>
        <v>30</v>
      </c>
      <c r="C1055" s="137" t="s">
        <v>552</v>
      </c>
      <c r="D1055" s="137" t="s">
        <v>553</v>
      </c>
      <c r="E1055" s="432" t="s">
        <v>2516</v>
      </c>
      <c r="F1055" s="249" t="s">
        <v>2517</v>
      </c>
      <c r="G1055" s="236" t="s">
        <v>485</v>
      </c>
      <c r="H1055" s="237">
        <f t="shared" si="78"/>
        <v>8</v>
      </c>
      <c r="I1055" s="236">
        <v>1403</v>
      </c>
      <c r="J1055" s="236"/>
      <c r="K1055" s="238">
        <v>30000000</v>
      </c>
      <c r="L1055" s="368"/>
    </row>
    <row r="1056" spans="1:12" ht="15.75" customHeight="1">
      <c r="A1056" s="194"/>
      <c r="B1056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1056" s="137" t="s">
        <v>814</v>
      </c>
      <c r="D1056" s="137" t="s">
        <v>705</v>
      </c>
      <c r="E1056" s="432" t="s">
        <v>2516</v>
      </c>
      <c r="F1056" s="249" t="s">
        <v>2522</v>
      </c>
      <c r="G1056" s="236" t="s">
        <v>485</v>
      </c>
      <c r="H1056" s="237">
        <f t="shared" si="78"/>
        <v>8</v>
      </c>
      <c r="I1056" s="236">
        <v>1403</v>
      </c>
      <c r="J1056" s="236"/>
      <c r="K1056" s="238">
        <v>10000000</v>
      </c>
      <c r="L1056" s="368"/>
    </row>
    <row r="1057" spans="1:12" ht="15.75" customHeight="1">
      <c r="A1057" s="194"/>
      <c r="B1057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1057" s="358" t="s">
        <v>1671</v>
      </c>
      <c r="D1057" s="358" t="s">
        <v>1672</v>
      </c>
      <c r="E1057" s="432" t="s">
        <v>2518</v>
      </c>
      <c r="F1057" s="249" t="s">
        <v>1674</v>
      </c>
      <c r="G1057" s="236" t="s">
        <v>485</v>
      </c>
      <c r="H1057" s="237">
        <f t="shared" si="78"/>
        <v>8</v>
      </c>
      <c r="I1057" s="236">
        <v>1403</v>
      </c>
      <c r="J1057" s="236"/>
      <c r="K1057" s="238">
        <v>3000000</v>
      </c>
      <c r="L1057" s="368"/>
    </row>
    <row r="1058" spans="1:12" ht="15.75" customHeight="1">
      <c r="A1058" s="194"/>
      <c r="B1058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58" s="358" t="s">
        <v>489</v>
      </c>
      <c r="D1058" s="358" t="s">
        <v>490</v>
      </c>
      <c r="E1058" s="432" t="s">
        <v>2519</v>
      </c>
      <c r="F1058" s="249" t="s">
        <v>571</v>
      </c>
      <c r="G1058" s="236" t="s">
        <v>485</v>
      </c>
      <c r="H1058" s="237">
        <f t="shared" si="78"/>
        <v>8</v>
      </c>
      <c r="I1058" s="236">
        <v>1403</v>
      </c>
      <c r="J1058" s="236"/>
      <c r="K1058" s="238">
        <v>3000000</v>
      </c>
      <c r="L1058" s="368"/>
    </row>
    <row r="1059" spans="1:12" ht="15.75" customHeight="1">
      <c r="A1059" s="194"/>
      <c r="B105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59" s="358" t="s">
        <v>2389</v>
      </c>
      <c r="D1059" s="358" t="s">
        <v>2390</v>
      </c>
      <c r="E1059" s="432" t="s">
        <v>2520</v>
      </c>
      <c r="F1059" s="249" t="s">
        <v>2391</v>
      </c>
      <c r="G1059" s="236" t="s">
        <v>485</v>
      </c>
      <c r="H1059" s="237">
        <f t="shared" si="78"/>
        <v>8</v>
      </c>
      <c r="I1059" s="236">
        <v>1403</v>
      </c>
      <c r="J1059" s="236"/>
      <c r="K1059" s="238">
        <v>3000000</v>
      </c>
      <c r="L1059" s="368"/>
    </row>
    <row r="1060" spans="1:12" ht="15.75" customHeight="1">
      <c r="A1060" s="194"/>
      <c r="B106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60" s="358" t="s">
        <v>2301</v>
      </c>
      <c r="D1060" s="358" t="s">
        <v>516</v>
      </c>
      <c r="E1060" s="432" t="s">
        <v>2521</v>
      </c>
      <c r="F1060" s="249" t="s">
        <v>2303</v>
      </c>
      <c r="G1060" s="236" t="s">
        <v>488</v>
      </c>
      <c r="H1060" s="237">
        <f t="shared" ref="H1060:H1084" si="79">IF(G1060="","",VLOOKUP(G1060,mah,2,0))</f>
        <v>9</v>
      </c>
      <c r="I1060" s="236">
        <v>1403</v>
      </c>
      <c r="J1060" s="236"/>
      <c r="K1060" s="238">
        <v>15000000</v>
      </c>
      <c r="L1060" s="368"/>
    </row>
    <row r="1061" spans="1:12" ht="15.75" customHeight="1">
      <c r="A1061" s="194"/>
      <c r="B1061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061" s="358" t="s">
        <v>838</v>
      </c>
      <c r="D1061" s="358" t="s">
        <v>839</v>
      </c>
      <c r="E1061" s="432" t="s">
        <v>2521</v>
      </c>
      <c r="F1061" s="249" t="s">
        <v>841</v>
      </c>
      <c r="G1061" s="236" t="s">
        <v>488</v>
      </c>
      <c r="H1061" s="237">
        <f t="shared" si="79"/>
        <v>9</v>
      </c>
      <c r="I1061" s="236">
        <v>1403</v>
      </c>
      <c r="J1061" s="236"/>
      <c r="K1061" s="238">
        <v>5000000</v>
      </c>
      <c r="L1061" s="368"/>
    </row>
    <row r="1062" spans="1:12" ht="15.75" customHeight="1">
      <c r="A1062" s="194"/>
      <c r="B1062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1062" s="358" t="s">
        <v>596</v>
      </c>
      <c r="D1062" s="358" t="s">
        <v>597</v>
      </c>
      <c r="E1062" s="432" t="s">
        <v>2523</v>
      </c>
      <c r="F1062" s="249" t="s">
        <v>598</v>
      </c>
      <c r="G1062" s="236" t="s">
        <v>488</v>
      </c>
      <c r="H1062" s="237">
        <f t="shared" si="79"/>
        <v>9</v>
      </c>
      <c r="I1062" s="236">
        <v>1403</v>
      </c>
      <c r="J1062" s="236"/>
      <c r="K1062" s="238">
        <v>5000000</v>
      </c>
      <c r="L1062" s="368"/>
    </row>
    <row r="1063" spans="1:12" ht="15.75" customHeight="1">
      <c r="A1063" s="194"/>
      <c r="B1063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063" s="358" t="s">
        <v>522</v>
      </c>
      <c r="D1063" s="358" t="s">
        <v>523</v>
      </c>
      <c r="E1063" s="432" t="s">
        <v>2524</v>
      </c>
      <c r="F1063" s="249"/>
      <c r="G1063" s="236" t="s">
        <v>488</v>
      </c>
      <c r="H1063" s="237">
        <f t="shared" si="79"/>
        <v>9</v>
      </c>
      <c r="I1063" s="236">
        <v>1403</v>
      </c>
      <c r="J1063" s="236"/>
      <c r="K1063" s="238">
        <v>101316415</v>
      </c>
      <c r="L1063" s="368"/>
    </row>
    <row r="1064" spans="1:12" ht="15.75" customHeight="1">
      <c r="A1064" s="194"/>
      <c r="B1064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064" s="358" t="s">
        <v>494</v>
      </c>
      <c r="D1064" s="358" t="s">
        <v>533</v>
      </c>
      <c r="E1064" s="432" t="s">
        <v>2524</v>
      </c>
      <c r="F1064" s="249" t="s">
        <v>835</v>
      </c>
      <c r="G1064" s="236" t="s">
        <v>488</v>
      </c>
      <c r="H1064" s="237">
        <f t="shared" si="79"/>
        <v>9</v>
      </c>
      <c r="I1064" s="236">
        <v>1403</v>
      </c>
      <c r="J1064" s="236"/>
      <c r="K1064" s="238">
        <v>50000000</v>
      </c>
      <c r="L1064" s="368"/>
    </row>
    <row r="1065" spans="1:12" ht="15.75" customHeight="1">
      <c r="A1065" s="194"/>
      <c r="B1065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065" s="358" t="s">
        <v>494</v>
      </c>
      <c r="D1065" s="358" t="s">
        <v>533</v>
      </c>
      <c r="E1065" s="432" t="s">
        <v>2524</v>
      </c>
      <c r="F1065" s="249" t="s">
        <v>835</v>
      </c>
      <c r="G1065" s="236" t="s">
        <v>488</v>
      </c>
      <c r="H1065" s="237">
        <f t="shared" si="79"/>
        <v>9</v>
      </c>
      <c r="I1065" s="236">
        <v>1403</v>
      </c>
      <c r="J1065" s="236"/>
      <c r="K1065" s="238">
        <v>50000000</v>
      </c>
      <c r="L1065" s="368"/>
    </row>
    <row r="1066" spans="1:12" ht="15.75" customHeight="1">
      <c r="A1066" s="194"/>
      <c r="B106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66" s="358" t="s">
        <v>2386</v>
      </c>
      <c r="D1066" s="358" t="s">
        <v>2525</v>
      </c>
      <c r="E1066" s="432" t="s">
        <v>2524</v>
      </c>
      <c r="F1066" s="249" t="s">
        <v>2526</v>
      </c>
      <c r="G1066" s="236" t="s">
        <v>488</v>
      </c>
      <c r="H1066" s="237">
        <f t="shared" si="79"/>
        <v>9</v>
      </c>
      <c r="I1066" s="236">
        <v>1403</v>
      </c>
      <c r="J1066" s="236"/>
      <c r="K1066" s="238">
        <v>25300000</v>
      </c>
      <c r="L1066" s="368"/>
    </row>
    <row r="1067" spans="1:12" ht="15.75" customHeight="1">
      <c r="A1067" s="194"/>
      <c r="B1067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67" s="358" t="s">
        <v>489</v>
      </c>
      <c r="D1067" s="358" t="s">
        <v>490</v>
      </c>
      <c r="E1067" s="432" t="s">
        <v>2527</v>
      </c>
      <c r="F1067" s="249" t="s">
        <v>835</v>
      </c>
      <c r="G1067" s="236" t="s">
        <v>488</v>
      </c>
      <c r="H1067" s="237">
        <f t="shared" si="79"/>
        <v>9</v>
      </c>
      <c r="I1067" s="236">
        <v>1403</v>
      </c>
      <c r="J1067" s="236"/>
      <c r="K1067" s="238">
        <v>100000000</v>
      </c>
      <c r="L1067" s="368"/>
    </row>
    <row r="1068" spans="1:12" ht="15.75" customHeight="1">
      <c r="A1068" s="194"/>
      <c r="B1068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1068" s="358" t="s">
        <v>1671</v>
      </c>
      <c r="D1068" s="358" t="s">
        <v>1672</v>
      </c>
      <c r="E1068" s="432" t="s">
        <v>2528</v>
      </c>
      <c r="F1068" s="249" t="s">
        <v>1674</v>
      </c>
      <c r="G1068" s="236" t="s">
        <v>488</v>
      </c>
      <c r="H1068" s="237">
        <f t="shared" si="79"/>
        <v>9</v>
      </c>
      <c r="I1068" s="236">
        <v>1403</v>
      </c>
      <c r="J1068" s="236"/>
      <c r="K1068" s="238">
        <v>2000000</v>
      </c>
      <c r="L1068" s="368"/>
    </row>
    <row r="1069" spans="1:12" ht="15.75" customHeight="1">
      <c r="A1069" s="194"/>
      <c r="B1069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1069" s="358" t="s">
        <v>471</v>
      </c>
      <c r="D1069" s="358" t="s">
        <v>472</v>
      </c>
      <c r="E1069" s="432" t="s">
        <v>2529</v>
      </c>
      <c r="F1069" s="249" t="s">
        <v>835</v>
      </c>
      <c r="G1069" s="236" t="s">
        <v>488</v>
      </c>
      <c r="H1069" s="237">
        <f t="shared" si="79"/>
        <v>9</v>
      </c>
      <c r="I1069" s="236">
        <v>1403</v>
      </c>
      <c r="J1069" s="236"/>
      <c r="K1069" s="238">
        <v>4000000</v>
      </c>
      <c r="L1069" s="368"/>
    </row>
    <row r="1070" spans="1:12" ht="15.75" customHeight="1">
      <c r="A1070" s="194"/>
      <c r="B1070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70" s="358" t="s">
        <v>489</v>
      </c>
      <c r="D1070" s="358" t="s">
        <v>490</v>
      </c>
      <c r="E1070" s="432" t="s">
        <v>2530</v>
      </c>
      <c r="F1070" s="249" t="s">
        <v>571</v>
      </c>
      <c r="G1070" s="236" t="s">
        <v>488</v>
      </c>
      <c r="H1070" s="237">
        <f t="shared" si="79"/>
        <v>9</v>
      </c>
      <c r="I1070" s="236">
        <v>1403</v>
      </c>
      <c r="J1070" s="236"/>
      <c r="K1070" s="238">
        <v>3000000</v>
      </c>
      <c r="L1070" s="368"/>
    </row>
    <row r="1071" spans="1:12" ht="15.75" customHeight="1">
      <c r="A1071" s="194"/>
      <c r="B1071" s="235">
        <f>SUMIFS('لیست واریزی کل خیرین'!B:B,'لیست واریزی کل خیرین'!D:D,Table1[[#This Row],[نام]],'لیست واریزی کل خیرین'!E:E,Table1[[#This Row],[نام خانوادگی]])</f>
        <v>65</v>
      </c>
      <c r="C1071" s="358" t="s">
        <v>717</v>
      </c>
      <c r="D1071" s="358" t="s">
        <v>718</v>
      </c>
      <c r="E1071" s="432" t="s">
        <v>2531</v>
      </c>
      <c r="F1071" s="249" t="s">
        <v>835</v>
      </c>
      <c r="G1071" s="236" t="s">
        <v>488</v>
      </c>
      <c r="H1071" s="237">
        <f t="shared" si="79"/>
        <v>9</v>
      </c>
      <c r="I1071" s="236">
        <v>1403</v>
      </c>
      <c r="J1071" s="236"/>
      <c r="K1071" s="238">
        <v>200000000</v>
      </c>
      <c r="L1071" s="368"/>
    </row>
    <row r="1072" spans="1:12" ht="15.75" customHeight="1">
      <c r="A1072" s="194"/>
      <c r="B1072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072" s="358" t="s">
        <v>486</v>
      </c>
      <c r="D1072" s="358" t="s">
        <v>487</v>
      </c>
      <c r="E1072" s="432" t="s">
        <v>2531</v>
      </c>
      <c r="F1072" s="249" t="s">
        <v>595</v>
      </c>
      <c r="G1072" s="236" t="s">
        <v>488</v>
      </c>
      <c r="H1072" s="237">
        <f t="shared" si="79"/>
        <v>9</v>
      </c>
      <c r="I1072" s="236">
        <v>1403</v>
      </c>
      <c r="J1072" s="236"/>
      <c r="K1072" s="238">
        <v>5000000</v>
      </c>
      <c r="L1072" s="368"/>
    </row>
    <row r="1073" spans="1:12" ht="15.75" customHeight="1">
      <c r="A1073" s="194"/>
      <c r="B1073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1073" s="358" t="s">
        <v>480</v>
      </c>
      <c r="D1073" s="358" t="s">
        <v>481</v>
      </c>
      <c r="E1073" s="432" t="s">
        <v>2532</v>
      </c>
      <c r="F1073" s="249" t="s">
        <v>579</v>
      </c>
      <c r="G1073" s="236" t="s">
        <v>488</v>
      </c>
      <c r="H1073" s="237">
        <f t="shared" si="79"/>
        <v>9</v>
      </c>
      <c r="I1073" s="236">
        <v>1403</v>
      </c>
      <c r="J1073" s="236"/>
      <c r="K1073" s="238">
        <v>50000000</v>
      </c>
      <c r="L1073" s="368"/>
    </row>
    <row r="1074" spans="1:12" ht="15.75" customHeight="1">
      <c r="A1074" s="194"/>
      <c r="B1074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074" s="358" t="s">
        <v>494</v>
      </c>
      <c r="D1074" s="358" t="s">
        <v>546</v>
      </c>
      <c r="E1074" s="432" t="s">
        <v>2533</v>
      </c>
      <c r="F1074" s="249" t="s">
        <v>835</v>
      </c>
      <c r="G1074" s="236" t="s">
        <v>488</v>
      </c>
      <c r="H1074" s="237">
        <f t="shared" si="79"/>
        <v>9</v>
      </c>
      <c r="I1074" s="236">
        <v>1403</v>
      </c>
      <c r="J1074" s="236"/>
      <c r="K1074" s="238">
        <v>40000000</v>
      </c>
      <c r="L1074" s="368"/>
    </row>
    <row r="1075" spans="1:12" ht="15.75" customHeight="1">
      <c r="A1075" s="194"/>
      <c r="B1075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1075" s="358" t="s">
        <v>596</v>
      </c>
      <c r="D1075" s="358" t="s">
        <v>597</v>
      </c>
      <c r="E1075" s="432" t="s">
        <v>2534</v>
      </c>
      <c r="F1075" s="249" t="s">
        <v>598</v>
      </c>
      <c r="G1075" s="236" t="s">
        <v>488</v>
      </c>
      <c r="H1075" s="237">
        <f t="shared" si="79"/>
        <v>9</v>
      </c>
      <c r="I1075" s="236">
        <v>1403</v>
      </c>
      <c r="J1075" s="236"/>
      <c r="K1075" s="238">
        <v>5000000</v>
      </c>
      <c r="L1075" s="368"/>
    </row>
    <row r="1076" spans="1:12" ht="15.75" customHeight="1">
      <c r="A1076" s="194"/>
      <c r="B1076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076" s="358" t="s">
        <v>486</v>
      </c>
      <c r="D1076" s="358" t="s">
        <v>487</v>
      </c>
      <c r="E1076" s="432" t="s">
        <v>2534</v>
      </c>
      <c r="F1076" s="249" t="s">
        <v>595</v>
      </c>
      <c r="G1076" s="236" t="s">
        <v>488</v>
      </c>
      <c r="H1076" s="237">
        <f t="shared" si="79"/>
        <v>9</v>
      </c>
      <c r="I1076" s="236">
        <v>1403</v>
      </c>
      <c r="J1076" s="236"/>
      <c r="K1076" s="238">
        <v>20000000</v>
      </c>
      <c r="L1076" s="368"/>
    </row>
    <row r="1077" spans="1:12" ht="15.75" customHeight="1">
      <c r="A1077" s="194"/>
      <c r="B107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77" s="358" t="s">
        <v>507</v>
      </c>
      <c r="D1077" s="358" t="s">
        <v>2535</v>
      </c>
      <c r="E1077" s="432" t="s">
        <v>2536</v>
      </c>
      <c r="F1077" s="249" t="s">
        <v>2428</v>
      </c>
      <c r="G1077" s="236" t="s">
        <v>488</v>
      </c>
      <c r="H1077" s="237">
        <f t="shared" si="79"/>
        <v>9</v>
      </c>
      <c r="I1077" s="236">
        <v>1403</v>
      </c>
      <c r="J1077" s="236"/>
      <c r="K1077" s="238">
        <v>3000000</v>
      </c>
      <c r="L1077" s="368"/>
    </row>
    <row r="1078" spans="1:12" ht="15.75" customHeight="1">
      <c r="A1078" s="194"/>
      <c r="B1078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078" s="358" t="s">
        <v>670</v>
      </c>
      <c r="D1078" s="358" t="s">
        <v>490</v>
      </c>
      <c r="E1078" s="432" t="s">
        <v>2537</v>
      </c>
      <c r="F1078" s="249" t="s">
        <v>2538</v>
      </c>
      <c r="G1078" s="236" t="s">
        <v>488</v>
      </c>
      <c r="H1078" s="237">
        <f t="shared" si="79"/>
        <v>9</v>
      </c>
      <c r="I1078" s="236">
        <v>1403</v>
      </c>
      <c r="J1078" s="236"/>
      <c r="K1078" s="238">
        <v>20000000</v>
      </c>
      <c r="L1078" s="368"/>
    </row>
    <row r="1079" spans="1:12" ht="15.75" customHeight="1">
      <c r="A1079" s="194"/>
      <c r="B107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79" s="358" t="s">
        <v>200</v>
      </c>
      <c r="D1079" s="358" t="s">
        <v>705</v>
      </c>
      <c r="E1079" s="432" t="s">
        <v>2537</v>
      </c>
      <c r="F1079" s="249" t="s">
        <v>1438</v>
      </c>
      <c r="G1079" s="236" t="s">
        <v>488</v>
      </c>
      <c r="H1079" s="237">
        <f t="shared" si="79"/>
        <v>9</v>
      </c>
      <c r="I1079" s="236">
        <v>1403</v>
      </c>
      <c r="J1079" s="236"/>
      <c r="K1079" s="238">
        <v>10000000</v>
      </c>
      <c r="L1079" s="368"/>
    </row>
    <row r="1080" spans="1:12" ht="15.75" customHeight="1">
      <c r="A1080" s="194"/>
      <c r="B108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80" s="358" t="s">
        <v>2539</v>
      </c>
      <c r="D1080" s="358" t="s">
        <v>2540</v>
      </c>
      <c r="E1080" s="432" t="s">
        <v>2537</v>
      </c>
      <c r="F1080" s="249" t="s">
        <v>2541</v>
      </c>
      <c r="G1080" s="236" t="s">
        <v>488</v>
      </c>
      <c r="H1080" s="237">
        <f t="shared" si="79"/>
        <v>9</v>
      </c>
      <c r="I1080" s="236">
        <v>1403</v>
      </c>
      <c r="J1080" s="236"/>
      <c r="K1080" s="238">
        <v>50000000</v>
      </c>
      <c r="L1080" s="368"/>
    </row>
    <row r="1081" spans="1:12" ht="15.75" customHeight="1">
      <c r="A1081" s="194"/>
      <c r="B1081" s="235">
        <f>SUMIFS('لیست واریزی کل خیرین'!B:B,'لیست واریزی کل خیرین'!D:D,Table1[[#This Row],[نام]],'لیست واریزی کل خیرین'!E:E,Table1[[#This Row],[نام خانوادگی]])</f>
        <v>27</v>
      </c>
      <c r="C1081" s="137" t="s">
        <v>543</v>
      </c>
      <c r="D1081" s="137" t="s">
        <v>544</v>
      </c>
      <c r="E1081" s="432" t="s">
        <v>2542</v>
      </c>
      <c r="F1081" s="249" t="s">
        <v>2544</v>
      </c>
      <c r="G1081" s="236" t="s">
        <v>488</v>
      </c>
      <c r="H1081" s="237">
        <f t="shared" si="79"/>
        <v>9</v>
      </c>
      <c r="I1081" s="236">
        <v>1403</v>
      </c>
      <c r="J1081" s="236"/>
      <c r="K1081" s="238">
        <v>35000000</v>
      </c>
      <c r="L1081" s="368"/>
    </row>
    <row r="1082" spans="1:12" ht="15.75" customHeight="1">
      <c r="A1082" s="194"/>
      <c r="B1082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82" s="358" t="s">
        <v>489</v>
      </c>
      <c r="D1082" s="358" t="s">
        <v>490</v>
      </c>
      <c r="E1082" s="432" t="s">
        <v>2543</v>
      </c>
      <c r="F1082" s="249" t="s">
        <v>835</v>
      </c>
      <c r="G1082" s="236" t="s">
        <v>488</v>
      </c>
      <c r="H1082" s="237">
        <f t="shared" si="79"/>
        <v>9</v>
      </c>
      <c r="I1082" s="236">
        <v>1403</v>
      </c>
      <c r="J1082" s="236"/>
      <c r="K1082" s="238">
        <v>100000000</v>
      </c>
      <c r="L1082" s="368"/>
    </row>
    <row r="1083" spans="1:12" ht="15.75" customHeight="1">
      <c r="A1083" s="194"/>
      <c r="B108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83" s="358" t="s">
        <v>2389</v>
      </c>
      <c r="D1083" s="358" t="s">
        <v>2390</v>
      </c>
      <c r="E1083" s="432" t="s">
        <v>2545</v>
      </c>
      <c r="F1083" s="249" t="s">
        <v>2391</v>
      </c>
      <c r="G1083" s="236" t="s">
        <v>488</v>
      </c>
      <c r="H1083" s="237">
        <f t="shared" si="79"/>
        <v>9</v>
      </c>
      <c r="I1083" s="236">
        <v>1403</v>
      </c>
      <c r="J1083" s="236"/>
      <c r="K1083" s="238">
        <v>3000000</v>
      </c>
      <c r="L1083" s="368"/>
    </row>
    <row r="1084" spans="1:12" ht="15.75" customHeight="1">
      <c r="A1084" s="194"/>
      <c r="B1084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084" s="358" t="s">
        <v>838</v>
      </c>
      <c r="D1084" s="358" t="s">
        <v>839</v>
      </c>
      <c r="E1084" s="432" t="s">
        <v>2546</v>
      </c>
      <c r="F1084" s="249" t="s">
        <v>841</v>
      </c>
      <c r="G1084" s="236" t="s">
        <v>488</v>
      </c>
      <c r="H1084" s="237">
        <f t="shared" si="79"/>
        <v>9</v>
      </c>
      <c r="I1084" s="236">
        <v>1403</v>
      </c>
      <c r="J1084" s="236"/>
      <c r="K1084" s="238">
        <v>5000000</v>
      </c>
      <c r="L1084" s="368"/>
    </row>
    <row r="1085" spans="1:12" ht="15.75" customHeight="1">
      <c r="A1085" s="194"/>
      <c r="B108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85" s="358" t="s">
        <v>982</v>
      </c>
      <c r="D1085" s="358" t="s">
        <v>516</v>
      </c>
      <c r="E1085" s="432" t="s">
        <v>2547</v>
      </c>
      <c r="F1085" s="249" t="s">
        <v>2303</v>
      </c>
      <c r="G1085" s="236" t="s">
        <v>493</v>
      </c>
      <c r="H1085" s="237">
        <f t="shared" ref="H1085" si="80">IF(G1085="","",VLOOKUP(G1085,mah,2,0))</f>
        <v>10</v>
      </c>
      <c r="I1085" s="236">
        <v>1403</v>
      </c>
      <c r="J1085" s="236"/>
      <c r="K1085" s="238">
        <v>15000000</v>
      </c>
      <c r="L1085" s="368"/>
    </row>
    <row r="1086" spans="1:12" ht="15.75" customHeight="1">
      <c r="A1086" s="194"/>
      <c r="B1086" s="235">
        <f>SUMIFS('لیست واریزی کل خیرین'!B:B,'لیست واریزی کل خیرین'!D:D,Table1[[#This Row],[نام]],'لیست واریزی کل خیرین'!E:E,Table1[[#This Row],[نام خانوادگی]])</f>
        <v>23</v>
      </c>
      <c r="C1086" s="358" t="s">
        <v>588</v>
      </c>
      <c r="D1086" s="358" t="s">
        <v>521</v>
      </c>
      <c r="E1086" s="432" t="s">
        <v>2548</v>
      </c>
      <c r="F1086" s="249" t="s">
        <v>687</v>
      </c>
      <c r="G1086" s="236" t="s">
        <v>493</v>
      </c>
      <c r="H1086" s="237">
        <f t="shared" ref="H1086:H1095" si="81">IF(G1086="","",VLOOKUP(G1086,mah,2,0))</f>
        <v>10</v>
      </c>
      <c r="I1086" s="236">
        <v>1403</v>
      </c>
      <c r="J1086" s="236"/>
      <c r="K1086" s="238">
        <v>60000000</v>
      </c>
      <c r="L1086" s="368"/>
    </row>
    <row r="1087" spans="1:12" ht="15.75" customHeight="1">
      <c r="A1087" s="194"/>
      <c r="B1087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087" s="358" t="s">
        <v>494</v>
      </c>
      <c r="D1087" s="358" t="s">
        <v>546</v>
      </c>
      <c r="E1087" s="432" t="s">
        <v>2548</v>
      </c>
      <c r="F1087" s="249" t="s">
        <v>835</v>
      </c>
      <c r="G1087" s="236" t="s">
        <v>493</v>
      </c>
      <c r="H1087" s="237">
        <f t="shared" si="81"/>
        <v>10</v>
      </c>
      <c r="I1087" s="236">
        <v>1403</v>
      </c>
      <c r="J1087" s="236"/>
      <c r="K1087" s="238">
        <v>40000000</v>
      </c>
      <c r="L1087" s="368"/>
    </row>
    <row r="1088" spans="1:12" ht="15.75" customHeight="1">
      <c r="A1088" s="194"/>
      <c r="B1088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088" s="358" t="s">
        <v>522</v>
      </c>
      <c r="D1088" s="358" t="s">
        <v>523</v>
      </c>
      <c r="E1088" s="432" t="s">
        <v>2549</v>
      </c>
      <c r="F1088" s="249"/>
      <c r="G1088" s="236" t="s">
        <v>493</v>
      </c>
      <c r="H1088" s="237">
        <f t="shared" si="81"/>
        <v>10</v>
      </c>
      <c r="I1088" s="236">
        <v>1403</v>
      </c>
      <c r="J1088" s="236"/>
      <c r="K1088" s="238">
        <v>101499802</v>
      </c>
      <c r="L1088" s="368"/>
    </row>
    <row r="1089" spans="1:12" ht="15.75" customHeight="1">
      <c r="A1089" s="194"/>
      <c r="B108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89" s="358" t="s">
        <v>2386</v>
      </c>
      <c r="D1089" s="358" t="s">
        <v>2525</v>
      </c>
      <c r="E1089" s="432" t="s">
        <v>2549</v>
      </c>
      <c r="F1089" s="249" t="s">
        <v>2550</v>
      </c>
      <c r="G1089" s="236" t="s">
        <v>493</v>
      </c>
      <c r="H1089" s="237">
        <f t="shared" si="81"/>
        <v>10</v>
      </c>
      <c r="I1089" s="236">
        <v>1403</v>
      </c>
      <c r="J1089" s="236"/>
      <c r="K1089" s="238">
        <v>23000000</v>
      </c>
      <c r="L1089" s="368"/>
    </row>
    <row r="1090" spans="1:12" ht="15.75" customHeight="1">
      <c r="A1090" s="194"/>
      <c r="B1090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090" s="358" t="s">
        <v>670</v>
      </c>
      <c r="D1090" s="358" t="s">
        <v>490</v>
      </c>
      <c r="E1090" s="432" t="s">
        <v>2551</v>
      </c>
      <c r="F1090" s="249" t="s">
        <v>2538</v>
      </c>
      <c r="G1090" s="236" t="s">
        <v>493</v>
      </c>
      <c r="H1090" s="237">
        <f t="shared" si="81"/>
        <v>10</v>
      </c>
      <c r="I1090" s="236">
        <v>1403</v>
      </c>
      <c r="J1090" s="236"/>
      <c r="K1090" s="238">
        <v>20000000</v>
      </c>
      <c r="L1090" s="368"/>
    </row>
    <row r="1091" spans="1:12" ht="15.75" customHeight="1">
      <c r="A1091" s="194"/>
      <c r="B1091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91" s="358" t="s">
        <v>489</v>
      </c>
      <c r="D1091" s="358" t="s">
        <v>490</v>
      </c>
      <c r="E1091" s="432" t="s">
        <v>2552</v>
      </c>
      <c r="F1091" s="249" t="s">
        <v>2553</v>
      </c>
      <c r="G1091" s="236" t="s">
        <v>493</v>
      </c>
      <c r="H1091" s="237">
        <f t="shared" si="81"/>
        <v>10</v>
      </c>
      <c r="I1091" s="236">
        <v>1403</v>
      </c>
      <c r="J1091" s="236"/>
      <c r="K1091" s="238">
        <v>6000000</v>
      </c>
      <c r="L1091" s="368"/>
    </row>
    <row r="1092" spans="1:12" ht="15.75" customHeight="1">
      <c r="A1092" s="194"/>
      <c r="B1092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1092" s="358" t="s">
        <v>480</v>
      </c>
      <c r="D1092" s="358" t="s">
        <v>481</v>
      </c>
      <c r="E1092" s="432" t="s">
        <v>2552</v>
      </c>
      <c r="F1092" s="249" t="s">
        <v>881</v>
      </c>
      <c r="G1092" s="236" t="s">
        <v>493</v>
      </c>
      <c r="H1092" s="237">
        <f t="shared" si="81"/>
        <v>10</v>
      </c>
      <c r="I1092" s="236">
        <v>1403</v>
      </c>
      <c r="J1092" s="236"/>
      <c r="K1092" s="238">
        <v>50000000</v>
      </c>
      <c r="L1092" s="368"/>
    </row>
    <row r="1093" spans="1:12" ht="15.75" customHeight="1">
      <c r="A1093" s="194"/>
      <c r="B1093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1093" s="358" t="s">
        <v>483</v>
      </c>
      <c r="D1093" s="358" t="s">
        <v>484</v>
      </c>
      <c r="E1093" s="432" t="s">
        <v>2554</v>
      </c>
      <c r="F1093" s="249" t="s">
        <v>599</v>
      </c>
      <c r="G1093" s="236" t="s">
        <v>493</v>
      </c>
      <c r="H1093" s="237">
        <f t="shared" si="81"/>
        <v>10</v>
      </c>
      <c r="I1093" s="236">
        <v>1403</v>
      </c>
      <c r="J1093" s="236"/>
      <c r="K1093" s="238">
        <v>30000000</v>
      </c>
      <c r="L1093" s="368"/>
    </row>
    <row r="1094" spans="1:12" ht="15.75" customHeight="1">
      <c r="A1094" s="194"/>
      <c r="B1094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94" s="358" t="s">
        <v>489</v>
      </c>
      <c r="D1094" s="358" t="s">
        <v>490</v>
      </c>
      <c r="E1094" s="432" t="s">
        <v>2555</v>
      </c>
      <c r="F1094" s="249" t="s">
        <v>2553</v>
      </c>
      <c r="G1094" s="236" t="s">
        <v>493</v>
      </c>
      <c r="H1094" s="237">
        <f t="shared" si="81"/>
        <v>10</v>
      </c>
      <c r="I1094" s="236">
        <v>1403</v>
      </c>
      <c r="J1094" s="236"/>
      <c r="K1094" s="238">
        <v>3000000</v>
      </c>
      <c r="L1094" s="368"/>
    </row>
    <row r="1095" spans="1:12" ht="15.75" customHeight="1">
      <c r="A1095" s="194"/>
      <c r="B1095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095" s="358" t="s">
        <v>464</v>
      </c>
      <c r="D1095" s="358" t="s">
        <v>465</v>
      </c>
      <c r="E1095" s="432" t="s">
        <v>2556</v>
      </c>
      <c r="F1095" s="249" t="s">
        <v>835</v>
      </c>
      <c r="G1095" s="236" t="s">
        <v>493</v>
      </c>
      <c r="H1095" s="237">
        <f t="shared" si="81"/>
        <v>10</v>
      </c>
      <c r="I1095" s="236">
        <v>1403</v>
      </c>
      <c r="J1095" s="236"/>
      <c r="K1095" s="238">
        <v>20000000</v>
      </c>
      <c r="L1095" s="368"/>
    </row>
    <row r="1096" spans="1:12" ht="15.75" customHeight="1">
      <c r="A1096" s="194"/>
      <c r="B1096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96" s="358" t="s">
        <v>489</v>
      </c>
      <c r="D1096" s="358" t="s">
        <v>490</v>
      </c>
      <c r="E1096" s="432" t="s">
        <v>2556</v>
      </c>
      <c r="F1096" s="249" t="s">
        <v>571</v>
      </c>
      <c r="G1096" s="236" t="s">
        <v>493</v>
      </c>
      <c r="H1096" s="237">
        <f t="shared" ref="H1096:H1097" si="82">IF(G1096="","",VLOOKUP(G1096,mah,2,0))</f>
        <v>10</v>
      </c>
      <c r="I1096" s="236">
        <v>1403</v>
      </c>
      <c r="J1096" s="236"/>
      <c r="K1096" s="238">
        <v>3000000</v>
      </c>
      <c r="L1096" s="368"/>
    </row>
    <row r="1097" spans="1:12" ht="15.75" customHeight="1">
      <c r="A1097" s="194"/>
      <c r="B1097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097" s="358" t="s">
        <v>489</v>
      </c>
      <c r="D1097" s="358" t="s">
        <v>490</v>
      </c>
      <c r="E1097" s="432" t="s">
        <v>2557</v>
      </c>
      <c r="F1097" s="249" t="s">
        <v>571</v>
      </c>
      <c r="G1097" s="236" t="s">
        <v>493</v>
      </c>
      <c r="H1097" s="237">
        <f t="shared" si="82"/>
        <v>10</v>
      </c>
      <c r="I1097" s="236">
        <v>1403</v>
      </c>
      <c r="J1097" s="236"/>
      <c r="K1097" s="238">
        <v>3000000</v>
      </c>
      <c r="L1097" s="368"/>
    </row>
    <row r="1098" spans="1:12" ht="15.75" customHeight="1">
      <c r="A1098" s="194"/>
      <c r="B1098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098" s="358" t="s">
        <v>486</v>
      </c>
      <c r="D1098" s="358" t="s">
        <v>487</v>
      </c>
      <c r="E1098" s="432" t="s">
        <v>2557</v>
      </c>
      <c r="F1098" s="249" t="s">
        <v>595</v>
      </c>
      <c r="G1098" s="236" t="s">
        <v>493</v>
      </c>
      <c r="H1098" s="237">
        <f t="shared" ref="H1098:H1102" si="83">IF(G1098="","",VLOOKUP(G1098,mah,2,0))</f>
        <v>10</v>
      </c>
      <c r="I1098" s="236">
        <v>1403</v>
      </c>
      <c r="J1098" s="236"/>
      <c r="K1098" s="238">
        <v>20000000</v>
      </c>
      <c r="L1098" s="368"/>
    </row>
    <row r="1099" spans="1:12" ht="15.75" customHeight="1">
      <c r="A1099" s="194"/>
      <c r="B109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099" s="358" t="s">
        <v>200</v>
      </c>
      <c r="D1099" s="358" t="s">
        <v>705</v>
      </c>
      <c r="E1099" s="432" t="s">
        <v>2558</v>
      </c>
      <c r="F1099" s="249" t="s">
        <v>1438</v>
      </c>
      <c r="G1099" s="236" t="s">
        <v>493</v>
      </c>
      <c r="H1099" s="237">
        <f t="shared" si="83"/>
        <v>10</v>
      </c>
      <c r="I1099" s="236">
        <v>1403</v>
      </c>
      <c r="J1099" s="236"/>
      <c r="K1099" s="238">
        <v>10000000</v>
      </c>
      <c r="L1099" s="368"/>
    </row>
    <row r="1100" spans="1:12" ht="15.75" customHeight="1">
      <c r="A1100" s="194"/>
      <c r="B1100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1100" s="358" t="s">
        <v>596</v>
      </c>
      <c r="D1100" s="358" t="s">
        <v>597</v>
      </c>
      <c r="E1100" s="432" t="s">
        <v>2559</v>
      </c>
      <c r="F1100" s="249" t="s">
        <v>2560</v>
      </c>
      <c r="G1100" s="236" t="s">
        <v>493</v>
      </c>
      <c r="H1100" s="237">
        <f t="shared" si="83"/>
        <v>10</v>
      </c>
      <c r="I1100" s="236">
        <v>1403</v>
      </c>
      <c r="J1100" s="236"/>
      <c r="K1100" s="238">
        <v>5000000</v>
      </c>
      <c r="L1100" s="368"/>
    </row>
    <row r="1101" spans="1:12" ht="15.75" customHeight="1">
      <c r="A1101" s="194"/>
      <c r="B110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01" s="358" t="s">
        <v>207</v>
      </c>
      <c r="D1101" s="358" t="s">
        <v>2562</v>
      </c>
      <c r="E1101" s="432" t="s">
        <v>2561</v>
      </c>
      <c r="F1101" s="249" t="s">
        <v>2563</v>
      </c>
      <c r="G1101" s="236" t="s">
        <v>493</v>
      </c>
      <c r="H1101" s="237">
        <f t="shared" si="83"/>
        <v>10</v>
      </c>
      <c r="I1101" s="236">
        <v>1403</v>
      </c>
      <c r="J1101" s="236"/>
      <c r="K1101" s="238">
        <v>15000000</v>
      </c>
      <c r="L1101" s="368"/>
    </row>
    <row r="1102" spans="1:12" ht="15.75" customHeight="1">
      <c r="A1102" s="194"/>
      <c r="B1102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102" s="358" t="s">
        <v>489</v>
      </c>
      <c r="D1102" s="358" t="s">
        <v>490</v>
      </c>
      <c r="E1102" s="432" t="s">
        <v>2561</v>
      </c>
      <c r="F1102" s="249" t="s">
        <v>835</v>
      </c>
      <c r="G1102" s="236" t="s">
        <v>493</v>
      </c>
      <c r="H1102" s="237">
        <f t="shared" si="83"/>
        <v>10</v>
      </c>
      <c r="I1102" s="236">
        <v>1403</v>
      </c>
      <c r="J1102" s="236"/>
      <c r="K1102" s="238">
        <v>100000000</v>
      </c>
      <c r="L1102" s="368"/>
    </row>
    <row r="1103" spans="1:12" ht="15.75" customHeight="1">
      <c r="A1103" s="194"/>
      <c r="B110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03" s="358" t="s">
        <v>982</v>
      </c>
      <c r="D1103" s="358" t="s">
        <v>516</v>
      </c>
      <c r="E1103" s="432" t="s">
        <v>2564</v>
      </c>
      <c r="F1103" s="249" t="s">
        <v>2303</v>
      </c>
      <c r="G1103" s="236" t="s">
        <v>496</v>
      </c>
      <c r="H1103" s="237">
        <f t="shared" ref="H1103:H1173" si="84">IF(G1103="","",VLOOKUP(G1103,mah,2,0))</f>
        <v>11</v>
      </c>
      <c r="I1103" s="236">
        <v>1403</v>
      </c>
      <c r="J1103" s="236"/>
      <c r="K1103" s="238">
        <v>15000000</v>
      </c>
      <c r="L1103" s="368"/>
    </row>
    <row r="1104" spans="1:12" ht="15.75" customHeight="1">
      <c r="A1104" s="194"/>
      <c r="B1104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104" s="358" t="s">
        <v>494</v>
      </c>
      <c r="D1104" s="358" t="s">
        <v>546</v>
      </c>
      <c r="E1104" s="432" t="s">
        <v>2564</v>
      </c>
      <c r="F1104" s="249" t="s">
        <v>835</v>
      </c>
      <c r="G1104" s="236" t="s">
        <v>496</v>
      </c>
      <c r="H1104" s="237">
        <f t="shared" si="84"/>
        <v>11</v>
      </c>
      <c r="I1104" s="236">
        <v>1403</v>
      </c>
      <c r="J1104" s="236"/>
      <c r="K1104" s="238">
        <v>40000000</v>
      </c>
      <c r="L1104" s="368"/>
    </row>
    <row r="1105" spans="1:12" ht="15.75" customHeight="1">
      <c r="A1105" s="194"/>
      <c r="B1105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105" s="358" t="s">
        <v>838</v>
      </c>
      <c r="D1105" s="358" t="s">
        <v>839</v>
      </c>
      <c r="E1105" s="432" t="s">
        <v>2564</v>
      </c>
      <c r="F1105" s="249" t="s">
        <v>841</v>
      </c>
      <c r="G1105" s="236" t="s">
        <v>496</v>
      </c>
      <c r="H1105" s="237">
        <f t="shared" si="84"/>
        <v>11</v>
      </c>
      <c r="I1105" s="236">
        <v>1403</v>
      </c>
      <c r="J1105" s="236"/>
      <c r="K1105" s="238">
        <v>5000000</v>
      </c>
      <c r="L1105" s="368"/>
    </row>
    <row r="1106" spans="1:12" ht="15.75" customHeight="1">
      <c r="A1106" s="194"/>
      <c r="B1106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106" s="358" t="s">
        <v>522</v>
      </c>
      <c r="D1106" s="358" t="s">
        <v>523</v>
      </c>
      <c r="E1106" s="432" t="s">
        <v>2565</v>
      </c>
      <c r="F1106" s="249"/>
      <c r="G1106" s="236" t="s">
        <v>496</v>
      </c>
      <c r="H1106" s="237">
        <f t="shared" si="84"/>
        <v>11</v>
      </c>
      <c r="I1106" s="236">
        <v>1403</v>
      </c>
      <c r="J1106" s="236"/>
      <c r="K1106" s="238">
        <v>86377565</v>
      </c>
      <c r="L1106" s="368"/>
    </row>
    <row r="1107" spans="1:12" ht="15.75" customHeight="1">
      <c r="A1107" s="194"/>
      <c r="B1107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1107" s="358" t="s">
        <v>480</v>
      </c>
      <c r="D1107" s="358" t="s">
        <v>481</v>
      </c>
      <c r="E1107" s="432" t="s">
        <v>2565</v>
      </c>
      <c r="F1107" s="249" t="s">
        <v>579</v>
      </c>
      <c r="G1107" s="236" t="s">
        <v>496</v>
      </c>
      <c r="H1107" s="237">
        <f t="shared" si="84"/>
        <v>11</v>
      </c>
      <c r="I1107" s="236">
        <v>1403</v>
      </c>
      <c r="J1107" s="236"/>
      <c r="K1107" s="238">
        <v>50000000</v>
      </c>
      <c r="L1107" s="368"/>
    </row>
    <row r="1108" spans="1:12" ht="15.75" customHeight="1">
      <c r="A1108" s="194"/>
      <c r="B1108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108" s="358" t="s">
        <v>494</v>
      </c>
      <c r="D1108" s="358" t="s">
        <v>533</v>
      </c>
      <c r="E1108" s="432" t="s">
        <v>2566</v>
      </c>
      <c r="F1108" s="249" t="s">
        <v>835</v>
      </c>
      <c r="G1108" s="236" t="s">
        <v>496</v>
      </c>
      <c r="H1108" s="237">
        <f t="shared" si="84"/>
        <v>11</v>
      </c>
      <c r="I1108" s="236">
        <v>1403</v>
      </c>
      <c r="J1108" s="236"/>
      <c r="K1108" s="238">
        <v>100000000</v>
      </c>
      <c r="L1108" s="368"/>
    </row>
    <row r="1109" spans="1:12" ht="15.75" customHeight="1">
      <c r="A1109" s="194"/>
      <c r="B1109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109" s="358" t="s">
        <v>494</v>
      </c>
      <c r="D1109" s="358" t="s">
        <v>533</v>
      </c>
      <c r="E1109" s="432" t="s">
        <v>2566</v>
      </c>
      <c r="F1109" s="249" t="s">
        <v>835</v>
      </c>
      <c r="G1109" s="236" t="s">
        <v>496</v>
      </c>
      <c r="H1109" s="237">
        <f t="shared" si="84"/>
        <v>11</v>
      </c>
      <c r="I1109" s="236">
        <v>1403</v>
      </c>
      <c r="J1109" s="236"/>
      <c r="K1109" s="238">
        <v>100000000</v>
      </c>
      <c r="L1109" s="368"/>
    </row>
    <row r="1110" spans="1:12" ht="15.75" customHeight="1">
      <c r="A1110" s="194"/>
      <c r="B1110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1110" s="358" t="s">
        <v>483</v>
      </c>
      <c r="D1110" s="358" t="s">
        <v>484</v>
      </c>
      <c r="E1110" s="432" t="s">
        <v>2567</v>
      </c>
      <c r="F1110" s="249" t="s">
        <v>599</v>
      </c>
      <c r="G1110" s="236" t="s">
        <v>496</v>
      </c>
      <c r="H1110" s="237">
        <f t="shared" si="84"/>
        <v>11</v>
      </c>
      <c r="I1110" s="236">
        <v>1403</v>
      </c>
      <c r="J1110" s="236"/>
      <c r="K1110" s="238">
        <v>5000000</v>
      </c>
      <c r="L1110" s="368"/>
    </row>
    <row r="1111" spans="1:12" ht="15.75" customHeight="1">
      <c r="A1111" s="194"/>
      <c r="B1111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1111" s="358" t="s">
        <v>480</v>
      </c>
      <c r="D1111" s="358" t="s">
        <v>481</v>
      </c>
      <c r="E1111" s="432" t="s">
        <v>2567</v>
      </c>
      <c r="F1111" s="249" t="s">
        <v>881</v>
      </c>
      <c r="G1111" s="236" t="s">
        <v>496</v>
      </c>
      <c r="H1111" s="237">
        <f t="shared" si="84"/>
        <v>11</v>
      </c>
      <c r="I1111" s="236">
        <v>1403</v>
      </c>
      <c r="J1111" s="236"/>
      <c r="K1111" s="238">
        <v>50000000</v>
      </c>
      <c r="L1111" s="368"/>
    </row>
    <row r="1112" spans="1:12" ht="15.75" customHeight="1">
      <c r="A1112" s="194"/>
      <c r="B1112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112" s="358" t="s">
        <v>670</v>
      </c>
      <c r="D1112" s="358" t="s">
        <v>490</v>
      </c>
      <c r="E1112" s="432" t="s">
        <v>2567</v>
      </c>
      <c r="F1112" s="249" t="s">
        <v>2538</v>
      </c>
      <c r="G1112" s="236" t="s">
        <v>496</v>
      </c>
      <c r="H1112" s="237">
        <f t="shared" si="84"/>
        <v>11</v>
      </c>
      <c r="I1112" s="236">
        <v>1403</v>
      </c>
      <c r="J1112" s="236"/>
      <c r="K1112" s="238">
        <v>20000000</v>
      </c>
      <c r="L1112" s="368"/>
    </row>
    <row r="1113" spans="1:12" ht="15.75" customHeight="1">
      <c r="A1113" s="194"/>
      <c r="B1113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1113" s="358" t="s">
        <v>202</v>
      </c>
      <c r="D1113" s="358" t="s">
        <v>502</v>
      </c>
      <c r="E1113" s="432" t="s">
        <v>2568</v>
      </c>
      <c r="F1113" s="249" t="s">
        <v>2569</v>
      </c>
      <c r="G1113" s="236" t="s">
        <v>496</v>
      </c>
      <c r="H1113" s="237">
        <f t="shared" si="84"/>
        <v>11</v>
      </c>
      <c r="I1113" s="236">
        <v>1403</v>
      </c>
      <c r="J1113" s="236"/>
      <c r="K1113" s="238">
        <v>45000000</v>
      </c>
      <c r="L1113" s="368"/>
    </row>
    <row r="1114" spans="1:12" ht="15.75" customHeight="1">
      <c r="A1114" s="194"/>
      <c r="B1114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114" s="358" t="s">
        <v>464</v>
      </c>
      <c r="D1114" s="358" t="s">
        <v>465</v>
      </c>
      <c r="E1114" s="432" t="s">
        <v>2568</v>
      </c>
      <c r="F1114" s="249" t="s">
        <v>835</v>
      </c>
      <c r="G1114" s="236" t="s">
        <v>496</v>
      </c>
      <c r="H1114" s="237">
        <f t="shared" si="84"/>
        <v>11</v>
      </c>
      <c r="I1114" s="236">
        <v>1403</v>
      </c>
      <c r="J1114" s="236"/>
      <c r="K1114" s="238">
        <v>100000000</v>
      </c>
      <c r="L1114" s="368"/>
    </row>
    <row r="1115" spans="1:12" ht="15.75" customHeight="1">
      <c r="A1115" s="194"/>
      <c r="B1115" s="235">
        <f>SUMIFS('لیست واریزی کل خیرین'!B:B,'لیست واریزی کل خیرین'!D:D,Table1[[#This Row],[نام]],'لیست واریزی کل خیرین'!E:E,Table1[[#This Row],[نام خانوادگی]])</f>
        <v>3</v>
      </c>
      <c r="C1115" s="137" t="s">
        <v>459</v>
      </c>
      <c r="D1115" s="137" t="s">
        <v>460</v>
      </c>
      <c r="E1115" s="432" t="s">
        <v>2568</v>
      </c>
      <c r="F1115" s="249" t="s">
        <v>1678</v>
      </c>
      <c r="G1115" s="236" t="s">
        <v>496</v>
      </c>
      <c r="H1115" s="237">
        <f t="shared" si="84"/>
        <v>11</v>
      </c>
      <c r="I1115" s="236">
        <v>1403</v>
      </c>
      <c r="J1115" s="236"/>
      <c r="K1115" s="238">
        <v>1800000000</v>
      </c>
      <c r="L1115" s="368"/>
    </row>
    <row r="1116" spans="1:12" ht="15.75" customHeight="1">
      <c r="A1116" s="194"/>
      <c r="B1116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1116" s="358" t="s">
        <v>1671</v>
      </c>
      <c r="D1116" s="358" t="s">
        <v>1672</v>
      </c>
      <c r="E1116" s="432" t="s">
        <v>2568</v>
      </c>
      <c r="F1116" s="249" t="s">
        <v>1674</v>
      </c>
      <c r="G1116" s="236" t="s">
        <v>496</v>
      </c>
      <c r="H1116" s="237">
        <f t="shared" si="84"/>
        <v>11</v>
      </c>
      <c r="I1116" s="236">
        <v>1403</v>
      </c>
      <c r="J1116" s="236"/>
      <c r="K1116" s="238">
        <v>2000000</v>
      </c>
      <c r="L1116" s="368"/>
    </row>
    <row r="1117" spans="1:12" ht="15.75" customHeight="1">
      <c r="A1117" s="194"/>
      <c r="B1117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117" s="358" t="s">
        <v>486</v>
      </c>
      <c r="D1117" s="358" t="s">
        <v>487</v>
      </c>
      <c r="E1117" s="432" t="s">
        <v>2570</v>
      </c>
      <c r="F1117" s="249" t="s">
        <v>595</v>
      </c>
      <c r="G1117" s="236" t="s">
        <v>496</v>
      </c>
      <c r="H1117" s="237">
        <f t="shared" si="84"/>
        <v>11</v>
      </c>
      <c r="I1117" s="236">
        <v>1403</v>
      </c>
      <c r="J1117" s="236"/>
      <c r="K1117" s="238">
        <v>20000000</v>
      </c>
      <c r="L1117" s="368"/>
    </row>
    <row r="1118" spans="1:12" ht="15.75" customHeight="1">
      <c r="A1118" s="194"/>
      <c r="B111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18" s="358" t="s">
        <v>200</v>
      </c>
      <c r="D1118" s="358" t="s">
        <v>705</v>
      </c>
      <c r="E1118" s="432" t="s">
        <v>2571</v>
      </c>
      <c r="F1118" s="249" t="s">
        <v>1438</v>
      </c>
      <c r="G1118" s="236" t="s">
        <v>496</v>
      </c>
      <c r="H1118" s="237">
        <f t="shared" si="84"/>
        <v>11</v>
      </c>
      <c r="I1118" s="236">
        <v>1403</v>
      </c>
      <c r="J1118" s="236"/>
      <c r="K1118" s="238">
        <v>10000000</v>
      </c>
      <c r="L1118" s="368"/>
    </row>
    <row r="1119" spans="1:12" ht="15.75" customHeight="1">
      <c r="A1119" s="194"/>
      <c r="B111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19" s="358" t="s">
        <v>849</v>
      </c>
      <c r="D1119" s="358" t="s">
        <v>2572</v>
      </c>
      <c r="E1119" s="432" t="s">
        <v>2573</v>
      </c>
      <c r="F1119" s="249" t="s">
        <v>2574</v>
      </c>
      <c r="G1119" s="236" t="s">
        <v>496</v>
      </c>
      <c r="H1119" s="237">
        <f t="shared" si="84"/>
        <v>11</v>
      </c>
      <c r="I1119" s="236">
        <v>1403</v>
      </c>
      <c r="J1119" s="236"/>
      <c r="K1119" s="238">
        <v>2000000</v>
      </c>
      <c r="L1119" s="368"/>
    </row>
    <row r="1120" spans="1:12" ht="15.75" customHeight="1">
      <c r="A1120" s="194"/>
      <c r="B112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20" s="358" t="s">
        <v>2575</v>
      </c>
      <c r="D1120" s="358" t="s">
        <v>2576</v>
      </c>
      <c r="E1120" s="432" t="s">
        <v>2573</v>
      </c>
      <c r="F1120" s="249"/>
      <c r="G1120" s="236" t="s">
        <v>496</v>
      </c>
      <c r="H1120" s="237">
        <f t="shared" si="84"/>
        <v>11</v>
      </c>
      <c r="I1120" s="236">
        <v>1403</v>
      </c>
      <c r="J1120" s="236"/>
      <c r="K1120" s="238">
        <v>2000000</v>
      </c>
      <c r="L1120" s="368"/>
    </row>
    <row r="1121" spans="1:12" ht="15.75" customHeight="1">
      <c r="A1121" s="194"/>
      <c r="B112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21" s="358" t="s">
        <v>2577</v>
      </c>
      <c r="D1121" s="358" t="s">
        <v>2578</v>
      </c>
      <c r="E1121" s="432" t="s">
        <v>2573</v>
      </c>
      <c r="F1121" s="249"/>
      <c r="G1121" s="236" t="s">
        <v>496</v>
      </c>
      <c r="H1121" s="237">
        <f t="shared" si="84"/>
        <v>11</v>
      </c>
      <c r="I1121" s="236">
        <v>1403</v>
      </c>
      <c r="J1121" s="236"/>
      <c r="K1121" s="238">
        <v>2000000</v>
      </c>
      <c r="L1121" s="368"/>
    </row>
    <row r="1122" spans="1:12" ht="15.75" customHeight="1">
      <c r="A1122" s="194"/>
      <c r="B1122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122" s="358" t="s">
        <v>464</v>
      </c>
      <c r="D1122" s="358" t="s">
        <v>465</v>
      </c>
      <c r="E1122" s="432" t="s">
        <v>2573</v>
      </c>
      <c r="F1122" s="249"/>
      <c r="G1122" s="236" t="s">
        <v>496</v>
      </c>
      <c r="H1122" s="237">
        <f t="shared" si="84"/>
        <v>11</v>
      </c>
      <c r="I1122" s="236">
        <v>1403</v>
      </c>
      <c r="J1122" s="236"/>
      <c r="K1122" s="238">
        <v>100000000</v>
      </c>
      <c r="L1122" s="368" t="s">
        <v>2579</v>
      </c>
    </row>
    <row r="1123" spans="1:12" ht="15.75" customHeight="1">
      <c r="A1123" s="194"/>
      <c r="B1123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123" s="358" t="s">
        <v>464</v>
      </c>
      <c r="D1123" s="358" t="s">
        <v>465</v>
      </c>
      <c r="E1123" s="432" t="s">
        <v>2573</v>
      </c>
      <c r="F1123" s="249"/>
      <c r="G1123" s="236" t="s">
        <v>496</v>
      </c>
      <c r="H1123" s="237">
        <f t="shared" si="84"/>
        <v>11</v>
      </c>
      <c r="I1123" s="236">
        <v>1403</v>
      </c>
      <c r="J1123" s="236"/>
      <c r="K1123" s="238">
        <v>400000000</v>
      </c>
      <c r="L1123" s="368" t="s">
        <v>2580</v>
      </c>
    </row>
    <row r="1124" spans="1:12" ht="15.75" customHeight="1">
      <c r="A1124" s="194"/>
      <c r="B112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24" s="358" t="s">
        <v>602</v>
      </c>
      <c r="D1124" s="358" t="s">
        <v>2581</v>
      </c>
      <c r="E1124" s="432" t="s">
        <v>2573</v>
      </c>
      <c r="F1124" s="249"/>
      <c r="G1124" s="236" t="s">
        <v>496</v>
      </c>
      <c r="H1124" s="237">
        <f t="shared" si="84"/>
        <v>11</v>
      </c>
      <c r="I1124" s="236">
        <v>1403</v>
      </c>
      <c r="J1124" s="236"/>
      <c r="K1124" s="238">
        <v>600000</v>
      </c>
      <c r="L1124" s="368"/>
    </row>
    <row r="1125" spans="1:12" ht="15.75" customHeight="1">
      <c r="A1125" s="194"/>
      <c r="B112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25" s="358" t="s">
        <v>602</v>
      </c>
      <c r="D1125" s="358" t="s">
        <v>1267</v>
      </c>
      <c r="E1125" s="432" t="s">
        <v>2573</v>
      </c>
      <c r="F1125" s="249"/>
      <c r="G1125" s="236" t="s">
        <v>496</v>
      </c>
      <c r="H1125" s="237">
        <f t="shared" si="84"/>
        <v>11</v>
      </c>
      <c r="I1125" s="236">
        <v>1403</v>
      </c>
      <c r="J1125" s="236"/>
      <c r="K1125" s="238">
        <v>10000000</v>
      </c>
      <c r="L1125" s="368"/>
    </row>
    <row r="1126" spans="1:12" ht="15.75" customHeight="1">
      <c r="A1126" s="194"/>
      <c r="B112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26" s="358" t="s">
        <v>997</v>
      </c>
      <c r="D1126" s="358" t="s">
        <v>2582</v>
      </c>
      <c r="E1126" s="432" t="s">
        <v>2573</v>
      </c>
      <c r="F1126" s="249"/>
      <c r="G1126" s="236" t="s">
        <v>496</v>
      </c>
      <c r="H1126" s="237">
        <f t="shared" si="84"/>
        <v>11</v>
      </c>
      <c r="I1126" s="236">
        <v>1403</v>
      </c>
      <c r="J1126" s="236"/>
      <c r="K1126" s="238">
        <v>990000</v>
      </c>
      <c r="L1126" s="368"/>
    </row>
    <row r="1127" spans="1:12" ht="15.75" customHeight="1">
      <c r="A1127" s="194"/>
      <c r="B112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27" s="358" t="s">
        <v>2583</v>
      </c>
      <c r="D1127" s="358" t="s">
        <v>1069</v>
      </c>
      <c r="E1127" s="432" t="s">
        <v>2573</v>
      </c>
      <c r="F1127" s="249"/>
      <c r="G1127" s="236" t="s">
        <v>496</v>
      </c>
      <c r="H1127" s="237">
        <f t="shared" si="84"/>
        <v>11</v>
      </c>
      <c r="I1127" s="236">
        <v>1403</v>
      </c>
      <c r="J1127" s="236"/>
      <c r="K1127" s="238">
        <v>3000000</v>
      </c>
      <c r="L1127" s="368"/>
    </row>
    <row r="1128" spans="1:12" ht="15.75" customHeight="1">
      <c r="A1128" s="194"/>
      <c r="B112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28" s="358" t="s">
        <v>2453</v>
      </c>
      <c r="D1128" s="358" t="s">
        <v>2584</v>
      </c>
      <c r="E1128" s="432" t="s">
        <v>2573</v>
      </c>
      <c r="F1128" s="249"/>
      <c r="G1128" s="236" t="s">
        <v>496</v>
      </c>
      <c r="H1128" s="237">
        <f t="shared" si="84"/>
        <v>11</v>
      </c>
      <c r="I1128" s="236">
        <v>1403</v>
      </c>
      <c r="J1128" s="236"/>
      <c r="K1128" s="238">
        <v>2000000</v>
      </c>
      <c r="L1128" s="368"/>
    </row>
    <row r="1129" spans="1:12" ht="15.75" customHeight="1">
      <c r="A1129" s="194"/>
      <c r="B1129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1129" s="358" t="s">
        <v>518</v>
      </c>
      <c r="D1129" s="358" t="s">
        <v>519</v>
      </c>
      <c r="E1129" s="432" t="s">
        <v>2573</v>
      </c>
      <c r="F1129" s="249"/>
      <c r="G1129" s="236" t="s">
        <v>496</v>
      </c>
      <c r="H1129" s="237">
        <f t="shared" si="84"/>
        <v>11</v>
      </c>
      <c r="I1129" s="236">
        <v>1403</v>
      </c>
      <c r="J1129" s="236"/>
      <c r="K1129" s="238">
        <v>30000000</v>
      </c>
      <c r="L1129" s="368"/>
    </row>
    <row r="1130" spans="1:12" ht="15.75" customHeight="1">
      <c r="A1130" s="194"/>
      <c r="B113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30" s="358" t="s">
        <v>2585</v>
      </c>
      <c r="D1130" s="358" t="s">
        <v>2586</v>
      </c>
      <c r="E1130" s="432" t="s">
        <v>2573</v>
      </c>
      <c r="F1130" s="249"/>
      <c r="G1130" s="236" t="s">
        <v>496</v>
      </c>
      <c r="H1130" s="237">
        <f t="shared" si="84"/>
        <v>11</v>
      </c>
      <c r="I1130" s="236">
        <v>1403</v>
      </c>
      <c r="J1130" s="236"/>
      <c r="K1130" s="238">
        <v>500000</v>
      </c>
      <c r="L1130" s="368"/>
    </row>
    <row r="1131" spans="1:12" ht="15.75" customHeight="1">
      <c r="A1131" s="194"/>
      <c r="B113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31" s="358" t="s">
        <v>1586</v>
      </c>
      <c r="D1131" s="358" t="s">
        <v>2587</v>
      </c>
      <c r="E1131" s="432" t="s">
        <v>2573</v>
      </c>
      <c r="F1131" s="249"/>
      <c r="G1131" s="236" t="s">
        <v>496</v>
      </c>
      <c r="H1131" s="237">
        <f t="shared" si="84"/>
        <v>11</v>
      </c>
      <c r="I1131" s="236">
        <v>1403</v>
      </c>
      <c r="J1131" s="236"/>
      <c r="K1131" s="238">
        <v>2000000</v>
      </c>
      <c r="L1131" s="368"/>
    </row>
    <row r="1132" spans="1:12" ht="15.75" customHeight="1">
      <c r="A1132" s="194"/>
      <c r="B113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32" s="358" t="s">
        <v>2588</v>
      </c>
      <c r="D1132" s="358" t="s">
        <v>495</v>
      </c>
      <c r="E1132" s="432" t="s">
        <v>2573</v>
      </c>
      <c r="F1132" s="249"/>
      <c r="G1132" s="236" t="s">
        <v>496</v>
      </c>
      <c r="H1132" s="237">
        <f t="shared" si="84"/>
        <v>11</v>
      </c>
      <c r="I1132" s="236">
        <v>1403</v>
      </c>
      <c r="J1132" s="236"/>
      <c r="K1132" s="238">
        <v>200000</v>
      </c>
      <c r="L1132" s="368"/>
    </row>
    <row r="1133" spans="1:12" ht="15.75" customHeight="1">
      <c r="A1133" s="194"/>
      <c r="B113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33" s="358" t="s">
        <v>2589</v>
      </c>
      <c r="D1133" s="358" t="s">
        <v>2584</v>
      </c>
      <c r="E1133" s="432" t="s">
        <v>2573</v>
      </c>
      <c r="F1133" s="249"/>
      <c r="G1133" s="236" t="s">
        <v>496</v>
      </c>
      <c r="H1133" s="237">
        <f t="shared" si="84"/>
        <v>11</v>
      </c>
      <c r="I1133" s="236">
        <v>1403</v>
      </c>
      <c r="J1133" s="236"/>
      <c r="K1133" s="238">
        <v>3000000</v>
      </c>
      <c r="L1133" s="368"/>
    </row>
    <row r="1134" spans="1:12" ht="15.75" customHeight="1">
      <c r="A1134" s="194"/>
      <c r="B113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34" s="358" t="s">
        <v>2590</v>
      </c>
      <c r="D1134" s="358" t="s">
        <v>2591</v>
      </c>
      <c r="E1134" s="432" t="s">
        <v>2597</v>
      </c>
      <c r="F1134" s="249"/>
      <c r="G1134" s="236" t="s">
        <v>496</v>
      </c>
      <c r="H1134" s="237">
        <f t="shared" si="84"/>
        <v>11</v>
      </c>
      <c r="I1134" s="236">
        <v>1403</v>
      </c>
      <c r="J1134" s="236"/>
      <c r="K1134" s="238">
        <v>1000000</v>
      </c>
      <c r="L1134" s="368"/>
    </row>
    <row r="1135" spans="1:12" ht="15.75" customHeight="1">
      <c r="A1135" s="194"/>
      <c r="B113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35" s="358" t="s">
        <v>2592</v>
      </c>
      <c r="D1135" s="358" t="s">
        <v>2593</v>
      </c>
      <c r="E1135" s="432" t="s">
        <v>2597</v>
      </c>
      <c r="F1135" s="249"/>
      <c r="G1135" s="236" t="s">
        <v>496</v>
      </c>
      <c r="H1135" s="237">
        <f t="shared" si="84"/>
        <v>11</v>
      </c>
      <c r="I1135" s="236">
        <v>1403</v>
      </c>
      <c r="J1135" s="236"/>
      <c r="K1135" s="238">
        <v>1000000</v>
      </c>
      <c r="L1135" s="368"/>
    </row>
    <row r="1136" spans="1:12" ht="15.75" customHeight="1">
      <c r="A1136" s="194"/>
      <c r="B113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36" s="358" t="s">
        <v>207</v>
      </c>
      <c r="D1136" s="358" t="s">
        <v>2594</v>
      </c>
      <c r="E1136" s="432" t="s">
        <v>2597</v>
      </c>
      <c r="F1136" s="249"/>
      <c r="G1136" s="236" t="s">
        <v>496</v>
      </c>
      <c r="H1136" s="237">
        <f t="shared" si="84"/>
        <v>11</v>
      </c>
      <c r="I1136" s="236">
        <v>1403</v>
      </c>
      <c r="J1136" s="236"/>
      <c r="K1136" s="238">
        <v>2000000</v>
      </c>
      <c r="L1136" s="368"/>
    </row>
    <row r="1137" spans="1:12" ht="15.75" customHeight="1">
      <c r="A1137" s="194"/>
      <c r="B113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37" s="358" t="s">
        <v>1590</v>
      </c>
      <c r="D1137" s="358" t="s">
        <v>2595</v>
      </c>
      <c r="E1137" s="432" t="s">
        <v>2597</v>
      </c>
      <c r="F1137" s="249"/>
      <c r="G1137" s="236" t="s">
        <v>496</v>
      </c>
      <c r="H1137" s="237">
        <f t="shared" si="84"/>
        <v>11</v>
      </c>
      <c r="I1137" s="236">
        <v>1403</v>
      </c>
      <c r="J1137" s="236"/>
      <c r="K1137" s="238">
        <v>1000000</v>
      </c>
      <c r="L1137" s="368"/>
    </row>
    <row r="1138" spans="1:12" ht="15.75" customHeight="1">
      <c r="A1138" s="194"/>
      <c r="B113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38" s="358" t="s">
        <v>1017</v>
      </c>
      <c r="D1138" s="358" t="s">
        <v>2596</v>
      </c>
      <c r="E1138" s="432" t="s">
        <v>2597</v>
      </c>
      <c r="F1138" s="249"/>
      <c r="G1138" s="236" t="s">
        <v>496</v>
      </c>
      <c r="H1138" s="237">
        <f t="shared" si="84"/>
        <v>11</v>
      </c>
      <c r="I1138" s="236">
        <v>1403</v>
      </c>
      <c r="J1138" s="236"/>
      <c r="K1138" s="238">
        <v>5000000</v>
      </c>
      <c r="L1138" s="368"/>
    </row>
    <row r="1139" spans="1:12" ht="15.75" customHeight="1">
      <c r="A1139" s="194"/>
      <c r="B113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39" s="358" t="s">
        <v>2598</v>
      </c>
      <c r="D1139" s="358" t="s">
        <v>2599</v>
      </c>
      <c r="E1139" s="432" t="s">
        <v>2597</v>
      </c>
      <c r="F1139" s="249"/>
      <c r="G1139" s="236" t="s">
        <v>496</v>
      </c>
      <c r="H1139" s="237">
        <f t="shared" si="84"/>
        <v>11</v>
      </c>
      <c r="I1139" s="236">
        <v>1403</v>
      </c>
      <c r="J1139" s="236"/>
      <c r="K1139" s="238">
        <v>35000000</v>
      </c>
      <c r="L1139" s="368"/>
    </row>
    <row r="1140" spans="1:12" ht="15.75" customHeight="1">
      <c r="A1140" s="194"/>
      <c r="B114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40" s="358" t="s">
        <v>602</v>
      </c>
      <c r="D1140" s="358" t="s">
        <v>2578</v>
      </c>
      <c r="E1140" s="432" t="s">
        <v>2597</v>
      </c>
      <c r="F1140" s="249"/>
      <c r="G1140" s="236" t="s">
        <v>496</v>
      </c>
      <c r="H1140" s="237">
        <f t="shared" si="84"/>
        <v>11</v>
      </c>
      <c r="I1140" s="236">
        <v>1403</v>
      </c>
      <c r="J1140" s="236"/>
      <c r="K1140" s="238">
        <v>30000000</v>
      </c>
      <c r="L1140" s="368"/>
    </row>
    <row r="1141" spans="1:12" ht="15.75" customHeight="1">
      <c r="A1141" s="194"/>
      <c r="B114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41" s="358" t="s">
        <v>210</v>
      </c>
      <c r="D1141" s="358" t="s">
        <v>1769</v>
      </c>
      <c r="E1141" s="432" t="s">
        <v>2597</v>
      </c>
      <c r="F1141" s="249"/>
      <c r="G1141" s="236" t="s">
        <v>496</v>
      </c>
      <c r="H1141" s="237">
        <f t="shared" si="84"/>
        <v>11</v>
      </c>
      <c r="I1141" s="236">
        <v>1403</v>
      </c>
      <c r="J1141" s="236"/>
      <c r="K1141" s="238">
        <v>1000000</v>
      </c>
      <c r="L1141" s="368"/>
    </row>
    <row r="1142" spans="1:12" ht="15.75" customHeight="1">
      <c r="A1142" s="194"/>
      <c r="B114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42" s="358" t="s">
        <v>212</v>
      </c>
      <c r="D1142" s="358" t="s">
        <v>2600</v>
      </c>
      <c r="E1142" s="432" t="s">
        <v>2597</v>
      </c>
      <c r="F1142" s="249"/>
      <c r="G1142" s="236" t="s">
        <v>496</v>
      </c>
      <c r="H1142" s="237">
        <f t="shared" si="84"/>
        <v>11</v>
      </c>
      <c r="I1142" s="236">
        <v>1403</v>
      </c>
      <c r="J1142" s="236"/>
      <c r="K1142" s="238">
        <v>100000</v>
      </c>
      <c r="L1142" s="368"/>
    </row>
    <row r="1143" spans="1:12" ht="15.75" customHeight="1">
      <c r="A1143" s="194"/>
      <c r="B114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43" s="358" t="s">
        <v>2601</v>
      </c>
      <c r="D1143" s="358" t="s">
        <v>2602</v>
      </c>
      <c r="E1143" s="432" t="s">
        <v>2597</v>
      </c>
      <c r="F1143" s="249"/>
      <c r="G1143" s="236" t="s">
        <v>496</v>
      </c>
      <c r="H1143" s="237">
        <f t="shared" si="84"/>
        <v>11</v>
      </c>
      <c r="I1143" s="236">
        <v>1403</v>
      </c>
      <c r="J1143" s="236"/>
      <c r="K1143" s="238">
        <v>1000000</v>
      </c>
      <c r="L1143" s="368"/>
    </row>
    <row r="1144" spans="1:12" ht="15.75" customHeight="1">
      <c r="A1144" s="194"/>
      <c r="B114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44" s="358" t="s">
        <v>818</v>
      </c>
      <c r="D1144" s="358" t="s">
        <v>2315</v>
      </c>
      <c r="E1144" s="432" t="s">
        <v>2597</v>
      </c>
      <c r="F1144" s="249"/>
      <c r="G1144" s="236" t="s">
        <v>496</v>
      </c>
      <c r="H1144" s="237">
        <f t="shared" si="84"/>
        <v>11</v>
      </c>
      <c r="I1144" s="236">
        <v>1403</v>
      </c>
      <c r="J1144" s="236"/>
      <c r="K1144" s="238">
        <v>2000000</v>
      </c>
      <c r="L1144" s="368"/>
    </row>
    <row r="1145" spans="1:12" ht="15.75" customHeight="1">
      <c r="A1145" s="194"/>
      <c r="B114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45" s="358" t="s">
        <v>695</v>
      </c>
      <c r="D1145" s="358" t="s">
        <v>2603</v>
      </c>
      <c r="E1145" s="432" t="s">
        <v>2597</v>
      </c>
      <c r="F1145" s="249"/>
      <c r="G1145" s="236" t="s">
        <v>496</v>
      </c>
      <c r="H1145" s="237">
        <f t="shared" si="84"/>
        <v>11</v>
      </c>
      <c r="I1145" s="236">
        <v>1403</v>
      </c>
      <c r="J1145" s="236"/>
      <c r="K1145" s="238">
        <v>40000000</v>
      </c>
      <c r="L1145" s="368"/>
    </row>
    <row r="1146" spans="1:12" ht="15.75" customHeight="1">
      <c r="A1146" s="194"/>
      <c r="B114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46" s="358" t="s">
        <v>520</v>
      </c>
      <c r="D1146" s="358" t="s">
        <v>1069</v>
      </c>
      <c r="E1146" s="432" t="s">
        <v>2597</v>
      </c>
      <c r="F1146" s="249"/>
      <c r="G1146" s="236" t="s">
        <v>496</v>
      </c>
      <c r="H1146" s="237">
        <f t="shared" si="84"/>
        <v>11</v>
      </c>
      <c r="I1146" s="236">
        <v>1403</v>
      </c>
      <c r="J1146" s="236"/>
      <c r="K1146" s="238">
        <v>1000000</v>
      </c>
      <c r="L1146" s="368"/>
    </row>
    <row r="1147" spans="1:12" ht="15.75" customHeight="1">
      <c r="A1147" s="194"/>
      <c r="B114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47" s="358" t="s">
        <v>2604</v>
      </c>
      <c r="D1147" s="358" t="s">
        <v>2605</v>
      </c>
      <c r="E1147" s="432" t="s">
        <v>2597</v>
      </c>
      <c r="F1147" s="249"/>
      <c r="G1147" s="236" t="s">
        <v>496</v>
      </c>
      <c r="H1147" s="237">
        <f t="shared" si="84"/>
        <v>11</v>
      </c>
      <c r="I1147" s="236">
        <v>1403</v>
      </c>
      <c r="J1147" s="236"/>
      <c r="K1147" s="238">
        <v>1000000</v>
      </c>
      <c r="L1147" s="368"/>
    </row>
    <row r="1148" spans="1:12" ht="15.75" customHeight="1">
      <c r="A1148" s="194"/>
      <c r="B114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48" s="358" t="s">
        <v>520</v>
      </c>
      <c r="D1148" s="358" t="s">
        <v>2606</v>
      </c>
      <c r="E1148" s="432" t="s">
        <v>2597</v>
      </c>
      <c r="F1148" s="249"/>
      <c r="G1148" s="236" t="s">
        <v>496</v>
      </c>
      <c r="H1148" s="237">
        <f t="shared" si="84"/>
        <v>11</v>
      </c>
      <c r="I1148" s="236">
        <v>1403</v>
      </c>
      <c r="J1148" s="236"/>
      <c r="K1148" s="238">
        <v>1000000</v>
      </c>
      <c r="L1148" s="368"/>
    </row>
    <row r="1149" spans="1:12" ht="15.75" customHeight="1">
      <c r="A1149" s="194"/>
      <c r="B114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49" s="358" t="s">
        <v>2607</v>
      </c>
      <c r="D1149" s="358" t="s">
        <v>2608</v>
      </c>
      <c r="E1149" s="432" t="s">
        <v>2597</v>
      </c>
      <c r="F1149" s="249"/>
      <c r="G1149" s="236" t="s">
        <v>496</v>
      </c>
      <c r="H1149" s="237">
        <f t="shared" si="84"/>
        <v>11</v>
      </c>
      <c r="I1149" s="236">
        <v>1403</v>
      </c>
      <c r="J1149" s="236"/>
      <c r="K1149" s="238">
        <v>3000000</v>
      </c>
      <c r="L1149" s="368"/>
    </row>
    <row r="1150" spans="1:12" ht="15.75" customHeight="1">
      <c r="A1150" s="194"/>
      <c r="B115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50" s="358" t="s">
        <v>2609</v>
      </c>
      <c r="D1150" s="358" t="s">
        <v>2610</v>
      </c>
      <c r="E1150" s="432" t="s">
        <v>2597</v>
      </c>
      <c r="F1150" s="249"/>
      <c r="G1150" s="236" t="s">
        <v>496</v>
      </c>
      <c r="H1150" s="237">
        <f t="shared" si="84"/>
        <v>11</v>
      </c>
      <c r="I1150" s="236">
        <v>1403</v>
      </c>
      <c r="J1150" s="236"/>
      <c r="K1150" s="238">
        <v>2000000</v>
      </c>
      <c r="L1150" s="368"/>
    </row>
    <row r="1151" spans="1:12" ht="15.75" customHeight="1">
      <c r="A1151" s="194"/>
      <c r="B115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51" s="358" t="s">
        <v>2611</v>
      </c>
      <c r="D1151" s="358" t="s">
        <v>2612</v>
      </c>
      <c r="E1151" s="432" t="s">
        <v>2597</v>
      </c>
      <c r="F1151" s="249"/>
      <c r="G1151" s="236" t="s">
        <v>496</v>
      </c>
      <c r="H1151" s="237">
        <f t="shared" si="84"/>
        <v>11</v>
      </c>
      <c r="I1151" s="236">
        <v>1403</v>
      </c>
      <c r="J1151" s="236"/>
      <c r="K1151" s="238">
        <v>20000000</v>
      </c>
      <c r="L1151" s="368"/>
    </row>
    <row r="1152" spans="1:12" ht="15.75" customHeight="1">
      <c r="A1152" s="194"/>
      <c r="B115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52" s="358" t="s">
        <v>630</v>
      </c>
      <c r="D1152" s="358" t="s">
        <v>2614</v>
      </c>
      <c r="E1152" s="432" t="s">
        <v>2597</v>
      </c>
      <c r="F1152" s="249"/>
      <c r="G1152" s="236" t="s">
        <v>496</v>
      </c>
      <c r="H1152" s="237">
        <f t="shared" si="84"/>
        <v>11</v>
      </c>
      <c r="I1152" s="236">
        <v>1403</v>
      </c>
      <c r="J1152" s="236"/>
      <c r="K1152" s="238">
        <v>10000000</v>
      </c>
      <c r="L1152" s="368"/>
    </row>
    <row r="1153" spans="1:12" ht="15.75" customHeight="1">
      <c r="A1153" s="194"/>
      <c r="B115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53" s="358" t="s">
        <v>2615</v>
      </c>
      <c r="D1153" s="358" t="s">
        <v>2616</v>
      </c>
      <c r="E1153" s="432" t="s">
        <v>2597</v>
      </c>
      <c r="F1153" s="249"/>
      <c r="G1153" s="236" t="s">
        <v>496</v>
      </c>
      <c r="H1153" s="237">
        <f t="shared" si="84"/>
        <v>11</v>
      </c>
      <c r="I1153" s="236">
        <v>1403</v>
      </c>
      <c r="J1153" s="236"/>
      <c r="K1153" s="238">
        <v>100000000</v>
      </c>
      <c r="L1153" s="368"/>
    </row>
    <row r="1154" spans="1:12" ht="15.75" customHeight="1">
      <c r="A1154" s="194"/>
      <c r="B115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54" s="358" t="s">
        <v>2617</v>
      </c>
      <c r="D1154" s="358" t="s">
        <v>2618</v>
      </c>
      <c r="E1154" s="432" t="s">
        <v>2597</v>
      </c>
      <c r="F1154" s="249"/>
      <c r="G1154" s="236" t="s">
        <v>496</v>
      </c>
      <c r="H1154" s="237">
        <f t="shared" si="84"/>
        <v>11</v>
      </c>
      <c r="I1154" s="236">
        <v>1403</v>
      </c>
      <c r="J1154" s="236"/>
      <c r="K1154" s="238">
        <v>10000000</v>
      </c>
      <c r="L1154" s="368"/>
    </row>
    <row r="1155" spans="1:12" ht="15.75" customHeight="1">
      <c r="A1155" s="194"/>
      <c r="B115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55" s="358" t="s">
        <v>202</v>
      </c>
      <c r="D1155" s="358" t="s">
        <v>2619</v>
      </c>
      <c r="E1155" s="432" t="s">
        <v>2597</v>
      </c>
      <c r="F1155" s="249"/>
      <c r="G1155" s="236" t="s">
        <v>496</v>
      </c>
      <c r="H1155" s="237">
        <f t="shared" si="84"/>
        <v>11</v>
      </c>
      <c r="I1155" s="236">
        <v>1403</v>
      </c>
      <c r="J1155" s="236"/>
      <c r="K1155" s="238">
        <v>1000000</v>
      </c>
      <c r="L1155" s="368"/>
    </row>
    <row r="1156" spans="1:12" ht="15.75" customHeight="1">
      <c r="A1156" s="194"/>
      <c r="B115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56" s="358" t="s">
        <v>818</v>
      </c>
      <c r="D1156" s="358" t="s">
        <v>2620</v>
      </c>
      <c r="E1156" s="432" t="s">
        <v>2613</v>
      </c>
      <c r="F1156" s="249"/>
      <c r="G1156" s="236" t="s">
        <v>496</v>
      </c>
      <c r="H1156" s="237">
        <f t="shared" si="84"/>
        <v>11</v>
      </c>
      <c r="I1156" s="236">
        <v>1403</v>
      </c>
      <c r="J1156" s="236"/>
      <c r="K1156" s="238">
        <v>10000000</v>
      </c>
      <c r="L1156" s="368"/>
    </row>
    <row r="1157" spans="1:12" ht="15.75" customHeight="1">
      <c r="A1157" s="194"/>
      <c r="B115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57" s="358" t="s">
        <v>2621</v>
      </c>
      <c r="D1157" s="358" t="s">
        <v>2622</v>
      </c>
      <c r="E1157" s="432" t="s">
        <v>2613</v>
      </c>
      <c r="F1157" s="249"/>
      <c r="G1157" s="236" t="s">
        <v>496</v>
      </c>
      <c r="H1157" s="237">
        <f t="shared" si="84"/>
        <v>11</v>
      </c>
      <c r="I1157" s="236">
        <v>1403</v>
      </c>
      <c r="J1157" s="236"/>
      <c r="K1157" s="238">
        <v>50000</v>
      </c>
      <c r="L1157" s="368"/>
    </row>
    <row r="1158" spans="1:12" ht="15.75" customHeight="1">
      <c r="A1158" s="194"/>
      <c r="B115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58" s="358" t="s">
        <v>494</v>
      </c>
      <c r="D1158" s="358" t="s">
        <v>2623</v>
      </c>
      <c r="E1158" s="432" t="s">
        <v>2613</v>
      </c>
      <c r="F1158" s="249"/>
      <c r="G1158" s="236" t="s">
        <v>496</v>
      </c>
      <c r="H1158" s="237">
        <f t="shared" si="84"/>
        <v>11</v>
      </c>
      <c r="I1158" s="236">
        <v>1403</v>
      </c>
      <c r="J1158" s="236"/>
      <c r="K1158" s="238">
        <v>10000000</v>
      </c>
      <c r="L1158" s="368"/>
    </row>
    <row r="1159" spans="1:12" ht="15.75" customHeight="1">
      <c r="A1159" s="194"/>
      <c r="B115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59" s="358" t="s">
        <v>2624</v>
      </c>
      <c r="D1159" s="358" t="s">
        <v>2625</v>
      </c>
      <c r="E1159" s="432" t="s">
        <v>2613</v>
      </c>
      <c r="F1159" s="249"/>
      <c r="G1159" s="236" t="s">
        <v>496</v>
      </c>
      <c r="H1159" s="237">
        <f t="shared" si="84"/>
        <v>11</v>
      </c>
      <c r="I1159" s="236">
        <v>1403</v>
      </c>
      <c r="J1159" s="236"/>
      <c r="K1159" s="238">
        <v>3000000</v>
      </c>
      <c r="L1159" s="368"/>
    </row>
    <row r="1160" spans="1:12" ht="15.75" customHeight="1">
      <c r="A1160" s="194"/>
      <c r="B116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60" s="358" t="s">
        <v>2626</v>
      </c>
      <c r="D1160" s="358" t="s">
        <v>2627</v>
      </c>
      <c r="E1160" s="432" t="s">
        <v>2613</v>
      </c>
      <c r="F1160" s="249"/>
      <c r="G1160" s="236" t="s">
        <v>496</v>
      </c>
      <c r="H1160" s="237">
        <f t="shared" si="84"/>
        <v>11</v>
      </c>
      <c r="I1160" s="236">
        <v>1403</v>
      </c>
      <c r="J1160" s="236"/>
      <c r="K1160" s="238">
        <v>30000000</v>
      </c>
      <c r="L1160" s="368"/>
    </row>
    <row r="1161" spans="1:12" ht="15.75" customHeight="1">
      <c r="A1161" s="194"/>
      <c r="B116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61" s="358" t="s">
        <v>1003</v>
      </c>
      <c r="D1161" s="358" t="s">
        <v>2628</v>
      </c>
      <c r="E1161" s="432" t="s">
        <v>2613</v>
      </c>
      <c r="F1161" s="249"/>
      <c r="G1161" s="236" t="s">
        <v>496</v>
      </c>
      <c r="H1161" s="237">
        <f t="shared" si="84"/>
        <v>11</v>
      </c>
      <c r="I1161" s="236">
        <v>1403</v>
      </c>
      <c r="J1161" s="236"/>
      <c r="K1161" s="238">
        <v>2000000</v>
      </c>
      <c r="L1161" s="368"/>
    </row>
    <row r="1162" spans="1:12" ht="15.75" customHeight="1">
      <c r="A1162" s="194"/>
      <c r="B116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62" s="358" t="s">
        <v>2629</v>
      </c>
      <c r="D1162" s="358" t="s">
        <v>2630</v>
      </c>
      <c r="E1162" s="432" t="s">
        <v>2613</v>
      </c>
      <c r="F1162" s="249"/>
      <c r="G1162" s="236" t="s">
        <v>496</v>
      </c>
      <c r="H1162" s="237">
        <f t="shared" si="84"/>
        <v>11</v>
      </c>
      <c r="I1162" s="236">
        <v>1403</v>
      </c>
      <c r="J1162" s="236"/>
      <c r="K1162" s="238">
        <v>3000000</v>
      </c>
      <c r="L1162" s="368"/>
    </row>
    <row r="1163" spans="1:12" ht="15.75" customHeight="1">
      <c r="A1163" s="194"/>
      <c r="B116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63" s="358" t="s">
        <v>2631</v>
      </c>
      <c r="D1163" s="358" t="s">
        <v>2632</v>
      </c>
      <c r="E1163" s="432" t="s">
        <v>2613</v>
      </c>
      <c r="F1163" s="249"/>
      <c r="G1163" s="236" t="s">
        <v>496</v>
      </c>
      <c r="H1163" s="237">
        <f t="shared" si="84"/>
        <v>11</v>
      </c>
      <c r="I1163" s="236">
        <v>1403</v>
      </c>
      <c r="J1163" s="236"/>
      <c r="K1163" s="238">
        <v>10000000</v>
      </c>
      <c r="L1163" s="368"/>
    </row>
    <row r="1164" spans="1:12" ht="15.75" customHeight="1">
      <c r="A1164" s="194"/>
      <c r="B116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64" s="358" t="s">
        <v>2633</v>
      </c>
      <c r="D1164" s="358" t="s">
        <v>2634</v>
      </c>
      <c r="E1164" s="432" t="s">
        <v>2613</v>
      </c>
      <c r="F1164" s="249"/>
      <c r="G1164" s="236" t="s">
        <v>496</v>
      </c>
      <c r="H1164" s="237">
        <f t="shared" si="84"/>
        <v>11</v>
      </c>
      <c r="I1164" s="236">
        <v>1403</v>
      </c>
      <c r="J1164" s="236"/>
      <c r="K1164" s="238">
        <v>3000000</v>
      </c>
      <c r="L1164" s="368"/>
    </row>
    <row r="1165" spans="1:12" ht="15.75" customHeight="1">
      <c r="A1165" s="194"/>
      <c r="B116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65" s="358" t="s">
        <v>2635</v>
      </c>
      <c r="D1165" s="358" t="s">
        <v>2636</v>
      </c>
      <c r="E1165" s="432" t="s">
        <v>2613</v>
      </c>
      <c r="F1165" s="249"/>
      <c r="G1165" s="236" t="s">
        <v>496</v>
      </c>
      <c r="H1165" s="237">
        <f t="shared" si="84"/>
        <v>11</v>
      </c>
      <c r="I1165" s="236">
        <v>1403</v>
      </c>
      <c r="J1165" s="236"/>
      <c r="K1165" s="238">
        <v>2500000</v>
      </c>
      <c r="L1165" s="368"/>
    </row>
    <row r="1166" spans="1:12" ht="15.75" customHeight="1">
      <c r="A1166" s="194"/>
      <c r="B116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66" s="358" t="s">
        <v>1010</v>
      </c>
      <c r="D1166" s="358" t="s">
        <v>2637</v>
      </c>
      <c r="E1166" s="432" t="s">
        <v>2613</v>
      </c>
      <c r="F1166" s="249"/>
      <c r="G1166" s="236" t="s">
        <v>496</v>
      </c>
      <c r="H1166" s="237">
        <f t="shared" si="84"/>
        <v>11</v>
      </c>
      <c r="I1166" s="236">
        <v>1403</v>
      </c>
      <c r="J1166" s="236"/>
      <c r="K1166" s="238">
        <v>1000000</v>
      </c>
      <c r="L1166" s="368"/>
    </row>
    <row r="1167" spans="1:12" ht="15.75" customHeight="1">
      <c r="A1167" s="194"/>
      <c r="B116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67" s="358" t="s">
        <v>2638</v>
      </c>
      <c r="D1167" s="358" t="s">
        <v>2639</v>
      </c>
      <c r="E1167" s="432" t="s">
        <v>2613</v>
      </c>
      <c r="F1167" s="249"/>
      <c r="G1167" s="236" t="s">
        <v>496</v>
      </c>
      <c r="H1167" s="237">
        <f t="shared" si="84"/>
        <v>11</v>
      </c>
      <c r="I1167" s="236">
        <v>1403</v>
      </c>
      <c r="J1167" s="236"/>
      <c r="K1167" s="238">
        <v>1500000</v>
      </c>
      <c r="L1167" s="368"/>
    </row>
    <row r="1168" spans="1:12" ht="15.75" customHeight="1">
      <c r="A1168" s="194"/>
      <c r="B116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68" s="358" t="s">
        <v>838</v>
      </c>
      <c r="D1168" s="358" t="s">
        <v>2640</v>
      </c>
      <c r="E1168" s="432" t="s">
        <v>2613</v>
      </c>
      <c r="F1168" s="249"/>
      <c r="G1168" s="236" t="s">
        <v>496</v>
      </c>
      <c r="H1168" s="237">
        <f t="shared" si="84"/>
        <v>11</v>
      </c>
      <c r="I1168" s="236">
        <v>1403</v>
      </c>
      <c r="J1168" s="236"/>
      <c r="K1168" s="238">
        <v>2000000</v>
      </c>
      <c r="L1168" s="368"/>
    </row>
    <row r="1169" spans="1:12" ht="15.75" customHeight="1">
      <c r="A1169" s="194"/>
      <c r="B116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69" s="358" t="s">
        <v>818</v>
      </c>
      <c r="D1169" s="358" t="s">
        <v>2641</v>
      </c>
      <c r="E1169" s="432" t="s">
        <v>2646</v>
      </c>
      <c r="F1169" s="249"/>
      <c r="G1169" s="236" t="s">
        <v>496</v>
      </c>
      <c r="H1169" s="237">
        <f t="shared" si="84"/>
        <v>11</v>
      </c>
      <c r="I1169" s="236">
        <v>1403</v>
      </c>
      <c r="J1169" s="236"/>
      <c r="K1169" s="238">
        <v>5000000</v>
      </c>
      <c r="L1169" s="368"/>
    </row>
    <row r="1170" spans="1:12" ht="15.75" customHeight="1">
      <c r="A1170" s="194"/>
      <c r="B1170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1170" s="358" t="s">
        <v>596</v>
      </c>
      <c r="D1170" s="358" t="s">
        <v>597</v>
      </c>
      <c r="E1170" s="432" t="s">
        <v>2646</v>
      </c>
      <c r="F1170" s="249"/>
      <c r="G1170" s="236" t="s">
        <v>496</v>
      </c>
      <c r="H1170" s="237">
        <f t="shared" si="84"/>
        <v>11</v>
      </c>
      <c r="I1170" s="236">
        <v>1403</v>
      </c>
      <c r="J1170" s="236"/>
      <c r="K1170" s="238">
        <v>5000000</v>
      </c>
      <c r="L1170" s="368"/>
    </row>
    <row r="1171" spans="1:12" ht="15.75" customHeight="1">
      <c r="A1171" s="194"/>
      <c r="B117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71" s="358" t="s">
        <v>2642</v>
      </c>
      <c r="D1171" s="358" t="s">
        <v>2643</v>
      </c>
      <c r="E1171" s="432" t="s">
        <v>2646</v>
      </c>
      <c r="F1171" s="249"/>
      <c r="G1171" s="236" t="s">
        <v>496</v>
      </c>
      <c r="H1171" s="237">
        <f t="shared" si="84"/>
        <v>11</v>
      </c>
      <c r="I1171" s="236">
        <v>1403</v>
      </c>
      <c r="J1171" s="236"/>
      <c r="K1171" s="238">
        <v>40000000</v>
      </c>
      <c r="L1171" s="368"/>
    </row>
    <row r="1172" spans="1:12" ht="15.75" customHeight="1">
      <c r="A1172" s="194"/>
      <c r="B117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72" s="358" t="s">
        <v>2644</v>
      </c>
      <c r="D1172" s="358" t="s">
        <v>2645</v>
      </c>
      <c r="E1172" s="432" t="s">
        <v>2646</v>
      </c>
      <c r="F1172" s="249"/>
      <c r="G1172" s="236" t="s">
        <v>496</v>
      </c>
      <c r="H1172" s="237">
        <f t="shared" si="84"/>
        <v>11</v>
      </c>
      <c r="I1172" s="236">
        <v>1403</v>
      </c>
      <c r="J1172" s="236"/>
      <c r="K1172" s="238">
        <v>10000000</v>
      </c>
      <c r="L1172" s="368"/>
    </row>
    <row r="1173" spans="1:12" ht="15.75" customHeight="1">
      <c r="A1173" s="194"/>
      <c r="B117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73" s="358" t="s">
        <v>2604</v>
      </c>
      <c r="D1173" s="358" t="s">
        <v>2576</v>
      </c>
      <c r="E1173" s="432" t="s">
        <v>2646</v>
      </c>
      <c r="F1173" s="249"/>
      <c r="G1173" s="236" t="s">
        <v>496</v>
      </c>
      <c r="H1173" s="237">
        <f t="shared" si="84"/>
        <v>11</v>
      </c>
      <c r="I1173" s="236">
        <v>1403</v>
      </c>
      <c r="J1173" s="236"/>
      <c r="K1173" s="238">
        <v>3000000</v>
      </c>
      <c r="L1173" s="368"/>
    </row>
    <row r="1174" spans="1:12" ht="15.75" customHeight="1">
      <c r="A1174" s="194"/>
      <c r="B117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74" s="358" t="s">
        <v>2301</v>
      </c>
      <c r="D1174" s="358" t="s">
        <v>516</v>
      </c>
      <c r="E1174" s="432" t="s">
        <v>2652</v>
      </c>
      <c r="F1174" s="249"/>
      <c r="G1174" s="236" t="s">
        <v>499</v>
      </c>
      <c r="H1174" s="237">
        <f t="shared" ref="H1174:H1205" si="85">IF(G1174="","",VLOOKUP(G1174,mah,2,0))</f>
        <v>12</v>
      </c>
      <c r="I1174" s="236">
        <v>1403</v>
      </c>
      <c r="J1174" s="236"/>
      <c r="K1174" s="238">
        <v>15000000</v>
      </c>
      <c r="L1174" s="368"/>
    </row>
    <row r="1175" spans="1:12" ht="15.75" customHeight="1">
      <c r="A1175" s="194"/>
      <c r="B117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75" s="358" t="s">
        <v>2647</v>
      </c>
      <c r="D1175" s="358" t="s">
        <v>2648</v>
      </c>
      <c r="E1175" s="432" t="s">
        <v>2652</v>
      </c>
      <c r="F1175" s="249"/>
      <c r="G1175" s="236" t="s">
        <v>499</v>
      </c>
      <c r="H1175" s="237">
        <f t="shared" si="85"/>
        <v>12</v>
      </c>
      <c r="I1175" s="236">
        <v>1403</v>
      </c>
      <c r="J1175" s="236"/>
      <c r="K1175" s="238">
        <v>4000000</v>
      </c>
      <c r="L1175" s="368"/>
    </row>
    <row r="1176" spans="1:12" ht="15.75" customHeight="1">
      <c r="A1176" s="194"/>
      <c r="B1176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176" s="358" t="s">
        <v>838</v>
      </c>
      <c r="D1176" s="358" t="s">
        <v>839</v>
      </c>
      <c r="E1176" s="432" t="s">
        <v>2652</v>
      </c>
      <c r="F1176" s="249"/>
      <c r="G1176" s="236" t="s">
        <v>499</v>
      </c>
      <c r="H1176" s="237">
        <f t="shared" si="85"/>
        <v>12</v>
      </c>
      <c r="I1176" s="236">
        <v>1403</v>
      </c>
      <c r="J1176" s="236"/>
      <c r="K1176" s="238">
        <v>5000000</v>
      </c>
      <c r="L1176" s="368"/>
    </row>
    <row r="1177" spans="1:12" ht="15.75" customHeight="1">
      <c r="A1177" s="194"/>
      <c r="B117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77" s="358" t="s">
        <v>1112</v>
      </c>
      <c r="D1177" s="358" t="s">
        <v>1642</v>
      </c>
      <c r="E1177" s="432" t="s">
        <v>2652</v>
      </c>
      <c r="F1177" s="249"/>
      <c r="G1177" s="236" t="s">
        <v>499</v>
      </c>
      <c r="H1177" s="237">
        <f t="shared" si="85"/>
        <v>12</v>
      </c>
      <c r="I1177" s="236">
        <v>1403</v>
      </c>
      <c r="J1177" s="236"/>
      <c r="K1177" s="238">
        <v>2000000</v>
      </c>
      <c r="L1177" s="368"/>
    </row>
    <row r="1178" spans="1:12" ht="15.75" customHeight="1">
      <c r="A1178" s="194"/>
      <c r="B117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78" s="358" t="s">
        <v>2649</v>
      </c>
      <c r="D1178" s="358" t="s">
        <v>516</v>
      </c>
      <c r="E1178" s="432" t="s">
        <v>2652</v>
      </c>
      <c r="F1178" s="249"/>
      <c r="G1178" s="236" t="s">
        <v>499</v>
      </c>
      <c r="H1178" s="237">
        <f t="shared" si="85"/>
        <v>12</v>
      </c>
      <c r="I1178" s="236">
        <v>1403</v>
      </c>
      <c r="J1178" s="236"/>
      <c r="K1178" s="238">
        <v>500000</v>
      </c>
      <c r="L1178" s="368"/>
    </row>
    <row r="1179" spans="1:12" ht="15.75" customHeight="1">
      <c r="A1179" s="194"/>
      <c r="B117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79" s="358" t="s">
        <v>2650</v>
      </c>
      <c r="D1179" s="358" t="s">
        <v>2651</v>
      </c>
      <c r="E1179" s="432" t="s">
        <v>2652</v>
      </c>
      <c r="F1179" s="249"/>
      <c r="G1179" s="236" t="s">
        <v>499</v>
      </c>
      <c r="H1179" s="237">
        <f t="shared" si="85"/>
        <v>12</v>
      </c>
      <c r="I1179" s="236">
        <v>1403</v>
      </c>
      <c r="J1179" s="236"/>
      <c r="K1179" s="238">
        <v>500000</v>
      </c>
      <c r="L1179" s="368"/>
    </row>
    <row r="1180" spans="1:12" ht="15.75" customHeight="1">
      <c r="A1180" s="194"/>
      <c r="B118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80" s="358" t="s">
        <v>204</v>
      </c>
      <c r="D1180" s="358" t="s">
        <v>2653</v>
      </c>
      <c r="E1180" s="432" t="s">
        <v>2652</v>
      </c>
      <c r="F1180" s="249"/>
      <c r="G1180" s="236" t="s">
        <v>499</v>
      </c>
      <c r="H1180" s="237">
        <f t="shared" si="85"/>
        <v>12</v>
      </c>
      <c r="I1180" s="236">
        <v>1403</v>
      </c>
      <c r="J1180" s="236"/>
      <c r="K1180" s="238">
        <v>500000</v>
      </c>
      <c r="L1180" s="368"/>
    </row>
    <row r="1181" spans="1:12" ht="15.75" customHeight="1">
      <c r="A1181" s="194"/>
      <c r="B118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81" s="358" t="s">
        <v>2621</v>
      </c>
      <c r="D1181" s="358" t="s">
        <v>2622</v>
      </c>
      <c r="E1181" s="432" t="s">
        <v>2660</v>
      </c>
      <c r="F1181" s="249"/>
      <c r="G1181" s="236" t="s">
        <v>499</v>
      </c>
      <c r="H1181" s="237">
        <f t="shared" si="85"/>
        <v>12</v>
      </c>
      <c r="I1181" s="236">
        <v>1403</v>
      </c>
      <c r="J1181" s="236"/>
      <c r="K1181" s="238">
        <v>20000</v>
      </c>
      <c r="L1181" s="368"/>
    </row>
    <row r="1182" spans="1:12" ht="15.75" customHeight="1">
      <c r="A1182" s="194"/>
      <c r="B118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82" s="358" t="s">
        <v>838</v>
      </c>
      <c r="D1182" s="358" t="s">
        <v>2654</v>
      </c>
      <c r="E1182" s="432" t="s">
        <v>2660</v>
      </c>
      <c r="F1182" s="249"/>
      <c r="G1182" s="236" t="s">
        <v>499</v>
      </c>
      <c r="H1182" s="237">
        <f t="shared" si="85"/>
        <v>12</v>
      </c>
      <c r="I1182" s="236">
        <v>1403</v>
      </c>
      <c r="J1182" s="236"/>
      <c r="K1182" s="238">
        <v>3000000</v>
      </c>
      <c r="L1182" s="368"/>
    </row>
    <row r="1183" spans="1:12" ht="15.75" customHeight="1">
      <c r="A1183" s="194"/>
      <c r="B118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83" s="358" t="s">
        <v>2655</v>
      </c>
      <c r="D1183" s="358" t="s">
        <v>2656</v>
      </c>
      <c r="E1183" s="432" t="s">
        <v>2660</v>
      </c>
      <c r="F1183" s="249"/>
      <c r="G1183" s="236" t="s">
        <v>499</v>
      </c>
      <c r="H1183" s="237">
        <f t="shared" si="85"/>
        <v>12</v>
      </c>
      <c r="I1183" s="236">
        <v>1403</v>
      </c>
      <c r="J1183" s="236"/>
      <c r="K1183" s="238">
        <v>5000000</v>
      </c>
      <c r="L1183" s="368"/>
    </row>
    <row r="1184" spans="1:12" ht="15.75" customHeight="1">
      <c r="A1184" s="194"/>
      <c r="B118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84" s="358" t="s">
        <v>2657</v>
      </c>
      <c r="D1184" s="358" t="s">
        <v>1642</v>
      </c>
      <c r="E1184" s="432" t="s">
        <v>2660</v>
      </c>
      <c r="F1184" s="249"/>
      <c r="G1184" s="236" t="s">
        <v>499</v>
      </c>
      <c r="H1184" s="237">
        <f t="shared" si="85"/>
        <v>12</v>
      </c>
      <c r="I1184" s="236">
        <v>1403</v>
      </c>
      <c r="J1184" s="236"/>
      <c r="K1184" s="238">
        <v>2000000</v>
      </c>
      <c r="L1184" s="368"/>
    </row>
    <row r="1185" spans="1:12" ht="15.75" customHeight="1">
      <c r="A1185" s="194"/>
      <c r="B118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85" s="358" t="s">
        <v>2658</v>
      </c>
      <c r="D1185" s="358" t="s">
        <v>2659</v>
      </c>
      <c r="E1185" s="432" t="s">
        <v>2660</v>
      </c>
      <c r="F1185" s="249"/>
      <c r="G1185" s="236" t="s">
        <v>499</v>
      </c>
      <c r="H1185" s="237">
        <f t="shared" si="85"/>
        <v>12</v>
      </c>
      <c r="I1185" s="236">
        <v>1403</v>
      </c>
      <c r="J1185" s="236"/>
      <c r="K1185" s="238">
        <v>10000000</v>
      </c>
      <c r="L1185" s="368"/>
    </row>
    <row r="1186" spans="1:12" ht="15.75" customHeight="1">
      <c r="A1186" s="194"/>
      <c r="B118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86" s="358" t="s">
        <v>520</v>
      </c>
      <c r="D1186" s="358" t="s">
        <v>2661</v>
      </c>
      <c r="E1186" s="432" t="s">
        <v>2660</v>
      </c>
      <c r="F1186" s="249"/>
      <c r="G1186" s="236" t="s">
        <v>499</v>
      </c>
      <c r="H1186" s="237">
        <f t="shared" si="85"/>
        <v>12</v>
      </c>
      <c r="I1186" s="236">
        <v>1403</v>
      </c>
      <c r="J1186" s="236"/>
      <c r="K1186" s="238">
        <v>1000000</v>
      </c>
      <c r="L1186" s="368"/>
    </row>
    <row r="1187" spans="1:12" ht="15.75" customHeight="1">
      <c r="A1187" s="194"/>
      <c r="B118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87" s="358" t="s">
        <v>2662</v>
      </c>
      <c r="D1187" s="358" t="s">
        <v>2663</v>
      </c>
      <c r="E1187" s="432" t="s">
        <v>2660</v>
      </c>
      <c r="F1187" s="249"/>
      <c r="G1187" s="236" t="s">
        <v>499</v>
      </c>
      <c r="H1187" s="237">
        <f t="shared" si="85"/>
        <v>12</v>
      </c>
      <c r="I1187" s="236">
        <v>1403</v>
      </c>
      <c r="J1187" s="236"/>
      <c r="K1187" s="238">
        <v>100000</v>
      </c>
      <c r="L1187" s="368"/>
    </row>
    <row r="1188" spans="1:12" ht="15.75" customHeight="1">
      <c r="A1188" s="194"/>
      <c r="B118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88" s="358" t="s">
        <v>2664</v>
      </c>
      <c r="D1188" s="358" t="s">
        <v>2665</v>
      </c>
      <c r="E1188" s="432" t="s">
        <v>2660</v>
      </c>
      <c r="F1188" s="249"/>
      <c r="G1188" s="236" t="s">
        <v>499</v>
      </c>
      <c r="H1188" s="237">
        <f t="shared" si="85"/>
        <v>12</v>
      </c>
      <c r="I1188" s="236">
        <v>1403</v>
      </c>
      <c r="J1188" s="236"/>
      <c r="K1188" s="238">
        <v>1000000</v>
      </c>
      <c r="L1188" s="368"/>
    </row>
    <row r="1189" spans="1:12" ht="15.75" customHeight="1">
      <c r="A1189" s="194"/>
      <c r="B118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89" s="358" t="s">
        <v>2666</v>
      </c>
      <c r="D1189" s="358" t="s">
        <v>2667</v>
      </c>
      <c r="E1189" s="432" t="s">
        <v>2660</v>
      </c>
      <c r="F1189" s="249"/>
      <c r="G1189" s="236" t="s">
        <v>499</v>
      </c>
      <c r="H1189" s="237">
        <f t="shared" si="85"/>
        <v>12</v>
      </c>
      <c r="I1189" s="236">
        <v>1403</v>
      </c>
      <c r="J1189" s="236"/>
      <c r="K1189" s="238">
        <v>1000000</v>
      </c>
      <c r="L1189" s="368"/>
    </row>
    <row r="1190" spans="1:12" ht="15.75" customHeight="1">
      <c r="A1190" s="194"/>
      <c r="B119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90" s="358" t="s">
        <v>2668</v>
      </c>
      <c r="D1190" s="358" t="s">
        <v>2669</v>
      </c>
      <c r="E1190" s="432" t="s">
        <v>2660</v>
      </c>
      <c r="F1190" s="249"/>
      <c r="G1190" s="236" t="s">
        <v>499</v>
      </c>
      <c r="H1190" s="237">
        <f t="shared" si="85"/>
        <v>12</v>
      </c>
      <c r="I1190" s="236">
        <v>1403</v>
      </c>
      <c r="J1190" s="236"/>
      <c r="K1190" s="238">
        <v>500000</v>
      </c>
      <c r="L1190" s="368"/>
    </row>
    <row r="1191" spans="1:12" ht="15.75" customHeight="1">
      <c r="A1191" s="194"/>
      <c r="B119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91" s="358" t="s">
        <v>2670</v>
      </c>
      <c r="D1191" s="358" t="s">
        <v>2671</v>
      </c>
      <c r="E1191" s="432" t="s">
        <v>2660</v>
      </c>
      <c r="F1191" s="249"/>
      <c r="G1191" s="236" t="s">
        <v>499</v>
      </c>
      <c r="H1191" s="237">
        <f t="shared" si="85"/>
        <v>12</v>
      </c>
      <c r="I1191" s="236">
        <v>1403</v>
      </c>
      <c r="J1191" s="236"/>
      <c r="K1191" s="238">
        <v>500000</v>
      </c>
      <c r="L1191" s="368"/>
    </row>
    <row r="1192" spans="1:12" ht="15.75" customHeight="1">
      <c r="A1192" s="194"/>
      <c r="B119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92" s="358" t="s">
        <v>2672</v>
      </c>
      <c r="D1192" s="358" t="s">
        <v>2673</v>
      </c>
      <c r="E1192" s="432" t="s">
        <v>2660</v>
      </c>
      <c r="F1192" s="249"/>
      <c r="G1192" s="236" t="s">
        <v>499</v>
      </c>
      <c r="H1192" s="237">
        <f t="shared" si="85"/>
        <v>12</v>
      </c>
      <c r="I1192" s="236">
        <v>1403</v>
      </c>
      <c r="J1192" s="236"/>
      <c r="K1192" s="238">
        <v>500000</v>
      </c>
      <c r="L1192" s="368"/>
    </row>
    <row r="1193" spans="1:12" ht="15.75" customHeight="1">
      <c r="A1193" s="194"/>
      <c r="B119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93" s="358" t="s">
        <v>588</v>
      </c>
      <c r="D1193" s="358" t="s">
        <v>2674</v>
      </c>
      <c r="E1193" s="432" t="s">
        <v>2660</v>
      </c>
      <c r="F1193" s="249"/>
      <c r="G1193" s="236" t="s">
        <v>499</v>
      </c>
      <c r="H1193" s="237">
        <f t="shared" si="85"/>
        <v>12</v>
      </c>
      <c r="I1193" s="236">
        <v>1403</v>
      </c>
      <c r="J1193" s="236"/>
      <c r="K1193" s="238">
        <v>500000</v>
      </c>
      <c r="L1193" s="368"/>
    </row>
    <row r="1194" spans="1:12" ht="15.75" customHeight="1">
      <c r="A1194" s="194"/>
      <c r="B119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94" s="358" t="s">
        <v>2675</v>
      </c>
      <c r="D1194" s="358" t="s">
        <v>2671</v>
      </c>
      <c r="E1194" s="432" t="s">
        <v>2660</v>
      </c>
      <c r="F1194" s="249"/>
      <c r="G1194" s="236" t="s">
        <v>499</v>
      </c>
      <c r="H1194" s="237">
        <f t="shared" si="85"/>
        <v>12</v>
      </c>
      <c r="I1194" s="236">
        <v>1403</v>
      </c>
      <c r="J1194" s="236"/>
      <c r="K1194" s="238">
        <v>300000</v>
      </c>
      <c r="L1194" s="368"/>
    </row>
    <row r="1195" spans="1:12" ht="15.75" customHeight="1">
      <c r="A1195" s="194"/>
      <c r="B119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95" s="358" t="s">
        <v>2676</v>
      </c>
      <c r="D1195" s="358" t="s">
        <v>2677</v>
      </c>
      <c r="E1195" s="432" t="s">
        <v>2660</v>
      </c>
      <c r="F1195" s="249"/>
      <c r="G1195" s="236" t="s">
        <v>499</v>
      </c>
      <c r="H1195" s="237">
        <f t="shared" si="85"/>
        <v>12</v>
      </c>
      <c r="I1195" s="236">
        <v>1403</v>
      </c>
      <c r="J1195" s="236"/>
      <c r="K1195" s="238">
        <v>1000000</v>
      </c>
      <c r="L1195" s="368"/>
    </row>
    <row r="1196" spans="1:12" ht="15.75" customHeight="1">
      <c r="A1196" s="194"/>
      <c r="B119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96" s="358" t="s">
        <v>1104</v>
      </c>
      <c r="D1196" s="358" t="s">
        <v>2671</v>
      </c>
      <c r="E1196" s="432" t="s">
        <v>2660</v>
      </c>
      <c r="F1196" s="249"/>
      <c r="G1196" s="236" t="s">
        <v>499</v>
      </c>
      <c r="H1196" s="237">
        <f t="shared" si="85"/>
        <v>12</v>
      </c>
      <c r="I1196" s="236">
        <v>1403</v>
      </c>
      <c r="J1196" s="236"/>
      <c r="K1196" s="238">
        <v>1000000</v>
      </c>
      <c r="L1196" s="368"/>
    </row>
    <row r="1197" spans="1:12" ht="15.75" customHeight="1">
      <c r="A1197" s="194"/>
      <c r="B119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97" s="358" t="s">
        <v>2678</v>
      </c>
      <c r="D1197" s="358" t="s">
        <v>2679</v>
      </c>
      <c r="E1197" s="432" t="s">
        <v>2660</v>
      </c>
      <c r="F1197" s="249"/>
      <c r="G1197" s="236" t="s">
        <v>499</v>
      </c>
      <c r="H1197" s="237">
        <f t="shared" si="85"/>
        <v>12</v>
      </c>
      <c r="I1197" s="236">
        <v>1403</v>
      </c>
      <c r="J1197" s="236"/>
      <c r="K1197" s="238">
        <v>500000</v>
      </c>
      <c r="L1197" s="368"/>
    </row>
    <row r="1198" spans="1:12" ht="15.75" customHeight="1">
      <c r="A1198" s="194"/>
      <c r="B119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98" s="358" t="s">
        <v>2680</v>
      </c>
      <c r="D1198" s="358" t="s">
        <v>2681</v>
      </c>
      <c r="E1198" s="432" t="s">
        <v>2660</v>
      </c>
      <c r="F1198" s="249"/>
      <c r="G1198" s="236" t="s">
        <v>499</v>
      </c>
      <c r="H1198" s="237">
        <f t="shared" si="85"/>
        <v>12</v>
      </c>
      <c r="I1198" s="236">
        <v>1403</v>
      </c>
      <c r="J1198" s="236"/>
      <c r="K1198" s="238">
        <v>1000000</v>
      </c>
      <c r="L1198" s="368"/>
    </row>
    <row r="1199" spans="1:12" ht="15.75" customHeight="1">
      <c r="A1199" s="194"/>
      <c r="B119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199" s="358" t="s">
        <v>2682</v>
      </c>
      <c r="D1199" s="358" t="s">
        <v>2683</v>
      </c>
      <c r="E1199" s="432" t="s">
        <v>2660</v>
      </c>
      <c r="F1199" s="249"/>
      <c r="G1199" s="236" t="s">
        <v>499</v>
      </c>
      <c r="H1199" s="237">
        <f t="shared" si="85"/>
        <v>12</v>
      </c>
      <c r="I1199" s="236">
        <v>1403</v>
      </c>
      <c r="J1199" s="236"/>
      <c r="K1199" s="238">
        <v>5000000</v>
      </c>
      <c r="L1199" s="368"/>
    </row>
    <row r="1200" spans="1:12" ht="15.75" customHeight="1">
      <c r="A1200" s="194"/>
      <c r="B120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00" s="358" t="s">
        <v>2604</v>
      </c>
      <c r="D1200" s="358" t="s">
        <v>2684</v>
      </c>
      <c r="E1200" s="432" t="s">
        <v>2660</v>
      </c>
      <c r="F1200" s="249"/>
      <c r="G1200" s="236" t="s">
        <v>499</v>
      </c>
      <c r="H1200" s="237">
        <f t="shared" si="85"/>
        <v>12</v>
      </c>
      <c r="I1200" s="236">
        <v>1403</v>
      </c>
      <c r="J1200" s="236"/>
      <c r="K1200" s="238">
        <v>500000</v>
      </c>
      <c r="L1200" s="368"/>
    </row>
    <row r="1201" spans="1:12" ht="15.75" customHeight="1">
      <c r="A1201" s="194"/>
      <c r="B120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01" s="358" t="s">
        <v>2685</v>
      </c>
      <c r="D1201" s="358" t="s">
        <v>2686</v>
      </c>
      <c r="E1201" s="432" t="s">
        <v>2660</v>
      </c>
      <c r="F1201" s="249"/>
      <c r="G1201" s="236" t="s">
        <v>499</v>
      </c>
      <c r="H1201" s="237">
        <f t="shared" si="85"/>
        <v>12</v>
      </c>
      <c r="I1201" s="236">
        <v>1403</v>
      </c>
      <c r="J1201" s="236"/>
      <c r="K1201" s="238">
        <v>500000</v>
      </c>
      <c r="L1201" s="368"/>
    </row>
    <row r="1202" spans="1:12" ht="15.75" customHeight="1">
      <c r="A1202" s="194"/>
      <c r="B120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02" s="358" t="s">
        <v>204</v>
      </c>
      <c r="D1202" s="358" t="s">
        <v>2671</v>
      </c>
      <c r="E1202" s="432" t="s">
        <v>2660</v>
      </c>
      <c r="F1202" s="249"/>
      <c r="G1202" s="236" t="s">
        <v>499</v>
      </c>
      <c r="H1202" s="237">
        <f t="shared" si="85"/>
        <v>12</v>
      </c>
      <c r="I1202" s="236">
        <v>1403</v>
      </c>
      <c r="J1202" s="236"/>
      <c r="K1202" s="238">
        <v>150000</v>
      </c>
      <c r="L1202" s="368"/>
    </row>
    <row r="1203" spans="1:12" ht="15.75" customHeight="1">
      <c r="A1203" s="194"/>
      <c r="B120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03" s="358" t="s">
        <v>2687</v>
      </c>
      <c r="D1203" s="358" t="s">
        <v>2688</v>
      </c>
      <c r="E1203" s="432" t="s">
        <v>2689</v>
      </c>
      <c r="F1203" s="249"/>
      <c r="G1203" s="236" t="s">
        <v>499</v>
      </c>
      <c r="H1203" s="237">
        <f t="shared" si="85"/>
        <v>12</v>
      </c>
      <c r="I1203" s="236">
        <v>1403</v>
      </c>
      <c r="J1203" s="236"/>
      <c r="K1203" s="238">
        <v>1000000</v>
      </c>
      <c r="L1203" s="368"/>
    </row>
    <row r="1204" spans="1:12" ht="15.75" customHeight="1">
      <c r="A1204" s="194"/>
      <c r="B120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04" s="358" t="s">
        <v>2585</v>
      </c>
      <c r="D1204" s="358" t="s">
        <v>2586</v>
      </c>
      <c r="E1204" s="432" t="s">
        <v>2689</v>
      </c>
      <c r="F1204" s="249"/>
      <c r="G1204" s="236" t="s">
        <v>499</v>
      </c>
      <c r="H1204" s="237">
        <f t="shared" si="85"/>
        <v>12</v>
      </c>
      <c r="I1204" s="236">
        <v>1403</v>
      </c>
      <c r="J1204" s="236"/>
      <c r="K1204" s="238">
        <v>500000</v>
      </c>
      <c r="L1204" s="368"/>
    </row>
    <row r="1205" spans="1:12" ht="15.75" customHeight="1">
      <c r="A1205" s="194"/>
      <c r="B120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05" s="358" t="s">
        <v>2690</v>
      </c>
      <c r="D1205" s="358" t="s">
        <v>2691</v>
      </c>
      <c r="E1205" s="432" t="s">
        <v>2689</v>
      </c>
      <c r="F1205" s="249"/>
      <c r="G1205" s="236" t="s">
        <v>499</v>
      </c>
      <c r="H1205" s="237">
        <f t="shared" si="85"/>
        <v>12</v>
      </c>
      <c r="I1205" s="236">
        <v>1403</v>
      </c>
      <c r="J1205" s="236"/>
      <c r="K1205" s="238">
        <v>50000</v>
      </c>
      <c r="L1205" s="368"/>
    </row>
    <row r="1206" spans="1:12" ht="15.75" customHeight="1">
      <c r="A1206" s="194"/>
      <c r="B120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06" s="358" t="s">
        <v>997</v>
      </c>
      <c r="D1206" s="358" t="s">
        <v>2692</v>
      </c>
      <c r="E1206" s="432" t="s">
        <v>2689</v>
      </c>
      <c r="F1206" s="249"/>
      <c r="G1206" s="236" t="s">
        <v>499</v>
      </c>
      <c r="H1206" s="237">
        <f t="shared" ref="H1206:H1237" si="86">IF(G1206="","",VLOOKUP(G1206,mah,2,0))</f>
        <v>12</v>
      </c>
      <c r="I1206" s="236">
        <v>1403</v>
      </c>
      <c r="J1206" s="236"/>
      <c r="K1206" s="238">
        <v>500000</v>
      </c>
      <c r="L1206" s="368"/>
    </row>
    <row r="1207" spans="1:12" ht="15.75" customHeight="1">
      <c r="A1207" s="194"/>
      <c r="B120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07" s="358" t="s">
        <v>2693</v>
      </c>
      <c r="D1207" s="358" t="s">
        <v>2694</v>
      </c>
      <c r="E1207" s="432" t="s">
        <v>2689</v>
      </c>
      <c r="F1207" s="249"/>
      <c r="G1207" s="236" t="s">
        <v>499</v>
      </c>
      <c r="H1207" s="237">
        <f t="shared" si="86"/>
        <v>12</v>
      </c>
      <c r="I1207" s="236">
        <v>1403</v>
      </c>
      <c r="J1207" s="236"/>
      <c r="K1207" s="238">
        <v>200000</v>
      </c>
      <c r="L1207" s="368"/>
    </row>
    <row r="1208" spans="1:12" ht="15.75" customHeight="1">
      <c r="A1208" s="194"/>
      <c r="B120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08" s="358" t="s">
        <v>2650</v>
      </c>
      <c r="D1208" s="358" t="s">
        <v>2695</v>
      </c>
      <c r="E1208" s="432" t="s">
        <v>2689</v>
      </c>
      <c r="F1208" s="249"/>
      <c r="G1208" s="236" t="s">
        <v>499</v>
      </c>
      <c r="H1208" s="237">
        <f t="shared" si="86"/>
        <v>12</v>
      </c>
      <c r="I1208" s="236">
        <v>1403</v>
      </c>
      <c r="J1208" s="236"/>
      <c r="K1208" s="238">
        <v>500000</v>
      </c>
      <c r="L1208" s="368"/>
    </row>
    <row r="1209" spans="1:12" ht="15.75" customHeight="1">
      <c r="A1209" s="194"/>
      <c r="B120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09" s="358" t="s">
        <v>2696</v>
      </c>
      <c r="D1209" s="358" t="s">
        <v>2697</v>
      </c>
      <c r="E1209" s="432" t="s">
        <v>2689</v>
      </c>
      <c r="F1209" s="249"/>
      <c r="G1209" s="236" t="s">
        <v>499</v>
      </c>
      <c r="H1209" s="237">
        <f t="shared" si="86"/>
        <v>12</v>
      </c>
      <c r="I1209" s="236">
        <v>1403</v>
      </c>
      <c r="J1209" s="236"/>
      <c r="K1209" s="238">
        <v>1000000</v>
      </c>
      <c r="L1209" s="368"/>
    </row>
    <row r="1210" spans="1:12" ht="15.75" customHeight="1">
      <c r="A1210" s="194"/>
      <c r="B121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10" s="358" t="s">
        <v>2698</v>
      </c>
      <c r="D1210" s="358" t="s">
        <v>2699</v>
      </c>
      <c r="E1210" s="432" t="s">
        <v>2689</v>
      </c>
      <c r="F1210" s="249"/>
      <c r="G1210" s="236" t="s">
        <v>499</v>
      </c>
      <c r="H1210" s="237">
        <f t="shared" si="86"/>
        <v>12</v>
      </c>
      <c r="I1210" s="236">
        <v>1403</v>
      </c>
      <c r="J1210" s="236"/>
      <c r="K1210" s="238">
        <v>3000000</v>
      </c>
      <c r="L1210" s="368"/>
    </row>
    <row r="1211" spans="1:12" ht="15.75" customHeight="1">
      <c r="A1211" s="194"/>
      <c r="B1211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1211" s="358" t="s">
        <v>1671</v>
      </c>
      <c r="D1211" s="358" t="s">
        <v>1672</v>
      </c>
      <c r="E1211" s="432" t="s">
        <v>2689</v>
      </c>
      <c r="F1211" s="249"/>
      <c r="G1211" s="236" t="s">
        <v>499</v>
      </c>
      <c r="H1211" s="237">
        <f t="shared" si="86"/>
        <v>12</v>
      </c>
      <c r="I1211" s="236">
        <v>1403</v>
      </c>
      <c r="J1211" s="236"/>
      <c r="K1211" s="238">
        <v>2000000</v>
      </c>
      <c r="L1211" s="368"/>
    </row>
    <row r="1212" spans="1:12" ht="15.75" customHeight="1">
      <c r="A1212" s="194"/>
      <c r="B121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12" s="358" t="s">
        <v>2700</v>
      </c>
      <c r="D1212" s="358" t="s">
        <v>2701</v>
      </c>
      <c r="E1212" s="432" t="s">
        <v>2689</v>
      </c>
      <c r="F1212" s="249"/>
      <c r="G1212" s="236" t="s">
        <v>499</v>
      </c>
      <c r="H1212" s="237">
        <f t="shared" si="86"/>
        <v>12</v>
      </c>
      <c r="I1212" s="236">
        <v>1403</v>
      </c>
      <c r="J1212" s="236"/>
      <c r="K1212" s="238">
        <v>1000000</v>
      </c>
      <c r="L1212" s="368"/>
    </row>
    <row r="1213" spans="1:12" ht="15.75" customHeight="1">
      <c r="A1213" s="194"/>
      <c r="B121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13" s="358" t="s">
        <v>630</v>
      </c>
      <c r="D1213" s="358" t="s">
        <v>2702</v>
      </c>
      <c r="E1213" s="432" t="s">
        <v>2689</v>
      </c>
      <c r="F1213" s="249"/>
      <c r="G1213" s="236" t="s">
        <v>499</v>
      </c>
      <c r="H1213" s="237">
        <f t="shared" si="86"/>
        <v>12</v>
      </c>
      <c r="I1213" s="236">
        <v>1403</v>
      </c>
      <c r="J1213" s="236"/>
      <c r="K1213" s="238">
        <v>2000000</v>
      </c>
      <c r="L1213" s="368"/>
    </row>
    <row r="1214" spans="1:12" ht="15.75" customHeight="1">
      <c r="A1214" s="194"/>
      <c r="B121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14" s="358" t="s">
        <v>203</v>
      </c>
      <c r="D1214" s="358" t="s">
        <v>2703</v>
      </c>
      <c r="E1214" s="432" t="s">
        <v>2689</v>
      </c>
      <c r="F1214" s="249"/>
      <c r="G1214" s="236" t="s">
        <v>499</v>
      </c>
      <c r="H1214" s="237">
        <f t="shared" si="86"/>
        <v>12</v>
      </c>
      <c r="I1214" s="236">
        <v>1403</v>
      </c>
      <c r="J1214" s="236"/>
      <c r="K1214" s="238">
        <v>15000000</v>
      </c>
      <c r="L1214" s="368"/>
    </row>
    <row r="1215" spans="1:12" ht="15.75" customHeight="1">
      <c r="A1215" s="194"/>
      <c r="B1215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215" s="358" t="s">
        <v>522</v>
      </c>
      <c r="D1215" s="358" t="s">
        <v>523</v>
      </c>
      <c r="E1215" s="432" t="s">
        <v>2704</v>
      </c>
      <c r="F1215" s="249"/>
      <c r="G1215" s="236" t="s">
        <v>499</v>
      </c>
      <c r="H1215" s="237">
        <f t="shared" si="86"/>
        <v>12</v>
      </c>
      <c r="I1215" s="236">
        <v>1403</v>
      </c>
      <c r="J1215" s="236"/>
      <c r="K1215" s="238">
        <v>84098210</v>
      </c>
      <c r="L1215" s="368"/>
    </row>
    <row r="1216" spans="1:12" ht="15.75" customHeight="1">
      <c r="A1216" s="194"/>
      <c r="B121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16" s="358" t="s">
        <v>1912</v>
      </c>
      <c r="D1216" s="358" t="s">
        <v>2705</v>
      </c>
      <c r="E1216" s="432" t="s">
        <v>2704</v>
      </c>
      <c r="F1216" s="249"/>
      <c r="G1216" s="236" t="s">
        <v>499</v>
      </c>
      <c r="H1216" s="237">
        <f t="shared" si="86"/>
        <v>12</v>
      </c>
      <c r="I1216" s="236">
        <v>1403</v>
      </c>
      <c r="J1216" s="236"/>
      <c r="K1216" s="238">
        <v>5000000</v>
      </c>
      <c r="L1216" s="368"/>
    </row>
    <row r="1217" spans="1:13" ht="15.75" customHeight="1">
      <c r="A1217" s="194"/>
      <c r="B121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17" s="358" t="s">
        <v>2706</v>
      </c>
      <c r="D1217" s="358" t="s">
        <v>2707</v>
      </c>
      <c r="E1217" s="432" t="s">
        <v>2704</v>
      </c>
      <c r="F1217" s="249"/>
      <c r="G1217" s="236" t="s">
        <v>499</v>
      </c>
      <c r="H1217" s="237">
        <f t="shared" si="86"/>
        <v>12</v>
      </c>
      <c r="I1217" s="236">
        <v>1403</v>
      </c>
      <c r="J1217" s="236"/>
      <c r="K1217" s="238">
        <v>1000000</v>
      </c>
      <c r="L1217" s="368"/>
    </row>
    <row r="1218" spans="1:13" ht="15.75" customHeight="1">
      <c r="A1218" s="194"/>
      <c r="B121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18" s="358" t="s">
        <v>2621</v>
      </c>
      <c r="D1218" s="358" t="s">
        <v>2622</v>
      </c>
      <c r="E1218" s="432" t="s">
        <v>2704</v>
      </c>
      <c r="F1218" s="249"/>
      <c r="G1218" s="236" t="s">
        <v>499</v>
      </c>
      <c r="H1218" s="237">
        <f t="shared" si="86"/>
        <v>12</v>
      </c>
      <c r="I1218" s="236">
        <v>1403</v>
      </c>
      <c r="J1218" s="236"/>
      <c r="K1218" s="238">
        <v>20000</v>
      </c>
      <c r="L1218" s="368"/>
    </row>
    <row r="1219" spans="1:13" ht="15.75" customHeight="1">
      <c r="A1219" s="194"/>
      <c r="B1219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1219" s="137" t="s">
        <v>497</v>
      </c>
      <c r="D1219" s="137" t="s">
        <v>513</v>
      </c>
      <c r="E1219" s="432" t="s">
        <v>2704</v>
      </c>
      <c r="F1219" s="249"/>
      <c r="G1219" s="236" t="s">
        <v>499</v>
      </c>
      <c r="H1219" s="237">
        <f t="shared" si="86"/>
        <v>12</v>
      </c>
      <c r="I1219" s="236">
        <v>1403</v>
      </c>
      <c r="J1219" s="236"/>
      <c r="K1219" s="238">
        <v>20000000</v>
      </c>
      <c r="L1219" s="368"/>
    </row>
    <row r="1220" spans="1:13" ht="15.75" customHeight="1">
      <c r="A1220" s="194"/>
      <c r="B122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20" s="358" t="s">
        <v>818</v>
      </c>
      <c r="D1220" s="358" t="s">
        <v>504</v>
      </c>
      <c r="E1220" s="432" t="s">
        <v>2704</v>
      </c>
      <c r="F1220" s="249"/>
      <c r="G1220" s="236" t="s">
        <v>499</v>
      </c>
      <c r="H1220" s="237">
        <f t="shared" si="86"/>
        <v>12</v>
      </c>
      <c r="I1220" s="236">
        <v>1403</v>
      </c>
      <c r="J1220" s="236"/>
      <c r="K1220" s="238">
        <v>1000000</v>
      </c>
      <c r="L1220" s="368"/>
    </row>
    <row r="1221" spans="1:13" ht="15.75" customHeight="1">
      <c r="A1221" s="194"/>
      <c r="B122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21" s="358" t="s">
        <v>2708</v>
      </c>
      <c r="D1221" s="358" t="s">
        <v>2709</v>
      </c>
      <c r="E1221" s="432" t="s">
        <v>2710</v>
      </c>
      <c r="F1221" s="249"/>
      <c r="G1221" s="236" t="s">
        <v>499</v>
      </c>
      <c r="H1221" s="237">
        <f t="shared" si="86"/>
        <v>12</v>
      </c>
      <c r="I1221" s="236">
        <v>1403</v>
      </c>
      <c r="J1221" s="236"/>
      <c r="K1221" s="238">
        <v>500000</v>
      </c>
      <c r="L1221" s="368"/>
    </row>
    <row r="1222" spans="1:13" ht="15.75" customHeight="1">
      <c r="A1222" s="194"/>
      <c r="B122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22" s="358" t="s">
        <v>2624</v>
      </c>
      <c r="D1222" s="358" t="s">
        <v>2625</v>
      </c>
      <c r="E1222" s="432" t="s">
        <v>2710</v>
      </c>
      <c r="F1222" s="249"/>
      <c r="G1222" s="236" t="s">
        <v>499</v>
      </c>
      <c r="H1222" s="237">
        <f t="shared" si="86"/>
        <v>12</v>
      </c>
      <c r="I1222" s="236">
        <v>1403</v>
      </c>
      <c r="J1222" s="236"/>
      <c r="K1222" s="238">
        <v>3000000</v>
      </c>
      <c r="L1222" s="368"/>
    </row>
    <row r="1223" spans="1:13" ht="15.75" customHeight="1">
      <c r="A1223" s="194"/>
      <c r="B1223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223" s="358" t="s">
        <v>489</v>
      </c>
      <c r="D1223" s="358" t="s">
        <v>490</v>
      </c>
      <c r="E1223" s="432" t="s">
        <v>2711</v>
      </c>
      <c r="F1223" s="249"/>
      <c r="G1223" s="236" t="s">
        <v>499</v>
      </c>
      <c r="H1223" s="237">
        <f t="shared" si="86"/>
        <v>12</v>
      </c>
      <c r="I1223" s="236">
        <v>1403</v>
      </c>
      <c r="J1223" s="236"/>
      <c r="K1223" s="238">
        <v>100000000</v>
      </c>
      <c r="L1223" s="368"/>
    </row>
    <row r="1224" spans="1:13" ht="15.75" customHeight="1">
      <c r="A1224" s="194"/>
      <c r="B122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24" s="358" t="s">
        <v>203</v>
      </c>
      <c r="D1224" s="358" t="s">
        <v>505</v>
      </c>
      <c r="E1224" s="432" t="s">
        <v>2712</v>
      </c>
      <c r="F1224" s="249"/>
      <c r="G1224" s="236" t="s">
        <v>499</v>
      </c>
      <c r="H1224" s="237">
        <f t="shared" si="86"/>
        <v>12</v>
      </c>
      <c r="I1224" s="236">
        <v>1403</v>
      </c>
      <c r="J1224" s="236"/>
      <c r="K1224" s="238">
        <v>68000000</v>
      </c>
      <c r="L1224" s="368"/>
    </row>
    <row r="1225" spans="1:13" ht="15.75" customHeight="1">
      <c r="A1225" s="194"/>
      <c r="B122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25" s="358" t="s">
        <v>204</v>
      </c>
      <c r="D1225" s="358" t="s">
        <v>498</v>
      </c>
      <c r="E1225" s="432" t="s">
        <v>2714</v>
      </c>
      <c r="F1225" s="249"/>
      <c r="G1225" s="236" t="s">
        <v>499</v>
      </c>
      <c r="H1225" s="237">
        <f t="shared" si="86"/>
        <v>12</v>
      </c>
      <c r="I1225" s="236">
        <v>1403</v>
      </c>
      <c r="J1225" s="236"/>
      <c r="K1225" s="238">
        <v>50000000</v>
      </c>
      <c r="L1225" s="368"/>
    </row>
    <row r="1226" spans="1:13" ht="15.75" customHeight="1">
      <c r="A1226" s="194"/>
      <c r="B122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26" s="358" t="s">
        <v>2438</v>
      </c>
      <c r="D1226" s="358" t="s">
        <v>2634</v>
      </c>
      <c r="E1226" s="432" t="s">
        <v>2714</v>
      </c>
      <c r="F1226" s="249"/>
      <c r="G1226" s="236" t="s">
        <v>499</v>
      </c>
      <c r="H1226" s="237">
        <f t="shared" si="86"/>
        <v>12</v>
      </c>
      <c r="I1226" s="236">
        <v>1403</v>
      </c>
      <c r="J1226" s="236"/>
      <c r="K1226" s="238">
        <v>3000000</v>
      </c>
      <c r="L1226" s="368"/>
    </row>
    <row r="1227" spans="1:13" ht="15.75" customHeight="1">
      <c r="A1227" s="194"/>
      <c r="B122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27" s="358" t="s">
        <v>695</v>
      </c>
      <c r="D1227" s="358" t="s">
        <v>2603</v>
      </c>
      <c r="E1227" s="432" t="s">
        <v>2715</v>
      </c>
      <c r="F1227" s="249"/>
      <c r="G1227" s="236" t="s">
        <v>499</v>
      </c>
      <c r="H1227" s="237">
        <f t="shared" si="86"/>
        <v>12</v>
      </c>
      <c r="I1227" s="236">
        <v>1403</v>
      </c>
      <c r="J1227" s="236"/>
      <c r="K1227" s="238">
        <v>2000000</v>
      </c>
      <c r="L1227" s="368"/>
    </row>
    <row r="1228" spans="1:13" ht="15.75" customHeight="1">
      <c r="A1228" s="194"/>
      <c r="B1228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1228" s="358" t="s">
        <v>480</v>
      </c>
      <c r="D1228" s="358" t="s">
        <v>481</v>
      </c>
      <c r="E1228" s="432" t="s">
        <v>2715</v>
      </c>
      <c r="F1228" s="249"/>
      <c r="G1228" s="236" t="s">
        <v>499</v>
      </c>
      <c r="H1228" s="237">
        <f t="shared" si="86"/>
        <v>12</v>
      </c>
      <c r="I1228" s="236">
        <v>1403</v>
      </c>
      <c r="J1228" s="236"/>
      <c r="K1228" s="238">
        <v>50000000</v>
      </c>
      <c r="L1228" s="368"/>
    </row>
    <row r="1229" spans="1:13" ht="15.75" customHeight="1">
      <c r="A1229" s="194"/>
      <c r="B122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29" s="358" t="s">
        <v>818</v>
      </c>
      <c r="D1229" s="358" t="s">
        <v>2713</v>
      </c>
      <c r="E1229" s="432" t="s">
        <v>2716</v>
      </c>
      <c r="F1229" s="249"/>
      <c r="G1229" s="236" t="s">
        <v>499</v>
      </c>
      <c r="H1229" s="237">
        <f t="shared" si="86"/>
        <v>12</v>
      </c>
      <c r="I1229" s="236">
        <v>1403</v>
      </c>
      <c r="J1229" s="236"/>
      <c r="K1229" s="238">
        <v>3000000</v>
      </c>
      <c r="L1229" s="368"/>
    </row>
    <row r="1230" spans="1:13" ht="15.75" customHeight="1">
      <c r="A1230" s="194"/>
      <c r="B123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30" s="358" t="s">
        <v>2286</v>
      </c>
      <c r="D1230" s="358" t="s">
        <v>2680</v>
      </c>
      <c r="E1230" s="432" t="s">
        <v>2719</v>
      </c>
      <c r="F1230" s="249"/>
      <c r="G1230" s="236" t="s">
        <v>499</v>
      </c>
      <c r="H1230" s="237">
        <f t="shared" si="86"/>
        <v>12</v>
      </c>
      <c r="I1230" s="236">
        <v>1403</v>
      </c>
      <c r="J1230" s="236"/>
      <c r="K1230" s="238">
        <v>2000000</v>
      </c>
      <c r="L1230" s="368"/>
    </row>
    <row r="1231" spans="1:13" ht="15.75" customHeight="1">
      <c r="A1231" s="194"/>
      <c r="B1231" s="133">
        <f>SUMIFS('لیست واریزی کل خیرین'!B:B,'لیست واریزی کل خیرین'!D:D,Table1[[#This Row],[نام]],'لیست واریزی کل خیرین'!E:E,Table1[[#This Row],[نام خانوادگی]])</f>
        <v>0</v>
      </c>
      <c r="C1231" s="134" t="s">
        <v>2717</v>
      </c>
      <c r="D1231" s="134" t="s">
        <v>2718</v>
      </c>
      <c r="E1231" s="432" t="s">
        <v>2720</v>
      </c>
      <c r="F1231" s="243"/>
      <c r="G1231" s="236" t="s">
        <v>499</v>
      </c>
      <c r="H1231" s="237">
        <f t="shared" si="86"/>
        <v>12</v>
      </c>
      <c r="I1231" s="236">
        <v>1403</v>
      </c>
      <c r="J1231" s="137"/>
      <c r="K1231" s="139">
        <v>3000000</v>
      </c>
      <c r="L1231" s="253"/>
      <c r="M1231" s="459"/>
    </row>
    <row r="1232" spans="1:13" ht="15.75" customHeight="1">
      <c r="A1232" s="194"/>
      <c r="B1232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232" s="358" t="s">
        <v>486</v>
      </c>
      <c r="D1232" s="358" t="s">
        <v>487</v>
      </c>
      <c r="E1232" s="432" t="s">
        <v>2720</v>
      </c>
      <c r="F1232" s="249"/>
      <c r="G1232" s="236" t="s">
        <v>499</v>
      </c>
      <c r="H1232" s="237">
        <f t="shared" si="86"/>
        <v>12</v>
      </c>
      <c r="I1232" s="236">
        <v>1403</v>
      </c>
      <c r="J1232" s="236"/>
      <c r="K1232" s="238">
        <v>20000000</v>
      </c>
      <c r="L1232" s="368"/>
    </row>
    <row r="1233" spans="1:12" ht="15.75" customHeight="1">
      <c r="A1233" s="194"/>
      <c r="B123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33" s="358" t="s">
        <v>695</v>
      </c>
      <c r="D1233" s="358" t="s">
        <v>2603</v>
      </c>
      <c r="E1233" s="432" t="s">
        <v>2721</v>
      </c>
      <c r="F1233" s="249"/>
      <c r="G1233" s="236" t="s">
        <v>499</v>
      </c>
      <c r="H1233" s="237">
        <f t="shared" si="86"/>
        <v>12</v>
      </c>
      <c r="I1233" s="236">
        <v>1403</v>
      </c>
      <c r="J1233" s="236"/>
      <c r="K1233" s="238">
        <v>500000</v>
      </c>
      <c r="L1233" s="368"/>
    </row>
    <row r="1234" spans="1:12" ht="15.75" customHeight="1">
      <c r="A1234" s="194"/>
      <c r="B1234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1234" s="358" t="s">
        <v>471</v>
      </c>
      <c r="D1234" s="358" t="s">
        <v>472</v>
      </c>
      <c r="E1234" s="432" t="s">
        <v>2721</v>
      </c>
      <c r="F1234" s="249"/>
      <c r="G1234" s="236" t="s">
        <v>499</v>
      </c>
      <c r="H1234" s="237">
        <f t="shared" si="86"/>
        <v>12</v>
      </c>
      <c r="I1234" s="236">
        <v>1403</v>
      </c>
      <c r="J1234" s="236"/>
      <c r="K1234" s="238">
        <v>6000000</v>
      </c>
      <c r="L1234" s="368"/>
    </row>
    <row r="1235" spans="1:12" ht="15.75" customHeight="1">
      <c r="A1235" s="194"/>
      <c r="B123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35" s="358" t="s">
        <v>1003</v>
      </c>
      <c r="D1235" s="358" t="s">
        <v>2723</v>
      </c>
      <c r="E1235" s="432" t="s">
        <v>2721</v>
      </c>
      <c r="F1235" s="249"/>
      <c r="G1235" s="236" t="s">
        <v>499</v>
      </c>
      <c r="H1235" s="237">
        <f t="shared" si="86"/>
        <v>12</v>
      </c>
      <c r="I1235" s="236">
        <v>1403</v>
      </c>
      <c r="J1235" s="236"/>
      <c r="K1235" s="238">
        <v>2000000</v>
      </c>
      <c r="L1235" s="368"/>
    </row>
    <row r="1236" spans="1:12" ht="15.75" customHeight="1">
      <c r="A1236" s="194"/>
      <c r="B123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36" s="358" t="s">
        <v>2724</v>
      </c>
      <c r="D1236" s="358" t="s">
        <v>2725</v>
      </c>
      <c r="E1236" s="432" t="s">
        <v>2722</v>
      </c>
      <c r="F1236" s="249"/>
      <c r="G1236" s="236" t="s">
        <v>499</v>
      </c>
      <c r="H1236" s="237">
        <f t="shared" si="86"/>
        <v>12</v>
      </c>
      <c r="I1236" s="236">
        <v>1403</v>
      </c>
      <c r="J1236" s="236"/>
      <c r="K1236" s="238">
        <v>100000</v>
      </c>
      <c r="L1236" s="368"/>
    </row>
    <row r="1237" spans="1:12" ht="15.75" customHeight="1">
      <c r="A1237" s="194"/>
      <c r="B123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37" s="358" t="s">
        <v>202</v>
      </c>
      <c r="D1237" s="358" t="s">
        <v>2726</v>
      </c>
      <c r="E1237" s="432" t="s">
        <v>2722</v>
      </c>
      <c r="F1237" s="249"/>
      <c r="G1237" s="236" t="s">
        <v>499</v>
      </c>
      <c r="H1237" s="237">
        <f t="shared" si="86"/>
        <v>12</v>
      </c>
      <c r="I1237" s="236">
        <v>1403</v>
      </c>
      <c r="J1237" s="236"/>
      <c r="K1237" s="238">
        <v>400000</v>
      </c>
      <c r="L1237" s="368"/>
    </row>
    <row r="1238" spans="1:12" ht="15.75" customHeight="1">
      <c r="A1238" s="194"/>
      <c r="B123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38" s="358" t="s">
        <v>3122</v>
      </c>
      <c r="D1238" s="358" t="s">
        <v>3123</v>
      </c>
      <c r="E1238" s="432" t="s">
        <v>3111</v>
      </c>
      <c r="F1238" s="249"/>
      <c r="G1238" s="236" t="s">
        <v>499</v>
      </c>
      <c r="H1238" s="237">
        <f t="shared" ref="H1238:H1262" si="87">IF(G1238="","",VLOOKUP(G1238,mah,2,0))</f>
        <v>12</v>
      </c>
      <c r="I1238" s="236">
        <v>1403</v>
      </c>
      <c r="J1238" s="236"/>
      <c r="K1238" s="238">
        <v>25000000</v>
      </c>
      <c r="L1238" s="368"/>
    </row>
    <row r="1239" spans="1:12" ht="15.75" customHeight="1">
      <c r="A1239" s="194"/>
      <c r="B123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39" s="358" t="s">
        <v>695</v>
      </c>
      <c r="D1239" s="358" t="s">
        <v>2603</v>
      </c>
      <c r="E1239" s="432" t="s">
        <v>3111</v>
      </c>
      <c r="F1239" s="249"/>
      <c r="G1239" s="236" t="s">
        <v>499</v>
      </c>
      <c r="H1239" s="237">
        <f t="shared" si="87"/>
        <v>12</v>
      </c>
      <c r="I1239" s="236">
        <v>1403</v>
      </c>
      <c r="J1239" s="236"/>
      <c r="K1239" s="238">
        <v>500000</v>
      </c>
      <c r="L1239" s="368"/>
    </row>
    <row r="1240" spans="1:12" ht="15.75" customHeight="1">
      <c r="A1240" s="194"/>
      <c r="B1240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1240" s="358" t="s">
        <v>503</v>
      </c>
      <c r="D1240" s="358" t="s">
        <v>504</v>
      </c>
      <c r="E1240" s="432" t="s">
        <v>3111</v>
      </c>
      <c r="F1240" s="249"/>
      <c r="G1240" s="236" t="s">
        <v>499</v>
      </c>
      <c r="H1240" s="237">
        <f t="shared" si="87"/>
        <v>12</v>
      </c>
      <c r="I1240" s="236">
        <v>1403</v>
      </c>
      <c r="J1240" s="236"/>
      <c r="K1240" s="238">
        <v>30000000</v>
      </c>
      <c r="L1240" s="368"/>
    </row>
    <row r="1241" spans="1:12" ht="15.75" customHeight="1">
      <c r="A1241" s="194"/>
      <c r="B1241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241" s="358" t="s">
        <v>489</v>
      </c>
      <c r="D1241" s="358" t="s">
        <v>490</v>
      </c>
      <c r="E1241" s="432" t="s">
        <v>3112</v>
      </c>
      <c r="F1241" s="249"/>
      <c r="G1241" s="236" t="s">
        <v>499</v>
      </c>
      <c r="H1241" s="237">
        <f t="shared" si="87"/>
        <v>12</v>
      </c>
      <c r="I1241" s="236">
        <v>1403</v>
      </c>
      <c r="J1241" s="236"/>
      <c r="K1241" s="238">
        <v>4000000</v>
      </c>
      <c r="L1241" s="368"/>
    </row>
    <row r="1242" spans="1:12" ht="15.75" customHeight="1">
      <c r="A1242" s="194"/>
      <c r="B1242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242" s="358" t="s">
        <v>489</v>
      </c>
      <c r="D1242" s="358" t="s">
        <v>490</v>
      </c>
      <c r="E1242" s="432" t="s">
        <v>3112</v>
      </c>
      <c r="F1242" s="249"/>
      <c r="G1242" s="236" t="s">
        <v>499</v>
      </c>
      <c r="H1242" s="237">
        <f t="shared" si="87"/>
        <v>12</v>
      </c>
      <c r="I1242" s="236">
        <v>1403</v>
      </c>
      <c r="J1242" s="236"/>
      <c r="K1242" s="238">
        <v>7500000</v>
      </c>
      <c r="L1242" s="368"/>
    </row>
    <row r="1243" spans="1:12" ht="15.75" customHeight="1">
      <c r="A1243" s="194"/>
      <c r="B1243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1243" s="358" t="s">
        <v>469</v>
      </c>
      <c r="D1243" s="358" t="s">
        <v>470</v>
      </c>
      <c r="E1243" s="432" t="s">
        <v>3113</v>
      </c>
      <c r="F1243" s="249"/>
      <c r="G1243" s="236" t="s">
        <v>499</v>
      </c>
      <c r="H1243" s="237">
        <f t="shared" si="87"/>
        <v>12</v>
      </c>
      <c r="I1243" s="236">
        <v>1403</v>
      </c>
      <c r="J1243" s="236"/>
      <c r="K1243" s="238">
        <v>7500000</v>
      </c>
      <c r="L1243" s="368"/>
    </row>
    <row r="1244" spans="1:12" ht="15.75" customHeight="1">
      <c r="A1244" s="194"/>
      <c r="B1244" s="235">
        <f>SUMIFS('لیست واریزی کل خیرین'!B:B,'لیست واریزی کل خیرین'!D:D,Table1[[#This Row],[نام]],'لیست واریزی کل خیرین'!E:E,Table1[[#This Row],[نام خانوادگی]])</f>
        <v>1</v>
      </c>
      <c r="C1244" s="358" t="s">
        <v>469</v>
      </c>
      <c r="D1244" s="358" t="s">
        <v>470</v>
      </c>
      <c r="E1244" s="432" t="s">
        <v>3113</v>
      </c>
      <c r="F1244" s="249"/>
      <c r="G1244" s="236" t="s">
        <v>499</v>
      </c>
      <c r="H1244" s="237">
        <f t="shared" si="87"/>
        <v>12</v>
      </c>
      <c r="I1244" s="236">
        <v>1403</v>
      </c>
      <c r="J1244" s="236"/>
      <c r="K1244" s="238">
        <v>120000000</v>
      </c>
      <c r="L1244" s="368"/>
    </row>
    <row r="1245" spans="1:12" ht="15.75" customHeight="1">
      <c r="A1245" s="194"/>
      <c r="B124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45" s="358" t="s">
        <v>1017</v>
      </c>
      <c r="D1245" s="358" t="s">
        <v>3069</v>
      </c>
      <c r="E1245" s="432" t="s">
        <v>3114</v>
      </c>
      <c r="F1245" s="249"/>
      <c r="G1245" s="236" t="s">
        <v>499</v>
      </c>
      <c r="H1245" s="237">
        <f t="shared" si="87"/>
        <v>12</v>
      </c>
      <c r="I1245" s="236">
        <v>1403</v>
      </c>
      <c r="J1245" s="236"/>
      <c r="K1245" s="238">
        <v>20000000</v>
      </c>
      <c r="L1245" s="368"/>
    </row>
    <row r="1246" spans="1:12" ht="15.75" customHeight="1">
      <c r="A1246" s="194"/>
      <c r="B1246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1246" s="358" t="s">
        <v>596</v>
      </c>
      <c r="D1246" s="358" t="s">
        <v>597</v>
      </c>
      <c r="E1246" s="432" t="s">
        <v>3114</v>
      </c>
      <c r="F1246" s="249"/>
      <c r="G1246" s="236" t="s">
        <v>499</v>
      </c>
      <c r="H1246" s="237">
        <f t="shared" si="87"/>
        <v>12</v>
      </c>
      <c r="I1246" s="236">
        <v>1403</v>
      </c>
      <c r="J1246" s="236"/>
      <c r="K1246" s="238">
        <v>10000000</v>
      </c>
      <c r="L1246" s="368"/>
    </row>
    <row r="1247" spans="1:12" ht="15.75" customHeight="1">
      <c r="A1247" s="194"/>
      <c r="B1247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247" s="358" t="s">
        <v>838</v>
      </c>
      <c r="D1247" s="358" t="s">
        <v>839</v>
      </c>
      <c r="E1247" s="432" t="s">
        <v>3114</v>
      </c>
      <c r="F1247" s="249"/>
      <c r="G1247" s="236" t="s">
        <v>499</v>
      </c>
      <c r="H1247" s="237">
        <f t="shared" si="87"/>
        <v>12</v>
      </c>
      <c r="I1247" s="236">
        <v>1403</v>
      </c>
      <c r="J1247" s="236"/>
      <c r="K1247" s="238">
        <v>5000000</v>
      </c>
      <c r="L1247" s="368"/>
    </row>
    <row r="1248" spans="1:12" ht="15.75" customHeight="1">
      <c r="A1248" s="194"/>
      <c r="B1248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248" s="358" t="s">
        <v>838</v>
      </c>
      <c r="D1248" s="358" t="s">
        <v>839</v>
      </c>
      <c r="E1248" s="432" t="s">
        <v>3114</v>
      </c>
      <c r="F1248" s="249"/>
      <c r="G1248" s="236" t="s">
        <v>499</v>
      </c>
      <c r="H1248" s="237">
        <f t="shared" si="87"/>
        <v>12</v>
      </c>
      <c r="I1248" s="236">
        <v>1403</v>
      </c>
      <c r="J1248" s="236"/>
      <c r="K1248" s="238">
        <v>7500000</v>
      </c>
      <c r="L1248" s="368"/>
    </row>
    <row r="1249" spans="1:12" ht="15.75" customHeight="1">
      <c r="A1249" s="194"/>
      <c r="B1249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249" s="358" t="s">
        <v>670</v>
      </c>
      <c r="D1249" s="358" t="s">
        <v>490</v>
      </c>
      <c r="E1249" s="432" t="s">
        <v>3114</v>
      </c>
      <c r="F1249" s="249"/>
      <c r="G1249" s="236" t="s">
        <v>499</v>
      </c>
      <c r="H1249" s="237">
        <f t="shared" si="87"/>
        <v>12</v>
      </c>
      <c r="I1249" s="236">
        <v>1403</v>
      </c>
      <c r="J1249" s="236"/>
      <c r="K1249" s="238">
        <v>20000000</v>
      </c>
      <c r="L1249" s="368"/>
    </row>
    <row r="1250" spans="1:12" ht="15.75" customHeight="1">
      <c r="A1250" s="194"/>
      <c r="B125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50" s="358" t="s">
        <v>997</v>
      </c>
      <c r="D1250" s="358" t="s">
        <v>490</v>
      </c>
      <c r="E1250" s="432" t="s">
        <v>3114</v>
      </c>
      <c r="F1250" s="249"/>
      <c r="G1250" s="236" t="s">
        <v>499</v>
      </c>
      <c r="H1250" s="237">
        <f t="shared" si="87"/>
        <v>12</v>
      </c>
      <c r="I1250" s="236">
        <v>1403</v>
      </c>
      <c r="J1250" s="236"/>
      <c r="K1250" s="238">
        <v>5000000</v>
      </c>
      <c r="L1250" s="368"/>
    </row>
    <row r="1251" spans="1:12" ht="15.75" customHeight="1">
      <c r="A1251" s="194"/>
      <c r="B125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51" s="358" t="s">
        <v>3124</v>
      </c>
      <c r="D1251" s="358" t="s">
        <v>3125</v>
      </c>
      <c r="E1251" s="432" t="s">
        <v>3115</v>
      </c>
      <c r="F1251" s="249"/>
      <c r="G1251" s="236" t="s">
        <v>499</v>
      </c>
      <c r="H1251" s="237">
        <f t="shared" si="87"/>
        <v>12</v>
      </c>
      <c r="I1251" s="236">
        <v>1403</v>
      </c>
      <c r="J1251" s="236"/>
      <c r="K1251" s="238">
        <v>100000</v>
      </c>
      <c r="L1251" s="368"/>
    </row>
    <row r="1252" spans="1:12" ht="15.75" customHeight="1">
      <c r="A1252" s="194"/>
      <c r="B125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52" s="358" t="s">
        <v>3088</v>
      </c>
      <c r="D1252" s="358" t="s">
        <v>3089</v>
      </c>
      <c r="E1252" s="432" t="s">
        <v>3115</v>
      </c>
      <c r="F1252" s="249"/>
      <c r="G1252" s="236" t="s">
        <v>499</v>
      </c>
      <c r="H1252" s="237">
        <f t="shared" si="87"/>
        <v>12</v>
      </c>
      <c r="I1252" s="236">
        <v>1403</v>
      </c>
      <c r="J1252" s="236"/>
      <c r="K1252" s="238">
        <v>300000</v>
      </c>
      <c r="L1252" s="368"/>
    </row>
    <row r="1253" spans="1:12" ht="15.75" customHeight="1">
      <c r="A1253" s="194"/>
      <c r="B125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53" s="358" t="s">
        <v>2440</v>
      </c>
      <c r="D1253" s="358" t="s">
        <v>2441</v>
      </c>
      <c r="E1253" s="432" t="s">
        <v>3115</v>
      </c>
      <c r="F1253" s="249"/>
      <c r="G1253" s="236" t="s">
        <v>499</v>
      </c>
      <c r="H1253" s="237">
        <f t="shared" si="87"/>
        <v>12</v>
      </c>
      <c r="I1253" s="236">
        <v>1403</v>
      </c>
      <c r="J1253" s="236"/>
      <c r="K1253" s="238">
        <v>1000000</v>
      </c>
      <c r="L1253" s="368"/>
    </row>
    <row r="1254" spans="1:12" ht="15.75" customHeight="1">
      <c r="A1254" s="194"/>
      <c r="B1254" s="235">
        <f>SUMIFS('لیست واریزی کل خیرین'!B:B,'لیست واریزی کل خیرین'!D:D,Table1[[#This Row],[نام]],'لیست واریزی کل خیرین'!E:E,Table1[[#This Row],[نام خانوادگی]])</f>
        <v>50</v>
      </c>
      <c r="C1254" s="358" t="s">
        <v>503</v>
      </c>
      <c r="D1254" s="358" t="s">
        <v>664</v>
      </c>
      <c r="E1254" s="432" t="s">
        <v>3115</v>
      </c>
      <c r="F1254" s="249"/>
      <c r="G1254" s="236" t="s">
        <v>499</v>
      </c>
      <c r="H1254" s="237">
        <f t="shared" si="87"/>
        <v>12</v>
      </c>
      <c r="I1254" s="236">
        <v>1403</v>
      </c>
      <c r="J1254" s="236"/>
      <c r="K1254" s="238">
        <v>10000000</v>
      </c>
      <c r="L1254" s="368"/>
    </row>
    <row r="1255" spans="1:12" ht="15.75" customHeight="1">
      <c r="A1255" s="194"/>
      <c r="B125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55" s="358" t="s">
        <v>997</v>
      </c>
      <c r="D1255" s="358" t="s">
        <v>3126</v>
      </c>
      <c r="E1255" s="432" t="s">
        <v>3115</v>
      </c>
      <c r="F1255" s="249"/>
      <c r="G1255" s="236" t="s">
        <v>499</v>
      </c>
      <c r="H1255" s="237">
        <f t="shared" si="87"/>
        <v>12</v>
      </c>
      <c r="I1255" s="236">
        <v>1403</v>
      </c>
      <c r="J1255" s="236"/>
      <c r="K1255" s="238">
        <v>15000000</v>
      </c>
      <c r="L1255" s="368"/>
    </row>
    <row r="1256" spans="1:12" ht="15.75" customHeight="1">
      <c r="A1256" s="194"/>
      <c r="B125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56" s="358" t="s">
        <v>1639</v>
      </c>
      <c r="D1256" s="358" t="s">
        <v>1659</v>
      </c>
      <c r="E1256" s="432" t="s">
        <v>3115</v>
      </c>
      <c r="F1256" s="249"/>
      <c r="G1256" s="236" t="s">
        <v>499</v>
      </c>
      <c r="H1256" s="237">
        <f t="shared" si="87"/>
        <v>12</v>
      </c>
      <c r="I1256" s="236">
        <v>1403</v>
      </c>
      <c r="J1256" s="236"/>
      <c r="K1256" s="238">
        <v>20000000</v>
      </c>
      <c r="L1256" s="368"/>
    </row>
    <row r="1257" spans="1:12" ht="15.75" customHeight="1">
      <c r="A1257" s="194"/>
      <c r="B125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57" s="358" t="s">
        <v>2435</v>
      </c>
      <c r="D1257" s="358" t="s">
        <v>3127</v>
      </c>
      <c r="E1257" s="432" t="s">
        <v>3115</v>
      </c>
      <c r="F1257" s="249"/>
      <c r="G1257" s="236" t="s">
        <v>499</v>
      </c>
      <c r="H1257" s="237">
        <f t="shared" si="87"/>
        <v>12</v>
      </c>
      <c r="I1257" s="236">
        <v>1403</v>
      </c>
      <c r="J1257" s="236"/>
      <c r="K1257" s="238">
        <v>20000000</v>
      </c>
      <c r="L1257" s="368"/>
    </row>
    <row r="1258" spans="1:12" ht="15.75" customHeight="1">
      <c r="A1258" s="194"/>
      <c r="B125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58" s="358" t="s">
        <v>520</v>
      </c>
      <c r="D1258" s="358" t="s">
        <v>2282</v>
      </c>
      <c r="E1258" s="432" t="s">
        <v>3115</v>
      </c>
      <c r="F1258" s="249"/>
      <c r="G1258" s="236" t="s">
        <v>499</v>
      </c>
      <c r="H1258" s="237">
        <f t="shared" si="87"/>
        <v>12</v>
      </c>
      <c r="I1258" s="236">
        <v>1403</v>
      </c>
      <c r="J1258" s="236"/>
      <c r="K1258" s="238">
        <v>50000000</v>
      </c>
      <c r="L1258" s="368"/>
    </row>
    <row r="1259" spans="1:12" ht="15.75" customHeight="1">
      <c r="A1259" s="194"/>
      <c r="B1259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1259" s="358" t="s">
        <v>475</v>
      </c>
      <c r="D1259" s="358" t="s">
        <v>476</v>
      </c>
      <c r="E1259" s="432" t="s">
        <v>3115</v>
      </c>
      <c r="F1259" s="249"/>
      <c r="G1259" s="236" t="s">
        <v>499</v>
      </c>
      <c r="H1259" s="237">
        <f t="shared" si="87"/>
        <v>12</v>
      </c>
      <c r="I1259" s="236">
        <v>1403</v>
      </c>
      <c r="J1259" s="236"/>
      <c r="K1259" s="238">
        <v>5000000</v>
      </c>
      <c r="L1259" s="368"/>
    </row>
    <row r="1260" spans="1:12" ht="15.75" customHeight="1">
      <c r="A1260" s="194"/>
      <c r="B126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60" s="358" t="s">
        <v>503</v>
      </c>
      <c r="D1260" s="358" t="s">
        <v>2384</v>
      </c>
      <c r="E1260" s="432" t="s">
        <v>3115</v>
      </c>
      <c r="F1260" s="249"/>
      <c r="G1260" s="236" t="s">
        <v>499</v>
      </c>
      <c r="H1260" s="237">
        <f t="shared" si="87"/>
        <v>12</v>
      </c>
      <c r="I1260" s="236">
        <v>1403</v>
      </c>
      <c r="J1260" s="236"/>
      <c r="K1260" s="238">
        <v>10000000</v>
      </c>
      <c r="L1260" s="368"/>
    </row>
    <row r="1261" spans="1:12" ht="15.75" customHeight="1">
      <c r="A1261" s="194"/>
      <c r="B126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61" s="358" t="s">
        <v>2483</v>
      </c>
      <c r="D1261" s="358" t="s">
        <v>2484</v>
      </c>
      <c r="E1261" s="432" t="s">
        <v>3115</v>
      </c>
      <c r="F1261" s="249"/>
      <c r="G1261" s="236" t="s">
        <v>499</v>
      </c>
      <c r="H1261" s="237">
        <f t="shared" si="87"/>
        <v>12</v>
      </c>
      <c r="I1261" s="236">
        <v>1403</v>
      </c>
      <c r="J1261" s="236"/>
      <c r="K1261" s="238">
        <v>5000000</v>
      </c>
      <c r="L1261" s="368"/>
    </row>
    <row r="1262" spans="1:12" ht="15.75" customHeight="1">
      <c r="A1262" s="194"/>
      <c r="B126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62" s="358" t="s">
        <v>658</v>
      </c>
      <c r="D1262" s="358" t="s">
        <v>3128</v>
      </c>
      <c r="E1262" s="432" t="s">
        <v>3116</v>
      </c>
      <c r="F1262" s="249"/>
      <c r="G1262" s="236" t="s">
        <v>499</v>
      </c>
      <c r="H1262" s="237">
        <f t="shared" si="87"/>
        <v>12</v>
      </c>
      <c r="I1262" s="236">
        <v>1403</v>
      </c>
      <c r="J1262" s="236"/>
      <c r="K1262" s="238">
        <v>425000000</v>
      </c>
      <c r="L1262" s="368"/>
    </row>
    <row r="1263" spans="1:12" ht="15.75" customHeight="1">
      <c r="A1263" s="194"/>
      <c r="B126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63" s="358" t="s">
        <v>1052</v>
      </c>
      <c r="D1263" s="358" t="s">
        <v>3129</v>
      </c>
      <c r="E1263" s="432" t="s">
        <v>3116</v>
      </c>
      <c r="F1263" s="249"/>
      <c r="G1263" s="236" t="s">
        <v>499</v>
      </c>
      <c r="H1263" s="237">
        <f t="shared" ref="H1263:H1269" si="88">IF(G1263="","",VLOOKUP(G1263,mah,2,0))</f>
        <v>12</v>
      </c>
      <c r="I1263" s="236">
        <v>1403</v>
      </c>
      <c r="J1263" s="236"/>
      <c r="K1263" s="238">
        <v>20000000</v>
      </c>
      <c r="L1263" s="368"/>
    </row>
    <row r="1264" spans="1:12" ht="15.75" customHeight="1">
      <c r="A1264" s="194"/>
      <c r="B1264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264" s="358" t="s">
        <v>489</v>
      </c>
      <c r="D1264" s="358" t="s">
        <v>490</v>
      </c>
      <c r="E1264" s="432" t="s">
        <v>3116</v>
      </c>
      <c r="F1264" s="249"/>
      <c r="G1264" s="236" t="s">
        <v>499</v>
      </c>
      <c r="H1264" s="237">
        <f t="shared" si="88"/>
        <v>12</v>
      </c>
      <c r="I1264" s="236">
        <v>1403</v>
      </c>
      <c r="J1264" s="236"/>
      <c r="K1264" s="238">
        <v>100000000</v>
      </c>
      <c r="L1264" s="368"/>
    </row>
    <row r="1265" spans="1:12" ht="15.75" customHeight="1">
      <c r="A1265" s="194"/>
      <c r="B126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65" s="358" t="s">
        <v>3130</v>
      </c>
      <c r="D1265" s="358" t="s">
        <v>3131</v>
      </c>
      <c r="E1265" s="432" t="s">
        <v>3116</v>
      </c>
      <c r="F1265" s="249"/>
      <c r="G1265" s="236" t="s">
        <v>499</v>
      </c>
      <c r="H1265" s="237">
        <f t="shared" si="88"/>
        <v>12</v>
      </c>
      <c r="I1265" s="236">
        <v>1403</v>
      </c>
      <c r="J1265" s="236"/>
      <c r="K1265" s="238">
        <v>100000000</v>
      </c>
      <c r="L1265" s="368"/>
    </row>
    <row r="1266" spans="1:12" ht="15.75" customHeight="1">
      <c r="A1266" s="194"/>
      <c r="B1266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266" s="358" t="s">
        <v>489</v>
      </c>
      <c r="D1266" s="358" t="s">
        <v>490</v>
      </c>
      <c r="E1266" s="432" t="s">
        <v>3116</v>
      </c>
      <c r="F1266" s="249"/>
      <c r="G1266" s="236" t="s">
        <v>499</v>
      </c>
      <c r="H1266" s="237">
        <f t="shared" si="88"/>
        <v>12</v>
      </c>
      <c r="I1266" s="236">
        <v>1403</v>
      </c>
      <c r="J1266" s="236"/>
      <c r="K1266" s="238">
        <v>10000000</v>
      </c>
      <c r="L1266" s="368"/>
    </row>
    <row r="1267" spans="1:12" ht="15.75" customHeight="1">
      <c r="A1267" s="194"/>
      <c r="B1267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267" s="358" t="s">
        <v>464</v>
      </c>
      <c r="D1267" s="358" t="s">
        <v>465</v>
      </c>
      <c r="E1267" s="432" t="s">
        <v>3116</v>
      </c>
      <c r="F1267" s="249"/>
      <c r="G1267" s="236" t="s">
        <v>499</v>
      </c>
      <c r="H1267" s="237">
        <f t="shared" si="88"/>
        <v>12</v>
      </c>
      <c r="I1267" s="236">
        <v>1403</v>
      </c>
      <c r="J1267" s="236"/>
      <c r="K1267" s="238">
        <v>100000000</v>
      </c>
      <c r="L1267" s="368"/>
    </row>
    <row r="1268" spans="1:12" ht="15.75" customHeight="1">
      <c r="A1268" s="194"/>
      <c r="B126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68" s="358" t="s">
        <v>695</v>
      </c>
      <c r="D1268" s="358" t="s">
        <v>2603</v>
      </c>
      <c r="E1268" s="432" t="s">
        <v>3116</v>
      </c>
      <c r="F1268" s="249"/>
      <c r="G1268" s="236" t="s">
        <v>499</v>
      </c>
      <c r="H1268" s="237">
        <f t="shared" si="88"/>
        <v>12</v>
      </c>
      <c r="I1268" s="236">
        <v>1403</v>
      </c>
      <c r="J1268" s="236"/>
      <c r="K1268" s="238">
        <v>10000000</v>
      </c>
      <c r="L1268" s="368"/>
    </row>
    <row r="1269" spans="1:12" ht="15.75" customHeight="1">
      <c r="A1269" s="194"/>
      <c r="B126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69" s="358" t="s">
        <v>670</v>
      </c>
      <c r="D1269" s="358" t="s">
        <v>575</v>
      </c>
      <c r="E1269" s="432" t="s">
        <v>3116</v>
      </c>
      <c r="F1269" s="249"/>
      <c r="G1269" s="236" t="s">
        <v>499</v>
      </c>
      <c r="H1269" s="237">
        <f t="shared" si="88"/>
        <v>12</v>
      </c>
      <c r="I1269" s="236">
        <v>1403</v>
      </c>
      <c r="J1269" s="236"/>
      <c r="K1269" s="238">
        <v>20000000</v>
      </c>
      <c r="L1269" s="368"/>
    </row>
    <row r="1270" spans="1:12" ht="15.75" customHeight="1">
      <c r="A1270" s="194"/>
      <c r="B127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70" s="358" t="s">
        <v>2416</v>
      </c>
      <c r="D1270" s="358" t="s">
        <v>2417</v>
      </c>
      <c r="E1270" s="432" t="s">
        <v>3116</v>
      </c>
      <c r="F1270" s="249"/>
      <c r="G1270" s="236" t="s">
        <v>499</v>
      </c>
      <c r="H1270" s="237">
        <f t="shared" ref="H1270:H1283" si="89">IF(G1270="","",VLOOKUP(G1270,mah,2,0))</f>
        <v>12</v>
      </c>
      <c r="I1270" s="236">
        <v>1403</v>
      </c>
      <c r="J1270" s="236"/>
      <c r="K1270" s="238">
        <v>10000000</v>
      </c>
      <c r="L1270" s="368"/>
    </row>
    <row r="1271" spans="1:12" ht="15.75" customHeight="1">
      <c r="A1271" s="194"/>
      <c r="B127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71" s="358" t="s">
        <v>843</v>
      </c>
      <c r="D1271" s="358" t="s">
        <v>3126</v>
      </c>
      <c r="E1271" s="432" t="s">
        <v>3117</v>
      </c>
      <c r="F1271" s="249"/>
      <c r="G1271" s="236" t="s">
        <v>499</v>
      </c>
      <c r="H1271" s="237">
        <f t="shared" si="89"/>
        <v>12</v>
      </c>
      <c r="I1271" s="236">
        <v>1403</v>
      </c>
      <c r="J1271" s="236"/>
      <c r="K1271" s="238">
        <v>5000000</v>
      </c>
      <c r="L1271" s="368"/>
    </row>
    <row r="1272" spans="1:12" ht="15.75" customHeight="1">
      <c r="A1272" s="194"/>
      <c r="B127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72" s="358" t="s">
        <v>3132</v>
      </c>
      <c r="D1272" s="358" t="s">
        <v>3133</v>
      </c>
      <c r="E1272" s="432" t="s">
        <v>3117</v>
      </c>
      <c r="F1272" s="249"/>
      <c r="G1272" s="236" t="s">
        <v>499</v>
      </c>
      <c r="H1272" s="237">
        <f t="shared" si="89"/>
        <v>12</v>
      </c>
      <c r="I1272" s="236">
        <v>1403</v>
      </c>
      <c r="J1272" s="236"/>
      <c r="K1272" s="238">
        <v>40000000</v>
      </c>
      <c r="L1272" s="368"/>
    </row>
    <row r="1273" spans="1:12" ht="15.75" customHeight="1">
      <c r="A1273" s="194"/>
      <c r="B127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73" s="358" t="s">
        <v>200</v>
      </c>
      <c r="D1273" s="358" t="s">
        <v>705</v>
      </c>
      <c r="E1273" s="432" t="s">
        <v>3118</v>
      </c>
      <c r="F1273" s="249"/>
      <c r="G1273" s="236" t="s">
        <v>499</v>
      </c>
      <c r="H1273" s="237">
        <f t="shared" si="89"/>
        <v>12</v>
      </c>
      <c r="I1273" s="236">
        <v>1403</v>
      </c>
      <c r="J1273" s="236"/>
      <c r="K1273" s="238">
        <v>10000000</v>
      </c>
      <c r="L1273" s="368"/>
    </row>
    <row r="1274" spans="1:12" ht="15.75" customHeight="1">
      <c r="A1274" s="194"/>
      <c r="B1274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1274" s="358" t="s">
        <v>202</v>
      </c>
      <c r="D1274" s="358" t="s">
        <v>502</v>
      </c>
      <c r="E1274" s="432" t="s">
        <v>3118</v>
      </c>
      <c r="F1274" s="249"/>
      <c r="G1274" s="236" t="s">
        <v>499</v>
      </c>
      <c r="H1274" s="237">
        <f t="shared" si="89"/>
        <v>12</v>
      </c>
      <c r="I1274" s="236">
        <v>1403</v>
      </c>
      <c r="J1274" s="236"/>
      <c r="K1274" s="238">
        <v>20000000</v>
      </c>
      <c r="L1274" s="368"/>
    </row>
    <row r="1275" spans="1:12" ht="15.75" customHeight="1">
      <c r="A1275" s="194"/>
      <c r="B127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75" s="358" t="s">
        <v>2311</v>
      </c>
      <c r="D1275" s="358" t="s">
        <v>3134</v>
      </c>
      <c r="E1275" s="432" t="s">
        <v>3118</v>
      </c>
      <c r="F1275" s="249"/>
      <c r="G1275" s="236" t="s">
        <v>499</v>
      </c>
      <c r="H1275" s="237">
        <f t="shared" si="89"/>
        <v>12</v>
      </c>
      <c r="I1275" s="236">
        <v>1403</v>
      </c>
      <c r="J1275" s="236"/>
      <c r="K1275" s="238">
        <v>30000000</v>
      </c>
      <c r="L1275" s="368"/>
    </row>
    <row r="1276" spans="1:12" ht="15.75" customHeight="1">
      <c r="A1276" s="194"/>
      <c r="B127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76" s="358" t="s">
        <v>1003</v>
      </c>
      <c r="D1276" s="358" t="s">
        <v>2291</v>
      </c>
      <c r="E1276" s="432" t="s">
        <v>3119</v>
      </c>
      <c r="F1276" s="249"/>
      <c r="G1276" s="236" t="s">
        <v>499</v>
      </c>
      <c r="H1276" s="237">
        <f t="shared" si="89"/>
        <v>12</v>
      </c>
      <c r="I1276" s="236">
        <v>1403</v>
      </c>
      <c r="J1276" s="236"/>
      <c r="K1276" s="238">
        <v>15000000</v>
      </c>
      <c r="L1276" s="368"/>
    </row>
    <row r="1277" spans="1:12" ht="15.75" customHeight="1">
      <c r="A1277" s="194"/>
      <c r="B1277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277" s="358" t="s">
        <v>494</v>
      </c>
      <c r="D1277" s="358" t="s">
        <v>546</v>
      </c>
      <c r="E1277" s="432" t="s">
        <v>3119</v>
      </c>
      <c r="F1277" s="249"/>
      <c r="G1277" s="236" t="s">
        <v>499</v>
      </c>
      <c r="H1277" s="237">
        <f t="shared" si="89"/>
        <v>12</v>
      </c>
      <c r="I1277" s="236">
        <v>1403</v>
      </c>
      <c r="J1277" s="236"/>
      <c r="K1277" s="238">
        <v>80000000</v>
      </c>
      <c r="L1277" s="368"/>
    </row>
    <row r="1278" spans="1:12" ht="15.75" customHeight="1">
      <c r="A1278" s="194"/>
      <c r="B1278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278" s="358" t="s">
        <v>494</v>
      </c>
      <c r="D1278" s="358" t="s">
        <v>546</v>
      </c>
      <c r="E1278" s="432" t="s">
        <v>3119</v>
      </c>
      <c r="F1278" s="249"/>
      <c r="G1278" s="236" t="s">
        <v>499</v>
      </c>
      <c r="H1278" s="237">
        <f t="shared" si="89"/>
        <v>12</v>
      </c>
      <c r="I1278" s="236">
        <v>1403</v>
      </c>
      <c r="J1278" s="236"/>
      <c r="K1278" s="238">
        <v>100000000</v>
      </c>
      <c r="L1278" s="368"/>
    </row>
    <row r="1279" spans="1:12" ht="15.75" customHeight="1">
      <c r="A1279" s="194"/>
      <c r="B1279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279" s="358" t="s">
        <v>489</v>
      </c>
      <c r="D1279" s="358" t="s">
        <v>490</v>
      </c>
      <c r="E1279" s="432" t="s">
        <v>3119</v>
      </c>
      <c r="F1279" s="249"/>
      <c r="G1279" s="236" t="s">
        <v>499</v>
      </c>
      <c r="H1279" s="237">
        <f t="shared" si="89"/>
        <v>12</v>
      </c>
      <c r="I1279" s="236">
        <v>1403</v>
      </c>
      <c r="J1279" s="236"/>
      <c r="K1279" s="238">
        <v>3000000</v>
      </c>
      <c r="L1279" s="368"/>
    </row>
    <row r="1280" spans="1:12" ht="15.75" customHeight="1">
      <c r="A1280" s="194"/>
      <c r="B1280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280" s="358" t="s">
        <v>489</v>
      </c>
      <c r="D1280" s="358" t="s">
        <v>490</v>
      </c>
      <c r="E1280" s="432" t="s">
        <v>3120</v>
      </c>
      <c r="F1280" s="249"/>
      <c r="G1280" s="236" t="s">
        <v>499</v>
      </c>
      <c r="H1280" s="237">
        <f t="shared" si="89"/>
        <v>12</v>
      </c>
      <c r="I1280" s="236">
        <v>1403</v>
      </c>
      <c r="J1280" s="236"/>
      <c r="K1280" s="238">
        <v>3000000</v>
      </c>
      <c r="L1280" s="368"/>
    </row>
    <row r="1281" spans="1:12" ht="15.75" customHeight="1">
      <c r="A1281" s="194"/>
      <c r="B128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81" s="358" t="s">
        <v>2453</v>
      </c>
      <c r="D1281" s="358" t="s">
        <v>516</v>
      </c>
      <c r="E1281" s="432" t="s">
        <v>3120</v>
      </c>
      <c r="F1281" s="249"/>
      <c r="G1281" s="236" t="s">
        <v>499</v>
      </c>
      <c r="H1281" s="237">
        <f t="shared" si="89"/>
        <v>12</v>
      </c>
      <c r="I1281" s="236">
        <v>1403</v>
      </c>
      <c r="J1281" s="236"/>
      <c r="K1281" s="238">
        <v>200000000</v>
      </c>
      <c r="L1281" s="368"/>
    </row>
    <row r="1282" spans="1:12" ht="15.75" customHeight="1">
      <c r="A1282" s="194"/>
      <c r="B1282" s="235">
        <f>SUMIFS('لیست واریزی کل خیرین'!B:B,'لیست واریزی کل خیرین'!D:D,Table1[[#This Row],[نام]],'لیست واریزی کل خیرین'!E:E,Table1[[#This Row],[نام خانوادگی]])</f>
        <v>111</v>
      </c>
      <c r="C1282" s="358" t="s">
        <v>1635</v>
      </c>
      <c r="D1282" s="358" t="s">
        <v>1636</v>
      </c>
      <c r="E1282" s="432" t="s">
        <v>3121</v>
      </c>
      <c r="F1282" s="249"/>
      <c r="G1282" s="236" t="s">
        <v>499</v>
      </c>
      <c r="H1282" s="237">
        <f t="shared" si="89"/>
        <v>12</v>
      </c>
      <c r="I1282" s="236">
        <v>1403</v>
      </c>
      <c r="J1282" s="236"/>
      <c r="K1282" s="238">
        <v>30000000</v>
      </c>
      <c r="L1282" s="368"/>
    </row>
    <row r="1283" spans="1:12" ht="15.75" customHeight="1">
      <c r="A1283" s="194"/>
      <c r="B1283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283" s="358" t="s">
        <v>670</v>
      </c>
      <c r="D1283" s="358" t="s">
        <v>490</v>
      </c>
      <c r="E1283" s="432" t="s">
        <v>3121</v>
      </c>
      <c r="F1283" s="249"/>
      <c r="G1283" s="236" t="s">
        <v>499</v>
      </c>
      <c r="H1283" s="237">
        <f t="shared" si="89"/>
        <v>12</v>
      </c>
      <c r="I1283" s="236">
        <v>1403</v>
      </c>
      <c r="J1283" s="236"/>
      <c r="K1283" s="238">
        <v>20000000</v>
      </c>
      <c r="L1283" s="368"/>
    </row>
    <row r="1284" spans="1:12" ht="15.75" customHeight="1">
      <c r="A1284" s="194"/>
      <c r="B128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84" s="358" t="s">
        <v>1017</v>
      </c>
      <c r="D1284" s="358" t="s">
        <v>3069</v>
      </c>
      <c r="E1284" s="432" t="s">
        <v>3070</v>
      </c>
      <c r="F1284" s="249" t="s">
        <v>3071</v>
      </c>
      <c r="G1284" s="236" t="s">
        <v>463</v>
      </c>
      <c r="H1284" s="237">
        <f t="shared" ref="H1284:H1314" si="90">IF(G1284="","",VLOOKUP(G1284,mah,2,0))</f>
        <v>1</v>
      </c>
      <c r="I1284" s="236">
        <v>1404</v>
      </c>
      <c r="J1284" s="236"/>
      <c r="K1284" s="238">
        <v>20000000</v>
      </c>
      <c r="L1284" s="368"/>
    </row>
    <row r="1285" spans="1:12" ht="15.75" customHeight="1">
      <c r="A1285" s="194"/>
      <c r="B1285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285" s="358" t="s">
        <v>489</v>
      </c>
      <c r="D1285" s="358" t="s">
        <v>490</v>
      </c>
      <c r="E1285" s="432" t="s">
        <v>3070</v>
      </c>
      <c r="F1285" s="249" t="s">
        <v>835</v>
      </c>
      <c r="G1285" s="236" t="s">
        <v>463</v>
      </c>
      <c r="H1285" s="237">
        <f t="shared" si="90"/>
        <v>1</v>
      </c>
      <c r="I1285" s="236">
        <v>1404</v>
      </c>
      <c r="J1285" s="236"/>
      <c r="K1285" s="238">
        <v>100000000</v>
      </c>
      <c r="L1285" s="368"/>
    </row>
    <row r="1286" spans="1:12" ht="15.75" customHeight="1">
      <c r="A1286" s="194"/>
      <c r="B1286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1286" s="358" t="s">
        <v>1671</v>
      </c>
      <c r="D1286" s="358" t="s">
        <v>1672</v>
      </c>
      <c r="E1286" s="432" t="s">
        <v>3072</v>
      </c>
      <c r="F1286" s="249" t="s">
        <v>1674</v>
      </c>
      <c r="G1286" s="236" t="s">
        <v>463</v>
      </c>
      <c r="H1286" s="237">
        <f t="shared" si="90"/>
        <v>1</v>
      </c>
      <c r="I1286" s="236">
        <v>1404</v>
      </c>
      <c r="J1286" s="236"/>
      <c r="K1286" s="238">
        <v>10000000</v>
      </c>
      <c r="L1286" s="368"/>
    </row>
    <row r="1287" spans="1:12" ht="15.75" customHeight="1">
      <c r="A1287" s="194"/>
      <c r="B1287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287" s="358" t="s">
        <v>489</v>
      </c>
      <c r="D1287" s="358" t="s">
        <v>490</v>
      </c>
      <c r="E1287" s="432" t="s">
        <v>3073</v>
      </c>
      <c r="F1287" s="249"/>
      <c r="G1287" s="236" t="s">
        <v>463</v>
      </c>
      <c r="H1287" s="237">
        <f t="shared" si="90"/>
        <v>1</v>
      </c>
      <c r="I1287" s="236">
        <v>1404</v>
      </c>
      <c r="J1287" s="236"/>
      <c r="K1287" s="238">
        <v>20000000</v>
      </c>
      <c r="L1287" s="368"/>
    </row>
    <row r="1288" spans="1:12" ht="15.75" customHeight="1">
      <c r="A1288" s="194"/>
      <c r="B128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88" s="358" t="s">
        <v>849</v>
      </c>
      <c r="D1288" s="358" t="s">
        <v>2669</v>
      </c>
      <c r="E1288" s="432" t="s">
        <v>3073</v>
      </c>
      <c r="F1288" s="249"/>
      <c r="G1288" s="236" t="s">
        <v>463</v>
      </c>
      <c r="H1288" s="237">
        <f t="shared" si="90"/>
        <v>1</v>
      </c>
      <c r="I1288" s="236">
        <v>1404</v>
      </c>
      <c r="J1288" s="236"/>
      <c r="K1288" s="238">
        <v>63000000</v>
      </c>
      <c r="L1288" s="368"/>
    </row>
    <row r="1289" spans="1:12" ht="15.75" customHeight="1">
      <c r="A1289" s="194"/>
      <c r="B1289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289" s="358" t="s">
        <v>464</v>
      </c>
      <c r="D1289" s="358" t="s">
        <v>465</v>
      </c>
      <c r="E1289" s="432" t="s">
        <v>3074</v>
      </c>
      <c r="F1289" s="249"/>
      <c r="G1289" s="236" t="s">
        <v>463</v>
      </c>
      <c r="H1289" s="237">
        <f t="shared" si="90"/>
        <v>1</v>
      </c>
      <c r="I1289" s="236">
        <v>1404</v>
      </c>
      <c r="J1289" s="236"/>
      <c r="K1289" s="238">
        <v>354500000</v>
      </c>
      <c r="L1289" s="368"/>
    </row>
    <row r="1290" spans="1:12" ht="15.75" customHeight="1">
      <c r="A1290" s="194"/>
      <c r="B129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90" s="358" t="s">
        <v>475</v>
      </c>
      <c r="D1290" s="358" t="s">
        <v>3075</v>
      </c>
      <c r="E1290" s="432" t="s">
        <v>3077</v>
      </c>
      <c r="F1290" s="249"/>
      <c r="G1290" s="236" t="s">
        <v>463</v>
      </c>
      <c r="H1290" s="237">
        <f t="shared" si="90"/>
        <v>1</v>
      </c>
      <c r="I1290" s="236">
        <v>1404</v>
      </c>
      <c r="J1290" s="236"/>
      <c r="K1290" s="238">
        <v>8000000</v>
      </c>
      <c r="L1290" s="368"/>
    </row>
    <row r="1291" spans="1:12" ht="15.75" customHeight="1">
      <c r="A1291" s="194"/>
      <c r="B129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291" s="358" t="s">
        <v>200</v>
      </c>
      <c r="D1291" s="358" t="s">
        <v>705</v>
      </c>
      <c r="E1291" s="432" t="s">
        <v>3077</v>
      </c>
      <c r="F1291" s="249"/>
      <c r="G1291" s="236" t="s">
        <v>463</v>
      </c>
      <c r="H1291" s="237">
        <f t="shared" si="90"/>
        <v>1</v>
      </c>
      <c r="I1291" s="236">
        <v>1404</v>
      </c>
      <c r="J1291" s="236"/>
      <c r="K1291" s="238">
        <v>10000000</v>
      </c>
      <c r="L1291" s="368"/>
    </row>
    <row r="1292" spans="1:12" ht="15.75" customHeight="1">
      <c r="A1292" s="194"/>
      <c r="B1292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292" s="358" t="s">
        <v>486</v>
      </c>
      <c r="D1292" s="358" t="s">
        <v>487</v>
      </c>
      <c r="E1292" s="432" t="s">
        <v>3077</v>
      </c>
      <c r="F1292" s="249"/>
      <c r="G1292" s="236" t="s">
        <v>463</v>
      </c>
      <c r="H1292" s="237">
        <f t="shared" si="90"/>
        <v>1</v>
      </c>
      <c r="I1292" s="236">
        <v>1404</v>
      </c>
      <c r="J1292" s="236"/>
      <c r="K1292" s="238">
        <v>10000000</v>
      </c>
      <c r="L1292" s="368"/>
    </row>
    <row r="1293" spans="1:12" ht="15.75" customHeight="1">
      <c r="A1293" s="194"/>
      <c r="B1293" s="235">
        <f>SUMIFS('لیست واریزی کل خیرین'!B:B,'لیست واریزی کل خیرین'!D:D,Table1[[#This Row],[نام]],'لیست واریزی کل خیرین'!E:E,Table1[[#This Row],[نام خانوادگی]])</f>
        <v>47</v>
      </c>
      <c r="C1293" s="358" t="s">
        <v>494</v>
      </c>
      <c r="D1293" s="358" t="s">
        <v>645</v>
      </c>
      <c r="E1293" s="432" t="s">
        <v>3077</v>
      </c>
      <c r="F1293" s="249"/>
      <c r="G1293" s="236" t="s">
        <v>463</v>
      </c>
      <c r="H1293" s="237">
        <f t="shared" si="90"/>
        <v>1</v>
      </c>
      <c r="I1293" s="236">
        <v>1404</v>
      </c>
      <c r="J1293" s="236"/>
      <c r="K1293" s="238">
        <v>3000000</v>
      </c>
      <c r="L1293" s="368"/>
    </row>
    <row r="1294" spans="1:12" ht="15.75" customHeight="1">
      <c r="A1294" s="194"/>
      <c r="B1294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294" s="358" t="s">
        <v>486</v>
      </c>
      <c r="D1294" s="358" t="s">
        <v>487</v>
      </c>
      <c r="E1294" s="432" t="s">
        <v>3078</v>
      </c>
      <c r="F1294" s="249"/>
      <c r="G1294" s="236" t="s">
        <v>463</v>
      </c>
      <c r="H1294" s="237">
        <f t="shared" si="90"/>
        <v>1</v>
      </c>
      <c r="I1294" s="236">
        <v>1404</v>
      </c>
      <c r="J1294" s="236"/>
      <c r="K1294" s="238">
        <v>20000000</v>
      </c>
      <c r="L1294" s="368"/>
    </row>
    <row r="1295" spans="1:12" ht="15.75" customHeight="1">
      <c r="A1295" s="194"/>
      <c r="B1295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295" s="358" t="s">
        <v>494</v>
      </c>
      <c r="D1295" s="358" t="s">
        <v>546</v>
      </c>
      <c r="E1295" s="432" t="s">
        <v>3079</v>
      </c>
      <c r="F1295" s="249"/>
      <c r="G1295" s="236" t="s">
        <v>463</v>
      </c>
      <c r="H1295" s="237">
        <f t="shared" si="90"/>
        <v>1</v>
      </c>
      <c r="I1295" s="236">
        <v>1404</v>
      </c>
      <c r="J1295" s="236"/>
      <c r="K1295" s="238">
        <v>10000000</v>
      </c>
      <c r="L1295" s="368"/>
    </row>
    <row r="1296" spans="1:12" ht="15.75" customHeight="1">
      <c r="A1296" s="194"/>
      <c r="B1296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296" s="358" t="s">
        <v>494</v>
      </c>
      <c r="D1296" s="358" t="s">
        <v>546</v>
      </c>
      <c r="E1296" s="432" t="s">
        <v>3079</v>
      </c>
      <c r="F1296" s="249"/>
      <c r="G1296" s="236" t="s">
        <v>463</v>
      </c>
      <c r="H1296" s="237">
        <f t="shared" si="90"/>
        <v>1</v>
      </c>
      <c r="I1296" s="236">
        <v>1404</v>
      </c>
      <c r="J1296" s="236"/>
      <c r="K1296" s="238">
        <v>10000000</v>
      </c>
      <c r="L1296" s="368"/>
    </row>
    <row r="1297" spans="1:12" ht="15.75" customHeight="1">
      <c r="A1297" s="194"/>
      <c r="B1297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297" s="358" t="s">
        <v>489</v>
      </c>
      <c r="D1297" s="358" t="s">
        <v>490</v>
      </c>
      <c r="E1297" s="432" t="s">
        <v>3079</v>
      </c>
      <c r="F1297" s="249"/>
      <c r="G1297" s="236" t="s">
        <v>463</v>
      </c>
      <c r="H1297" s="237">
        <f t="shared" si="90"/>
        <v>1</v>
      </c>
      <c r="I1297" s="236">
        <v>1404</v>
      </c>
      <c r="J1297" s="236"/>
      <c r="K1297" s="238">
        <v>10000000</v>
      </c>
      <c r="L1297" s="368"/>
    </row>
    <row r="1298" spans="1:12" ht="15.75" customHeight="1">
      <c r="A1298" s="194"/>
      <c r="B1298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298" s="358" t="s">
        <v>494</v>
      </c>
      <c r="D1298" s="358" t="s">
        <v>533</v>
      </c>
      <c r="E1298" s="432" t="s">
        <v>3080</v>
      </c>
      <c r="F1298" s="249"/>
      <c r="G1298" s="236" t="s">
        <v>463</v>
      </c>
      <c r="H1298" s="237">
        <f t="shared" si="90"/>
        <v>1</v>
      </c>
      <c r="I1298" s="236">
        <v>1404</v>
      </c>
      <c r="J1298" s="236"/>
      <c r="K1298" s="238">
        <v>100000000</v>
      </c>
      <c r="L1298" s="368"/>
    </row>
    <row r="1299" spans="1:12" ht="15.75" customHeight="1">
      <c r="A1299" s="194"/>
      <c r="B1299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299" s="358" t="s">
        <v>494</v>
      </c>
      <c r="D1299" s="358" t="s">
        <v>533</v>
      </c>
      <c r="E1299" s="432" t="s">
        <v>3080</v>
      </c>
      <c r="F1299" s="249"/>
      <c r="G1299" s="236" t="s">
        <v>463</v>
      </c>
      <c r="H1299" s="237">
        <f t="shared" si="90"/>
        <v>1</v>
      </c>
      <c r="I1299" s="236">
        <v>1404</v>
      </c>
      <c r="J1299" s="236"/>
      <c r="K1299" s="238">
        <v>100000000</v>
      </c>
      <c r="L1299" s="368"/>
    </row>
    <row r="1300" spans="1:12" ht="15.75" customHeight="1">
      <c r="A1300" s="194"/>
      <c r="B1300" s="235">
        <f>SUMIFS('لیست واریزی کل خیرین'!B:B,'لیست واریزی کل خیرین'!D:D,Table1[[#This Row],[نام]],'لیست واریزی کل خیرین'!E:E,Table1[[#This Row],[نام خانوادگی]])</f>
        <v>5</v>
      </c>
      <c r="C1300" s="358" t="s">
        <v>475</v>
      </c>
      <c r="D1300" s="358" t="s">
        <v>476</v>
      </c>
      <c r="E1300" s="432" t="s">
        <v>3081</v>
      </c>
      <c r="F1300" s="249"/>
      <c r="G1300" s="236" t="s">
        <v>463</v>
      </c>
      <c r="H1300" s="237">
        <f t="shared" si="90"/>
        <v>1</v>
      </c>
      <c r="I1300" s="236">
        <v>1404</v>
      </c>
      <c r="J1300" s="236"/>
      <c r="K1300" s="238">
        <v>30000000</v>
      </c>
      <c r="L1300" s="368"/>
    </row>
    <row r="1301" spans="1:12" ht="15.75" customHeight="1">
      <c r="A1301" s="194"/>
      <c r="B1301" s="235">
        <f>SUMIFS('لیست واریزی کل خیرین'!B:B,'لیست واریزی کل خیرین'!D:D,Table1[[#This Row],[نام]],'لیست واریزی کل خیرین'!E:E,Table1[[#This Row],[نام خانوادگی]])</f>
        <v>125</v>
      </c>
      <c r="C1301" s="358" t="s">
        <v>1819</v>
      </c>
      <c r="D1301" s="358" t="s">
        <v>1820</v>
      </c>
      <c r="E1301" s="432" t="s">
        <v>3082</v>
      </c>
      <c r="F1301" s="249"/>
      <c r="G1301" s="236" t="s">
        <v>463</v>
      </c>
      <c r="H1301" s="237">
        <f t="shared" si="90"/>
        <v>1</v>
      </c>
      <c r="I1301" s="236">
        <v>1404</v>
      </c>
      <c r="J1301" s="236"/>
      <c r="K1301" s="238">
        <v>20000000</v>
      </c>
      <c r="L1301" s="368"/>
    </row>
    <row r="1302" spans="1:12" ht="15.75" customHeight="1">
      <c r="A1302" s="194"/>
      <c r="B1302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1302" s="358" t="s">
        <v>483</v>
      </c>
      <c r="D1302" s="358" t="s">
        <v>484</v>
      </c>
      <c r="E1302" s="432" t="s">
        <v>3083</v>
      </c>
      <c r="F1302" s="249"/>
      <c r="G1302" s="236" t="s">
        <v>463</v>
      </c>
      <c r="H1302" s="237">
        <f t="shared" si="90"/>
        <v>1</v>
      </c>
      <c r="I1302" s="236">
        <v>1404</v>
      </c>
      <c r="J1302" s="236"/>
      <c r="K1302" s="238">
        <v>5000000</v>
      </c>
      <c r="L1302" s="368"/>
    </row>
    <row r="1303" spans="1:12" ht="15.75" customHeight="1">
      <c r="A1303" s="194"/>
      <c r="B1303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1303" s="358" t="s">
        <v>480</v>
      </c>
      <c r="D1303" s="358" t="s">
        <v>481</v>
      </c>
      <c r="E1303" s="432" t="s">
        <v>3083</v>
      </c>
      <c r="F1303" s="249"/>
      <c r="G1303" s="236" t="s">
        <v>463</v>
      </c>
      <c r="H1303" s="237">
        <f t="shared" si="90"/>
        <v>1</v>
      </c>
      <c r="I1303" s="236">
        <v>1404</v>
      </c>
      <c r="J1303" s="236"/>
      <c r="K1303" s="238">
        <v>50000000</v>
      </c>
      <c r="L1303" s="368"/>
    </row>
    <row r="1304" spans="1:12" ht="15.75" customHeight="1">
      <c r="A1304" s="194"/>
      <c r="B1304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1304" s="358" t="s">
        <v>207</v>
      </c>
      <c r="D1304" s="358" t="s">
        <v>478</v>
      </c>
      <c r="E1304" s="432" t="s">
        <v>3086</v>
      </c>
      <c r="F1304" s="249"/>
      <c r="G1304" s="236" t="s">
        <v>463</v>
      </c>
      <c r="H1304" s="237">
        <f t="shared" si="90"/>
        <v>1</v>
      </c>
      <c r="I1304" s="236">
        <v>1404</v>
      </c>
      <c r="J1304" s="236"/>
      <c r="K1304" s="238">
        <v>40000000</v>
      </c>
      <c r="L1304" s="368"/>
    </row>
    <row r="1305" spans="1:12" ht="15.75" customHeight="1">
      <c r="A1305" s="194"/>
      <c r="B130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05" s="358" t="s">
        <v>3084</v>
      </c>
      <c r="D1305" s="358" t="s">
        <v>3085</v>
      </c>
      <c r="E1305" s="432" t="s">
        <v>3087</v>
      </c>
      <c r="F1305" s="249"/>
      <c r="G1305" s="236" t="s">
        <v>463</v>
      </c>
      <c r="H1305" s="237">
        <f t="shared" si="90"/>
        <v>1</v>
      </c>
      <c r="I1305" s="236">
        <v>1404</v>
      </c>
      <c r="J1305" s="236"/>
      <c r="K1305" s="238">
        <v>20000000</v>
      </c>
      <c r="L1305" s="368"/>
    </row>
    <row r="1306" spans="1:12" ht="15.75" customHeight="1">
      <c r="A1306" s="194"/>
      <c r="B1306" s="235">
        <f>SUMIFS('لیست واریزی کل خیرین'!B:B,'لیست واریزی کل خیرین'!D:D,Table1[[#This Row],[نام]],'لیست واریزی کل خیرین'!E:E,Table1[[#This Row],[نام خانوادگی]])</f>
        <v>24</v>
      </c>
      <c r="C1306" s="137" t="s">
        <v>529</v>
      </c>
      <c r="D1306" s="137" t="s">
        <v>530</v>
      </c>
      <c r="E1306" s="432" t="s">
        <v>3087</v>
      </c>
      <c r="F1306" s="249"/>
      <c r="G1306" s="236" t="s">
        <v>463</v>
      </c>
      <c r="H1306" s="237">
        <f t="shared" si="90"/>
        <v>1</v>
      </c>
      <c r="I1306" s="236">
        <v>1404</v>
      </c>
      <c r="J1306" s="236"/>
      <c r="K1306" s="238">
        <v>10000000</v>
      </c>
      <c r="L1306" s="368"/>
    </row>
    <row r="1307" spans="1:12" ht="15.75" customHeight="1">
      <c r="A1307" s="194"/>
      <c r="B1307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307" s="358" t="s">
        <v>522</v>
      </c>
      <c r="D1307" s="358" t="s">
        <v>523</v>
      </c>
      <c r="E1307" s="432" t="s">
        <v>3090</v>
      </c>
      <c r="F1307" s="249"/>
      <c r="G1307" s="236" t="s">
        <v>463</v>
      </c>
      <c r="H1307" s="237">
        <f t="shared" si="90"/>
        <v>1</v>
      </c>
      <c r="I1307" s="236">
        <v>1404</v>
      </c>
      <c r="J1307" s="236"/>
      <c r="K1307" s="238">
        <v>98722439</v>
      </c>
      <c r="L1307" s="368"/>
    </row>
    <row r="1308" spans="1:12" ht="15.75" customHeight="1">
      <c r="A1308" s="194"/>
      <c r="B130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08" s="358" t="s">
        <v>3088</v>
      </c>
      <c r="D1308" s="358" t="s">
        <v>3089</v>
      </c>
      <c r="E1308" s="432" t="s">
        <v>3091</v>
      </c>
      <c r="F1308" s="249"/>
      <c r="G1308" s="236" t="s">
        <v>463</v>
      </c>
      <c r="H1308" s="237">
        <f t="shared" si="90"/>
        <v>1</v>
      </c>
      <c r="I1308" s="236">
        <v>1404</v>
      </c>
      <c r="J1308" s="236"/>
      <c r="K1308" s="238">
        <v>200000</v>
      </c>
      <c r="L1308" s="368"/>
    </row>
    <row r="1309" spans="1:12" ht="15.75" customHeight="1">
      <c r="A1309" s="194"/>
      <c r="B1309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309" s="358" t="s">
        <v>486</v>
      </c>
      <c r="D1309" s="358" t="s">
        <v>487</v>
      </c>
      <c r="E1309" s="432" t="s">
        <v>3092</v>
      </c>
      <c r="F1309" s="249"/>
      <c r="G1309" s="236" t="s">
        <v>463</v>
      </c>
      <c r="H1309" s="237">
        <f t="shared" si="90"/>
        <v>1</v>
      </c>
      <c r="I1309" s="236">
        <v>1404</v>
      </c>
      <c r="J1309" s="236"/>
      <c r="K1309" s="238">
        <v>7500000</v>
      </c>
      <c r="L1309" s="368"/>
    </row>
    <row r="1310" spans="1:12" ht="15.75" customHeight="1">
      <c r="A1310" s="194"/>
      <c r="B131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10" s="358" t="s">
        <v>695</v>
      </c>
      <c r="D1310" s="358" t="s">
        <v>2603</v>
      </c>
      <c r="E1310" s="432" t="s">
        <v>3092</v>
      </c>
      <c r="F1310" s="249"/>
      <c r="G1310" s="236" t="s">
        <v>463</v>
      </c>
      <c r="H1310" s="237">
        <f t="shared" si="90"/>
        <v>1</v>
      </c>
      <c r="I1310" s="236">
        <v>1404</v>
      </c>
      <c r="J1310" s="236"/>
      <c r="K1310" s="238">
        <v>500000</v>
      </c>
      <c r="L1310" s="368"/>
    </row>
    <row r="1311" spans="1:12" ht="15.75" customHeight="1">
      <c r="A1311" s="194"/>
      <c r="B131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11" s="358" t="s">
        <v>2301</v>
      </c>
      <c r="D1311" s="358" t="s">
        <v>516</v>
      </c>
      <c r="E1311" s="432" t="s">
        <v>3093</v>
      </c>
      <c r="F1311" s="249"/>
      <c r="G1311" s="236" t="s">
        <v>463</v>
      </c>
      <c r="H1311" s="237">
        <f t="shared" si="90"/>
        <v>1</v>
      </c>
      <c r="I1311" s="236">
        <v>1404</v>
      </c>
      <c r="J1311" s="236"/>
      <c r="K1311" s="238">
        <v>15000000</v>
      </c>
      <c r="L1311" s="368"/>
    </row>
    <row r="1312" spans="1:12" ht="15.75" customHeight="1">
      <c r="A1312" s="194"/>
      <c r="B1312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1312" s="137" t="s">
        <v>497</v>
      </c>
      <c r="D1312" s="152" t="s">
        <v>498</v>
      </c>
      <c r="E1312" s="432" t="s">
        <v>3094</v>
      </c>
      <c r="F1312" s="249"/>
      <c r="G1312" s="236" t="s">
        <v>468</v>
      </c>
      <c r="H1312" s="237">
        <f t="shared" si="90"/>
        <v>2</v>
      </c>
      <c r="I1312" s="236">
        <v>1404</v>
      </c>
      <c r="J1312" s="236"/>
      <c r="K1312" s="238">
        <v>50000000</v>
      </c>
      <c r="L1312" s="368"/>
    </row>
    <row r="1313" spans="1:12" ht="15.75" customHeight="1">
      <c r="A1313" s="194"/>
      <c r="B1313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1313" s="137" t="s">
        <v>497</v>
      </c>
      <c r="D1313" s="137" t="s">
        <v>513</v>
      </c>
      <c r="E1313" s="432" t="s">
        <v>3094</v>
      </c>
      <c r="F1313" s="249"/>
      <c r="G1313" s="236" t="s">
        <v>468</v>
      </c>
      <c r="H1313" s="237">
        <f t="shared" si="90"/>
        <v>2</v>
      </c>
      <c r="I1313" s="236">
        <v>1404</v>
      </c>
      <c r="J1313" s="236"/>
      <c r="K1313" s="238">
        <v>30000000</v>
      </c>
      <c r="L1313" s="368"/>
    </row>
    <row r="1314" spans="1:12" ht="15.75" customHeight="1">
      <c r="A1314" s="194"/>
      <c r="B1314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1314" s="358" t="s">
        <v>494</v>
      </c>
      <c r="D1314" s="358" t="s">
        <v>511</v>
      </c>
      <c r="E1314" s="432" t="s">
        <v>3095</v>
      </c>
      <c r="F1314" s="249"/>
      <c r="G1314" s="236" t="s">
        <v>468</v>
      </c>
      <c r="H1314" s="237">
        <f t="shared" si="90"/>
        <v>2</v>
      </c>
      <c r="I1314" s="236">
        <v>1404</v>
      </c>
      <c r="J1314" s="236"/>
      <c r="K1314" s="238">
        <v>200000000</v>
      </c>
      <c r="L1314" s="368"/>
    </row>
    <row r="1315" spans="1:12" ht="15.75" customHeight="1">
      <c r="A1315" s="194"/>
      <c r="B1315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1315" s="358" t="s">
        <v>494</v>
      </c>
      <c r="D1315" s="358" t="s">
        <v>511</v>
      </c>
      <c r="E1315" s="432" t="s">
        <v>3095</v>
      </c>
      <c r="F1315" s="249"/>
      <c r="G1315" s="236" t="s">
        <v>468</v>
      </c>
      <c r="H1315" s="237">
        <f t="shared" ref="H1315:H1331" si="91">IF(G1315="","",VLOOKUP(G1315,mah,2,0))</f>
        <v>2</v>
      </c>
      <c r="I1315" s="236">
        <v>1404</v>
      </c>
      <c r="J1315" s="236"/>
      <c r="K1315" s="238">
        <v>20000000</v>
      </c>
      <c r="L1315" s="368"/>
    </row>
    <row r="1316" spans="1:12" ht="15.75" customHeight="1">
      <c r="A1316" s="194"/>
      <c r="B1316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316" s="358" t="s">
        <v>494</v>
      </c>
      <c r="D1316" s="358" t="s">
        <v>533</v>
      </c>
      <c r="E1316" s="432" t="s">
        <v>3095</v>
      </c>
      <c r="F1316" s="249"/>
      <c r="G1316" s="236" t="s">
        <v>468</v>
      </c>
      <c r="H1316" s="237">
        <f t="shared" si="91"/>
        <v>2</v>
      </c>
      <c r="I1316" s="236">
        <v>1404</v>
      </c>
      <c r="J1316" s="236"/>
      <c r="K1316" s="238">
        <v>100000000</v>
      </c>
      <c r="L1316" s="368"/>
    </row>
    <row r="1317" spans="1:12" ht="15.75" customHeight="1">
      <c r="A1317" s="194"/>
      <c r="B1317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317" s="358" t="s">
        <v>494</v>
      </c>
      <c r="D1317" s="358" t="s">
        <v>533</v>
      </c>
      <c r="E1317" s="432" t="s">
        <v>3095</v>
      </c>
      <c r="F1317" s="249"/>
      <c r="G1317" s="236" t="s">
        <v>468</v>
      </c>
      <c r="H1317" s="237">
        <f t="shared" si="91"/>
        <v>2</v>
      </c>
      <c r="I1317" s="236">
        <v>1404</v>
      </c>
      <c r="J1317" s="236"/>
      <c r="K1317" s="238">
        <v>100000000</v>
      </c>
      <c r="L1317" s="368"/>
    </row>
    <row r="1318" spans="1:12" ht="15.75" customHeight="1">
      <c r="A1318" s="194"/>
      <c r="B131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18" s="358" t="s">
        <v>475</v>
      </c>
      <c r="D1318" s="358" t="s">
        <v>3075</v>
      </c>
      <c r="E1318" s="432" t="s">
        <v>3096</v>
      </c>
      <c r="F1318" s="249"/>
      <c r="G1318" s="236" t="s">
        <v>468</v>
      </c>
      <c r="H1318" s="237">
        <f t="shared" si="91"/>
        <v>2</v>
      </c>
      <c r="I1318" s="236">
        <v>1404</v>
      </c>
      <c r="J1318" s="236"/>
      <c r="K1318" s="238">
        <v>15000000</v>
      </c>
      <c r="L1318" s="368"/>
    </row>
    <row r="1319" spans="1:12" ht="15.75" customHeight="1">
      <c r="A1319" s="194"/>
      <c r="B1319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1319" s="358" t="s">
        <v>596</v>
      </c>
      <c r="D1319" s="358" t="s">
        <v>597</v>
      </c>
      <c r="E1319" s="432" t="s">
        <v>3099</v>
      </c>
      <c r="F1319" s="249"/>
      <c r="G1319" s="236" t="s">
        <v>468</v>
      </c>
      <c r="H1319" s="237">
        <f t="shared" si="91"/>
        <v>2</v>
      </c>
      <c r="I1319" s="236">
        <v>1404</v>
      </c>
      <c r="J1319" s="236"/>
      <c r="K1319" s="238">
        <v>10000000</v>
      </c>
      <c r="L1319" s="368"/>
    </row>
    <row r="1320" spans="1:12" ht="15.75" customHeight="1">
      <c r="A1320" s="194"/>
      <c r="B132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20" s="358" t="s">
        <v>3097</v>
      </c>
      <c r="D1320" s="358" t="s">
        <v>3098</v>
      </c>
      <c r="E1320" s="432" t="s">
        <v>3100</v>
      </c>
      <c r="F1320" s="249"/>
      <c r="G1320" s="236" t="s">
        <v>468</v>
      </c>
      <c r="H1320" s="237">
        <f t="shared" si="91"/>
        <v>2</v>
      </c>
      <c r="I1320" s="236">
        <v>1404</v>
      </c>
      <c r="J1320" s="236"/>
      <c r="K1320" s="238">
        <v>2000000</v>
      </c>
      <c r="L1320" s="368"/>
    </row>
    <row r="1321" spans="1:12" ht="15.75" customHeight="1">
      <c r="A1321" s="194"/>
      <c r="B132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21" s="358" t="s">
        <v>2416</v>
      </c>
      <c r="D1321" s="358" t="s">
        <v>2680</v>
      </c>
      <c r="E1321" s="432" t="s">
        <v>3100</v>
      </c>
      <c r="F1321" s="249"/>
      <c r="G1321" s="236" t="s">
        <v>468</v>
      </c>
      <c r="H1321" s="237">
        <f t="shared" si="91"/>
        <v>2</v>
      </c>
      <c r="I1321" s="236">
        <v>1404</v>
      </c>
      <c r="J1321" s="236"/>
      <c r="K1321" s="238">
        <v>20000000</v>
      </c>
      <c r="L1321" s="368"/>
    </row>
    <row r="1322" spans="1:12" ht="15.75" customHeight="1">
      <c r="A1322" s="194"/>
      <c r="B1322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322" s="358" t="s">
        <v>494</v>
      </c>
      <c r="D1322" s="358" t="s">
        <v>546</v>
      </c>
      <c r="E1322" s="432" t="s">
        <v>3101</v>
      </c>
      <c r="F1322" s="249"/>
      <c r="G1322" s="236" t="s">
        <v>468</v>
      </c>
      <c r="H1322" s="237">
        <f t="shared" si="91"/>
        <v>2</v>
      </c>
      <c r="I1322" s="236">
        <v>1404</v>
      </c>
      <c r="J1322" s="236"/>
      <c r="K1322" s="238">
        <v>40000000</v>
      </c>
      <c r="L1322" s="368"/>
    </row>
    <row r="1323" spans="1:12" ht="15.75" customHeight="1">
      <c r="A1323" s="194"/>
      <c r="B1323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1323" s="358" t="s">
        <v>480</v>
      </c>
      <c r="D1323" s="358" t="s">
        <v>481</v>
      </c>
      <c r="E1323" s="432" t="s">
        <v>3102</v>
      </c>
      <c r="F1323" s="249"/>
      <c r="G1323" s="236" t="s">
        <v>468</v>
      </c>
      <c r="H1323" s="237">
        <f t="shared" si="91"/>
        <v>2</v>
      </c>
      <c r="I1323" s="236">
        <v>1404</v>
      </c>
      <c r="J1323" s="236"/>
      <c r="K1323" s="238">
        <v>50000000</v>
      </c>
      <c r="L1323" s="368"/>
    </row>
    <row r="1324" spans="1:12" ht="15.75" customHeight="1">
      <c r="A1324" s="194"/>
      <c r="B1324" s="235">
        <f>SUMIFS('لیست واریزی کل خیرین'!B:B,'لیست واریزی کل خیرین'!D:D,Table1[[#This Row],[نام]],'لیست واریزی کل خیرین'!E:E,Table1[[#This Row],[نام خانوادگی]])</f>
        <v>123</v>
      </c>
      <c r="C1324" s="358" t="s">
        <v>1762</v>
      </c>
      <c r="D1324" s="358" t="s">
        <v>1763</v>
      </c>
      <c r="E1324" s="432" t="s">
        <v>3104</v>
      </c>
      <c r="F1324" s="249"/>
      <c r="G1324" s="236" t="s">
        <v>468</v>
      </c>
      <c r="H1324" s="237">
        <f t="shared" si="91"/>
        <v>2</v>
      </c>
      <c r="I1324" s="236">
        <v>1404</v>
      </c>
      <c r="J1324" s="236"/>
      <c r="K1324" s="238">
        <v>216000000</v>
      </c>
      <c r="L1324" s="368"/>
    </row>
    <row r="1325" spans="1:12" ht="15.75" customHeight="1">
      <c r="A1325" s="194"/>
      <c r="B132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25" s="358" t="s">
        <v>2389</v>
      </c>
      <c r="D1325" s="358" t="s">
        <v>2390</v>
      </c>
      <c r="E1325" s="432" t="s">
        <v>3105</v>
      </c>
      <c r="F1325" s="249"/>
      <c r="G1325" s="236" t="s">
        <v>468</v>
      </c>
      <c r="H1325" s="237">
        <f t="shared" si="91"/>
        <v>2</v>
      </c>
      <c r="I1325" s="236">
        <v>1404</v>
      </c>
      <c r="J1325" s="236"/>
      <c r="K1325" s="238">
        <v>3000000</v>
      </c>
      <c r="L1325" s="368"/>
    </row>
    <row r="1326" spans="1:12" ht="15.75" customHeight="1">
      <c r="A1326" s="194"/>
      <c r="B132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26" s="358" t="s">
        <v>503</v>
      </c>
      <c r="D1326" s="358" t="s">
        <v>3103</v>
      </c>
      <c r="E1326" s="432" t="s">
        <v>3105</v>
      </c>
      <c r="F1326" s="249"/>
      <c r="G1326" s="236" t="s">
        <v>468</v>
      </c>
      <c r="H1326" s="237">
        <f t="shared" si="91"/>
        <v>2</v>
      </c>
      <c r="I1326" s="236">
        <v>1404</v>
      </c>
      <c r="J1326" s="236"/>
      <c r="K1326" s="238">
        <v>60000000</v>
      </c>
      <c r="L1326" s="368"/>
    </row>
    <row r="1327" spans="1:12" ht="15.75" customHeight="1">
      <c r="A1327" s="194"/>
      <c r="B1327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327" s="358" t="s">
        <v>522</v>
      </c>
      <c r="D1327" s="358" t="s">
        <v>523</v>
      </c>
      <c r="E1327" s="432" t="s">
        <v>3105</v>
      </c>
      <c r="F1327" s="249"/>
      <c r="G1327" s="236" t="s">
        <v>468</v>
      </c>
      <c r="H1327" s="237">
        <f t="shared" si="91"/>
        <v>2</v>
      </c>
      <c r="I1327" s="236">
        <v>1404</v>
      </c>
      <c r="J1327" s="236"/>
      <c r="K1327" s="238">
        <v>106235643</v>
      </c>
      <c r="L1327" s="368"/>
    </row>
    <row r="1328" spans="1:12" ht="15.75" customHeight="1">
      <c r="A1328" s="194"/>
      <c r="B132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28" s="358" t="s">
        <v>2438</v>
      </c>
      <c r="D1328" s="358" t="s">
        <v>2634</v>
      </c>
      <c r="E1328" s="432" t="s">
        <v>3108</v>
      </c>
      <c r="F1328" s="249"/>
      <c r="G1328" s="236" t="s">
        <v>468</v>
      </c>
      <c r="H1328" s="237">
        <f t="shared" si="91"/>
        <v>2</v>
      </c>
      <c r="I1328" s="236">
        <v>1404</v>
      </c>
      <c r="J1328" s="236"/>
      <c r="K1328" s="238">
        <v>10000000</v>
      </c>
      <c r="L1328" s="368"/>
    </row>
    <row r="1329" spans="1:12" ht="15.75" customHeight="1">
      <c r="A1329" s="194"/>
      <c r="B132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29" s="358" t="s">
        <v>3106</v>
      </c>
      <c r="D1329" s="358" t="s">
        <v>3107</v>
      </c>
      <c r="E1329" s="432" t="s">
        <v>3109</v>
      </c>
      <c r="F1329" s="249"/>
      <c r="G1329" s="236" t="s">
        <v>468</v>
      </c>
      <c r="H1329" s="237">
        <f t="shared" si="91"/>
        <v>2</v>
      </c>
      <c r="I1329" s="236">
        <v>1404</v>
      </c>
      <c r="J1329" s="236"/>
      <c r="K1329" s="238">
        <v>15000000</v>
      </c>
      <c r="L1329" s="368"/>
    </row>
    <row r="1330" spans="1:12" ht="15.75" customHeight="1">
      <c r="A1330" s="194"/>
      <c r="B1330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330" s="358" t="s">
        <v>838</v>
      </c>
      <c r="D1330" s="358" t="s">
        <v>839</v>
      </c>
      <c r="E1330" s="432" t="s">
        <v>3110</v>
      </c>
      <c r="F1330" s="249"/>
      <c r="G1330" s="236" t="s">
        <v>468</v>
      </c>
      <c r="H1330" s="237">
        <f t="shared" si="91"/>
        <v>2</v>
      </c>
      <c r="I1330" s="236">
        <v>1404</v>
      </c>
      <c r="J1330" s="236"/>
      <c r="K1330" s="238">
        <v>5000000</v>
      </c>
      <c r="L1330" s="368"/>
    </row>
    <row r="1331" spans="1:12" ht="15.75" customHeight="1">
      <c r="A1331" s="194"/>
      <c r="B133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31" s="358" t="s">
        <v>982</v>
      </c>
      <c r="D1331" s="358" t="s">
        <v>516</v>
      </c>
      <c r="E1331" s="432" t="s">
        <v>3110</v>
      </c>
      <c r="F1331" s="249"/>
      <c r="G1331" s="236" t="s">
        <v>468</v>
      </c>
      <c r="H1331" s="237">
        <f t="shared" si="91"/>
        <v>2</v>
      </c>
      <c r="I1331" s="236">
        <v>1404</v>
      </c>
      <c r="J1331" s="236"/>
      <c r="K1331" s="238">
        <v>15000000</v>
      </c>
      <c r="L1331" s="368"/>
    </row>
    <row r="1332" spans="1:12" ht="15.75" customHeight="1">
      <c r="A1332" s="194"/>
      <c r="B1332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332" s="358" t="s">
        <v>486</v>
      </c>
      <c r="D1332" s="358" t="s">
        <v>487</v>
      </c>
      <c r="E1332" s="432" t="s">
        <v>3135</v>
      </c>
      <c r="F1332" s="249"/>
      <c r="G1332" s="236" t="s">
        <v>468</v>
      </c>
      <c r="H1332" s="237">
        <f t="shared" ref="H1332:H1336" si="92">IF(G1332="","",VLOOKUP(G1332,mah,2,0))</f>
        <v>2</v>
      </c>
      <c r="I1332" s="236">
        <v>1404</v>
      </c>
      <c r="J1332" s="236"/>
      <c r="K1332" s="238">
        <v>20000000</v>
      </c>
      <c r="L1332" s="368"/>
    </row>
    <row r="1333" spans="1:12" ht="15.75" customHeight="1">
      <c r="A1333" s="194"/>
      <c r="B133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33" s="358" t="s">
        <v>3139</v>
      </c>
      <c r="D1333" s="358" t="s">
        <v>3140</v>
      </c>
      <c r="E1333" s="432" t="s">
        <v>3136</v>
      </c>
      <c r="F1333" s="249"/>
      <c r="G1333" s="236" t="s">
        <v>468</v>
      </c>
      <c r="H1333" s="237">
        <f t="shared" si="92"/>
        <v>2</v>
      </c>
      <c r="I1333" s="236">
        <v>1404</v>
      </c>
      <c r="J1333" s="236"/>
      <c r="K1333" s="238">
        <v>10000000</v>
      </c>
      <c r="L1333" s="368"/>
    </row>
    <row r="1334" spans="1:12" ht="15.75" customHeight="1">
      <c r="A1334" s="194"/>
      <c r="B1334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1334" s="358" t="s">
        <v>503</v>
      </c>
      <c r="D1334" s="358" t="s">
        <v>504</v>
      </c>
      <c r="E1334" s="432" t="s">
        <v>3137</v>
      </c>
      <c r="F1334" s="249"/>
      <c r="G1334" s="236" t="s">
        <v>468</v>
      </c>
      <c r="H1334" s="237">
        <f t="shared" si="92"/>
        <v>2</v>
      </c>
      <c r="I1334" s="236">
        <v>1404</v>
      </c>
      <c r="J1334" s="236"/>
      <c r="K1334" s="238">
        <v>20000000</v>
      </c>
      <c r="L1334" s="368"/>
    </row>
    <row r="1335" spans="1:12" ht="15.75" customHeight="1">
      <c r="A1335" s="194"/>
      <c r="B1335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335" s="358" t="s">
        <v>489</v>
      </c>
      <c r="D1335" s="358" t="s">
        <v>490</v>
      </c>
      <c r="E1335" s="432" t="s">
        <v>3137</v>
      </c>
      <c r="F1335" s="249"/>
      <c r="G1335" s="236" t="s">
        <v>468</v>
      </c>
      <c r="H1335" s="237">
        <f t="shared" si="92"/>
        <v>2</v>
      </c>
      <c r="I1335" s="236">
        <v>1404</v>
      </c>
      <c r="J1335" s="236"/>
      <c r="K1335" s="238">
        <v>3000000</v>
      </c>
      <c r="L1335" s="368"/>
    </row>
    <row r="1336" spans="1:12" ht="15.75" customHeight="1">
      <c r="A1336" s="194"/>
      <c r="B133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36" s="358" t="s">
        <v>200</v>
      </c>
      <c r="D1336" s="358" t="s">
        <v>705</v>
      </c>
      <c r="E1336" s="432" t="s">
        <v>3138</v>
      </c>
      <c r="F1336" s="249"/>
      <c r="G1336" s="236" t="s">
        <v>468</v>
      </c>
      <c r="H1336" s="237">
        <f t="shared" si="92"/>
        <v>2</v>
      </c>
      <c r="I1336" s="236">
        <v>1404</v>
      </c>
      <c r="J1336" s="236"/>
      <c r="K1336" s="238">
        <v>10000000</v>
      </c>
      <c r="L1336" s="368"/>
    </row>
    <row r="1337" spans="1:12" ht="15.75" customHeight="1">
      <c r="A1337" s="194"/>
      <c r="B1337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337" s="358" t="s">
        <v>486</v>
      </c>
      <c r="D1337" s="358" t="s">
        <v>487</v>
      </c>
      <c r="E1337" s="432" t="s">
        <v>3141</v>
      </c>
      <c r="F1337" s="249"/>
      <c r="G1337" s="236" t="s">
        <v>468</v>
      </c>
      <c r="H1337" s="237">
        <f t="shared" ref="H1337" si="93">IF(G1337="","",VLOOKUP(G1337,mah,2,0))</f>
        <v>2</v>
      </c>
      <c r="I1337" s="236">
        <v>1404</v>
      </c>
      <c r="J1337" s="236"/>
      <c r="K1337" s="238">
        <v>13000000</v>
      </c>
      <c r="L1337" s="368"/>
    </row>
    <row r="1338" spans="1:12" ht="15.75" customHeight="1">
      <c r="A1338" s="194"/>
      <c r="B133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38" s="358" t="s">
        <v>997</v>
      </c>
      <c r="D1338" s="358" t="s">
        <v>3144</v>
      </c>
      <c r="E1338" s="432" t="s">
        <v>3142</v>
      </c>
      <c r="F1338" s="249"/>
      <c r="G1338" s="236" t="s">
        <v>468</v>
      </c>
      <c r="H1338" s="237">
        <f t="shared" ref="H1338:H1339" si="94">IF(G1338="","",VLOOKUP(G1338,mah,2,0))</f>
        <v>2</v>
      </c>
      <c r="I1338" s="236">
        <v>1404</v>
      </c>
      <c r="J1338" s="236"/>
      <c r="K1338" s="238">
        <v>30000000</v>
      </c>
      <c r="L1338" s="368"/>
    </row>
    <row r="1339" spans="1:12" ht="15.75" customHeight="1">
      <c r="A1339" s="194"/>
      <c r="B133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39" s="358" t="s">
        <v>843</v>
      </c>
      <c r="D1339" s="358" t="s">
        <v>3126</v>
      </c>
      <c r="E1339" s="432" t="s">
        <v>3143</v>
      </c>
      <c r="F1339" s="249"/>
      <c r="G1339" s="236" t="s">
        <v>468</v>
      </c>
      <c r="H1339" s="237">
        <f t="shared" si="94"/>
        <v>2</v>
      </c>
      <c r="I1339" s="236">
        <v>1404</v>
      </c>
      <c r="J1339" s="236"/>
      <c r="K1339" s="238">
        <v>5000000</v>
      </c>
      <c r="L1339" s="368"/>
    </row>
    <row r="1340" spans="1:12" ht="15.75" customHeight="1">
      <c r="A1340" s="194"/>
      <c r="B134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40" s="358" t="s">
        <v>695</v>
      </c>
      <c r="D1340" s="358" t="s">
        <v>2490</v>
      </c>
      <c r="E1340" s="432" t="s">
        <v>3145</v>
      </c>
      <c r="F1340" s="249"/>
      <c r="G1340" s="236" t="s">
        <v>462</v>
      </c>
      <c r="H1340" s="237">
        <f t="shared" ref="H1340:H1365" si="95">IF(G1340="","",VLOOKUP(G1340,mah,2,0))</f>
        <v>3</v>
      </c>
      <c r="I1340" s="236">
        <v>1404</v>
      </c>
      <c r="J1340" s="236"/>
      <c r="K1340" s="238">
        <v>7000000</v>
      </c>
      <c r="L1340" s="368"/>
    </row>
    <row r="1341" spans="1:12" ht="15.75" customHeight="1">
      <c r="A1341" s="194"/>
      <c r="B134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41" s="358" t="s">
        <v>2301</v>
      </c>
      <c r="D1341" s="358" t="s">
        <v>3147</v>
      </c>
      <c r="E1341" s="432" t="s">
        <v>3145</v>
      </c>
      <c r="F1341" s="249"/>
      <c r="G1341" s="236" t="s">
        <v>462</v>
      </c>
      <c r="H1341" s="237">
        <f t="shared" si="95"/>
        <v>3</v>
      </c>
      <c r="I1341" s="236">
        <v>1404</v>
      </c>
      <c r="J1341" s="236"/>
      <c r="K1341" s="238">
        <v>15000000</v>
      </c>
      <c r="L1341" s="368"/>
    </row>
    <row r="1342" spans="1:12" ht="15.75" customHeight="1">
      <c r="A1342" s="194"/>
      <c r="B1342" s="235">
        <f>SUMIFS('لیست واریزی کل خیرین'!B:B,'لیست واریزی کل خیرین'!D:D,Table1[[#This Row],[نام]],'لیست واریزی کل خیرین'!E:E,Table1[[#This Row],[نام خانوادگی]])</f>
        <v>8</v>
      </c>
      <c r="C1342" s="358" t="s">
        <v>483</v>
      </c>
      <c r="D1342" s="358" t="s">
        <v>484</v>
      </c>
      <c r="E1342" s="432" t="s">
        <v>3145</v>
      </c>
      <c r="F1342" s="249"/>
      <c r="G1342" s="236" t="s">
        <v>462</v>
      </c>
      <c r="H1342" s="237">
        <f t="shared" si="95"/>
        <v>3</v>
      </c>
      <c r="I1342" s="236">
        <v>1404</v>
      </c>
      <c r="J1342" s="236"/>
      <c r="K1342" s="238">
        <v>5000000</v>
      </c>
      <c r="L1342" s="368"/>
    </row>
    <row r="1343" spans="1:12" ht="15.75" customHeight="1">
      <c r="A1343" s="194"/>
      <c r="B1343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1343" s="358" t="s">
        <v>202</v>
      </c>
      <c r="D1343" s="358" t="s">
        <v>502</v>
      </c>
      <c r="E1343" s="432" t="s">
        <v>3146</v>
      </c>
      <c r="F1343" s="249"/>
      <c r="G1343" s="236" t="s">
        <v>462</v>
      </c>
      <c r="H1343" s="237">
        <f t="shared" si="95"/>
        <v>3</v>
      </c>
      <c r="I1343" s="236">
        <v>1404</v>
      </c>
      <c r="J1343" s="236"/>
      <c r="K1343" s="238">
        <v>20000000</v>
      </c>
      <c r="L1343" s="368"/>
    </row>
    <row r="1344" spans="1:12" ht="15.75" customHeight="1">
      <c r="A1344" s="194"/>
      <c r="B1344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344" s="358" t="s">
        <v>522</v>
      </c>
      <c r="D1344" s="358" t="s">
        <v>523</v>
      </c>
      <c r="E1344" s="432" t="s">
        <v>3148</v>
      </c>
      <c r="F1344" s="249"/>
      <c r="G1344" s="236" t="s">
        <v>462</v>
      </c>
      <c r="H1344" s="237">
        <f t="shared" si="95"/>
        <v>3</v>
      </c>
      <c r="I1344" s="236">
        <v>1404</v>
      </c>
      <c r="J1344" s="236"/>
      <c r="K1344" s="238">
        <v>7500000</v>
      </c>
      <c r="L1344" s="368"/>
    </row>
    <row r="1345" spans="1:12" ht="15.75" customHeight="1">
      <c r="A1345" s="194"/>
      <c r="B134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45" s="358" t="s">
        <v>3165</v>
      </c>
      <c r="D1345" s="358" t="s">
        <v>3166</v>
      </c>
      <c r="E1345" s="432" t="s">
        <v>3149</v>
      </c>
      <c r="F1345" s="249"/>
      <c r="G1345" s="236" t="s">
        <v>462</v>
      </c>
      <c r="H1345" s="237">
        <f t="shared" si="95"/>
        <v>3</v>
      </c>
      <c r="I1345" s="236">
        <v>1404</v>
      </c>
      <c r="J1345" s="236"/>
      <c r="K1345" s="238">
        <v>20000000</v>
      </c>
      <c r="L1345" s="368"/>
    </row>
    <row r="1346" spans="1:12" ht="15.75" customHeight="1">
      <c r="A1346" s="194"/>
      <c r="B1346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346" s="358" t="s">
        <v>494</v>
      </c>
      <c r="D1346" s="358" t="s">
        <v>533</v>
      </c>
      <c r="E1346" s="432" t="s">
        <v>3149</v>
      </c>
      <c r="F1346" s="249"/>
      <c r="G1346" s="236" t="s">
        <v>462</v>
      </c>
      <c r="H1346" s="237">
        <f t="shared" si="95"/>
        <v>3</v>
      </c>
      <c r="I1346" s="236">
        <v>1404</v>
      </c>
      <c r="J1346" s="236"/>
      <c r="K1346" s="238">
        <v>100000000</v>
      </c>
      <c r="L1346" s="368"/>
    </row>
    <row r="1347" spans="1:12" ht="15.75" customHeight="1">
      <c r="A1347" s="194"/>
      <c r="B1347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347" s="358" t="s">
        <v>494</v>
      </c>
      <c r="D1347" s="358" t="s">
        <v>533</v>
      </c>
      <c r="E1347" s="432" t="s">
        <v>3149</v>
      </c>
      <c r="F1347" s="249"/>
      <c r="G1347" s="236" t="s">
        <v>462</v>
      </c>
      <c r="H1347" s="237">
        <f t="shared" si="95"/>
        <v>3</v>
      </c>
      <c r="I1347" s="236">
        <v>1404</v>
      </c>
      <c r="J1347" s="236"/>
      <c r="K1347" s="238">
        <v>100000000</v>
      </c>
      <c r="L1347" s="368"/>
    </row>
    <row r="1348" spans="1:12" ht="15.75" customHeight="1">
      <c r="A1348" s="194"/>
      <c r="B1348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1348" s="358" t="s">
        <v>480</v>
      </c>
      <c r="D1348" s="358" t="s">
        <v>481</v>
      </c>
      <c r="E1348" s="432" t="s">
        <v>3150</v>
      </c>
      <c r="F1348" s="249"/>
      <c r="G1348" s="236" t="s">
        <v>462</v>
      </c>
      <c r="H1348" s="237">
        <f t="shared" si="95"/>
        <v>3</v>
      </c>
      <c r="I1348" s="236">
        <v>1404</v>
      </c>
      <c r="J1348" s="236"/>
      <c r="K1348" s="238">
        <v>50000000</v>
      </c>
      <c r="L1348" s="368"/>
    </row>
    <row r="1349" spans="1:12" ht="15.75" customHeight="1">
      <c r="A1349" s="194"/>
      <c r="B1349" s="235">
        <f>SUMIFS('لیست واریزی کل خیرین'!B:B,'لیست واریزی کل خیرین'!D:D,Table1[[#This Row],[نام]],'لیست واریزی کل خیرین'!E:E,Table1[[#This Row],[نام خانوادگی]])</f>
        <v>20</v>
      </c>
      <c r="C1349" s="358" t="s">
        <v>494</v>
      </c>
      <c r="D1349" s="358" t="s">
        <v>511</v>
      </c>
      <c r="E1349" s="432" t="s">
        <v>3151</v>
      </c>
      <c r="F1349" s="249"/>
      <c r="G1349" s="236" t="s">
        <v>462</v>
      </c>
      <c r="H1349" s="237">
        <f t="shared" si="95"/>
        <v>3</v>
      </c>
      <c r="I1349" s="236">
        <v>1404</v>
      </c>
      <c r="J1349" s="236"/>
      <c r="K1349" s="238">
        <v>165000000</v>
      </c>
      <c r="L1349" s="368"/>
    </row>
    <row r="1350" spans="1:12" ht="15.75" customHeight="1">
      <c r="A1350" s="194"/>
      <c r="B1350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1350" s="358" t="s">
        <v>503</v>
      </c>
      <c r="D1350" s="358" t="s">
        <v>504</v>
      </c>
      <c r="E1350" s="432" t="s">
        <v>3152</v>
      </c>
      <c r="F1350" s="249"/>
      <c r="G1350" s="236" t="s">
        <v>462</v>
      </c>
      <c r="H1350" s="237">
        <f t="shared" si="95"/>
        <v>3</v>
      </c>
      <c r="I1350" s="236">
        <v>1404</v>
      </c>
      <c r="J1350" s="236"/>
      <c r="K1350" s="238">
        <v>10000000</v>
      </c>
      <c r="L1350" s="368"/>
    </row>
    <row r="1351" spans="1:12" ht="15.75" customHeight="1">
      <c r="A1351" s="194"/>
      <c r="B1351" s="235">
        <f>SUMIFS('لیست واریزی کل خیرین'!B:B,'لیست واریزی کل خیرین'!D:D,Table1[[#This Row],[نام]],'لیست واریزی کل خیرین'!E:E,Table1[[#This Row],[نام خانوادگی]])</f>
        <v>22</v>
      </c>
      <c r="C1351" s="358" t="s">
        <v>518</v>
      </c>
      <c r="D1351" s="358" t="s">
        <v>519</v>
      </c>
      <c r="E1351" s="432" t="s">
        <v>3153</v>
      </c>
      <c r="F1351" s="249"/>
      <c r="G1351" s="236" t="s">
        <v>462</v>
      </c>
      <c r="H1351" s="237">
        <f t="shared" si="95"/>
        <v>3</v>
      </c>
      <c r="I1351" s="236">
        <v>1404</v>
      </c>
      <c r="J1351" s="236"/>
      <c r="K1351" s="238">
        <v>25000000</v>
      </c>
      <c r="L1351" s="368"/>
    </row>
    <row r="1352" spans="1:12" ht="15.75" customHeight="1">
      <c r="A1352" s="194"/>
      <c r="B1352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1352" s="358" t="s">
        <v>596</v>
      </c>
      <c r="D1352" s="358" t="s">
        <v>597</v>
      </c>
      <c r="E1352" s="432" t="s">
        <v>3154</v>
      </c>
      <c r="F1352" s="249"/>
      <c r="G1352" s="236" t="s">
        <v>462</v>
      </c>
      <c r="H1352" s="237">
        <f t="shared" si="95"/>
        <v>3</v>
      </c>
      <c r="I1352" s="236">
        <v>1404</v>
      </c>
      <c r="J1352" s="236"/>
      <c r="K1352" s="238">
        <v>10000000</v>
      </c>
      <c r="L1352" s="368"/>
    </row>
    <row r="1353" spans="1:12" ht="15.75" customHeight="1">
      <c r="A1353" s="194"/>
      <c r="B1353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353" s="358" t="s">
        <v>464</v>
      </c>
      <c r="D1353" s="358" t="s">
        <v>465</v>
      </c>
      <c r="E1353" s="432" t="s">
        <v>3154</v>
      </c>
      <c r="F1353" s="249"/>
      <c r="G1353" s="236" t="s">
        <v>462</v>
      </c>
      <c r="H1353" s="237">
        <f t="shared" si="95"/>
        <v>3</v>
      </c>
      <c r="I1353" s="236">
        <v>1404</v>
      </c>
      <c r="J1353" s="236"/>
      <c r="K1353" s="238">
        <v>200000000</v>
      </c>
      <c r="L1353" s="368"/>
    </row>
    <row r="1354" spans="1:12" ht="15.75" customHeight="1">
      <c r="A1354" s="194"/>
      <c r="B1354" s="235">
        <f>SUMIFS('لیست واریزی کل خیرین'!B:B,'لیست واریزی کل خیرین'!D:D,Table1[[#This Row],[نام]],'لیست واریزی کل خیرین'!E:E,Table1[[#This Row],[نام خانوادگی]])</f>
        <v>136</v>
      </c>
      <c r="C1354" s="375" t="s">
        <v>1966</v>
      </c>
      <c r="D1354" s="375" t="s">
        <v>1967</v>
      </c>
      <c r="E1354" s="432" t="s">
        <v>3155</v>
      </c>
      <c r="F1354" s="249"/>
      <c r="G1354" s="236" t="s">
        <v>462</v>
      </c>
      <c r="H1354" s="237">
        <f t="shared" si="95"/>
        <v>3</v>
      </c>
      <c r="I1354" s="236">
        <v>1404</v>
      </c>
      <c r="J1354" s="236"/>
      <c r="K1354" s="238">
        <v>1000000000</v>
      </c>
      <c r="L1354" s="368"/>
    </row>
    <row r="1355" spans="1:12" ht="15.75" customHeight="1">
      <c r="A1355" s="194"/>
      <c r="B1355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355" s="358" t="s">
        <v>489</v>
      </c>
      <c r="D1355" s="358" t="s">
        <v>490</v>
      </c>
      <c r="E1355" s="432" t="s">
        <v>3156</v>
      </c>
      <c r="F1355" s="249"/>
      <c r="G1355" s="236" t="s">
        <v>462</v>
      </c>
      <c r="H1355" s="237">
        <f t="shared" si="95"/>
        <v>3</v>
      </c>
      <c r="I1355" s="236">
        <v>1404</v>
      </c>
      <c r="J1355" s="236"/>
      <c r="K1355" s="238">
        <v>200000000</v>
      </c>
      <c r="L1355" s="368"/>
    </row>
    <row r="1356" spans="1:12" ht="15.75" customHeight="1">
      <c r="A1356" s="194"/>
      <c r="B1356" s="235">
        <f>SUMIFS('لیست واریزی کل خیرین'!B:B,'لیست واریزی کل خیرین'!D:D,Table1[[#This Row],[نام]],'لیست واریزی کل خیرین'!E:E,Table1[[#This Row],[نام خانوادگی]])</f>
        <v>19</v>
      </c>
      <c r="C1356" s="137" t="s">
        <v>497</v>
      </c>
      <c r="D1356" s="137" t="s">
        <v>513</v>
      </c>
      <c r="E1356" s="432" t="s">
        <v>3156</v>
      </c>
      <c r="F1356" s="249"/>
      <c r="G1356" s="236" t="s">
        <v>462</v>
      </c>
      <c r="H1356" s="237">
        <f t="shared" si="95"/>
        <v>3</v>
      </c>
      <c r="I1356" s="236">
        <v>1404</v>
      </c>
      <c r="J1356" s="236"/>
      <c r="K1356" s="238">
        <v>30000000</v>
      </c>
      <c r="L1356" s="368"/>
    </row>
    <row r="1357" spans="1:12" ht="15.75" customHeight="1">
      <c r="A1357" s="194"/>
      <c r="B1357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357" s="358" t="s">
        <v>486</v>
      </c>
      <c r="D1357" s="358" t="s">
        <v>487</v>
      </c>
      <c r="E1357" s="432" t="s">
        <v>3156</v>
      </c>
      <c r="F1357" s="249"/>
      <c r="G1357" s="236" t="s">
        <v>462</v>
      </c>
      <c r="H1357" s="237">
        <f t="shared" si="95"/>
        <v>3</v>
      </c>
      <c r="I1357" s="236">
        <v>1404</v>
      </c>
      <c r="J1357" s="236"/>
      <c r="K1357" s="238">
        <v>20000000</v>
      </c>
      <c r="L1357" s="368"/>
    </row>
    <row r="1358" spans="1:12" ht="15.75" customHeight="1">
      <c r="A1358" s="194"/>
      <c r="B135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58" s="358" t="s">
        <v>3158</v>
      </c>
      <c r="D1358" s="358" t="s">
        <v>3159</v>
      </c>
      <c r="E1358" s="432" t="s">
        <v>3157</v>
      </c>
      <c r="F1358" s="249"/>
      <c r="G1358" s="236" t="s">
        <v>462</v>
      </c>
      <c r="H1358" s="237">
        <f t="shared" si="95"/>
        <v>3</v>
      </c>
      <c r="I1358" s="236">
        <v>1404</v>
      </c>
      <c r="J1358" s="236"/>
      <c r="K1358" s="238">
        <v>50000000</v>
      </c>
      <c r="L1358" s="368"/>
    </row>
    <row r="1359" spans="1:12" ht="15.75" customHeight="1">
      <c r="A1359" s="194"/>
      <c r="B135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59" s="358" t="s">
        <v>3158</v>
      </c>
      <c r="D1359" s="358" t="s">
        <v>3159</v>
      </c>
      <c r="E1359" s="432" t="s">
        <v>3157</v>
      </c>
      <c r="F1359" s="249"/>
      <c r="G1359" s="236" t="s">
        <v>462</v>
      </c>
      <c r="H1359" s="237">
        <f t="shared" si="95"/>
        <v>3</v>
      </c>
      <c r="I1359" s="236">
        <v>1404</v>
      </c>
      <c r="J1359" s="236"/>
      <c r="K1359" s="238">
        <v>100000000</v>
      </c>
      <c r="L1359" s="368"/>
    </row>
    <row r="1360" spans="1:12" ht="15.75" customHeight="1">
      <c r="A1360" s="194"/>
      <c r="B136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60" s="358" t="s">
        <v>200</v>
      </c>
      <c r="D1360" s="358" t="s">
        <v>705</v>
      </c>
      <c r="E1360" s="432" t="s">
        <v>3160</v>
      </c>
      <c r="F1360" s="249"/>
      <c r="G1360" s="236" t="s">
        <v>462</v>
      </c>
      <c r="H1360" s="237">
        <f t="shared" si="95"/>
        <v>3</v>
      </c>
      <c r="I1360" s="236">
        <v>1404</v>
      </c>
      <c r="J1360" s="236"/>
      <c r="K1360" s="238">
        <v>10000000</v>
      </c>
      <c r="L1360" s="368"/>
    </row>
    <row r="1361" spans="1:12" ht="15.75" customHeight="1">
      <c r="A1361" s="194"/>
      <c r="B1361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361" s="358" t="s">
        <v>489</v>
      </c>
      <c r="D1361" s="358" t="s">
        <v>490</v>
      </c>
      <c r="E1361" s="432" t="s">
        <v>3161</v>
      </c>
      <c r="F1361" s="249"/>
      <c r="G1361" s="236" t="s">
        <v>462</v>
      </c>
      <c r="H1361" s="237">
        <f t="shared" si="95"/>
        <v>3</v>
      </c>
      <c r="I1361" s="236">
        <v>1404</v>
      </c>
      <c r="J1361" s="236"/>
      <c r="K1361" s="238">
        <v>3000000</v>
      </c>
      <c r="L1361" s="368"/>
    </row>
    <row r="1362" spans="1:12" ht="15.75" customHeight="1">
      <c r="A1362" s="194"/>
      <c r="B136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62" s="358" t="s">
        <v>695</v>
      </c>
      <c r="D1362" s="358" t="s">
        <v>2490</v>
      </c>
      <c r="E1362" s="432" t="s">
        <v>3162</v>
      </c>
      <c r="F1362" s="249"/>
      <c r="G1362" s="236" t="s">
        <v>462</v>
      </c>
      <c r="H1362" s="237">
        <f t="shared" si="95"/>
        <v>3</v>
      </c>
      <c r="I1362" s="236">
        <v>1404</v>
      </c>
      <c r="J1362" s="236"/>
      <c r="K1362" s="238">
        <v>7000000</v>
      </c>
      <c r="L1362" s="368"/>
    </row>
    <row r="1363" spans="1:12" ht="15.75" customHeight="1">
      <c r="A1363" s="194"/>
      <c r="B136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63" s="358" t="s">
        <v>2301</v>
      </c>
      <c r="D1363" s="358" t="s">
        <v>516</v>
      </c>
      <c r="E1363" s="432" t="s">
        <v>3164</v>
      </c>
      <c r="F1363" s="249"/>
      <c r="G1363" s="236" t="s">
        <v>474</v>
      </c>
      <c r="H1363" s="237">
        <f t="shared" si="95"/>
        <v>4</v>
      </c>
      <c r="I1363" s="236">
        <v>1404</v>
      </c>
      <c r="J1363" s="236"/>
      <c r="K1363" s="238">
        <v>15000000</v>
      </c>
      <c r="L1363" s="368"/>
    </row>
    <row r="1364" spans="1:12" ht="15.75" customHeight="1">
      <c r="A1364" s="194"/>
      <c r="B1364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364" s="358" t="s">
        <v>838</v>
      </c>
      <c r="D1364" s="358" t="s">
        <v>839</v>
      </c>
      <c r="E1364" s="432" t="s">
        <v>3164</v>
      </c>
      <c r="F1364" s="249"/>
      <c r="G1364" s="236" t="s">
        <v>474</v>
      </c>
      <c r="H1364" s="237">
        <f t="shared" si="95"/>
        <v>4</v>
      </c>
      <c r="I1364" s="236">
        <v>1404</v>
      </c>
      <c r="J1364" s="236"/>
      <c r="K1364" s="238">
        <v>7500000</v>
      </c>
      <c r="L1364" s="368"/>
    </row>
    <row r="1365" spans="1:12" ht="15.75" customHeight="1">
      <c r="A1365" s="194"/>
      <c r="B136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65" s="358" t="s">
        <v>2539</v>
      </c>
      <c r="D1365" s="358" t="s">
        <v>3163</v>
      </c>
      <c r="E1365" s="432" t="s">
        <v>3164</v>
      </c>
      <c r="F1365" s="249"/>
      <c r="G1365" s="236" t="s">
        <v>474</v>
      </c>
      <c r="H1365" s="237">
        <f t="shared" si="95"/>
        <v>4</v>
      </c>
      <c r="I1365" s="236">
        <v>1404</v>
      </c>
      <c r="J1365" s="236"/>
      <c r="K1365" s="238">
        <v>10000000</v>
      </c>
      <c r="L1365" s="368"/>
    </row>
    <row r="1366" spans="1:12" ht="15.75" customHeight="1">
      <c r="A1366" s="194"/>
      <c r="B136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66" s="358" t="s">
        <v>843</v>
      </c>
      <c r="D1366" s="358" t="s">
        <v>3126</v>
      </c>
      <c r="E1366" s="432" t="s">
        <v>3167</v>
      </c>
      <c r="F1366" s="249"/>
      <c r="G1366" s="236" t="s">
        <v>474</v>
      </c>
      <c r="H1366" s="237">
        <f t="shared" ref="H1366:H1387" si="96">IF(G1366="","",VLOOKUP(G1366,mah,2,0))</f>
        <v>4</v>
      </c>
      <c r="I1366" s="236">
        <v>1404</v>
      </c>
      <c r="J1366" s="236"/>
      <c r="K1366" s="238">
        <v>5000000</v>
      </c>
      <c r="L1366" s="368"/>
    </row>
    <row r="1367" spans="1:12" ht="15.75" customHeight="1">
      <c r="A1367" s="194"/>
      <c r="B1367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367" s="358" t="s">
        <v>522</v>
      </c>
      <c r="D1367" s="358" t="s">
        <v>523</v>
      </c>
      <c r="E1367" s="432" t="s">
        <v>3168</v>
      </c>
      <c r="F1367" s="249"/>
      <c r="G1367" s="236" t="s">
        <v>474</v>
      </c>
      <c r="H1367" s="237">
        <f t="shared" si="96"/>
        <v>4</v>
      </c>
      <c r="I1367" s="236">
        <v>1404</v>
      </c>
      <c r="J1367" s="236"/>
      <c r="K1367" s="238">
        <v>109279740</v>
      </c>
      <c r="L1367" s="368"/>
    </row>
    <row r="1368" spans="1:12" ht="15.75" customHeight="1">
      <c r="A1368" s="194"/>
      <c r="B136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68" s="358" t="s">
        <v>596</v>
      </c>
      <c r="D1368" s="358" t="s">
        <v>481</v>
      </c>
      <c r="E1368" s="432" t="s">
        <v>3169</v>
      </c>
      <c r="F1368" s="249"/>
      <c r="G1368" s="236" t="s">
        <v>474</v>
      </c>
      <c r="H1368" s="237">
        <f t="shared" si="96"/>
        <v>4</v>
      </c>
      <c r="I1368" s="236">
        <v>1404</v>
      </c>
      <c r="J1368" s="236"/>
      <c r="K1368" s="238">
        <v>50000000</v>
      </c>
      <c r="L1368" s="368"/>
    </row>
    <row r="1369" spans="1:12" ht="15.75" customHeight="1">
      <c r="A1369" s="194"/>
      <c r="B1369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369" s="358" t="s">
        <v>494</v>
      </c>
      <c r="D1369" s="358" t="s">
        <v>533</v>
      </c>
      <c r="E1369" s="432" t="s">
        <v>3170</v>
      </c>
      <c r="F1369" s="249"/>
      <c r="G1369" s="236" t="s">
        <v>474</v>
      </c>
      <c r="H1369" s="237">
        <f t="shared" si="96"/>
        <v>4</v>
      </c>
      <c r="I1369" s="236">
        <v>1404</v>
      </c>
      <c r="J1369" s="236"/>
      <c r="K1369" s="238">
        <v>100000000</v>
      </c>
      <c r="L1369" s="368"/>
    </row>
    <row r="1370" spans="1:12" ht="15.75" customHeight="1">
      <c r="A1370" s="194"/>
      <c r="B1370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370" s="358" t="s">
        <v>494</v>
      </c>
      <c r="D1370" s="358" t="s">
        <v>533</v>
      </c>
      <c r="E1370" s="432" t="s">
        <v>3170</v>
      </c>
      <c r="F1370" s="249"/>
      <c r="G1370" s="236" t="s">
        <v>474</v>
      </c>
      <c r="H1370" s="237">
        <f t="shared" si="96"/>
        <v>4</v>
      </c>
      <c r="I1370" s="236">
        <v>1404</v>
      </c>
      <c r="J1370" s="236"/>
      <c r="K1370" s="238">
        <v>100000000</v>
      </c>
      <c r="L1370" s="368"/>
    </row>
    <row r="1371" spans="1:12" ht="15.75" customHeight="1">
      <c r="A1371" s="194"/>
      <c r="B137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71" s="358" t="s">
        <v>3172</v>
      </c>
      <c r="D1371" s="358" t="s">
        <v>2587</v>
      </c>
      <c r="E1371" s="432" t="s">
        <v>3171</v>
      </c>
      <c r="F1371" s="249"/>
      <c r="G1371" s="236" t="s">
        <v>474</v>
      </c>
      <c r="H1371" s="237">
        <f t="shared" si="96"/>
        <v>4</v>
      </c>
      <c r="I1371" s="236">
        <v>1404</v>
      </c>
      <c r="J1371" s="236"/>
      <c r="K1371" s="238">
        <v>2000000</v>
      </c>
      <c r="L1371" s="368"/>
    </row>
    <row r="1372" spans="1:12" ht="15.75" customHeight="1">
      <c r="A1372" s="194"/>
      <c r="B1372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372" s="358" t="s">
        <v>489</v>
      </c>
      <c r="D1372" s="358" t="s">
        <v>490</v>
      </c>
      <c r="E1372" s="432" t="s">
        <v>3171</v>
      </c>
      <c r="F1372" s="249"/>
      <c r="G1372" s="236" t="s">
        <v>474</v>
      </c>
      <c r="H1372" s="237">
        <f t="shared" si="96"/>
        <v>4</v>
      </c>
      <c r="I1372" s="236">
        <v>1404</v>
      </c>
      <c r="J1372" s="236"/>
      <c r="K1372" s="238">
        <v>3000000</v>
      </c>
      <c r="L1372" s="368"/>
    </row>
    <row r="1373" spans="1:12" ht="15.75" customHeight="1">
      <c r="A1373" s="194"/>
      <c r="B137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73" s="358" t="s">
        <v>3158</v>
      </c>
      <c r="D1373" s="358" t="s">
        <v>3159</v>
      </c>
      <c r="E1373" s="432" t="s">
        <v>3173</v>
      </c>
      <c r="F1373" s="249"/>
      <c r="G1373" s="236" t="s">
        <v>474</v>
      </c>
      <c r="H1373" s="237">
        <f t="shared" si="96"/>
        <v>4</v>
      </c>
      <c r="I1373" s="236">
        <v>1404</v>
      </c>
      <c r="J1373" s="236"/>
      <c r="K1373" s="238">
        <v>1000000000</v>
      </c>
      <c r="L1373" s="368"/>
    </row>
    <row r="1374" spans="1:12" ht="15.75" customHeight="1">
      <c r="A1374" s="194"/>
      <c r="B1374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374" s="358" t="s">
        <v>489</v>
      </c>
      <c r="D1374" s="358" t="s">
        <v>490</v>
      </c>
      <c r="E1374" s="432" t="s">
        <v>3174</v>
      </c>
      <c r="F1374" s="249"/>
      <c r="G1374" s="236" t="s">
        <v>474</v>
      </c>
      <c r="H1374" s="237">
        <f t="shared" si="96"/>
        <v>4</v>
      </c>
      <c r="I1374" s="236">
        <v>1404</v>
      </c>
      <c r="J1374" s="236"/>
      <c r="K1374" s="238">
        <v>6000000</v>
      </c>
      <c r="L1374" s="368"/>
    </row>
    <row r="1375" spans="1:12" ht="15.75" customHeight="1">
      <c r="A1375" s="194"/>
      <c r="B1375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375" s="358" t="s">
        <v>489</v>
      </c>
      <c r="D1375" s="358" t="s">
        <v>490</v>
      </c>
      <c r="E1375" s="432" t="s">
        <v>3175</v>
      </c>
      <c r="F1375" s="249"/>
      <c r="G1375" s="236" t="s">
        <v>474</v>
      </c>
      <c r="H1375" s="237">
        <f t="shared" si="96"/>
        <v>4</v>
      </c>
      <c r="I1375" s="236">
        <v>1404</v>
      </c>
      <c r="J1375" s="236"/>
      <c r="K1375" s="238">
        <v>50000000</v>
      </c>
      <c r="L1375" s="368"/>
    </row>
    <row r="1376" spans="1:12" ht="15.75" customHeight="1">
      <c r="A1376" s="194"/>
      <c r="B137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76" s="358" t="s">
        <v>3176</v>
      </c>
      <c r="D1376" s="358" t="s">
        <v>3177</v>
      </c>
      <c r="E1376" s="432" t="s">
        <v>3175</v>
      </c>
      <c r="F1376" s="249"/>
      <c r="G1376" s="236" t="s">
        <v>474</v>
      </c>
      <c r="H1376" s="237">
        <f t="shared" si="96"/>
        <v>4</v>
      </c>
      <c r="I1376" s="236">
        <v>1404</v>
      </c>
      <c r="J1376" s="236"/>
      <c r="K1376" s="238">
        <v>40000000</v>
      </c>
      <c r="L1376" s="368"/>
    </row>
    <row r="1377" spans="1:12" ht="15.75" customHeight="1">
      <c r="A1377" s="194"/>
      <c r="B1377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377" s="358" t="s">
        <v>486</v>
      </c>
      <c r="D1377" s="358" t="s">
        <v>487</v>
      </c>
      <c r="E1377" s="432" t="s">
        <v>3175</v>
      </c>
      <c r="F1377" s="249"/>
      <c r="G1377" s="236" t="s">
        <v>474</v>
      </c>
      <c r="H1377" s="237">
        <f t="shared" si="96"/>
        <v>4</v>
      </c>
      <c r="I1377" s="236">
        <v>1404</v>
      </c>
      <c r="J1377" s="236"/>
      <c r="K1377" s="238">
        <v>20000000</v>
      </c>
      <c r="L1377" s="368"/>
    </row>
    <row r="1378" spans="1:12" ht="15.75" customHeight="1">
      <c r="A1378" s="194"/>
      <c r="B1378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378" s="358" t="s">
        <v>670</v>
      </c>
      <c r="D1378" s="358" t="s">
        <v>490</v>
      </c>
      <c r="E1378" s="432" t="s">
        <v>3175</v>
      </c>
      <c r="F1378" s="249"/>
      <c r="G1378" s="236" t="s">
        <v>474</v>
      </c>
      <c r="H1378" s="237">
        <f t="shared" si="96"/>
        <v>4</v>
      </c>
      <c r="I1378" s="236">
        <v>1404</v>
      </c>
      <c r="J1378" s="236"/>
      <c r="K1378" s="238">
        <v>30000000</v>
      </c>
      <c r="L1378" s="368"/>
    </row>
    <row r="1379" spans="1:12" ht="15.75" customHeight="1">
      <c r="A1379" s="194"/>
      <c r="B1379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1379" s="358" t="s">
        <v>202</v>
      </c>
      <c r="D1379" s="358" t="s">
        <v>502</v>
      </c>
      <c r="E1379" s="432" t="s">
        <v>3179</v>
      </c>
      <c r="F1379" s="249"/>
      <c r="G1379" s="236" t="s">
        <v>474</v>
      </c>
      <c r="H1379" s="237">
        <f t="shared" si="96"/>
        <v>4</v>
      </c>
      <c r="I1379" s="236">
        <v>1404</v>
      </c>
      <c r="J1379" s="236"/>
      <c r="K1379" s="238">
        <v>20000000</v>
      </c>
      <c r="L1379" s="368"/>
    </row>
    <row r="1380" spans="1:12" ht="15.75" customHeight="1">
      <c r="A1380" s="194"/>
      <c r="B138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80" s="358" t="s">
        <v>2343</v>
      </c>
      <c r="D1380" s="358" t="s">
        <v>1069</v>
      </c>
      <c r="E1380" s="432" t="s">
        <v>3179</v>
      </c>
      <c r="F1380" s="249"/>
      <c r="G1380" s="236" t="s">
        <v>474</v>
      </c>
      <c r="H1380" s="237">
        <f t="shared" si="96"/>
        <v>4</v>
      </c>
      <c r="I1380" s="236">
        <v>1404</v>
      </c>
      <c r="J1380" s="236"/>
      <c r="K1380" s="238">
        <v>30000000</v>
      </c>
      <c r="L1380" s="368"/>
    </row>
    <row r="1381" spans="1:12" ht="15.75" customHeight="1">
      <c r="A1381" s="194"/>
      <c r="B138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81" s="358" t="s">
        <v>200</v>
      </c>
      <c r="D1381" s="358" t="s">
        <v>705</v>
      </c>
      <c r="E1381" s="432" t="s">
        <v>3180</v>
      </c>
      <c r="F1381" s="249"/>
      <c r="G1381" s="236" t="s">
        <v>474</v>
      </c>
      <c r="H1381" s="237">
        <f t="shared" si="96"/>
        <v>4</v>
      </c>
      <c r="I1381" s="236">
        <v>1404</v>
      </c>
      <c r="J1381" s="236"/>
      <c r="K1381" s="238">
        <v>10000000</v>
      </c>
      <c r="L1381" s="368"/>
    </row>
    <row r="1382" spans="1:12" ht="15.75" customHeight="1">
      <c r="A1382" s="194"/>
      <c r="B138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82" s="358" t="s">
        <v>2416</v>
      </c>
      <c r="D1382" s="358" t="s">
        <v>2680</v>
      </c>
      <c r="E1382" s="432" t="s">
        <v>3181</v>
      </c>
      <c r="F1382" s="249"/>
      <c r="G1382" s="236" t="s">
        <v>474</v>
      </c>
      <c r="H1382" s="237">
        <f t="shared" si="96"/>
        <v>4</v>
      </c>
      <c r="I1382" s="236">
        <v>1404</v>
      </c>
      <c r="J1382" s="236"/>
      <c r="K1382" s="238">
        <v>25000000</v>
      </c>
      <c r="L1382" s="368"/>
    </row>
    <row r="1383" spans="1:12" ht="15.75" customHeight="1">
      <c r="A1383" s="194"/>
      <c r="B138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83" s="358" t="s">
        <v>532</v>
      </c>
      <c r="D1383" s="358" t="s">
        <v>3178</v>
      </c>
      <c r="E1383" s="432" t="s">
        <v>3181</v>
      </c>
      <c r="F1383" s="249"/>
      <c r="G1383" s="236" t="s">
        <v>474</v>
      </c>
      <c r="H1383" s="237">
        <f t="shared" si="96"/>
        <v>4</v>
      </c>
      <c r="I1383" s="236">
        <v>1404</v>
      </c>
      <c r="J1383" s="236"/>
      <c r="K1383" s="238">
        <v>260000000</v>
      </c>
      <c r="L1383" s="368"/>
    </row>
    <row r="1384" spans="1:12" ht="15.75" customHeight="1">
      <c r="A1384" s="194"/>
      <c r="B138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84" s="358" t="s">
        <v>596</v>
      </c>
      <c r="D1384" s="358" t="s">
        <v>481</v>
      </c>
      <c r="E1384" s="432" t="s">
        <v>3182</v>
      </c>
      <c r="F1384" s="249"/>
      <c r="G1384" s="236" t="s">
        <v>474</v>
      </c>
      <c r="H1384" s="237">
        <f t="shared" si="96"/>
        <v>4</v>
      </c>
      <c r="I1384" s="236">
        <v>1404</v>
      </c>
      <c r="J1384" s="236"/>
      <c r="K1384" s="238">
        <v>50000000</v>
      </c>
      <c r="L1384" s="368"/>
    </row>
    <row r="1385" spans="1:12" ht="15.75" customHeight="1">
      <c r="A1385" s="194"/>
      <c r="B1385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385" s="358" t="s">
        <v>489</v>
      </c>
      <c r="D1385" s="358" t="s">
        <v>490</v>
      </c>
      <c r="E1385" s="432" t="s">
        <v>3182</v>
      </c>
      <c r="F1385" s="249"/>
      <c r="G1385" s="236" t="s">
        <v>474</v>
      </c>
      <c r="H1385" s="237">
        <f t="shared" si="96"/>
        <v>4</v>
      </c>
      <c r="I1385" s="236">
        <v>1404</v>
      </c>
      <c r="J1385" s="236"/>
      <c r="K1385" s="238">
        <v>3000000</v>
      </c>
      <c r="L1385" s="368"/>
    </row>
    <row r="1386" spans="1:12" ht="15.75" customHeight="1">
      <c r="A1386" s="194"/>
      <c r="B138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86" s="358" t="s">
        <v>2301</v>
      </c>
      <c r="D1386" s="358" t="s">
        <v>3147</v>
      </c>
      <c r="E1386" s="432" t="s">
        <v>3183</v>
      </c>
      <c r="F1386" s="249"/>
      <c r="G1386" s="236" t="s">
        <v>477</v>
      </c>
      <c r="H1386" s="237">
        <f t="shared" si="96"/>
        <v>5</v>
      </c>
      <c r="I1386" s="236">
        <v>1404</v>
      </c>
      <c r="J1386" s="236"/>
      <c r="K1386" s="238">
        <v>15000000</v>
      </c>
      <c r="L1386" s="368"/>
    </row>
    <row r="1387" spans="1:12" ht="15.75" customHeight="1">
      <c r="A1387" s="194"/>
      <c r="B138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87" s="358" t="s">
        <v>695</v>
      </c>
      <c r="D1387" s="358" t="s">
        <v>2490</v>
      </c>
      <c r="E1387" s="432" t="s">
        <v>3183</v>
      </c>
      <c r="F1387" s="249"/>
      <c r="G1387" s="236" t="s">
        <v>477</v>
      </c>
      <c r="H1387" s="237">
        <f t="shared" si="96"/>
        <v>5</v>
      </c>
      <c r="I1387" s="236">
        <v>1404</v>
      </c>
      <c r="J1387" s="236"/>
      <c r="K1387" s="238">
        <v>7000000</v>
      </c>
      <c r="L1387" s="368"/>
    </row>
    <row r="1388" spans="1:12" ht="15.75" customHeight="1">
      <c r="A1388" s="194"/>
      <c r="B138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88" s="358" t="s">
        <v>2416</v>
      </c>
      <c r="D1388" s="358" t="s">
        <v>2417</v>
      </c>
      <c r="E1388" s="432" t="s">
        <v>3183</v>
      </c>
      <c r="F1388" s="249"/>
      <c r="G1388" s="236" t="s">
        <v>477</v>
      </c>
      <c r="H1388" s="237">
        <f t="shared" ref="H1388:H1421" si="97">IF(G1388="","",VLOOKUP(G1388,mah,2,0))</f>
        <v>5</v>
      </c>
      <c r="I1388" s="236">
        <v>1404</v>
      </c>
      <c r="J1388" s="236"/>
      <c r="K1388" s="238">
        <v>5000000</v>
      </c>
      <c r="L1388" s="368"/>
    </row>
    <row r="1389" spans="1:12" ht="15.75" customHeight="1">
      <c r="A1389" s="194"/>
      <c r="B138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89" s="358" t="s">
        <v>520</v>
      </c>
      <c r="D1389" s="358" t="s">
        <v>2282</v>
      </c>
      <c r="E1389" s="432" t="s">
        <v>3183</v>
      </c>
      <c r="F1389" s="249"/>
      <c r="G1389" s="236" t="s">
        <v>477</v>
      </c>
      <c r="H1389" s="237">
        <f t="shared" si="97"/>
        <v>5</v>
      </c>
      <c r="I1389" s="236">
        <v>1404</v>
      </c>
      <c r="J1389" s="236"/>
      <c r="K1389" s="238">
        <v>20000000</v>
      </c>
      <c r="L1389" s="368"/>
    </row>
    <row r="1390" spans="1:12" ht="15.75" customHeight="1">
      <c r="A1390" s="194"/>
      <c r="B139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90" s="358" t="s">
        <v>843</v>
      </c>
      <c r="D1390" s="358" t="s">
        <v>3126</v>
      </c>
      <c r="E1390" s="432" t="s">
        <v>3183</v>
      </c>
      <c r="F1390" s="249"/>
      <c r="G1390" s="236" t="s">
        <v>477</v>
      </c>
      <c r="H1390" s="237">
        <f t="shared" si="97"/>
        <v>5</v>
      </c>
      <c r="I1390" s="236">
        <v>1404</v>
      </c>
      <c r="J1390" s="236"/>
      <c r="K1390" s="238">
        <v>5000000</v>
      </c>
      <c r="L1390" s="368"/>
    </row>
    <row r="1391" spans="1:12" ht="15.75" customHeight="1">
      <c r="A1391" s="194"/>
      <c r="B139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91" s="358" t="s">
        <v>2539</v>
      </c>
      <c r="D1391" s="358" t="s">
        <v>3163</v>
      </c>
      <c r="E1391" s="432" t="s">
        <v>3185</v>
      </c>
      <c r="F1391" s="249"/>
      <c r="G1391" s="236" t="s">
        <v>477</v>
      </c>
      <c r="H1391" s="237">
        <f t="shared" si="97"/>
        <v>5</v>
      </c>
      <c r="I1391" s="236">
        <v>1404</v>
      </c>
      <c r="J1391" s="236"/>
      <c r="K1391" s="238">
        <v>10000000</v>
      </c>
      <c r="L1391" s="368"/>
    </row>
    <row r="1392" spans="1:12" ht="15.75" customHeight="1">
      <c r="A1392" s="194"/>
      <c r="B139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92" s="358" t="s">
        <v>507</v>
      </c>
      <c r="D1392" s="358" t="s">
        <v>2384</v>
      </c>
      <c r="E1392" s="432" t="s">
        <v>3185</v>
      </c>
      <c r="F1392" s="249"/>
      <c r="G1392" s="236" t="s">
        <v>477</v>
      </c>
      <c r="H1392" s="237">
        <f t="shared" si="97"/>
        <v>5</v>
      </c>
      <c r="I1392" s="236">
        <v>1404</v>
      </c>
      <c r="J1392" s="236"/>
      <c r="K1392" s="238">
        <v>30000000</v>
      </c>
      <c r="L1392" s="368"/>
    </row>
    <row r="1393" spans="1:12" ht="15.75" customHeight="1">
      <c r="A1393" s="194"/>
      <c r="B1393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393" s="358" t="s">
        <v>838</v>
      </c>
      <c r="D1393" s="358" t="s">
        <v>839</v>
      </c>
      <c r="E1393" s="432" t="s">
        <v>3185</v>
      </c>
      <c r="F1393" s="249"/>
      <c r="G1393" s="236" t="s">
        <v>477</v>
      </c>
      <c r="H1393" s="237">
        <f t="shared" si="97"/>
        <v>5</v>
      </c>
      <c r="I1393" s="236">
        <v>1404</v>
      </c>
      <c r="J1393" s="236"/>
      <c r="K1393" s="238">
        <v>7500000</v>
      </c>
      <c r="L1393" s="368"/>
    </row>
    <row r="1394" spans="1:12" ht="15.75" customHeight="1">
      <c r="A1394" s="194"/>
      <c r="B1394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1394" s="358" t="s">
        <v>596</v>
      </c>
      <c r="D1394" s="358" t="s">
        <v>597</v>
      </c>
      <c r="E1394" s="432" t="s">
        <v>3189</v>
      </c>
      <c r="F1394" s="249"/>
      <c r="G1394" s="236" t="s">
        <v>477</v>
      </c>
      <c r="H1394" s="237">
        <f t="shared" si="97"/>
        <v>5</v>
      </c>
      <c r="I1394" s="236">
        <v>1404</v>
      </c>
      <c r="J1394" s="236"/>
      <c r="K1394" s="238">
        <v>10000000</v>
      </c>
      <c r="L1394" s="368"/>
    </row>
    <row r="1395" spans="1:12" ht="15.75" customHeight="1">
      <c r="A1395" s="194"/>
      <c r="B139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95" s="358" t="s">
        <v>494</v>
      </c>
      <c r="D1395" s="358" t="s">
        <v>3186</v>
      </c>
      <c r="E1395" s="432" t="s">
        <v>3189</v>
      </c>
      <c r="F1395" s="249"/>
      <c r="G1395" s="236" t="s">
        <v>477</v>
      </c>
      <c r="H1395" s="237">
        <f t="shared" si="97"/>
        <v>5</v>
      </c>
      <c r="I1395" s="236">
        <v>1404</v>
      </c>
      <c r="J1395" s="236"/>
      <c r="K1395" s="238">
        <v>20000000</v>
      </c>
      <c r="L1395" s="368"/>
    </row>
    <row r="1396" spans="1:12" ht="15.75" customHeight="1">
      <c r="A1396" s="194"/>
      <c r="B139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396" s="358" t="s">
        <v>1639</v>
      </c>
      <c r="D1396" s="358" t="s">
        <v>1659</v>
      </c>
      <c r="E1396" s="432" t="s">
        <v>3189</v>
      </c>
      <c r="F1396" s="249"/>
      <c r="G1396" s="236" t="s">
        <v>477</v>
      </c>
      <c r="H1396" s="237">
        <f t="shared" si="97"/>
        <v>5</v>
      </c>
      <c r="I1396" s="236">
        <v>1404</v>
      </c>
      <c r="J1396" s="236"/>
      <c r="K1396" s="238">
        <v>10000000</v>
      </c>
      <c r="L1396" s="368"/>
    </row>
    <row r="1397" spans="1:12" ht="15.75" customHeight="1">
      <c r="A1397" s="194"/>
      <c r="B1397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1397" s="358" t="s">
        <v>1671</v>
      </c>
      <c r="D1397" s="358" t="s">
        <v>1672</v>
      </c>
      <c r="E1397" s="432" t="s">
        <v>3189</v>
      </c>
      <c r="F1397" s="249"/>
      <c r="G1397" s="236" t="s">
        <v>477</v>
      </c>
      <c r="H1397" s="237">
        <f t="shared" si="97"/>
        <v>5</v>
      </c>
      <c r="I1397" s="236">
        <v>1404</v>
      </c>
      <c r="J1397" s="236"/>
      <c r="K1397" s="238">
        <v>10000000</v>
      </c>
      <c r="L1397" s="368"/>
    </row>
    <row r="1398" spans="1:12" ht="15.75" customHeight="1">
      <c r="A1398" s="194"/>
      <c r="B1398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398" s="358" t="s">
        <v>486</v>
      </c>
      <c r="D1398" s="358" t="s">
        <v>487</v>
      </c>
      <c r="E1398" s="432" t="s">
        <v>3189</v>
      </c>
      <c r="F1398" s="249"/>
      <c r="G1398" s="236" t="s">
        <v>477</v>
      </c>
      <c r="H1398" s="237">
        <f t="shared" si="97"/>
        <v>5</v>
      </c>
      <c r="I1398" s="236">
        <v>1404</v>
      </c>
      <c r="J1398" s="236"/>
      <c r="K1398" s="238">
        <v>15000000</v>
      </c>
      <c r="L1398" s="368"/>
    </row>
    <row r="1399" spans="1:12" ht="15.75" customHeight="1">
      <c r="A1399" s="194"/>
      <c r="B1399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399" s="358" t="s">
        <v>522</v>
      </c>
      <c r="D1399" s="358" t="s">
        <v>523</v>
      </c>
      <c r="E1399" s="432" t="s">
        <v>3190</v>
      </c>
      <c r="F1399" s="249"/>
      <c r="G1399" s="236" t="s">
        <v>477</v>
      </c>
      <c r="H1399" s="237">
        <f t="shared" ref="H1399:H1402" si="98">IF(G1399="","",VLOOKUP(G1399,mah,2,0))</f>
        <v>5</v>
      </c>
      <c r="I1399" s="236">
        <v>1404</v>
      </c>
      <c r="J1399" s="236"/>
      <c r="K1399" s="238">
        <v>123148633</v>
      </c>
      <c r="L1399" s="368"/>
    </row>
    <row r="1400" spans="1:12" ht="15.75" customHeight="1">
      <c r="A1400" s="194"/>
      <c r="B140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00" s="358" t="s">
        <v>3187</v>
      </c>
      <c r="D1400" s="358" t="s">
        <v>3188</v>
      </c>
      <c r="E1400" s="432" t="s">
        <v>3191</v>
      </c>
      <c r="F1400" s="249"/>
      <c r="G1400" s="236" t="s">
        <v>477</v>
      </c>
      <c r="H1400" s="237">
        <f t="shared" si="98"/>
        <v>5</v>
      </c>
      <c r="I1400" s="236">
        <v>1404</v>
      </c>
      <c r="J1400" s="236"/>
      <c r="K1400" s="238">
        <v>16000000</v>
      </c>
      <c r="L1400" s="368"/>
    </row>
    <row r="1401" spans="1:12" ht="15.75" customHeight="1">
      <c r="A1401" s="194"/>
      <c r="B140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01" s="358" t="s">
        <v>2286</v>
      </c>
      <c r="D1401" s="358" t="s">
        <v>2285</v>
      </c>
      <c r="E1401" s="432" t="s">
        <v>3191</v>
      </c>
      <c r="F1401" s="249"/>
      <c r="G1401" s="236" t="s">
        <v>477</v>
      </c>
      <c r="H1401" s="237">
        <f t="shared" si="98"/>
        <v>5</v>
      </c>
      <c r="I1401" s="236">
        <v>1404</v>
      </c>
      <c r="J1401" s="236"/>
      <c r="K1401" s="238">
        <v>10000000</v>
      </c>
      <c r="L1401" s="368"/>
    </row>
    <row r="1402" spans="1:12" ht="15.75" customHeight="1">
      <c r="A1402" s="194"/>
      <c r="B140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02" s="358" t="s">
        <v>3192</v>
      </c>
      <c r="D1402" s="358" t="s">
        <v>2603</v>
      </c>
      <c r="E1402" s="432" t="s">
        <v>3193</v>
      </c>
      <c r="F1402" s="249"/>
      <c r="G1402" s="236" t="s">
        <v>477</v>
      </c>
      <c r="H1402" s="237">
        <f t="shared" si="98"/>
        <v>5</v>
      </c>
      <c r="I1402" s="236">
        <v>1404</v>
      </c>
      <c r="J1402" s="236"/>
      <c r="K1402" s="238">
        <v>2000000</v>
      </c>
      <c r="L1402" s="368"/>
    </row>
    <row r="1403" spans="1:12" ht="15.75" customHeight="1">
      <c r="A1403" s="194"/>
      <c r="B1403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403" s="358" t="s">
        <v>464</v>
      </c>
      <c r="D1403" s="358" t="s">
        <v>465</v>
      </c>
      <c r="E1403" s="432" t="s">
        <v>3193</v>
      </c>
      <c r="F1403" s="249"/>
      <c r="G1403" s="236" t="s">
        <v>477</v>
      </c>
      <c r="H1403" s="237">
        <f t="shared" ref="H1403:H1405" si="99">IF(G1403="","",VLOOKUP(G1403,mah,2,0))</f>
        <v>5</v>
      </c>
      <c r="I1403" s="236">
        <v>1404</v>
      </c>
      <c r="J1403" s="236"/>
      <c r="K1403" s="238">
        <v>100000000</v>
      </c>
      <c r="L1403" s="368"/>
    </row>
    <row r="1404" spans="1:12" ht="15.75" customHeight="1">
      <c r="A1404" s="194"/>
      <c r="B1404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404" s="358" t="s">
        <v>464</v>
      </c>
      <c r="D1404" s="358" t="s">
        <v>465</v>
      </c>
      <c r="E1404" s="432" t="s">
        <v>3193</v>
      </c>
      <c r="F1404" s="249"/>
      <c r="G1404" s="236" t="s">
        <v>477</v>
      </c>
      <c r="H1404" s="237">
        <f t="shared" si="99"/>
        <v>5</v>
      </c>
      <c r="I1404" s="236">
        <v>1404</v>
      </c>
      <c r="J1404" s="236"/>
      <c r="K1404" s="238">
        <v>100000000</v>
      </c>
      <c r="L1404" s="368"/>
    </row>
    <row r="1405" spans="1:12" ht="15.75" customHeight="1">
      <c r="A1405" s="194"/>
      <c r="B1405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405" s="358" t="s">
        <v>494</v>
      </c>
      <c r="D1405" s="358" t="s">
        <v>546</v>
      </c>
      <c r="E1405" s="432" t="s">
        <v>3193</v>
      </c>
      <c r="F1405" s="249"/>
      <c r="G1405" s="236" t="s">
        <v>477</v>
      </c>
      <c r="H1405" s="237">
        <f t="shared" si="99"/>
        <v>5</v>
      </c>
      <c r="I1405" s="236">
        <v>1404</v>
      </c>
      <c r="J1405" s="236"/>
      <c r="K1405" s="238">
        <v>80000000</v>
      </c>
      <c r="L1405" s="368"/>
    </row>
    <row r="1406" spans="1:12" ht="15.75" customHeight="1">
      <c r="A1406" s="194"/>
      <c r="B1406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406" s="358" t="s">
        <v>494</v>
      </c>
      <c r="D1406" s="358" t="s">
        <v>546</v>
      </c>
      <c r="E1406" s="432" t="s">
        <v>3193</v>
      </c>
      <c r="F1406" s="249"/>
      <c r="G1406" s="236" t="s">
        <v>477</v>
      </c>
      <c r="H1406" s="237">
        <f t="shared" ref="H1406" si="100">IF(G1406="","",VLOOKUP(G1406,mah,2,0))</f>
        <v>5</v>
      </c>
      <c r="I1406" s="236">
        <v>1404</v>
      </c>
      <c r="J1406" s="236"/>
      <c r="K1406" s="238">
        <v>10000000</v>
      </c>
      <c r="L1406" s="368"/>
    </row>
    <row r="1407" spans="1:12" ht="15.75" customHeight="1">
      <c r="A1407" s="194"/>
      <c r="B140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07" s="358" t="s">
        <v>1017</v>
      </c>
      <c r="D1407" s="358" t="s">
        <v>3069</v>
      </c>
      <c r="E1407" s="432" t="s">
        <v>3194</v>
      </c>
      <c r="F1407" s="249"/>
      <c r="G1407" s="236" t="s">
        <v>477</v>
      </c>
      <c r="H1407" s="237">
        <f t="shared" ref="H1407:H1412" si="101">IF(G1407="","",VLOOKUP(G1407,mah,2,0))</f>
        <v>5</v>
      </c>
      <c r="I1407" s="236">
        <v>1404</v>
      </c>
      <c r="J1407" s="236"/>
      <c r="K1407" s="238">
        <v>30000000</v>
      </c>
      <c r="L1407" s="368"/>
    </row>
    <row r="1408" spans="1:12" ht="15.75" customHeight="1">
      <c r="A1408" s="194"/>
      <c r="B1408" s="235">
        <f>SUMIFS('لیست واریزی کل خیرین'!B:B,'لیست واریزی کل خیرین'!D:D,Table1[[#This Row],[نام]],'لیست واریزی کل خیرین'!E:E,Table1[[#This Row],[نام خانوادگی]])</f>
        <v>47</v>
      </c>
      <c r="C1408" s="358" t="s">
        <v>494</v>
      </c>
      <c r="D1408" s="358" t="s">
        <v>645</v>
      </c>
      <c r="E1408" s="432" t="s">
        <v>3194</v>
      </c>
      <c r="F1408" s="249"/>
      <c r="G1408" s="236" t="s">
        <v>477</v>
      </c>
      <c r="H1408" s="237">
        <f t="shared" si="101"/>
        <v>5</v>
      </c>
      <c r="I1408" s="236">
        <v>1404</v>
      </c>
      <c r="J1408" s="236"/>
      <c r="K1408" s="238">
        <v>20000000</v>
      </c>
      <c r="L1408" s="368"/>
    </row>
    <row r="1409" spans="1:12" ht="15.75" customHeight="1">
      <c r="A1409" s="194"/>
      <c r="B140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09" s="358" t="s">
        <v>204</v>
      </c>
      <c r="D1409" s="358" t="s">
        <v>1313</v>
      </c>
      <c r="E1409" s="432" t="s">
        <v>3195</v>
      </c>
      <c r="F1409" s="249"/>
      <c r="G1409" s="236" t="s">
        <v>477</v>
      </c>
      <c r="H1409" s="237">
        <f t="shared" si="101"/>
        <v>5</v>
      </c>
      <c r="I1409" s="236">
        <v>1404</v>
      </c>
      <c r="J1409" s="236"/>
      <c r="K1409" s="238">
        <v>40000000</v>
      </c>
      <c r="L1409" s="368"/>
    </row>
    <row r="1410" spans="1:12" ht="15.75" customHeight="1">
      <c r="A1410" s="194"/>
      <c r="B141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10" s="358" t="s">
        <v>695</v>
      </c>
      <c r="D1410" s="358" t="s">
        <v>2603</v>
      </c>
      <c r="E1410" s="432" t="s">
        <v>3195</v>
      </c>
      <c r="F1410" s="249"/>
      <c r="G1410" s="236" t="s">
        <v>477</v>
      </c>
      <c r="H1410" s="237">
        <f t="shared" si="101"/>
        <v>5</v>
      </c>
      <c r="I1410" s="236">
        <v>1404</v>
      </c>
      <c r="J1410" s="236"/>
      <c r="K1410" s="238">
        <v>500000</v>
      </c>
      <c r="L1410" s="368"/>
    </row>
    <row r="1411" spans="1:12" ht="15.75" customHeight="1">
      <c r="A1411" s="194"/>
      <c r="B141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11" s="358" t="s">
        <v>596</v>
      </c>
      <c r="D1411" s="358" t="s">
        <v>481</v>
      </c>
      <c r="E1411" s="432" t="s">
        <v>3196</v>
      </c>
      <c r="F1411" s="249"/>
      <c r="G1411" s="236" t="s">
        <v>477</v>
      </c>
      <c r="H1411" s="237">
        <f t="shared" si="101"/>
        <v>5</v>
      </c>
      <c r="I1411" s="236">
        <v>1404</v>
      </c>
      <c r="J1411" s="236"/>
      <c r="K1411" s="238">
        <v>50000000</v>
      </c>
      <c r="L1411" s="368"/>
    </row>
    <row r="1412" spans="1:12" ht="15.75" customHeight="1">
      <c r="A1412" s="194"/>
      <c r="B1412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1412" s="137" t="s">
        <v>497</v>
      </c>
      <c r="D1412" s="152" t="s">
        <v>498</v>
      </c>
      <c r="E1412" s="432" t="s">
        <v>3197</v>
      </c>
      <c r="F1412" s="249"/>
      <c r="G1412" s="236" t="s">
        <v>477</v>
      </c>
      <c r="H1412" s="237">
        <f t="shared" si="101"/>
        <v>5</v>
      </c>
      <c r="I1412" s="236">
        <v>1404</v>
      </c>
      <c r="J1412" s="236"/>
      <c r="K1412" s="238">
        <v>50000000</v>
      </c>
      <c r="L1412" s="368"/>
    </row>
    <row r="1413" spans="1:12" ht="15.75" customHeight="1">
      <c r="A1413" s="194"/>
      <c r="B141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13" s="358" t="s">
        <v>1003</v>
      </c>
      <c r="D1413" s="358" t="s">
        <v>2291</v>
      </c>
      <c r="E1413" s="432" t="s">
        <v>3197</v>
      </c>
      <c r="F1413" s="249"/>
      <c r="G1413" s="236" t="s">
        <v>477</v>
      </c>
      <c r="H1413" s="237">
        <f t="shared" ref="H1413:H1415" si="102">IF(G1413="","",VLOOKUP(G1413,mah,2,0))</f>
        <v>5</v>
      </c>
      <c r="I1413" s="236">
        <v>1404</v>
      </c>
      <c r="J1413" s="236"/>
      <c r="K1413" s="238">
        <v>10000000</v>
      </c>
      <c r="L1413" s="368"/>
    </row>
    <row r="1414" spans="1:12" ht="15.75" customHeight="1">
      <c r="A1414" s="194"/>
      <c r="B1414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414" s="358" t="s">
        <v>486</v>
      </c>
      <c r="D1414" s="358" t="s">
        <v>487</v>
      </c>
      <c r="E1414" s="432" t="s">
        <v>3198</v>
      </c>
      <c r="F1414" s="249"/>
      <c r="G1414" s="236" t="s">
        <v>477</v>
      </c>
      <c r="H1414" s="237">
        <f t="shared" si="102"/>
        <v>5</v>
      </c>
      <c r="I1414" s="236">
        <v>1404</v>
      </c>
      <c r="J1414" s="236"/>
      <c r="K1414" s="238">
        <v>21000000</v>
      </c>
      <c r="L1414" s="368"/>
    </row>
    <row r="1415" spans="1:12" ht="15.75" customHeight="1">
      <c r="A1415" s="194"/>
      <c r="B1415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415" s="358" t="s">
        <v>670</v>
      </c>
      <c r="D1415" s="358" t="s">
        <v>490</v>
      </c>
      <c r="E1415" s="432" t="s">
        <v>3198</v>
      </c>
      <c r="F1415" s="249"/>
      <c r="G1415" s="236" t="s">
        <v>477</v>
      </c>
      <c r="H1415" s="237">
        <f t="shared" si="102"/>
        <v>5</v>
      </c>
      <c r="I1415" s="236">
        <v>1404</v>
      </c>
      <c r="J1415" s="236"/>
      <c r="K1415" s="238">
        <v>30000000</v>
      </c>
      <c r="L1415" s="368"/>
    </row>
    <row r="1416" spans="1:12" ht="15.75" customHeight="1">
      <c r="A1416" s="194"/>
      <c r="B141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16" s="358" t="s">
        <v>200</v>
      </c>
      <c r="D1416" s="358" t="s">
        <v>705</v>
      </c>
      <c r="E1416" s="432" t="s">
        <v>3199</v>
      </c>
      <c r="F1416" s="249"/>
      <c r="G1416" s="236" t="s">
        <v>477</v>
      </c>
      <c r="H1416" s="237">
        <f t="shared" ref="H1416:H1417" si="103">IF(G1416="","",VLOOKUP(G1416,mah,2,0))</f>
        <v>5</v>
      </c>
      <c r="I1416" s="236">
        <v>1404</v>
      </c>
      <c r="J1416" s="236"/>
      <c r="K1416" s="238">
        <v>10000000</v>
      </c>
      <c r="L1416" s="368"/>
    </row>
    <row r="1417" spans="1:12" ht="15.75" customHeight="1">
      <c r="A1417" s="194"/>
      <c r="B1417" s="235">
        <f>SUMIFS('لیست واریزی کل خیرین'!B:B,'لیست واریزی کل خیرین'!D:D,Table1[[#This Row],[نام]],'لیست واریزی کل خیرین'!E:E,Table1[[#This Row],[نام خانوادگی]])</f>
        <v>14</v>
      </c>
      <c r="C1417" s="358" t="s">
        <v>202</v>
      </c>
      <c r="D1417" s="358" t="s">
        <v>502</v>
      </c>
      <c r="E1417" s="432" t="s">
        <v>3200</v>
      </c>
      <c r="F1417" s="249"/>
      <c r="G1417" s="236" t="s">
        <v>477</v>
      </c>
      <c r="H1417" s="237">
        <f t="shared" si="103"/>
        <v>5</v>
      </c>
      <c r="I1417" s="236">
        <v>1404</v>
      </c>
      <c r="J1417" s="236"/>
      <c r="K1417" s="238">
        <v>20000000</v>
      </c>
      <c r="L1417" s="368"/>
    </row>
    <row r="1418" spans="1:12" ht="15.75" customHeight="1">
      <c r="A1418" s="194"/>
      <c r="B141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18" s="358" t="s">
        <v>2440</v>
      </c>
      <c r="D1418" s="358" t="s">
        <v>2441</v>
      </c>
      <c r="E1418" s="432" t="s">
        <v>3201</v>
      </c>
      <c r="F1418" s="249"/>
      <c r="G1418" s="236" t="s">
        <v>477</v>
      </c>
      <c r="H1418" s="237">
        <f t="shared" ref="H1418:H1420" si="104">IF(G1418="","",VLOOKUP(G1418,mah,2,0))</f>
        <v>5</v>
      </c>
      <c r="I1418" s="236">
        <v>1404</v>
      </c>
      <c r="J1418" s="236"/>
      <c r="K1418" s="238">
        <v>12000000</v>
      </c>
      <c r="L1418" s="368"/>
    </row>
    <row r="1419" spans="1:12" ht="15.75" customHeight="1">
      <c r="A1419" s="194"/>
      <c r="B141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19" s="358" t="s">
        <v>3192</v>
      </c>
      <c r="D1419" s="358" t="s">
        <v>2490</v>
      </c>
      <c r="E1419" s="432" t="s">
        <v>3202</v>
      </c>
      <c r="F1419" s="249"/>
      <c r="G1419" s="236" t="s">
        <v>477</v>
      </c>
      <c r="H1419" s="237">
        <f t="shared" si="104"/>
        <v>5</v>
      </c>
      <c r="I1419" s="236">
        <v>1404</v>
      </c>
      <c r="J1419" s="236"/>
      <c r="K1419" s="238">
        <v>7000000</v>
      </c>
      <c r="L1419" s="368"/>
    </row>
    <row r="1420" spans="1:12" ht="15.75" customHeight="1">
      <c r="A1420" s="194"/>
      <c r="B142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20" s="358" t="s">
        <v>2301</v>
      </c>
      <c r="D1420" s="358" t="s">
        <v>3147</v>
      </c>
      <c r="E1420" s="432" t="s">
        <v>3184</v>
      </c>
      <c r="F1420" s="249"/>
      <c r="G1420" s="236" t="s">
        <v>479</v>
      </c>
      <c r="H1420" s="237">
        <f t="shared" si="104"/>
        <v>6</v>
      </c>
      <c r="I1420" s="236">
        <v>1404</v>
      </c>
      <c r="J1420" s="236"/>
      <c r="K1420" s="238">
        <v>15000000</v>
      </c>
      <c r="L1420" s="368"/>
    </row>
    <row r="1421" spans="1:12" ht="15.75" customHeight="1">
      <c r="A1421" s="194"/>
      <c r="B1421" s="235">
        <f>SUMIFS('لیست واریزی کل خیرین'!B:B,'لیست واریزی کل خیرین'!D:D,Table1[[#This Row],[نام]],'لیست واریزی کل خیرین'!E:E,Table1[[#This Row],[نام خانوادگی]])</f>
        <v>21</v>
      </c>
      <c r="C1421" s="137" t="s">
        <v>497</v>
      </c>
      <c r="D1421" s="137" t="s">
        <v>516</v>
      </c>
      <c r="E1421" s="432" t="s">
        <v>3184</v>
      </c>
      <c r="F1421" s="249"/>
      <c r="G1421" s="236" t="s">
        <v>479</v>
      </c>
      <c r="H1421" s="237">
        <f t="shared" si="97"/>
        <v>6</v>
      </c>
      <c r="I1421" s="236">
        <v>1404</v>
      </c>
      <c r="J1421" s="236"/>
      <c r="K1421" s="238">
        <v>40000000</v>
      </c>
      <c r="L1421" s="368"/>
    </row>
    <row r="1422" spans="1:12" ht="15.75" customHeight="1">
      <c r="A1422" s="194"/>
      <c r="B142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22" s="137" t="s">
        <v>843</v>
      </c>
      <c r="D1422" s="137" t="s">
        <v>3126</v>
      </c>
      <c r="E1422" s="432" t="s">
        <v>3184</v>
      </c>
      <c r="F1422" s="249"/>
      <c r="G1422" s="236" t="s">
        <v>479</v>
      </c>
      <c r="H1422" s="237">
        <f t="shared" ref="H1422:H1442" si="105">IF(G1422="","",VLOOKUP(G1422,mah,2,0))</f>
        <v>6</v>
      </c>
      <c r="I1422" s="236">
        <v>1404</v>
      </c>
      <c r="J1422" s="236"/>
      <c r="K1422" s="238">
        <v>5000000</v>
      </c>
      <c r="L1422" s="368"/>
    </row>
    <row r="1423" spans="1:12" ht="15.75" customHeight="1">
      <c r="A1423" s="194"/>
      <c r="B1423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423" s="137" t="s">
        <v>486</v>
      </c>
      <c r="D1423" s="137" t="s">
        <v>487</v>
      </c>
      <c r="E1423" s="432" t="s">
        <v>3184</v>
      </c>
      <c r="F1423" s="249"/>
      <c r="G1423" s="236" t="s">
        <v>479</v>
      </c>
      <c r="H1423" s="237">
        <f t="shared" si="105"/>
        <v>6</v>
      </c>
      <c r="I1423" s="236">
        <v>1404</v>
      </c>
      <c r="J1423" s="236"/>
      <c r="K1423" s="238">
        <v>4000000</v>
      </c>
      <c r="L1423" s="368"/>
    </row>
    <row r="1424" spans="1:12" ht="15.75" customHeight="1">
      <c r="A1424" s="194"/>
      <c r="B1424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424" s="358" t="s">
        <v>838</v>
      </c>
      <c r="D1424" s="358" t="s">
        <v>839</v>
      </c>
      <c r="E1424" s="432" t="s">
        <v>3203</v>
      </c>
      <c r="F1424" s="249"/>
      <c r="G1424" s="236" t="s">
        <v>479</v>
      </c>
      <c r="H1424" s="237">
        <f t="shared" si="105"/>
        <v>6</v>
      </c>
      <c r="I1424" s="236">
        <v>1404</v>
      </c>
      <c r="J1424" s="236"/>
      <c r="K1424" s="238">
        <v>7500000</v>
      </c>
      <c r="L1424" s="368"/>
    </row>
    <row r="1425" spans="1:12" ht="15.75" customHeight="1">
      <c r="A1425" s="194"/>
      <c r="B142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25" s="358" t="s">
        <v>2539</v>
      </c>
      <c r="D1425" s="358" t="s">
        <v>3163</v>
      </c>
      <c r="E1425" s="432" t="s">
        <v>3203</v>
      </c>
      <c r="F1425" s="249"/>
      <c r="G1425" s="236" t="s">
        <v>479</v>
      </c>
      <c r="H1425" s="237">
        <f t="shared" si="105"/>
        <v>6</v>
      </c>
      <c r="I1425" s="236">
        <v>1404</v>
      </c>
      <c r="J1425" s="236"/>
      <c r="K1425" s="238">
        <v>10000000</v>
      </c>
      <c r="L1425" s="368"/>
    </row>
    <row r="1426" spans="1:12" ht="15.75" customHeight="1">
      <c r="A1426" s="194"/>
      <c r="B1426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426" s="358" t="s">
        <v>522</v>
      </c>
      <c r="D1426" s="358" t="s">
        <v>523</v>
      </c>
      <c r="E1426" s="432" t="s">
        <v>3204</v>
      </c>
      <c r="F1426" s="249"/>
      <c r="G1426" s="236" t="s">
        <v>479</v>
      </c>
      <c r="H1426" s="237">
        <f t="shared" si="105"/>
        <v>6</v>
      </c>
      <c r="I1426" s="236">
        <v>1404</v>
      </c>
      <c r="J1426" s="236"/>
      <c r="K1426" s="238">
        <v>134275125</v>
      </c>
      <c r="L1426" s="368"/>
    </row>
    <row r="1427" spans="1:12" ht="15.75" customHeight="1">
      <c r="A1427" s="194"/>
      <c r="B1427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427" s="358" t="s">
        <v>494</v>
      </c>
      <c r="D1427" s="358" t="s">
        <v>533</v>
      </c>
      <c r="E1427" s="432" t="s">
        <v>3204</v>
      </c>
      <c r="F1427" s="249"/>
      <c r="G1427" s="236" t="s">
        <v>479</v>
      </c>
      <c r="H1427" s="237">
        <f t="shared" si="105"/>
        <v>6</v>
      </c>
      <c r="I1427" s="236">
        <v>1404</v>
      </c>
      <c r="J1427" s="236"/>
      <c r="K1427" s="238">
        <v>100000000</v>
      </c>
      <c r="L1427" s="368"/>
    </row>
    <row r="1428" spans="1:12" ht="15.75" customHeight="1">
      <c r="A1428" s="194"/>
      <c r="B1428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428" s="358" t="s">
        <v>494</v>
      </c>
      <c r="D1428" s="358" t="s">
        <v>533</v>
      </c>
      <c r="E1428" s="432" t="s">
        <v>3204</v>
      </c>
      <c r="F1428" s="249"/>
      <c r="G1428" s="236" t="s">
        <v>479</v>
      </c>
      <c r="H1428" s="237">
        <f t="shared" si="105"/>
        <v>6</v>
      </c>
      <c r="I1428" s="236">
        <v>1404</v>
      </c>
      <c r="J1428" s="236"/>
      <c r="K1428" s="238">
        <v>100000000</v>
      </c>
      <c r="L1428" s="368"/>
    </row>
    <row r="1429" spans="1:12" ht="15.75" customHeight="1">
      <c r="A1429" s="194"/>
      <c r="B1429" s="235">
        <f>SUMIFS('لیست واریزی کل خیرین'!B:B,'لیست واریزی کل خیرین'!D:D,Table1[[#This Row],[نام]],'لیست واریزی کل خیرین'!E:E,Table1[[#This Row],[نام خانوادگی]])</f>
        <v>41</v>
      </c>
      <c r="C1429" s="358" t="s">
        <v>204</v>
      </c>
      <c r="D1429" s="358" t="s">
        <v>628</v>
      </c>
      <c r="E1429" s="432" t="s">
        <v>3205</v>
      </c>
      <c r="F1429" s="249"/>
      <c r="G1429" s="236" t="s">
        <v>479</v>
      </c>
      <c r="H1429" s="237">
        <f t="shared" si="105"/>
        <v>6</v>
      </c>
      <c r="I1429" s="236">
        <v>1404</v>
      </c>
      <c r="J1429" s="236"/>
      <c r="K1429" s="238">
        <v>3000000</v>
      </c>
      <c r="L1429" s="368"/>
    </row>
    <row r="1430" spans="1:12" ht="15.75" customHeight="1">
      <c r="A1430" s="194"/>
      <c r="B143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30" s="358" t="s">
        <v>503</v>
      </c>
      <c r="D1430" s="358" t="s">
        <v>505</v>
      </c>
      <c r="E1430" s="432" t="s">
        <v>3206</v>
      </c>
      <c r="F1430" s="249"/>
      <c r="G1430" s="236" t="s">
        <v>479</v>
      </c>
      <c r="H1430" s="237">
        <f t="shared" si="105"/>
        <v>6</v>
      </c>
      <c r="I1430" s="236">
        <v>1404</v>
      </c>
      <c r="J1430" s="236"/>
      <c r="K1430" s="238">
        <v>10000000</v>
      </c>
      <c r="L1430" s="368"/>
    </row>
    <row r="1431" spans="1:12" ht="15.75" customHeight="1">
      <c r="A1431" s="194"/>
      <c r="B1431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431" s="358" t="s">
        <v>464</v>
      </c>
      <c r="D1431" s="358" t="s">
        <v>465</v>
      </c>
      <c r="E1431" s="432" t="s">
        <v>3207</v>
      </c>
      <c r="F1431" s="249"/>
      <c r="G1431" s="236" t="s">
        <v>479</v>
      </c>
      <c r="H1431" s="237">
        <f t="shared" si="105"/>
        <v>6</v>
      </c>
      <c r="I1431" s="236">
        <v>1404</v>
      </c>
      <c r="J1431" s="236"/>
      <c r="K1431" s="238">
        <v>10000000</v>
      </c>
      <c r="L1431" s="368"/>
    </row>
    <row r="1432" spans="1:12" ht="15.75" customHeight="1">
      <c r="A1432" s="194"/>
      <c r="B1432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432" s="358" t="s">
        <v>670</v>
      </c>
      <c r="D1432" s="358" t="s">
        <v>490</v>
      </c>
      <c r="E1432" s="432" t="s">
        <v>3208</v>
      </c>
      <c r="F1432" s="249"/>
      <c r="G1432" s="236" t="s">
        <v>479</v>
      </c>
      <c r="H1432" s="237">
        <f t="shared" si="105"/>
        <v>6</v>
      </c>
      <c r="I1432" s="236">
        <v>1404</v>
      </c>
      <c r="J1432" s="236"/>
      <c r="K1432" s="238">
        <v>30000000</v>
      </c>
      <c r="L1432" s="368"/>
    </row>
    <row r="1433" spans="1:12" ht="15.75" customHeight="1">
      <c r="A1433" s="194"/>
      <c r="B1433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1433" s="358" t="s">
        <v>1671</v>
      </c>
      <c r="D1433" s="358" t="s">
        <v>1672</v>
      </c>
      <c r="E1433" s="432" t="s">
        <v>3209</v>
      </c>
      <c r="F1433" s="249"/>
      <c r="G1433" s="236" t="s">
        <v>479</v>
      </c>
      <c r="H1433" s="237">
        <f t="shared" si="105"/>
        <v>6</v>
      </c>
      <c r="I1433" s="236">
        <v>1404</v>
      </c>
      <c r="J1433" s="236"/>
      <c r="K1433" s="238">
        <v>2000000</v>
      </c>
      <c r="L1433" s="368"/>
    </row>
    <row r="1434" spans="1:12" ht="15.75" customHeight="1">
      <c r="A1434" s="194"/>
      <c r="B143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34" s="358" t="s">
        <v>3211</v>
      </c>
      <c r="D1434" s="358" t="s">
        <v>3214</v>
      </c>
      <c r="E1434" s="432" t="s">
        <v>3210</v>
      </c>
      <c r="F1434" s="249"/>
      <c r="G1434" s="236" t="s">
        <v>479</v>
      </c>
      <c r="H1434" s="237">
        <f t="shared" si="105"/>
        <v>6</v>
      </c>
      <c r="I1434" s="236">
        <v>1404</v>
      </c>
      <c r="J1434" s="236"/>
      <c r="K1434" s="238">
        <v>100000000</v>
      </c>
      <c r="L1434" s="368"/>
    </row>
    <row r="1435" spans="1:12" ht="15.75" customHeight="1">
      <c r="A1435" s="194"/>
      <c r="B143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35" s="358" t="s">
        <v>3211</v>
      </c>
      <c r="D1435" s="358" t="s">
        <v>3214</v>
      </c>
      <c r="E1435" s="432" t="s">
        <v>3210</v>
      </c>
      <c r="F1435" s="249"/>
      <c r="G1435" s="236" t="s">
        <v>479</v>
      </c>
      <c r="H1435" s="237">
        <f t="shared" si="105"/>
        <v>6</v>
      </c>
      <c r="I1435" s="236">
        <v>1404</v>
      </c>
      <c r="J1435" s="236"/>
      <c r="K1435" s="238">
        <v>100000000</v>
      </c>
      <c r="L1435" s="368"/>
    </row>
    <row r="1436" spans="1:12" ht="15.75" customHeight="1">
      <c r="A1436" s="194"/>
      <c r="B143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36" s="358" t="s">
        <v>596</v>
      </c>
      <c r="D1436" s="358" t="s">
        <v>481</v>
      </c>
      <c r="E1436" s="432" t="s">
        <v>3212</v>
      </c>
      <c r="F1436" s="249"/>
      <c r="G1436" s="236" t="s">
        <v>479</v>
      </c>
      <c r="H1436" s="237">
        <f t="shared" si="105"/>
        <v>6</v>
      </c>
      <c r="I1436" s="236">
        <v>1404</v>
      </c>
      <c r="J1436" s="236"/>
      <c r="K1436" s="238">
        <v>50000000</v>
      </c>
      <c r="L1436" s="368"/>
    </row>
    <row r="1437" spans="1:12" ht="15.75" customHeight="1">
      <c r="A1437" s="194"/>
      <c r="B143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37" s="358" t="s">
        <v>3211</v>
      </c>
      <c r="D1437" s="358" t="s">
        <v>3214</v>
      </c>
      <c r="E1437" s="432" t="s">
        <v>3212</v>
      </c>
      <c r="F1437" s="249"/>
      <c r="G1437" s="236" t="s">
        <v>479</v>
      </c>
      <c r="H1437" s="237">
        <f t="shared" si="105"/>
        <v>6</v>
      </c>
      <c r="I1437" s="236">
        <v>1404</v>
      </c>
      <c r="J1437" s="236"/>
      <c r="K1437" s="238">
        <v>300000000</v>
      </c>
      <c r="L1437" s="368"/>
    </row>
    <row r="1438" spans="1:12" ht="15.75" customHeight="1">
      <c r="A1438" s="194"/>
      <c r="B143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38" s="358" t="s">
        <v>818</v>
      </c>
      <c r="D1438" s="358" t="s">
        <v>3215</v>
      </c>
      <c r="E1438" s="432" t="s">
        <v>3213</v>
      </c>
      <c r="F1438" s="249"/>
      <c r="G1438" s="236" t="s">
        <v>479</v>
      </c>
      <c r="H1438" s="237">
        <f t="shared" si="105"/>
        <v>6</v>
      </c>
      <c r="I1438" s="236">
        <v>1404</v>
      </c>
      <c r="J1438" s="236"/>
      <c r="K1438" s="238">
        <v>500000</v>
      </c>
      <c r="L1438" s="368"/>
    </row>
    <row r="1439" spans="1:12" ht="15.75" customHeight="1">
      <c r="A1439" s="194"/>
      <c r="B143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39" s="358" t="s">
        <v>3088</v>
      </c>
      <c r="D1439" s="358" t="s">
        <v>3089</v>
      </c>
      <c r="E1439" s="432" t="s">
        <v>3216</v>
      </c>
      <c r="F1439" s="249"/>
      <c r="G1439" s="236" t="s">
        <v>479</v>
      </c>
      <c r="H1439" s="237">
        <f t="shared" si="105"/>
        <v>6</v>
      </c>
      <c r="I1439" s="236">
        <v>1404</v>
      </c>
      <c r="J1439" s="236"/>
      <c r="K1439" s="238">
        <v>500000</v>
      </c>
      <c r="L1439" s="368"/>
    </row>
    <row r="1440" spans="1:12" ht="15.75" customHeight="1">
      <c r="A1440" s="194"/>
      <c r="B144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40" s="358" t="s">
        <v>2440</v>
      </c>
      <c r="D1440" s="358" t="s">
        <v>2441</v>
      </c>
      <c r="E1440" s="432" t="s">
        <v>3217</v>
      </c>
      <c r="F1440" s="249"/>
      <c r="G1440" s="236" t="s">
        <v>479</v>
      </c>
      <c r="H1440" s="237">
        <f t="shared" si="105"/>
        <v>6</v>
      </c>
      <c r="I1440" s="236">
        <v>1404</v>
      </c>
      <c r="J1440" s="236"/>
      <c r="K1440" s="238">
        <v>3000000</v>
      </c>
      <c r="L1440" s="368"/>
    </row>
    <row r="1441" spans="1:12" ht="15.75" customHeight="1">
      <c r="A1441" s="194"/>
      <c r="B1441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441" s="358" t="s">
        <v>486</v>
      </c>
      <c r="D1441" s="358" t="s">
        <v>487</v>
      </c>
      <c r="E1441" s="432" t="s">
        <v>3218</v>
      </c>
      <c r="F1441" s="249"/>
      <c r="G1441" s="236" t="s">
        <v>479</v>
      </c>
      <c r="H1441" s="237">
        <f t="shared" si="105"/>
        <v>6</v>
      </c>
      <c r="I1441" s="236">
        <v>1404</v>
      </c>
      <c r="J1441" s="236"/>
      <c r="K1441" s="238">
        <v>20000000</v>
      </c>
      <c r="L1441" s="368"/>
    </row>
    <row r="1442" spans="1:12" ht="15.75" customHeight="1">
      <c r="A1442" s="194"/>
      <c r="B144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42" s="358" t="s">
        <v>3088</v>
      </c>
      <c r="D1442" s="358" t="s">
        <v>3089</v>
      </c>
      <c r="E1442" s="432" t="s">
        <v>3218</v>
      </c>
      <c r="F1442" s="249"/>
      <c r="G1442" s="236" t="s">
        <v>479</v>
      </c>
      <c r="H1442" s="237">
        <f t="shared" si="105"/>
        <v>6</v>
      </c>
      <c r="I1442" s="236">
        <v>1404</v>
      </c>
      <c r="J1442" s="236"/>
      <c r="K1442" s="238">
        <v>1000000</v>
      </c>
      <c r="L1442" s="368"/>
    </row>
    <row r="1443" spans="1:12" ht="15.75" customHeight="1">
      <c r="A1443" s="194"/>
      <c r="B1443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1443" s="358" t="s">
        <v>596</v>
      </c>
      <c r="D1443" s="358" t="s">
        <v>597</v>
      </c>
      <c r="E1443" s="432" t="s">
        <v>3219</v>
      </c>
      <c r="F1443" s="249"/>
      <c r="G1443" s="236" t="s">
        <v>479</v>
      </c>
      <c r="H1443" s="237">
        <f t="shared" ref="H1443:H1449" si="106">IF(G1443="","",VLOOKUP(G1443,mah,2,0))</f>
        <v>6</v>
      </c>
      <c r="I1443" s="236">
        <v>1404</v>
      </c>
      <c r="J1443" s="236"/>
      <c r="K1443" s="238">
        <v>20000000</v>
      </c>
      <c r="L1443" s="368"/>
    </row>
    <row r="1444" spans="1:12" ht="15.75" customHeight="1">
      <c r="A1444" s="194"/>
      <c r="B144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44" s="358" t="s">
        <v>200</v>
      </c>
      <c r="D1444" s="358" t="s">
        <v>705</v>
      </c>
      <c r="E1444" s="432" t="s">
        <v>3219</v>
      </c>
      <c r="F1444" s="249"/>
      <c r="G1444" s="236" t="s">
        <v>479</v>
      </c>
      <c r="H1444" s="237">
        <f t="shared" si="106"/>
        <v>6</v>
      </c>
      <c r="I1444" s="236">
        <v>1404</v>
      </c>
      <c r="J1444" s="236"/>
      <c r="K1444" s="238">
        <v>10000000</v>
      </c>
      <c r="L1444" s="368"/>
    </row>
    <row r="1445" spans="1:12" ht="15.75" customHeight="1">
      <c r="A1445" s="194"/>
      <c r="B1445" s="235">
        <f>SUMIFS('لیست واریزی کل خیرین'!B:B,'لیست واریزی کل خیرین'!D:D,Table1[[#This Row],[نام]],'لیست واریزی کل خیرین'!E:E,Table1[[#This Row],[نام خانوادگی]])</f>
        <v>119</v>
      </c>
      <c r="C1445" s="358" t="s">
        <v>1416</v>
      </c>
      <c r="D1445" s="358" t="s">
        <v>1659</v>
      </c>
      <c r="E1445" s="432" t="s">
        <v>3220</v>
      </c>
      <c r="F1445" s="249"/>
      <c r="G1445" s="236" t="s">
        <v>479</v>
      </c>
      <c r="H1445" s="237">
        <f t="shared" si="106"/>
        <v>6</v>
      </c>
      <c r="I1445" s="236">
        <v>1404</v>
      </c>
      <c r="J1445" s="236"/>
      <c r="K1445" s="238">
        <v>1000000</v>
      </c>
      <c r="L1445" s="368"/>
    </row>
    <row r="1446" spans="1:12" ht="15.75" customHeight="1">
      <c r="A1446" s="194"/>
      <c r="B144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46" s="358" t="s">
        <v>2483</v>
      </c>
      <c r="D1446" s="358" t="s">
        <v>3222</v>
      </c>
      <c r="E1446" s="432" t="s">
        <v>3220</v>
      </c>
      <c r="F1446" s="249"/>
      <c r="G1446" s="236" t="s">
        <v>479</v>
      </c>
      <c r="H1446" s="237">
        <f t="shared" si="106"/>
        <v>6</v>
      </c>
      <c r="I1446" s="236">
        <v>1404</v>
      </c>
      <c r="J1446" s="236"/>
      <c r="K1446" s="238">
        <v>20000000</v>
      </c>
      <c r="L1446" s="368"/>
    </row>
    <row r="1447" spans="1:12" ht="15.75" customHeight="1">
      <c r="A1447" s="194"/>
      <c r="B144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47" s="358" t="s">
        <v>3223</v>
      </c>
      <c r="D1447" s="358" t="s">
        <v>490</v>
      </c>
      <c r="E1447" s="432" t="s">
        <v>3220</v>
      </c>
      <c r="F1447" s="249"/>
      <c r="G1447" s="236" t="s">
        <v>479</v>
      </c>
      <c r="H1447" s="237">
        <f t="shared" si="106"/>
        <v>6</v>
      </c>
      <c r="I1447" s="236">
        <v>1404</v>
      </c>
      <c r="J1447" s="236"/>
      <c r="K1447" s="238">
        <v>3000000</v>
      </c>
      <c r="L1447" s="368"/>
    </row>
    <row r="1448" spans="1:12" ht="15.75" customHeight="1">
      <c r="A1448" s="194"/>
      <c r="B144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48" s="358" t="s">
        <v>2604</v>
      </c>
      <c r="D1448" s="358" t="s">
        <v>3123</v>
      </c>
      <c r="E1448" s="432" t="s">
        <v>3220</v>
      </c>
      <c r="F1448" s="249"/>
      <c r="G1448" s="236" t="s">
        <v>479</v>
      </c>
      <c r="H1448" s="237">
        <f t="shared" si="106"/>
        <v>6</v>
      </c>
      <c r="I1448" s="236">
        <v>1404</v>
      </c>
      <c r="J1448" s="236"/>
      <c r="K1448" s="238">
        <v>500000</v>
      </c>
      <c r="L1448" s="368"/>
    </row>
    <row r="1449" spans="1:12" ht="15.75" customHeight="1">
      <c r="A1449" s="194"/>
      <c r="B144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49" s="358" t="s">
        <v>997</v>
      </c>
      <c r="D1449" s="358" t="s">
        <v>490</v>
      </c>
      <c r="E1449" s="432" t="s">
        <v>3221</v>
      </c>
      <c r="F1449" s="249"/>
      <c r="G1449" s="236" t="s">
        <v>479</v>
      </c>
      <c r="H1449" s="237">
        <f t="shared" si="106"/>
        <v>6</v>
      </c>
      <c r="I1449" s="236">
        <v>1404</v>
      </c>
      <c r="J1449" s="236"/>
      <c r="K1449" s="238">
        <v>5000000</v>
      </c>
      <c r="L1449" s="368"/>
    </row>
    <row r="1450" spans="1:12" ht="15.75" customHeight="1">
      <c r="A1450" s="194"/>
      <c r="B145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50" s="358" t="s">
        <v>200</v>
      </c>
      <c r="D1450" s="358" t="s">
        <v>705</v>
      </c>
      <c r="E1450" s="432" t="s">
        <v>3221</v>
      </c>
      <c r="F1450" s="249"/>
      <c r="G1450" s="236" t="s">
        <v>479</v>
      </c>
      <c r="H1450" s="237">
        <f t="shared" ref="H1450:H1452" si="107">IF(G1450="","",VLOOKUP(G1450,mah,2,0))</f>
        <v>6</v>
      </c>
      <c r="I1450" s="236">
        <v>1404</v>
      </c>
      <c r="J1450" s="236"/>
      <c r="K1450" s="238">
        <v>10000000</v>
      </c>
      <c r="L1450" s="368"/>
    </row>
    <row r="1451" spans="1:12" ht="15.75" customHeight="1">
      <c r="A1451" s="194"/>
      <c r="B145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51" s="358" t="s">
        <v>3224</v>
      </c>
      <c r="D1451" s="358" t="s">
        <v>3225</v>
      </c>
      <c r="E1451" s="432" t="s">
        <v>3221</v>
      </c>
      <c r="F1451" s="249"/>
      <c r="G1451" s="236" t="s">
        <v>479</v>
      </c>
      <c r="H1451" s="237">
        <f t="shared" si="107"/>
        <v>6</v>
      </c>
      <c r="I1451" s="236">
        <v>1404</v>
      </c>
      <c r="J1451" s="236"/>
      <c r="K1451" s="238">
        <v>2000000</v>
      </c>
      <c r="L1451" s="368"/>
    </row>
    <row r="1452" spans="1:12" ht="15.75" customHeight="1">
      <c r="A1452" s="194"/>
      <c r="B1452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452" s="358" t="s">
        <v>489</v>
      </c>
      <c r="D1452" s="358" t="s">
        <v>490</v>
      </c>
      <c r="E1452" s="432" t="s">
        <v>3221</v>
      </c>
      <c r="F1452" s="249"/>
      <c r="G1452" s="236" t="s">
        <v>479</v>
      </c>
      <c r="H1452" s="237">
        <f t="shared" si="107"/>
        <v>6</v>
      </c>
      <c r="I1452" s="236">
        <v>1404</v>
      </c>
      <c r="J1452" s="236"/>
      <c r="K1452" s="238">
        <v>30000000</v>
      </c>
      <c r="L1452" s="368"/>
    </row>
    <row r="1453" spans="1:12" ht="15.75" customHeight="1">
      <c r="A1453" s="194"/>
      <c r="B145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53" s="358" t="s">
        <v>3226</v>
      </c>
      <c r="D1453" s="358" t="s">
        <v>3227</v>
      </c>
      <c r="E1453" s="432" t="s">
        <v>3221</v>
      </c>
      <c r="F1453" s="249"/>
      <c r="G1453" s="236" t="s">
        <v>479</v>
      </c>
      <c r="H1453" s="237">
        <f t="shared" ref="H1453:H1454" si="108">IF(G1453="","",VLOOKUP(G1453,mah,2,0))</f>
        <v>6</v>
      </c>
      <c r="I1453" s="236">
        <v>1404</v>
      </c>
      <c r="J1453" s="236"/>
      <c r="K1453" s="238">
        <v>200000</v>
      </c>
      <c r="L1453" s="368"/>
    </row>
    <row r="1454" spans="1:12" ht="15.75" customHeight="1">
      <c r="A1454" s="194"/>
      <c r="B145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54" s="358" t="s">
        <v>3228</v>
      </c>
      <c r="D1454" s="358" t="s">
        <v>3229</v>
      </c>
      <c r="E1454" s="432" t="s">
        <v>3230</v>
      </c>
      <c r="F1454" s="249"/>
      <c r="G1454" s="236" t="s">
        <v>479</v>
      </c>
      <c r="H1454" s="237">
        <f t="shared" si="108"/>
        <v>6</v>
      </c>
      <c r="I1454" s="236">
        <v>1404</v>
      </c>
      <c r="J1454" s="236"/>
      <c r="K1454" s="238">
        <v>31500000</v>
      </c>
      <c r="L1454" s="368"/>
    </row>
    <row r="1455" spans="1:12" ht="15.75" customHeight="1">
      <c r="A1455" s="194"/>
      <c r="B145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55" s="358" t="s">
        <v>2337</v>
      </c>
      <c r="D1455" s="358" t="s">
        <v>2338</v>
      </c>
      <c r="E1455" s="432" t="s">
        <v>3231</v>
      </c>
      <c r="F1455" s="249"/>
      <c r="G1455" s="236" t="s">
        <v>479</v>
      </c>
      <c r="H1455" s="237">
        <f t="shared" ref="H1455:H1458" si="109">IF(G1455="","",VLOOKUP(G1455,mah,2,0))</f>
        <v>6</v>
      </c>
      <c r="I1455" s="236">
        <v>1404</v>
      </c>
      <c r="J1455" s="236"/>
      <c r="K1455" s="238">
        <v>4000000</v>
      </c>
      <c r="L1455" s="368"/>
    </row>
    <row r="1456" spans="1:12" ht="15.75" customHeight="1">
      <c r="A1456" s="194"/>
      <c r="B1456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1456" s="137" t="s">
        <v>497</v>
      </c>
      <c r="D1456" s="152" t="s">
        <v>498</v>
      </c>
      <c r="E1456" s="432" t="s">
        <v>3231</v>
      </c>
      <c r="F1456" s="249"/>
      <c r="G1456" s="236" t="s">
        <v>479</v>
      </c>
      <c r="H1456" s="237">
        <f t="shared" si="109"/>
        <v>6</v>
      </c>
      <c r="I1456" s="236">
        <v>1404</v>
      </c>
      <c r="J1456" s="236"/>
      <c r="K1456" s="238">
        <v>20000000</v>
      </c>
      <c r="L1456" s="368"/>
    </row>
    <row r="1457" spans="1:12" ht="15.75" customHeight="1">
      <c r="A1457" s="194"/>
      <c r="B145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57" s="358" t="s">
        <v>695</v>
      </c>
      <c r="D1457" s="358" t="s">
        <v>2490</v>
      </c>
      <c r="E1457" s="432" t="s">
        <v>3232</v>
      </c>
      <c r="F1457" s="249"/>
      <c r="G1457" s="236" t="s">
        <v>479</v>
      </c>
      <c r="H1457" s="237">
        <f t="shared" si="109"/>
        <v>6</v>
      </c>
      <c r="I1457" s="236">
        <v>1404</v>
      </c>
      <c r="J1457" s="236"/>
      <c r="K1457" s="238">
        <v>7000000</v>
      </c>
      <c r="L1457" s="368"/>
    </row>
    <row r="1458" spans="1:12" ht="15.75" customHeight="1">
      <c r="A1458" s="194"/>
      <c r="B145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58" s="358" t="s">
        <v>3233</v>
      </c>
      <c r="D1458" s="358" t="s">
        <v>2582</v>
      </c>
      <c r="E1458" s="432" t="s">
        <v>3232</v>
      </c>
      <c r="F1458" s="249"/>
      <c r="G1458" s="236" t="s">
        <v>479</v>
      </c>
      <c r="H1458" s="237">
        <f t="shared" si="109"/>
        <v>6</v>
      </c>
      <c r="I1458" s="236">
        <v>1404</v>
      </c>
      <c r="J1458" s="236"/>
      <c r="K1458" s="238">
        <v>1200000</v>
      </c>
      <c r="L1458" s="368"/>
    </row>
    <row r="1459" spans="1:12" ht="15.75" customHeight="1">
      <c r="A1459" s="194"/>
      <c r="B1459" s="235">
        <f>SUMIFS('لیست واریزی کل خیرین'!B:B,'لیست واریزی کل خیرین'!D:D,Table1[[#This Row],[نام]],'لیست واریزی کل خیرین'!E:E,Table1[[#This Row],[نام خانوادگی]])</f>
        <v>61</v>
      </c>
      <c r="C1459" s="358" t="s">
        <v>702</v>
      </c>
      <c r="D1459" s="358" t="s">
        <v>703</v>
      </c>
      <c r="E1459" s="432" t="s">
        <v>3234</v>
      </c>
      <c r="F1459" s="249"/>
      <c r="G1459" s="236" t="s">
        <v>482</v>
      </c>
      <c r="H1459" s="237">
        <f t="shared" ref="H1459:H1490" si="110">IF(G1459="","",VLOOKUP(G1459,mah,2,0))</f>
        <v>7</v>
      </c>
      <c r="I1459" s="236">
        <v>1404</v>
      </c>
      <c r="J1459" s="236"/>
      <c r="K1459" s="238">
        <v>10000000</v>
      </c>
      <c r="L1459" s="368"/>
    </row>
    <row r="1460" spans="1:12" ht="15.75" customHeight="1">
      <c r="A1460" s="194"/>
      <c r="B146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60" s="358" t="s">
        <v>2301</v>
      </c>
      <c r="D1460" s="358" t="s">
        <v>3147</v>
      </c>
      <c r="E1460" s="432" t="s">
        <v>3234</v>
      </c>
      <c r="F1460" s="249"/>
      <c r="G1460" s="236" t="s">
        <v>482</v>
      </c>
      <c r="H1460" s="237">
        <f t="shared" si="110"/>
        <v>7</v>
      </c>
      <c r="I1460" s="236">
        <v>1404</v>
      </c>
      <c r="J1460" s="236"/>
      <c r="K1460" s="238">
        <v>15000000</v>
      </c>
      <c r="L1460" s="368"/>
    </row>
    <row r="1461" spans="1:12" ht="15.75" customHeight="1">
      <c r="A1461" s="194"/>
      <c r="B146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61" s="358" t="s">
        <v>1605</v>
      </c>
      <c r="D1461" s="358" t="s">
        <v>1659</v>
      </c>
      <c r="E1461" s="432" t="s">
        <v>3235</v>
      </c>
      <c r="F1461" s="249"/>
      <c r="G1461" s="236" t="s">
        <v>482</v>
      </c>
      <c r="H1461" s="237">
        <f t="shared" si="110"/>
        <v>7</v>
      </c>
      <c r="I1461" s="236">
        <v>1404</v>
      </c>
      <c r="J1461" s="236"/>
      <c r="K1461" s="238">
        <v>2000000</v>
      </c>
      <c r="L1461" s="368"/>
    </row>
    <row r="1462" spans="1:12" ht="15.75" customHeight="1">
      <c r="A1462" s="194"/>
      <c r="B1462" s="235">
        <f>SUMIFS('لیست واریزی کل خیرین'!B:B,'لیست واریزی کل خیرین'!D:D,Table1[[#This Row],[نام]],'لیست واریزی کل خیرین'!E:E,Table1[[#This Row],[نام خانوادگی]])</f>
        <v>107</v>
      </c>
      <c r="C1462" s="358" t="s">
        <v>1605</v>
      </c>
      <c r="D1462" s="358" t="s">
        <v>1606</v>
      </c>
      <c r="E1462" s="432" t="s">
        <v>3235</v>
      </c>
      <c r="F1462" s="249"/>
      <c r="G1462" s="236" t="s">
        <v>482</v>
      </c>
      <c r="H1462" s="237">
        <f t="shared" si="110"/>
        <v>7</v>
      </c>
      <c r="I1462" s="236">
        <v>1404</v>
      </c>
      <c r="J1462" s="236"/>
      <c r="K1462" s="238">
        <v>500000</v>
      </c>
      <c r="L1462" s="368"/>
    </row>
    <row r="1463" spans="1:12" ht="15.75" customHeight="1">
      <c r="A1463" s="194"/>
      <c r="B146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63" s="358" t="s">
        <v>1639</v>
      </c>
      <c r="D1463" s="358" t="s">
        <v>1606</v>
      </c>
      <c r="E1463" s="432" t="s">
        <v>3235</v>
      </c>
      <c r="F1463" s="249"/>
      <c r="G1463" s="236" t="s">
        <v>482</v>
      </c>
      <c r="H1463" s="237">
        <f t="shared" si="110"/>
        <v>7</v>
      </c>
      <c r="I1463" s="236">
        <v>1404</v>
      </c>
      <c r="J1463" s="236"/>
      <c r="K1463" s="238">
        <v>500000</v>
      </c>
      <c r="L1463" s="368"/>
    </row>
    <row r="1464" spans="1:12" ht="15.75" customHeight="1">
      <c r="A1464" s="194"/>
      <c r="B146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64" s="358" t="s">
        <v>695</v>
      </c>
      <c r="D1464" s="358" t="s">
        <v>2603</v>
      </c>
      <c r="E1464" s="432" t="s">
        <v>3236</v>
      </c>
      <c r="F1464" s="249"/>
      <c r="G1464" s="236" t="s">
        <v>482</v>
      </c>
      <c r="H1464" s="237">
        <f t="shared" si="110"/>
        <v>7</v>
      </c>
      <c r="I1464" s="236">
        <v>1404</v>
      </c>
      <c r="J1464" s="236"/>
      <c r="K1464" s="238">
        <v>500000</v>
      </c>
      <c r="L1464" s="368"/>
    </row>
    <row r="1465" spans="1:12" ht="15.75" customHeight="1">
      <c r="A1465" s="194"/>
      <c r="B146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65" s="358" t="s">
        <v>3088</v>
      </c>
      <c r="D1465" s="358" t="s">
        <v>3089</v>
      </c>
      <c r="E1465" s="432" t="s">
        <v>3236</v>
      </c>
      <c r="F1465" s="249"/>
      <c r="G1465" s="236" t="s">
        <v>482</v>
      </c>
      <c r="H1465" s="237">
        <f t="shared" si="110"/>
        <v>7</v>
      </c>
      <c r="I1465" s="236">
        <v>1404</v>
      </c>
      <c r="J1465" s="236"/>
      <c r="K1465" s="238">
        <v>500000</v>
      </c>
      <c r="L1465" s="368"/>
    </row>
    <row r="1466" spans="1:12" ht="15.75" customHeight="1">
      <c r="A1466" s="194"/>
      <c r="B1466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466" s="358" t="s">
        <v>522</v>
      </c>
      <c r="D1466" s="358" t="s">
        <v>523</v>
      </c>
      <c r="E1466" s="432" t="s">
        <v>3237</v>
      </c>
      <c r="F1466" s="249"/>
      <c r="G1466" s="236" t="s">
        <v>482</v>
      </c>
      <c r="H1466" s="237">
        <f t="shared" si="110"/>
        <v>7</v>
      </c>
      <c r="I1466" s="236">
        <v>1404</v>
      </c>
      <c r="J1466" s="236"/>
      <c r="K1466" s="238">
        <v>141690438</v>
      </c>
      <c r="L1466" s="368"/>
    </row>
    <row r="1467" spans="1:12" ht="15.75" customHeight="1">
      <c r="A1467" s="194"/>
      <c r="B1467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467" s="358" t="s">
        <v>838</v>
      </c>
      <c r="D1467" s="358" t="s">
        <v>839</v>
      </c>
      <c r="E1467" s="432" t="s">
        <v>3237</v>
      </c>
      <c r="F1467" s="249"/>
      <c r="G1467" s="236" t="s">
        <v>482</v>
      </c>
      <c r="H1467" s="237">
        <f t="shared" si="110"/>
        <v>7</v>
      </c>
      <c r="I1467" s="236">
        <v>1404</v>
      </c>
      <c r="J1467" s="236"/>
      <c r="K1467" s="238">
        <v>7500000</v>
      </c>
      <c r="L1467" s="368"/>
    </row>
    <row r="1468" spans="1:12" ht="15.75" customHeight="1">
      <c r="A1468" s="194"/>
      <c r="B146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68" s="358" t="s">
        <v>2539</v>
      </c>
      <c r="D1468" s="358" t="s">
        <v>3163</v>
      </c>
      <c r="E1468" s="432" t="s">
        <v>3237</v>
      </c>
      <c r="F1468" s="249"/>
      <c r="G1468" s="236" t="s">
        <v>482</v>
      </c>
      <c r="H1468" s="237">
        <f t="shared" si="110"/>
        <v>7</v>
      </c>
      <c r="I1468" s="236">
        <v>1404</v>
      </c>
      <c r="J1468" s="236"/>
      <c r="K1468" s="238">
        <v>10000000</v>
      </c>
      <c r="L1468" s="368"/>
    </row>
    <row r="1469" spans="1:12" ht="15.75" customHeight="1">
      <c r="A1469" s="194"/>
      <c r="B146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69" s="358" t="s">
        <v>3132</v>
      </c>
      <c r="D1469" s="358" t="s">
        <v>1153</v>
      </c>
      <c r="E1469" s="432" t="s">
        <v>3237</v>
      </c>
      <c r="F1469" s="249"/>
      <c r="G1469" s="236" t="s">
        <v>482</v>
      </c>
      <c r="H1469" s="237">
        <f t="shared" si="110"/>
        <v>7</v>
      </c>
      <c r="I1469" s="236">
        <v>1404</v>
      </c>
      <c r="J1469" s="236"/>
      <c r="K1469" s="238">
        <v>100000000</v>
      </c>
      <c r="L1469" s="368"/>
    </row>
    <row r="1470" spans="1:12" ht="15.75" customHeight="1">
      <c r="A1470" s="194"/>
      <c r="B147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70" s="358" t="s">
        <v>3106</v>
      </c>
      <c r="D1470" s="358" t="s">
        <v>3239</v>
      </c>
      <c r="E1470" s="432" t="s">
        <v>3237</v>
      </c>
      <c r="F1470" s="249"/>
      <c r="G1470" s="236" t="s">
        <v>482</v>
      </c>
      <c r="H1470" s="237">
        <f t="shared" si="110"/>
        <v>7</v>
      </c>
      <c r="I1470" s="236">
        <v>1404</v>
      </c>
      <c r="J1470" s="236"/>
      <c r="K1470" s="238">
        <v>50000000</v>
      </c>
      <c r="L1470" s="368"/>
    </row>
    <row r="1471" spans="1:12" ht="15.75" customHeight="1">
      <c r="A1471" s="194"/>
      <c r="B147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71" s="358" t="s">
        <v>489</v>
      </c>
      <c r="D1471" s="358" t="s">
        <v>3240</v>
      </c>
      <c r="E1471" s="432" t="s">
        <v>3237</v>
      </c>
      <c r="F1471" s="249"/>
      <c r="G1471" s="236" t="s">
        <v>482</v>
      </c>
      <c r="H1471" s="237">
        <f t="shared" si="110"/>
        <v>7</v>
      </c>
      <c r="I1471" s="236">
        <v>1404</v>
      </c>
      <c r="J1471" s="236"/>
      <c r="K1471" s="238">
        <v>100000000</v>
      </c>
      <c r="L1471" s="368"/>
    </row>
    <row r="1472" spans="1:12" ht="15.75" customHeight="1">
      <c r="A1472" s="194"/>
      <c r="B147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72" s="358" t="s">
        <v>3241</v>
      </c>
      <c r="D1472" s="358" t="s">
        <v>530</v>
      </c>
      <c r="E1472" s="432" t="s">
        <v>3238</v>
      </c>
      <c r="F1472" s="249"/>
      <c r="G1472" s="236" t="s">
        <v>482</v>
      </c>
      <c r="H1472" s="237">
        <f t="shared" si="110"/>
        <v>7</v>
      </c>
      <c r="I1472" s="236">
        <v>1404</v>
      </c>
      <c r="J1472" s="236"/>
      <c r="K1472" s="238">
        <v>10000000</v>
      </c>
      <c r="L1472" s="368"/>
    </row>
    <row r="1473" spans="1:12" ht="15.75" customHeight="1">
      <c r="A1473" s="194"/>
      <c r="B1473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473" s="358" t="s">
        <v>494</v>
      </c>
      <c r="D1473" s="358" t="s">
        <v>533</v>
      </c>
      <c r="E1473" s="432" t="s">
        <v>3238</v>
      </c>
      <c r="F1473" s="249"/>
      <c r="G1473" s="236" t="s">
        <v>482</v>
      </c>
      <c r="H1473" s="237">
        <f t="shared" si="110"/>
        <v>7</v>
      </c>
      <c r="I1473" s="236">
        <v>1404</v>
      </c>
      <c r="J1473" s="236"/>
      <c r="K1473" s="238">
        <v>100000000</v>
      </c>
      <c r="L1473" s="368"/>
    </row>
    <row r="1474" spans="1:12" ht="15.75" customHeight="1">
      <c r="A1474" s="194"/>
      <c r="B1474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474" s="358" t="s">
        <v>494</v>
      </c>
      <c r="D1474" s="358" t="s">
        <v>533</v>
      </c>
      <c r="E1474" s="432" t="s">
        <v>3238</v>
      </c>
      <c r="F1474" s="249"/>
      <c r="G1474" s="236" t="s">
        <v>482</v>
      </c>
      <c r="H1474" s="237">
        <f t="shared" si="110"/>
        <v>7</v>
      </c>
      <c r="I1474" s="236">
        <v>1404</v>
      </c>
      <c r="J1474" s="236"/>
      <c r="K1474" s="238">
        <v>100000000</v>
      </c>
      <c r="L1474" s="368"/>
    </row>
    <row r="1475" spans="1:12" ht="15.75" customHeight="1">
      <c r="A1475" s="194"/>
      <c r="B1475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475" s="358" t="s">
        <v>670</v>
      </c>
      <c r="D1475" s="358" t="s">
        <v>490</v>
      </c>
      <c r="E1475" s="432" t="s">
        <v>3238</v>
      </c>
      <c r="F1475" s="249"/>
      <c r="G1475" s="236" t="s">
        <v>482</v>
      </c>
      <c r="H1475" s="237">
        <f t="shared" si="110"/>
        <v>7</v>
      </c>
      <c r="I1475" s="236">
        <v>1404</v>
      </c>
      <c r="J1475" s="236"/>
      <c r="K1475" s="238">
        <v>30000000</v>
      </c>
      <c r="L1475" s="368"/>
    </row>
    <row r="1476" spans="1:12" ht="15.75" customHeight="1">
      <c r="A1476" s="194"/>
      <c r="B147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76" s="358" t="s">
        <v>596</v>
      </c>
      <c r="D1476" s="358" t="s">
        <v>481</v>
      </c>
      <c r="E1476" s="432" t="s">
        <v>3242</v>
      </c>
      <c r="F1476" s="249"/>
      <c r="G1476" s="236" t="s">
        <v>482</v>
      </c>
      <c r="H1476" s="237">
        <f t="shared" si="110"/>
        <v>7</v>
      </c>
      <c r="I1476" s="236">
        <v>1404</v>
      </c>
      <c r="J1476" s="236"/>
      <c r="K1476" s="238">
        <v>50000000</v>
      </c>
      <c r="L1476" s="368"/>
    </row>
    <row r="1477" spans="1:12" ht="15.75" customHeight="1">
      <c r="A1477" s="194"/>
      <c r="B147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77" s="358" t="s">
        <v>843</v>
      </c>
      <c r="D1477" s="358" t="s">
        <v>3126</v>
      </c>
      <c r="E1477" s="432" t="s">
        <v>3243</v>
      </c>
      <c r="F1477" s="249"/>
      <c r="G1477" s="236" t="s">
        <v>482</v>
      </c>
      <c r="H1477" s="237">
        <f t="shared" si="110"/>
        <v>7</v>
      </c>
      <c r="I1477" s="236">
        <v>1404</v>
      </c>
      <c r="J1477" s="236"/>
      <c r="K1477" s="238">
        <v>5000000</v>
      </c>
      <c r="L1477" s="368"/>
    </row>
    <row r="1478" spans="1:12" ht="15.75" customHeight="1">
      <c r="A1478" s="194"/>
      <c r="B147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78" s="358" t="s">
        <v>695</v>
      </c>
      <c r="D1478" s="358" t="s">
        <v>2603</v>
      </c>
      <c r="E1478" s="432" t="s">
        <v>3244</v>
      </c>
      <c r="F1478" s="249"/>
      <c r="G1478" s="236" t="s">
        <v>482</v>
      </c>
      <c r="H1478" s="237">
        <f t="shared" si="110"/>
        <v>7</v>
      </c>
      <c r="I1478" s="236">
        <v>1404</v>
      </c>
      <c r="J1478" s="236"/>
      <c r="K1478" s="238">
        <v>4000000</v>
      </c>
      <c r="L1478" s="368"/>
    </row>
    <row r="1479" spans="1:12" ht="15.75" customHeight="1">
      <c r="A1479" s="194"/>
      <c r="B1479" s="235">
        <f>SUMIFS('لیست واریزی کل خیرین'!B:B,'لیست واریزی کل خیرین'!D:D,Table1[[#This Row],[نام]],'لیست واریزی کل خیرین'!E:E,Table1[[#This Row],[نام خانوادگی]])</f>
        <v>99</v>
      </c>
      <c r="C1479" s="358" t="s">
        <v>1335</v>
      </c>
      <c r="D1479" s="358" t="s">
        <v>1412</v>
      </c>
      <c r="E1479" s="432" t="s">
        <v>3245</v>
      </c>
      <c r="F1479" s="249"/>
      <c r="G1479" s="236" t="s">
        <v>482</v>
      </c>
      <c r="H1479" s="237">
        <f t="shared" si="110"/>
        <v>7</v>
      </c>
      <c r="I1479" s="236">
        <v>1404</v>
      </c>
      <c r="J1479" s="236"/>
      <c r="K1479" s="238">
        <v>15000000</v>
      </c>
      <c r="L1479" s="368"/>
    </row>
    <row r="1480" spans="1:12" ht="15.75" customHeight="1">
      <c r="A1480" s="194"/>
      <c r="B1480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480" s="358" t="s">
        <v>494</v>
      </c>
      <c r="D1480" s="358" t="s">
        <v>546</v>
      </c>
      <c r="E1480" s="432" t="s">
        <v>3246</v>
      </c>
      <c r="F1480" s="249"/>
      <c r="G1480" s="236" t="s">
        <v>482</v>
      </c>
      <c r="H1480" s="237">
        <f t="shared" si="110"/>
        <v>7</v>
      </c>
      <c r="I1480" s="236">
        <v>1404</v>
      </c>
      <c r="J1480" s="236"/>
      <c r="K1480" s="238">
        <v>80000000</v>
      </c>
      <c r="L1480" s="368"/>
    </row>
    <row r="1481" spans="1:12" ht="15.75" customHeight="1">
      <c r="A1481" s="194"/>
      <c r="B1481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481" s="358" t="s">
        <v>486</v>
      </c>
      <c r="D1481" s="358" t="s">
        <v>487</v>
      </c>
      <c r="E1481" s="432" t="s">
        <v>3247</v>
      </c>
      <c r="F1481" s="249"/>
      <c r="G1481" s="236" t="s">
        <v>482</v>
      </c>
      <c r="H1481" s="237">
        <f t="shared" si="110"/>
        <v>7</v>
      </c>
      <c r="I1481" s="236">
        <v>1404</v>
      </c>
      <c r="J1481" s="236"/>
      <c r="K1481" s="238">
        <v>10000000</v>
      </c>
      <c r="L1481" s="368"/>
    </row>
    <row r="1482" spans="1:12" ht="15.75" customHeight="1">
      <c r="A1482" s="194"/>
      <c r="B148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82" s="358" t="s">
        <v>818</v>
      </c>
      <c r="D1482" s="358" t="s">
        <v>3215</v>
      </c>
      <c r="E1482" s="432" t="s">
        <v>3248</v>
      </c>
      <c r="F1482" s="249"/>
      <c r="G1482" s="236" t="s">
        <v>482</v>
      </c>
      <c r="H1482" s="237">
        <f t="shared" si="110"/>
        <v>7</v>
      </c>
      <c r="I1482" s="236">
        <v>1404</v>
      </c>
      <c r="J1482" s="236"/>
      <c r="K1482" s="238">
        <v>500000</v>
      </c>
      <c r="L1482" s="368"/>
    </row>
    <row r="1483" spans="1:12" ht="15.75" customHeight="1">
      <c r="A1483" s="194"/>
      <c r="B1483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483" s="358" t="s">
        <v>464</v>
      </c>
      <c r="D1483" s="358" t="s">
        <v>465</v>
      </c>
      <c r="E1483" s="432" t="s">
        <v>3248</v>
      </c>
      <c r="F1483" s="249"/>
      <c r="G1483" s="236" t="s">
        <v>482</v>
      </c>
      <c r="H1483" s="237">
        <f t="shared" si="110"/>
        <v>7</v>
      </c>
      <c r="I1483" s="236">
        <v>1404</v>
      </c>
      <c r="J1483" s="236"/>
      <c r="K1483" s="238">
        <v>175290000</v>
      </c>
      <c r="L1483" s="368"/>
    </row>
    <row r="1484" spans="1:12" ht="15.75" customHeight="1">
      <c r="A1484" s="194"/>
      <c r="B1484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484" s="358" t="s">
        <v>486</v>
      </c>
      <c r="D1484" s="358" t="s">
        <v>487</v>
      </c>
      <c r="E1484" s="432" t="s">
        <v>3248</v>
      </c>
      <c r="F1484" s="249"/>
      <c r="G1484" s="236" t="s">
        <v>482</v>
      </c>
      <c r="H1484" s="237">
        <f t="shared" si="110"/>
        <v>7</v>
      </c>
      <c r="I1484" s="236">
        <v>1404</v>
      </c>
      <c r="J1484" s="236"/>
      <c r="K1484" s="238">
        <v>20000000</v>
      </c>
      <c r="L1484" s="368"/>
    </row>
    <row r="1485" spans="1:12" ht="15.75" customHeight="1">
      <c r="A1485" s="194"/>
      <c r="B148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85" s="358" t="s">
        <v>2325</v>
      </c>
      <c r="D1485" s="358" t="s">
        <v>1659</v>
      </c>
      <c r="E1485" s="432" t="s">
        <v>3248</v>
      </c>
      <c r="F1485" s="249"/>
      <c r="G1485" s="236" t="s">
        <v>482</v>
      </c>
      <c r="H1485" s="237">
        <f t="shared" si="110"/>
        <v>7</v>
      </c>
      <c r="I1485" s="236">
        <v>1404</v>
      </c>
      <c r="J1485" s="236"/>
      <c r="K1485" s="238">
        <v>15000000</v>
      </c>
      <c r="L1485" s="368"/>
    </row>
    <row r="1486" spans="1:12" ht="15.75" customHeight="1">
      <c r="A1486" s="194"/>
      <c r="B148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86" s="358" t="s">
        <v>695</v>
      </c>
      <c r="D1486" s="358" t="s">
        <v>976</v>
      </c>
      <c r="E1486" s="432" t="s">
        <v>3248</v>
      </c>
      <c r="F1486" s="249"/>
      <c r="G1486" s="236" t="s">
        <v>482</v>
      </c>
      <c r="H1486" s="237">
        <f t="shared" si="110"/>
        <v>7</v>
      </c>
      <c r="I1486" s="236">
        <v>1404</v>
      </c>
      <c r="J1486" s="236"/>
      <c r="K1486" s="238">
        <v>15000000</v>
      </c>
      <c r="L1486" s="368"/>
    </row>
    <row r="1487" spans="1:12" ht="15.75" customHeight="1">
      <c r="A1487" s="194"/>
      <c r="B148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87" s="358" t="s">
        <v>695</v>
      </c>
      <c r="D1487" s="358" t="s">
        <v>3251</v>
      </c>
      <c r="E1487" s="432" t="s">
        <v>3248</v>
      </c>
      <c r="F1487" s="249"/>
      <c r="G1487" s="236" t="s">
        <v>482</v>
      </c>
      <c r="H1487" s="237">
        <f t="shared" si="110"/>
        <v>7</v>
      </c>
      <c r="I1487" s="236">
        <v>1404</v>
      </c>
      <c r="J1487" s="236"/>
      <c r="K1487" s="238">
        <v>15000000</v>
      </c>
      <c r="L1487" s="368"/>
    </row>
    <row r="1488" spans="1:12" ht="15.75" customHeight="1">
      <c r="A1488" s="194"/>
      <c r="B148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88" s="358" t="s">
        <v>2666</v>
      </c>
      <c r="D1488" s="358" t="s">
        <v>3252</v>
      </c>
      <c r="E1488" s="432" t="s">
        <v>3248</v>
      </c>
      <c r="F1488" s="249"/>
      <c r="G1488" s="236" t="s">
        <v>482</v>
      </c>
      <c r="H1488" s="237">
        <f t="shared" si="110"/>
        <v>7</v>
      </c>
      <c r="I1488" s="236">
        <v>1404</v>
      </c>
      <c r="J1488" s="236"/>
      <c r="K1488" s="238">
        <v>15000000</v>
      </c>
      <c r="L1488" s="368"/>
    </row>
    <row r="1489" spans="1:12" ht="15.75" customHeight="1">
      <c r="A1489" s="194"/>
      <c r="B148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89" s="358" t="s">
        <v>475</v>
      </c>
      <c r="D1489" s="358" t="s">
        <v>3253</v>
      </c>
      <c r="E1489" s="432" t="s">
        <v>3249</v>
      </c>
      <c r="F1489" s="249"/>
      <c r="G1489" s="236" t="s">
        <v>482</v>
      </c>
      <c r="H1489" s="237">
        <f t="shared" si="110"/>
        <v>7</v>
      </c>
      <c r="I1489" s="236">
        <v>1404</v>
      </c>
      <c r="J1489" s="236"/>
      <c r="K1489" s="238">
        <v>15000000</v>
      </c>
      <c r="L1489" s="368"/>
    </row>
    <row r="1490" spans="1:12" ht="15.75" customHeight="1">
      <c r="A1490" s="194"/>
      <c r="B149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90" s="358" t="s">
        <v>475</v>
      </c>
      <c r="D1490" s="358" t="s">
        <v>3254</v>
      </c>
      <c r="E1490" s="432" t="s">
        <v>3249</v>
      </c>
      <c r="F1490" s="249"/>
      <c r="G1490" s="236" t="s">
        <v>482</v>
      </c>
      <c r="H1490" s="237">
        <f t="shared" si="110"/>
        <v>7</v>
      </c>
      <c r="I1490" s="236">
        <v>1404</v>
      </c>
      <c r="J1490" s="236"/>
      <c r="K1490" s="238">
        <v>15000000</v>
      </c>
      <c r="L1490" s="368"/>
    </row>
    <row r="1491" spans="1:12" ht="15.75" customHeight="1">
      <c r="A1491" s="194"/>
      <c r="B149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91" s="358" t="s">
        <v>1644</v>
      </c>
      <c r="D1491" s="358" t="s">
        <v>3255</v>
      </c>
      <c r="E1491" s="432" t="s">
        <v>3249</v>
      </c>
      <c r="F1491" s="249"/>
      <c r="G1491" s="236" t="s">
        <v>482</v>
      </c>
      <c r="H1491" s="237">
        <f t="shared" ref="H1491:H1520" si="111">IF(G1491="","",VLOOKUP(G1491,mah,2,0))</f>
        <v>7</v>
      </c>
      <c r="I1491" s="236">
        <v>1404</v>
      </c>
      <c r="J1491" s="236"/>
      <c r="K1491" s="238">
        <v>15000000</v>
      </c>
      <c r="L1491" s="368"/>
    </row>
    <row r="1492" spans="1:12" ht="15.75" customHeight="1">
      <c r="A1492" s="194"/>
      <c r="B149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92" s="358" t="s">
        <v>3256</v>
      </c>
      <c r="D1492" s="358" t="s">
        <v>3257</v>
      </c>
      <c r="E1492" s="432" t="s">
        <v>3250</v>
      </c>
      <c r="F1492" s="249"/>
      <c r="G1492" s="236" t="s">
        <v>482</v>
      </c>
      <c r="H1492" s="237">
        <f t="shared" si="111"/>
        <v>7</v>
      </c>
      <c r="I1492" s="236">
        <v>1404</v>
      </c>
      <c r="J1492" s="236"/>
      <c r="K1492" s="238">
        <v>30000000</v>
      </c>
      <c r="L1492" s="368"/>
    </row>
    <row r="1493" spans="1:12" ht="15.75" customHeight="1">
      <c r="A1493" s="194"/>
      <c r="B149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93" s="358" t="s">
        <v>3256</v>
      </c>
      <c r="D1493" s="358" t="s">
        <v>3257</v>
      </c>
      <c r="E1493" s="432" t="s">
        <v>3250</v>
      </c>
      <c r="F1493" s="249"/>
      <c r="G1493" s="236" t="s">
        <v>482</v>
      </c>
      <c r="H1493" s="237">
        <f t="shared" si="111"/>
        <v>7</v>
      </c>
      <c r="I1493" s="236">
        <v>1404</v>
      </c>
      <c r="J1493" s="236"/>
      <c r="K1493" s="238">
        <v>30000000</v>
      </c>
      <c r="L1493" s="368"/>
    </row>
    <row r="1494" spans="1:12" ht="15.75" customHeight="1">
      <c r="A1494" s="194"/>
      <c r="B149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94" s="358" t="s">
        <v>200</v>
      </c>
      <c r="D1494" s="358" t="s">
        <v>705</v>
      </c>
      <c r="E1494" s="432" t="s">
        <v>3250</v>
      </c>
      <c r="F1494" s="249"/>
      <c r="G1494" s="236" t="s">
        <v>482</v>
      </c>
      <c r="H1494" s="237">
        <f t="shared" si="111"/>
        <v>7</v>
      </c>
      <c r="I1494" s="236">
        <v>1404</v>
      </c>
      <c r="J1494" s="236"/>
      <c r="K1494" s="238">
        <v>10000000</v>
      </c>
      <c r="L1494" s="368"/>
    </row>
    <row r="1495" spans="1:12" ht="15.75" customHeight="1">
      <c r="A1495" s="194"/>
      <c r="B149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95" s="358" t="s">
        <v>588</v>
      </c>
      <c r="D1495" s="358" t="s">
        <v>544</v>
      </c>
      <c r="E1495" s="432" t="s">
        <v>3258</v>
      </c>
      <c r="F1495" s="249"/>
      <c r="G1495" s="236" t="s">
        <v>482</v>
      </c>
      <c r="H1495" s="237">
        <f t="shared" si="111"/>
        <v>7</v>
      </c>
      <c r="I1495" s="236">
        <v>1404</v>
      </c>
      <c r="J1495" s="236"/>
      <c r="K1495" s="238">
        <v>50000000</v>
      </c>
      <c r="L1495" s="368"/>
    </row>
    <row r="1496" spans="1:12" ht="15.75" customHeight="1">
      <c r="A1496" s="194"/>
      <c r="B1496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496" s="358" t="s">
        <v>464</v>
      </c>
      <c r="D1496" s="358" t="s">
        <v>465</v>
      </c>
      <c r="E1496" s="432" t="s">
        <v>3259</v>
      </c>
      <c r="F1496" s="249"/>
      <c r="G1496" s="236" t="s">
        <v>482</v>
      </c>
      <c r="H1496" s="237">
        <f t="shared" si="111"/>
        <v>7</v>
      </c>
      <c r="I1496" s="236">
        <v>1404</v>
      </c>
      <c r="J1496" s="236"/>
      <c r="K1496" s="238">
        <v>200000000</v>
      </c>
      <c r="L1496" s="368"/>
    </row>
    <row r="1497" spans="1:12" ht="15.75" customHeight="1">
      <c r="A1497" s="194"/>
      <c r="B1497" s="235">
        <f>SUMIFS('لیست واریزی کل خیرین'!B:B,'لیست واریزی کل خیرین'!D:D,Table1[[#This Row],[نام]],'لیست واریزی کل خیرین'!E:E,Table1[[#This Row],[نام خانوادگی]])</f>
        <v>6</v>
      </c>
      <c r="C1497" s="358" t="s">
        <v>207</v>
      </c>
      <c r="D1497" s="358" t="s">
        <v>478</v>
      </c>
      <c r="E1497" s="432" t="s">
        <v>3260</v>
      </c>
      <c r="F1497" s="249"/>
      <c r="G1497" s="236" t="s">
        <v>482</v>
      </c>
      <c r="H1497" s="237">
        <f t="shared" si="111"/>
        <v>7</v>
      </c>
      <c r="I1497" s="236">
        <v>1404</v>
      </c>
      <c r="J1497" s="236"/>
      <c r="K1497" s="238">
        <v>15000000</v>
      </c>
      <c r="L1497" s="368"/>
    </row>
    <row r="1498" spans="1:12" ht="15.75" customHeight="1">
      <c r="A1498" s="194"/>
      <c r="B149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98" s="358" t="s">
        <v>3088</v>
      </c>
      <c r="D1498" s="358" t="s">
        <v>3089</v>
      </c>
      <c r="E1498" s="432" t="s">
        <v>3261</v>
      </c>
      <c r="F1498" s="249"/>
      <c r="G1498" s="236" t="s">
        <v>482</v>
      </c>
      <c r="H1498" s="237">
        <f t="shared" si="111"/>
        <v>7</v>
      </c>
      <c r="I1498" s="236">
        <v>1404</v>
      </c>
      <c r="J1498" s="236"/>
      <c r="K1498" s="238">
        <v>500000</v>
      </c>
      <c r="L1498" s="368"/>
    </row>
    <row r="1499" spans="1:12" ht="15.75" customHeight="1">
      <c r="A1499" s="194"/>
      <c r="B149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499" s="358" t="s">
        <v>503</v>
      </c>
      <c r="D1499" s="358" t="s">
        <v>505</v>
      </c>
      <c r="E1499" s="432" t="s">
        <v>3262</v>
      </c>
      <c r="F1499" s="249"/>
      <c r="G1499" s="236" t="s">
        <v>482</v>
      </c>
      <c r="H1499" s="237">
        <f t="shared" si="111"/>
        <v>7</v>
      </c>
      <c r="I1499" s="236">
        <v>1404</v>
      </c>
      <c r="J1499" s="236"/>
      <c r="K1499" s="238">
        <v>16500000</v>
      </c>
      <c r="L1499" s="368"/>
    </row>
    <row r="1500" spans="1:12" ht="15.75" customHeight="1">
      <c r="A1500" s="194"/>
      <c r="B150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00" s="358" t="s">
        <v>3263</v>
      </c>
      <c r="D1500" s="358" t="s">
        <v>3264</v>
      </c>
      <c r="E1500" s="432" t="s">
        <v>3266</v>
      </c>
      <c r="F1500" s="249"/>
      <c r="G1500" s="236" t="s">
        <v>482</v>
      </c>
      <c r="H1500" s="237">
        <f t="shared" si="111"/>
        <v>7</v>
      </c>
      <c r="I1500" s="236">
        <v>1404</v>
      </c>
      <c r="J1500" s="236"/>
      <c r="K1500" s="238">
        <v>15000000</v>
      </c>
      <c r="L1500" s="368"/>
    </row>
    <row r="1501" spans="1:12" ht="15.75" customHeight="1">
      <c r="A1501" s="194"/>
      <c r="B150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01" s="358" t="s">
        <v>695</v>
      </c>
      <c r="D1501" s="358" t="s">
        <v>2490</v>
      </c>
      <c r="E1501" s="432" t="s">
        <v>3266</v>
      </c>
      <c r="F1501" s="249"/>
      <c r="G1501" s="236" t="s">
        <v>482</v>
      </c>
      <c r="H1501" s="237">
        <f t="shared" si="111"/>
        <v>7</v>
      </c>
      <c r="I1501" s="236">
        <v>1404</v>
      </c>
      <c r="J1501" s="236"/>
      <c r="K1501" s="238">
        <v>7000000</v>
      </c>
      <c r="L1501" s="368"/>
    </row>
    <row r="1502" spans="1:12" ht="15.75" customHeight="1">
      <c r="A1502" s="194"/>
      <c r="B150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02" s="358" t="s">
        <v>207</v>
      </c>
      <c r="D1502" s="358" t="s">
        <v>3265</v>
      </c>
      <c r="E1502" s="432" t="s">
        <v>3266</v>
      </c>
      <c r="F1502" s="249"/>
      <c r="G1502" s="236" t="s">
        <v>482</v>
      </c>
      <c r="H1502" s="237">
        <f t="shared" si="111"/>
        <v>7</v>
      </c>
      <c r="I1502" s="236">
        <v>1404</v>
      </c>
      <c r="J1502" s="236"/>
      <c r="K1502" s="238">
        <v>15000000</v>
      </c>
      <c r="L1502" s="368"/>
    </row>
    <row r="1503" spans="1:12" ht="15.75" customHeight="1">
      <c r="A1503" s="194"/>
      <c r="B150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03" s="358" t="s">
        <v>843</v>
      </c>
      <c r="D1503" s="358" t="s">
        <v>3126</v>
      </c>
      <c r="E1503" s="432" t="s">
        <v>3267</v>
      </c>
      <c r="F1503" s="249"/>
      <c r="G1503" s="236" t="s">
        <v>485</v>
      </c>
      <c r="H1503" s="237">
        <f t="shared" si="111"/>
        <v>8</v>
      </c>
      <c r="I1503" s="236">
        <v>1404</v>
      </c>
      <c r="J1503" s="236"/>
      <c r="K1503" s="238">
        <v>10000000</v>
      </c>
      <c r="L1503" s="368"/>
    </row>
    <row r="1504" spans="1:12" ht="15.75" customHeight="1">
      <c r="A1504" s="194"/>
      <c r="B150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04" s="358" t="s">
        <v>2301</v>
      </c>
      <c r="D1504" s="358" t="s">
        <v>3147</v>
      </c>
      <c r="E1504" s="432" t="s">
        <v>3267</v>
      </c>
      <c r="F1504" s="249"/>
      <c r="G1504" s="236" t="s">
        <v>485</v>
      </c>
      <c r="H1504" s="237">
        <f t="shared" si="111"/>
        <v>8</v>
      </c>
      <c r="I1504" s="236">
        <v>1404</v>
      </c>
      <c r="J1504" s="236"/>
      <c r="K1504" s="238">
        <v>15000000</v>
      </c>
      <c r="L1504" s="368"/>
    </row>
    <row r="1505" spans="1:12" ht="15.75" customHeight="1">
      <c r="A1505" s="194"/>
      <c r="B1505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505" s="358" t="s">
        <v>838</v>
      </c>
      <c r="D1505" s="358" t="s">
        <v>839</v>
      </c>
      <c r="E1505" s="432" t="s">
        <v>3268</v>
      </c>
      <c r="F1505" s="249"/>
      <c r="G1505" s="236" t="s">
        <v>485</v>
      </c>
      <c r="H1505" s="237">
        <f t="shared" si="111"/>
        <v>8</v>
      </c>
      <c r="I1505" s="236">
        <v>1404</v>
      </c>
      <c r="J1505" s="236"/>
      <c r="K1505" s="238">
        <v>7500000</v>
      </c>
      <c r="L1505" s="368"/>
    </row>
    <row r="1506" spans="1:12" ht="15.75" customHeight="1">
      <c r="A1506" s="194"/>
      <c r="B1506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506" s="358" t="s">
        <v>522</v>
      </c>
      <c r="D1506" s="358" t="s">
        <v>523</v>
      </c>
      <c r="E1506" s="432" t="s">
        <v>3269</v>
      </c>
      <c r="F1506" s="249"/>
      <c r="G1506" s="236" t="s">
        <v>485</v>
      </c>
      <c r="H1506" s="237">
        <f t="shared" si="111"/>
        <v>8</v>
      </c>
      <c r="I1506" s="236">
        <v>1404</v>
      </c>
      <c r="J1506" s="236"/>
      <c r="K1506" s="238">
        <v>115201229</v>
      </c>
      <c r="L1506" s="368"/>
    </row>
    <row r="1507" spans="1:12" ht="15.75" customHeight="1">
      <c r="A1507" s="194"/>
      <c r="B150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07" s="358" t="s">
        <v>2539</v>
      </c>
      <c r="D1507" s="358" t="s">
        <v>3163</v>
      </c>
      <c r="E1507" s="432" t="s">
        <v>3269</v>
      </c>
      <c r="F1507" s="249"/>
      <c r="G1507" s="236" t="s">
        <v>485</v>
      </c>
      <c r="H1507" s="237">
        <f t="shared" si="111"/>
        <v>8</v>
      </c>
      <c r="I1507" s="236">
        <v>1404</v>
      </c>
      <c r="J1507" s="236"/>
      <c r="K1507" s="238">
        <v>10000000</v>
      </c>
      <c r="L1507" s="368"/>
    </row>
    <row r="1508" spans="1:12" ht="15.75" customHeight="1">
      <c r="A1508" s="194"/>
      <c r="B1508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508" s="358" t="s">
        <v>670</v>
      </c>
      <c r="D1508" s="358" t="s">
        <v>490</v>
      </c>
      <c r="E1508" s="432" t="s">
        <v>3272</v>
      </c>
      <c r="F1508" s="249"/>
      <c r="G1508" s="236" t="s">
        <v>485</v>
      </c>
      <c r="H1508" s="237">
        <f t="shared" si="111"/>
        <v>8</v>
      </c>
      <c r="I1508" s="236">
        <v>1404</v>
      </c>
      <c r="J1508" s="236"/>
      <c r="K1508" s="238">
        <v>30000000</v>
      </c>
      <c r="L1508" s="368"/>
    </row>
    <row r="1509" spans="1:12" ht="15.75" customHeight="1">
      <c r="A1509" s="194"/>
      <c r="B150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09" s="358" t="s">
        <v>3241</v>
      </c>
      <c r="D1509" s="358" t="s">
        <v>530</v>
      </c>
      <c r="E1509" s="432" t="s">
        <v>3272</v>
      </c>
      <c r="F1509" s="249"/>
      <c r="G1509" s="236" t="s">
        <v>485</v>
      </c>
      <c r="H1509" s="237">
        <f t="shared" si="111"/>
        <v>8</v>
      </c>
      <c r="I1509" s="236">
        <v>1404</v>
      </c>
      <c r="J1509" s="236"/>
      <c r="K1509" s="238">
        <v>10000000</v>
      </c>
      <c r="L1509" s="368"/>
    </row>
    <row r="1510" spans="1:12" ht="15.75" customHeight="1">
      <c r="A1510" s="194"/>
      <c r="B151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10" s="358" t="s">
        <v>3270</v>
      </c>
      <c r="D1510" s="358" t="s">
        <v>3271</v>
      </c>
      <c r="E1510" s="432" t="s">
        <v>3272</v>
      </c>
      <c r="F1510" s="249"/>
      <c r="G1510" s="236" t="s">
        <v>485</v>
      </c>
      <c r="H1510" s="237">
        <f t="shared" si="111"/>
        <v>8</v>
      </c>
      <c r="I1510" s="236">
        <v>1404</v>
      </c>
      <c r="J1510" s="236"/>
      <c r="K1510" s="238">
        <v>60000000</v>
      </c>
      <c r="L1510" s="368"/>
    </row>
    <row r="1511" spans="1:12" ht="15.75" customHeight="1">
      <c r="A1511" s="194"/>
      <c r="B151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11" s="358" t="s">
        <v>596</v>
      </c>
      <c r="D1511" s="358" t="s">
        <v>481</v>
      </c>
      <c r="E1511" s="432" t="s">
        <v>3273</v>
      </c>
      <c r="F1511" s="249"/>
      <c r="G1511" s="236" t="s">
        <v>485</v>
      </c>
      <c r="H1511" s="237">
        <f t="shared" si="111"/>
        <v>8</v>
      </c>
      <c r="I1511" s="236">
        <v>1404</v>
      </c>
      <c r="J1511" s="236"/>
      <c r="K1511" s="238">
        <v>50000000</v>
      </c>
      <c r="L1511" s="368"/>
    </row>
    <row r="1512" spans="1:12" ht="15.75" customHeight="1">
      <c r="A1512" s="194"/>
      <c r="B1512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512" s="358" t="s">
        <v>494</v>
      </c>
      <c r="D1512" s="358" t="s">
        <v>533</v>
      </c>
      <c r="E1512" s="432" t="s">
        <v>3273</v>
      </c>
      <c r="F1512" s="249"/>
      <c r="G1512" s="236" t="s">
        <v>485</v>
      </c>
      <c r="H1512" s="237">
        <f t="shared" si="111"/>
        <v>8</v>
      </c>
      <c r="I1512" s="236">
        <v>1404</v>
      </c>
      <c r="J1512" s="236"/>
      <c r="K1512" s="238">
        <v>100000000</v>
      </c>
      <c r="L1512" s="368"/>
    </row>
    <row r="1513" spans="1:12" ht="15.75" customHeight="1">
      <c r="A1513" s="194"/>
      <c r="B1513" s="235">
        <f>SUMIFS('لیست واریزی کل خیرین'!B:B,'لیست واریزی کل خیرین'!D:D,Table1[[#This Row],[نام]],'لیست واریزی کل خیرین'!E:E,Table1[[#This Row],[نام خانوادگی]])</f>
        <v>40</v>
      </c>
      <c r="C1513" s="358" t="s">
        <v>494</v>
      </c>
      <c r="D1513" s="358" t="s">
        <v>533</v>
      </c>
      <c r="E1513" s="432" t="s">
        <v>3273</v>
      </c>
      <c r="F1513" s="249"/>
      <c r="G1513" s="236" t="s">
        <v>485</v>
      </c>
      <c r="H1513" s="237">
        <f t="shared" si="111"/>
        <v>8</v>
      </c>
      <c r="I1513" s="236">
        <v>1404</v>
      </c>
      <c r="J1513" s="236"/>
      <c r="K1513" s="238">
        <v>100000000</v>
      </c>
      <c r="L1513" s="368"/>
    </row>
    <row r="1514" spans="1:12" ht="15.75" customHeight="1">
      <c r="A1514" s="194"/>
      <c r="B1514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514" s="358" t="s">
        <v>489</v>
      </c>
      <c r="D1514" s="358" t="s">
        <v>490</v>
      </c>
      <c r="E1514" s="432" t="s">
        <v>3274</v>
      </c>
      <c r="F1514" s="249"/>
      <c r="G1514" s="236" t="s">
        <v>485</v>
      </c>
      <c r="H1514" s="237">
        <f t="shared" si="111"/>
        <v>8</v>
      </c>
      <c r="I1514" s="236">
        <v>1404</v>
      </c>
      <c r="J1514" s="236"/>
      <c r="K1514" s="238">
        <v>10000000</v>
      </c>
      <c r="L1514" s="368"/>
    </row>
    <row r="1515" spans="1:12" ht="15.75" customHeight="1">
      <c r="A1515" s="194"/>
      <c r="B151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15" s="358" t="s">
        <v>203</v>
      </c>
      <c r="D1515" s="358" t="s">
        <v>1267</v>
      </c>
      <c r="E1515" s="432" t="s">
        <v>3275</v>
      </c>
      <c r="F1515" s="249"/>
      <c r="G1515" s="236" t="s">
        <v>485</v>
      </c>
      <c r="H1515" s="237">
        <f t="shared" si="111"/>
        <v>8</v>
      </c>
      <c r="I1515" s="236">
        <v>1404</v>
      </c>
      <c r="J1515" s="236"/>
      <c r="K1515" s="238">
        <v>100000000</v>
      </c>
      <c r="L1515" s="368"/>
    </row>
    <row r="1516" spans="1:12" ht="15.75" customHeight="1">
      <c r="A1516" s="194"/>
      <c r="B1516" s="235">
        <f>SUMIFS('لیست واریزی کل خیرین'!B:B,'لیست واریزی کل خیرین'!D:D,Table1[[#This Row],[نام]],'لیست واریزی کل خیرین'!E:E,Table1[[#This Row],[نام خانوادگی]])</f>
        <v>121</v>
      </c>
      <c r="C1516" s="358" t="s">
        <v>1671</v>
      </c>
      <c r="D1516" s="358" t="s">
        <v>1672</v>
      </c>
      <c r="E1516" s="432" t="s">
        <v>3276</v>
      </c>
      <c r="F1516" s="249"/>
      <c r="G1516" s="236" t="s">
        <v>485</v>
      </c>
      <c r="H1516" s="237">
        <f t="shared" si="111"/>
        <v>8</v>
      </c>
      <c r="I1516" s="236">
        <v>1404</v>
      </c>
      <c r="J1516" s="236"/>
      <c r="K1516" s="238">
        <v>5000000</v>
      </c>
      <c r="L1516" s="368"/>
    </row>
    <row r="1517" spans="1:12" ht="15.75" customHeight="1">
      <c r="A1517" s="194"/>
      <c r="B1517" s="235">
        <f>SUMIFS('لیست واریزی کل خیرین'!B:B,'لیست واریزی کل خیرین'!D:D,Table1[[#This Row],[نام]],'لیست واریزی کل خیرین'!E:E,Table1[[#This Row],[نام خانوادگی]])</f>
        <v>12</v>
      </c>
      <c r="C1517" s="137" t="s">
        <v>497</v>
      </c>
      <c r="D1517" s="152" t="s">
        <v>498</v>
      </c>
      <c r="E1517" s="432" t="s">
        <v>3277</v>
      </c>
      <c r="F1517" s="249"/>
      <c r="G1517" s="236" t="s">
        <v>485</v>
      </c>
      <c r="H1517" s="237">
        <f t="shared" si="111"/>
        <v>8</v>
      </c>
      <c r="I1517" s="236">
        <v>1404</v>
      </c>
      <c r="J1517" s="236"/>
      <c r="K1517" s="238">
        <v>50000000</v>
      </c>
      <c r="L1517" s="368"/>
    </row>
    <row r="1518" spans="1:12" ht="15.75" customHeight="1">
      <c r="A1518" s="194"/>
      <c r="B151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18" s="358" t="s">
        <v>503</v>
      </c>
      <c r="D1518" s="358" t="s">
        <v>3103</v>
      </c>
      <c r="E1518" s="432" t="s">
        <v>3278</v>
      </c>
      <c r="F1518" s="249"/>
      <c r="G1518" s="236" t="s">
        <v>485</v>
      </c>
      <c r="H1518" s="237">
        <f t="shared" si="111"/>
        <v>8</v>
      </c>
      <c r="I1518" s="236">
        <v>1404</v>
      </c>
      <c r="J1518" s="236"/>
      <c r="K1518" s="238">
        <v>60000000</v>
      </c>
      <c r="L1518" s="368"/>
    </row>
    <row r="1519" spans="1:12" ht="15.75" customHeight="1">
      <c r="A1519" s="194"/>
      <c r="B1519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519" s="358" t="s">
        <v>486</v>
      </c>
      <c r="D1519" s="358" t="s">
        <v>487</v>
      </c>
      <c r="E1519" s="432" t="s">
        <v>3279</v>
      </c>
      <c r="F1519" s="249"/>
      <c r="G1519" s="236" t="s">
        <v>485</v>
      </c>
      <c r="H1519" s="237">
        <f t="shared" si="111"/>
        <v>8</v>
      </c>
      <c r="I1519" s="236">
        <v>1404</v>
      </c>
      <c r="J1519" s="236"/>
      <c r="K1519" s="238">
        <v>20000000</v>
      </c>
      <c r="L1519" s="368"/>
    </row>
    <row r="1520" spans="1:12" ht="15.75" customHeight="1">
      <c r="A1520" s="194"/>
      <c r="B1520" s="235">
        <f>SUMIFS('لیست واریزی کل خیرین'!B:B,'لیست واریزی کل خیرین'!D:D,Table1[[#This Row],[نام]],'لیست واریزی کل خیرین'!E:E,Table1[[#This Row],[نام خانوادگی]])</f>
        <v>62</v>
      </c>
      <c r="C1520" s="358" t="s">
        <v>814</v>
      </c>
      <c r="D1520" s="358" t="s">
        <v>705</v>
      </c>
      <c r="E1520" s="432" t="s">
        <v>3280</v>
      </c>
      <c r="F1520" s="249"/>
      <c r="G1520" s="236" t="s">
        <v>485</v>
      </c>
      <c r="H1520" s="237">
        <f t="shared" si="111"/>
        <v>8</v>
      </c>
      <c r="I1520" s="236">
        <v>1404</v>
      </c>
      <c r="J1520" s="236"/>
      <c r="K1520" s="238">
        <v>20000000</v>
      </c>
      <c r="L1520" s="368"/>
    </row>
    <row r="1521" spans="1:12" ht="15.75" customHeight="1">
      <c r="A1521" s="194"/>
      <c r="B152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21" s="358" t="s">
        <v>3088</v>
      </c>
      <c r="D1521" s="358" t="s">
        <v>3089</v>
      </c>
      <c r="E1521" s="432" t="s">
        <v>3281</v>
      </c>
      <c r="F1521" s="249"/>
      <c r="G1521" s="236" t="s">
        <v>485</v>
      </c>
      <c r="H1521" s="237">
        <f t="shared" ref="H1521" si="112">IF(G1521="","",VLOOKUP(G1521,mah,2,0))</f>
        <v>8</v>
      </c>
      <c r="I1521" s="236">
        <v>1404</v>
      </c>
      <c r="J1521" s="236"/>
      <c r="K1521" s="238">
        <v>500000</v>
      </c>
      <c r="L1521" s="368"/>
    </row>
    <row r="1522" spans="1:12" ht="15.75" customHeight="1">
      <c r="A1522" s="194"/>
      <c r="B1522" s="235">
        <f>SUMIFS('لیست واریزی کل خیرین'!B:B,'لیست واریزی کل خیرین'!D:D,Table1[[#This Row],[نام]],'لیست واریزی کل خیرین'!E:E,Table1[[#This Row],[نام خانوادگی]])</f>
        <v>15</v>
      </c>
      <c r="C1522" s="358" t="s">
        <v>503</v>
      </c>
      <c r="D1522" s="358" t="s">
        <v>504</v>
      </c>
      <c r="E1522" s="432" t="s">
        <v>3282</v>
      </c>
      <c r="F1522" s="249"/>
      <c r="G1522" s="236" t="s">
        <v>485</v>
      </c>
      <c r="H1522" s="237">
        <f t="shared" ref="H1522:H1526" si="113">IF(G1522="","",VLOOKUP(G1522,mah,2,0))</f>
        <v>8</v>
      </c>
      <c r="I1522" s="236">
        <v>1404</v>
      </c>
      <c r="J1522" s="236"/>
      <c r="K1522" s="238">
        <v>60000000</v>
      </c>
      <c r="L1522" s="368"/>
    </row>
    <row r="1523" spans="1:12" ht="15.75" customHeight="1">
      <c r="A1523" s="194"/>
      <c r="B1523" s="235">
        <f>SUMIFS('لیست واریزی کل خیرین'!B:B,'لیست واریزی کل خیرین'!D:D,Table1[[#This Row],[نام]],'لیست واریزی کل خیرین'!E:E,Table1[[#This Row],[نام خانوادگی]])</f>
        <v>4</v>
      </c>
      <c r="C1523" s="358" t="s">
        <v>471</v>
      </c>
      <c r="D1523" s="358" t="s">
        <v>472</v>
      </c>
      <c r="E1523" s="432" t="s">
        <v>3283</v>
      </c>
      <c r="F1523" s="249"/>
      <c r="G1523" s="236" t="s">
        <v>485</v>
      </c>
      <c r="H1523" s="237">
        <f t="shared" si="113"/>
        <v>8</v>
      </c>
      <c r="I1523" s="236">
        <v>1404</v>
      </c>
      <c r="J1523" s="236"/>
      <c r="K1523" s="238">
        <v>16000000</v>
      </c>
      <c r="L1523" s="368"/>
    </row>
    <row r="1524" spans="1:12" ht="15.75" customHeight="1">
      <c r="A1524" s="194"/>
      <c r="B1524" s="235">
        <f>SUMIFS('لیست واریزی کل خیرین'!B:B,'لیست واریزی کل خیرین'!D:D,Table1[[#This Row],[نام]],'لیست واریزی کل خیرین'!E:E,Table1[[#This Row],[نام خانوادگی]])</f>
        <v>48</v>
      </c>
      <c r="C1524" s="358" t="s">
        <v>494</v>
      </c>
      <c r="D1524" s="358" t="s">
        <v>546</v>
      </c>
      <c r="E1524" s="432" t="s">
        <v>3284</v>
      </c>
      <c r="F1524" s="249"/>
      <c r="G1524" s="236" t="s">
        <v>485</v>
      </c>
      <c r="H1524" s="237">
        <f t="shared" si="113"/>
        <v>8</v>
      </c>
      <c r="I1524" s="236">
        <v>1404</v>
      </c>
      <c r="J1524" s="236"/>
      <c r="K1524" s="238">
        <v>80000000</v>
      </c>
      <c r="L1524" s="368"/>
    </row>
    <row r="1525" spans="1:12" ht="15.75" customHeight="1">
      <c r="A1525" s="194"/>
      <c r="B152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25" s="358" t="s">
        <v>695</v>
      </c>
      <c r="D1525" s="358" t="s">
        <v>2490</v>
      </c>
      <c r="E1525" s="432" t="s">
        <v>3285</v>
      </c>
      <c r="F1525" s="249"/>
      <c r="G1525" s="236" t="s">
        <v>485</v>
      </c>
      <c r="H1525" s="237">
        <f t="shared" si="113"/>
        <v>8</v>
      </c>
      <c r="I1525" s="236">
        <v>1404</v>
      </c>
      <c r="J1525" s="236"/>
      <c r="K1525" s="238">
        <v>7000000</v>
      </c>
      <c r="L1525" s="368"/>
    </row>
    <row r="1526" spans="1:12" ht="15.75" customHeight="1">
      <c r="A1526" s="194"/>
      <c r="B1526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526" s="358" t="s">
        <v>838</v>
      </c>
      <c r="D1526" s="358" t="s">
        <v>839</v>
      </c>
      <c r="E1526" s="432" t="s">
        <v>3285</v>
      </c>
      <c r="F1526" s="249"/>
      <c r="G1526" s="236" t="s">
        <v>485</v>
      </c>
      <c r="H1526" s="237">
        <f t="shared" si="113"/>
        <v>8</v>
      </c>
      <c r="I1526" s="236">
        <v>1404</v>
      </c>
      <c r="J1526" s="236"/>
      <c r="K1526" s="238">
        <v>7500000</v>
      </c>
      <c r="L1526" s="368"/>
    </row>
    <row r="1527" spans="1:12" ht="15.75" customHeight="1">
      <c r="A1527" s="194"/>
      <c r="B152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27" s="358" t="s">
        <v>2301</v>
      </c>
      <c r="D1527" s="358" t="s">
        <v>3147</v>
      </c>
      <c r="E1527" s="432" t="s">
        <v>3286</v>
      </c>
      <c r="F1527" s="249"/>
      <c r="G1527" s="236" t="s">
        <v>488</v>
      </c>
      <c r="H1527" s="237">
        <f t="shared" ref="H1527:H1558" si="114">IF(G1527="","",VLOOKUP(G1527,mah,2,0))</f>
        <v>9</v>
      </c>
      <c r="I1527" s="236">
        <v>1404</v>
      </c>
      <c r="J1527" s="236"/>
      <c r="K1527" s="238">
        <v>15000000</v>
      </c>
      <c r="L1527" s="368"/>
    </row>
    <row r="1528" spans="1:12" ht="15.75" customHeight="1">
      <c r="A1528" s="194"/>
      <c r="B152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28" s="358" t="s">
        <v>843</v>
      </c>
      <c r="D1528" s="358" t="s">
        <v>3126</v>
      </c>
      <c r="E1528" s="432" t="s">
        <v>3287</v>
      </c>
      <c r="F1528" s="249"/>
      <c r="G1528" s="236" t="s">
        <v>488</v>
      </c>
      <c r="H1528" s="237">
        <f t="shared" si="114"/>
        <v>9</v>
      </c>
      <c r="I1528" s="236">
        <v>1404</v>
      </c>
      <c r="J1528" s="236"/>
      <c r="K1528" s="238">
        <v>10000000</v>
      </c>
      <c r="L1528" s="368"/>
    </row>
    <row r="1529" spans="1:12" ht="15.75" customHeight="1">
      <c r="A1529" s="194"/>
      <c r="B152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29" s="358" t="s">
        <v>2539</v>
      </c>
      <c r="D1529" s="358" t="s">
        <v>3163</v>
      </c>
      <c r="E1529" s="432" t="s">
        <v>3288</v>
      </c>
      <c r="F1529" s="249"/>
      <c r="G1529" s="236" t="s">
        <v>488</v>
      </c>
      <c r="H1529" s="237">
        <f t="shared" si="114"/>
        <v>9</v>
      </c>
      <c r="I1529" s="236">
        <v>1404</v>
      </c>
      <c r="J1529" s="236"/>
      <c r="K1529" s="238">
        <v>10000000</v>
      </c>
      <c r="L1529" s="368"/>
    </row>
    <row r="1530" spans="1:12" ht="15.75" customHeight="1">
      <c r="A1530" s="194"/>
      <c r="B1530" s="235">
        <f>SUMIFS('لیست واریزی کل خیرین'!B:B,'لیست واریزی کل خیرین'!D:D,Table1[[#This Row],[نام]],'لیست واریزی کل خیرین'!E:E,Table1[[#This Row],[نام خانوادگی]])</f>
        <v>2</v>
      </c>
      <c r="C1530" s="358" t="s">
        <v>464</v>
      </c>
      <c r="D1530" s="358" t="s">
        <v>465</v>
      </c>
      <c r="E1530" s="432" t="s">
        <v>3288</v>
      </c>
      <c r="F1530" s="249"/>
      <c r="G1530" s="236" t="s">
        <v>488</v>
      </c>
      <c r="H1530" s="237">
        <f t="shared" si="114"/>
        <v>9</v>
      </c>
      <c r="I1530" s="236">
        <v>1404</v>
      </c>
      <c r="J1530" s="236"/>
      <c r="K1530" s="238">
        <v>200000000</v>
      </c>
      <c r="L1530" s="368"/>
    </row>
    <row r="1531" spans="1:12" ht="15.75" customHeight="1">
      <c r="A1531" s="194"/>
      <c r="B1531" s="235">
        <f>SUMIFS('لیست واریزی کل خیرین'!B:B,'لیست واریزی کل خیرین'!D:D,Table1[[#This Row],[نام]],'لیست واریزی کل خیرین'!E:E,Table1[[#This Row],[نام خانوادگی]])</f>
        <v>63</v>
      </c>
      <c r="C1531" s="358" t="s">
        <v>522</v>
      </c>
      <c r="D1531" s="358" t="s">
        <v>523</v>
      </c>
      <c r="E1531" s="432" t="s">
        <v>3289</v>
      </c>
      <c r="F1531" s="249"/>
      <c r="G1531" s="236" t="s">
        <v>488</v>
      </c>
      <c r="H1531" s="237">
        <f t="shared" si="114"/>
        <v>9</v>
      </c>
      <c r="I1531" s="236">
        <v>1404</v>
      </c>
      <c r="J1531" s="236"/>
      <c r="K1531" s="238">
        <v>114981850</v>
      </c>
      <c r="L1531" s="368"/>
    </row>
    <row r="1532" spans="1:12" ht="15.75" customHeight="1">
      <c r="A1532" s="194"/>
      <c r="B1532" s="235">
        <f>SUMIFS('لیست واریزی کل خیرین'!B:B,'لیست واریزی کل خیرین'!D:D,Table1[[#This Row],[نام]],'لیست واریزی کل خیرین'!E:E,Table1[[#This Row],[نام خانوادگی]])</f>
        <v>51</v>
      </c>
      <c r="C1532" s="358" t="s">
        <v>670</v>
      </c>
      <c r="D1532" s="358" t="s">
        <v>490</v>
      </c>
      <c r="E1532" s="432" t="s">
        <v>3292</v>
      </c>
      <c r="F1532" s="249"/>
      <c r="G1532" s="236" t="s">
        <v>488</v>
      </c>
      <c r="H1532" s="237">
        <f t="shared" si="114"/>
        <v>9</v>
      </c>
      <c r="I1532" s="236">
        <v>1404</v>
      </c>
      <c r="J1532" s="236"/>
      <c r="K1532" s="238">
        <v>30000000</v>
      </c>
      <c r="L1532" s="368"/>
    </row>
    <row r="1533" spans="1:12" ht="15.75" customHeight="1">
      <c r="A1533" s="194"/>
      <c r="B1533" s="235">
        <f>SUMIFS('لیست واریزی کل خیرین'!B:B,'لیست واریزی کل خیرین'!D:D,Table1[[#This Row],[نام]],'لیست واریزی کل خیرین'!E:E,Table1[[#This Row],[نام خانوادگی]])</f>
        <v>7</v>
      </c>
      <c r="C1533" s="137" t="s">
        <v>480</v>
      </c>
      <c r="D1533" s="137" t="s">
        <v>481</v>
      </c>
      <c r="E1533" s="432" t="s">
        <v>3292</v>
      </c>
      <c r="F1533" s="249"/>
      <c r="G1533" s="236" t="s">
        <v>488</v>
      </c>
      <c r="H1533" s="237">
        <f t="shared" si="114"/>
        <v>9</v>
      </c>
      <c r="I1533" s="236">
        <v>1404</v>
      </c>
      <c r="J1533" s="236"/>
      <c r="K1533" s="238">
        <v>50000000</v>
      </c>
      <c r="L1533" s="368"/>
    </row>
    <row r="1534" spans="1:12" ht="15.75" customHeight="1">
      <c r="A1534" s="194"/>
      <c r="B1534" s="235">
        <f>SUMIFS('لیست واریزی کل خیرین'!B:B,'لیست واریزی کل خیرین'!D:D,Table1[[#This Row],[نام]],'لیست واریزی کل خیرین'!E:E,Table1[[#This Row],[نام خانوادگی]])</f>
        <v>10</v>
      </c>
      <c r="C1534" s="358" t="s">
        <v>489</v>
      </c>
      <c r="D1534" s="358" t="s">
        <v>490</v>
      </c>
      <c r="E1534" s="432" t="s">
        <v>3293</v>
      </c>
      <c r="F1534" s="249"/>
      <c r="G1534" s="236" t="s">
        <v>488</v>
      </c>
      <c r="H1534" s="237">
        <f t="shared" si="114"/>
        <v>9</v>
      </c>
      <c r="I1534" s="236">
        <v>1404</v>
      </c>
      <c r="J1534" s="236"/>
      <c r="K1534" s="238">
        <v>3000000</v>
      </c>
      <c r="L1534" s="368"/>
    </row>
    <row r="1535" spans="1:12" ht="15.75" customHeight="1">
      <c r="A1535" s="194"/>
      <c r="B153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35" s="358" t="s">
        <v>3290</v>
      </c>
      <c r="D1535" s="358" t="s">
        <v>3291</v>
      </c>
      <c r="E1535" s="432" t="s">
        <v>3293</v>
      </c>
      <c r="F1535" s="249"/>
      <c r="G1535" s="236" t="s">
        <v>488</v>
      </c>
      <c r="H1535" s="237">
        <f t="shared" si="114"/>
        <v>9</v>
      </c>
      <c r="I1535" s="236">
        <v>1404</v>
      </c>
      <c r="J1535" s="236"/>
      <c r="K1535" s="238">
        <v>3000000</v>
      </c>
      <c r="L1535" s="368"/>
    </row>
    <row r="1536" spans="1:12" ht="15.75" customHeight="1">
      <c r="A1536" s="194"/>
      <c r="B153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36" s="358" t="s">
        <v>3296</v>
      </c>
      <c r="D1536" s="358" t="s">
        <v>3297</v>
      </c>
      <c r="E1536" s="432" t="s">
        <v>3294</v>
      </c>
      <c r="F1536" s="249"/>
      <c r="G1536" s="236" t="s">
        <v>488</v>
      </c>
      <c r="H1536" s="237">
        <f t="shared" si="114"/>
        <v>9</v>
      </c>
      <c r="I1536" s="236">
        <v>1404</v>
      </c>
      <c r="J1536" s="236"/>
      <c r="K1536" s="238">
        <v>5000000000</v>
      </c>
      <c r="L1536" s="368"/>
    </row>
    <row r="1537" spans="1:12" ht="15.75" customHeight="1">
      <c r="A1537" s="194"/>
      <c r="B153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37" s="358" t="s">
        <v>503</v>
      </c>
      <c r="D1537" s="358" t="s">
        <v>505</v>
      </c>
      <c r="E1537" s="432" t="s">
        <v>3295</v>
      </c>
      <c r="F1537" s="249"/>
      <c r="G1537" s="236" t="s">
        <v>488</v>
      </c>
      <c r="H1537" s="237">
        <f t="shared" si="114"/>
        <v>9</v>
      </c>
      <c r="I1537" s="236">
        <v>1404</v>
      </c>
      <c r="J1537" s="236"/>
      <c r="K1537" s="238">
        <v>14200000</v>
      </c>
      <c r="L1537" s="368"/>
    </row>
    <row r="1538" spans="1:12" ht="15.75" customHeight="1">
      <c r="A1538" s="194"/>
      <c r="B153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38" s="358" t="s">
        <v>503</v>
      </c>
      <c r="D1538" s="358" t="s">
        <v>505</v>
      </c>
      <c r="E1538" s="432" t="s">
        <v>3295</v>
      </c>
      <c r="F1538" s="249"/>
      <c r="G1538" s="236" t="s">
        <v>488</v>
      </c>
      <c r="H1538" s="237">
        <f t="shared" si="114"/>
        <v>9</v>
      </c>
      <c r="I1538" s="236">
        <v>1404</v>
      </c>
      <c r="J1538" s="236"/>
      <c r="K1538" s="238">
        <v>2400000</v>
      </c>
      <c r="L1538" s="368"/>
    </row>
    <row r="1539" spans="1:12" ht="15.75" customHeight="1">
      <c r="A1539" s="194"/>
      <c r="B153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39" s="358" t="s">
        <v>2416</v>
      </c>
      <c r="D1539" s="358" t="s">
        <v>2417</v>
      </c>
      <c r="E1539" s="432" t="s">
        <v>3295</v>
      </c>
      <c r="F1539" s="249"/>
      <c r="G1539" s="236" t="s">
        <v>488</v>
      </c>
      <c r="H1539" s="237">
        <f t="shared" si="114"/>
        <v>9</v>
      </c>
      <c r="I1539" s="236">
        <v>1404</v>
      </c>
      <c r="J1539" s="236"/>
      <c r="K1539" s="238">
        <v>30000000</v>
      </c>
      <c r="L1539" s="368"/>
    </row>
    <row r="1540" spans="1:12" ht="15.75" customHeight="1">
      <c r="A1540" s="194"/>
      <c r="B1540" s="235">
        <f>SUMIFS('لیست واریزی کل خیرین'!B:B,'لیست واریزی کل خیرین'!D:D,Table1[[#This Row],[نام]],'لیست واریزی کل خیرین'!E:E,Table1[[#This Row],[نام خانوادگی]])</f>
        <v>35</v>
      </c>
      <c r="C1540" s="358" t="s">
        <v>596</v>
      </c>
      <c r="D1540" s="358" t="s">
        <v>597</v>
      </c>
      <c r="E1540" s="432" t="s">
        <v>3298</v>
      </c>
      <c r="F1540" s="249"/>
      <c r="G1540" s="236" t="s">
        <v>488</v>
      </c>
      <c r="H1540" s="237">
        <f t="shared" si="114"/>
        <v>9</v>
      </c>
      <c r="I1540" s="236">
        <v>1404</v>
      </c>
      <c r="J1540" s="236"/>
      <c r="K1540" s="238">
        <v>15000000</v>
      </c>
      <c r="L1540" s="368"/>
    </row>
    <row r="1541" spans="1:12" ht="15.75" customHeight="1">
      <c r="A1541" s="194"/>
      <c r="B1541" s="235">
        <f>SUMIFS('لیست واریزی کل خیرین'!B:B,'لیست واریزی کل خیرین'!D:D,Table1[[#This Row],[نام]],'لیست واریزی کل خیرین'!E:E,Table1[[#This Row],[نام خانوادگی]])</f>
        <v>9</v>
      </c>
      <c r="C1541" s="358" t="s">
        <v>486</v>
      </c>
      <c r="D1541" s="358" t="s">
        <v>487</v>
      </c>
      <c r="E1541" s="432" t="s">
        <v>3299</v>
      </c>
      <c r="F1541" s="249"/>
      <c r="G1541" s="236" t="s">
        <v>488</v>
      </c>
      <c r="H1541" s="237">
        <f t="shared" si="114"/>
        <v>9</v>
      </c>
      <c r="I1541" s="236">
        <v>1404</v>
      </c>
      <c r="J1541" s="236"/>
      <c r="K1541" s="238">
        <v>20000000</v>
      </c>
      <c r="L1541" s="368"/>
    </row>
    <row r="1542" spans="1:12" ht="15.75" customHeight="1">
      <c r="A1542" s="194"/>
      <c r="B1542" s="235">
        <f>SUMIFS('لیست واریزی کل خیرین'!B:B,'لیست واریزی کل خیرین'!D:D,Table1[[#This Row],[نام]],'لیست واریزی کل خیرین'!E:E,Table1[[#This Row],[نام خانوادگی]])</f>
        <v>88</v>
      </c>
      <c r="C1542" s="358" t="s">
        <v>207</v>
      </c>
      <c r="D1542" s="358" t="s">
        <v>1462</v>
      </c>
      <c r="E1542" s="432" t="s">
        <v>3299</v>
      </c>
      <c r="F1542" s="249"/>
      <c r="G1542" s="236" t="s">
        <v>488</v>
      </c>
      <c r="H1542" s="237">
        <f t="shared" si="114"/>
        <v>9</v>
      </c>
      <c r="I1542" s="236">
        <v>1404</v>
      </c>
      <c r="J1542" s="236"/>
      <c r="K1542" s="238">
        <v>20000000</v>
      </c>
      <c r="L1542" s="368"/>
    </row>
    <row r="1543" spans="1:12" ht="15.75" customHeight="1">
      <c r="A1543" s="194"/>
      <c r="B154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43" s="358" t="s">
        <v>200</v>
      </c>
      <c r="D1543" s="358" t="s">
        <v>705</v>
      </c>
      <c r="E1543" s="432" t="s">
        <v>3300</v>
      </c>
      <c r="F1543" s="249"/>
      <c r="G1543" s="236" t="s">
        <v>488</v>
      </c>
      <c r="H1543" s="237">
        <f t="shared" si="114"/>
        <v>9</v>
      </c>
      <c r="I1543" s="236">
        <v>1404</v>
      </c>
      <c r="J1543" s="236"/>
      <c r="K1543" s="238">
        <v>20000000</v>
      </c>
      <c r="L1543" s="368"/>
    </row>
    <row r="1544" spans="1:12" ht="15.75" customHeight="1">
      <c r="A1544" s="194"/>
      <c r="B154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44" s="358" t="s">
        <v>3301</v>
      </c>
      <c r="D1544" s="358" t="s">
        <v>3302</v>
      </c>
      <c r="E1544" s="432" t="s">
        <v>3303</v>
      </c>
      <c r="F1544" s="249"/>
      <c r="G1544" s="236" t="s">
        <v>488</v>
      </c>
      <c r="H1544" s="237">
        <f t="shared" si="114"/>
        <v>9</v>
      </c>
      <c r="I1544" s="236">
        <v>1404</v>
      </c>
      <c r="J1544" s="236"/>
      <c r="K1544" s="238">
        <v>14000000000</v>
      </c>
      <c r="L1544" s="368"/>
    </row>
    <row r="1545" spans="1:12" ht="15.75" customHeight="1">
      <c r="A1545" s="194"/>
      <c r="B1545" s="235">
        <f>SUMIFS('لیست واریزی کل خیرین'!B:B,'لیست واریزی کل خیرین'!D:D,Table1[[#This Row],[نام]],'لیست واریزی کل خیرین'!E:E,Table1[[#This Row],[نام خانوادگی]])</f>
        <v>74</v>
      </c>
      <c r="C1545" s="358" t="s">
        <v>838</v>
      </c>
      <c r="D1545" s="358" t="s">
        <v>839</v>
      </c>
      <c r="E1545" s="432" t="s">
        <v>3304</v>
      </c>
      <c r="F1545" s="249"/>
      <c r="G1545" s="236" t="s">
        <v>488</v>
      </c>
      <c r="H1545" s="237">
        <f t="shared" si="114"/>
        <v>9</v>
      </c>
      <c r="I1545" s="236">
        <v>1404</v>
      </c>
      <c r="J1545" s="236"/>
      <c r="K1545" s="238">
        <v>7500000</v>
      </c>
      <c r="L1545" s="368"/>
    </row>
    <row r="1546" spans="1:12" ht="15.75" customHeight="1">
      <c r="A1546" s="194"/>
      <c r="B154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46" s="358" t="s">
        <v>695</v>
      </c>
      <c r="D1546" s="358" t="s">
        <v>2490</v>
      </c>
      <c r="E1546" s="432" t="s">
        <v>3305</v>
      </c>
      <c r="F1546" s="249"/>
      <c r="G1546" s="236" t="s">
        <v>488</v>
      </c>
      <c r="H1546" s="237">
        <f t="shared" si="114"/>
        <v>9</v>
      </c>
      <c r="I1546" s="236">
        <v>1404</v>
      </c>
      <c r="J1546" s="236"/>
      <c r="K1546" s="238">
        <v>7000000</v>
      </c>
      <c r="L1546" s="368"/>
    </row>
    <row r="1547" spans="1:12" ht="15.75" customHeight="1">
      <c r="A1547" s="194"/>
      <c r="B154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47" s="358"/>
      <c r="D1547" s="358"/>
      <c r="E1547" s="236"/>
      <c r="F1547" s="249"/>
      <c r="G1547" s="236" t="s">
        <v>493</v>
      </c>
      <c r="H1547" s="237">
        <f t="shared" si="114"/>
        <v>10</v>
      </c>
      <c r="I1547" s="236">
        <v>1404</v>
      </c>
      <c r="J1547" s="236"/>
      <c r="K1547" s="238"/>
      <c r="L1547" s="368"/>
    </row>
    <row r="1548" spans="1:12" ht="15.75" customHeight="1">
      <c r="A1548" s="194"/>
      <c r="B154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48" s="358"/>
      <c r="D1548" s="358"/>
      <c r="E1548" s="236"/>
      <c r="F1548" s="249"/>
      <c r="G1548" s="236" t="s">
        <v>493</v>
      </c>
      <c r="H1548" s="237">
        <f t="shared" si="114"/>
        <v>10</v>
      </c>
      <c r="I1548" s="236">
        <v>1404</v>
      </c>
      <c r="J1548" s="236"/>
      <c r="K1548" s="238"/>
      <c r="L1548" s="368"/>
    </row>
    <row r="1549" spans="1:12" ht="15.75" customHeight="1">
      <c r="A1549" s="194"/>
      <c r="B154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49" s="358"/>
      <c r="D1549" s="358"/>
      <c r="E1549" s="236"/>
      <c r="F1549" s="249"/>
      <c r="G1549" s="236" t="s">
        <v>493</v>
      </c>
      <c r="H1549" s="237">
        <f t="shared" si="114"/>
        <v>10</v>
      </c>
      <c r="I1549" s="236">
        <v>1404</v>
      </c>
      <c r="J1549" s="236"/>
      <c r="K1549" s="238"/>
      <c r="L1549" s="368"/>
    </row>
    <row r="1550" spans="1:12" ht="15.75" customHeight="1">
      <c r="A1550" s="194"/>
      <c r="B155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50" s="358"/>
      <c r="D1550" s="358"/>
      <c r="E1550" s="236"/>
      <c r="F1550" s="249"/>
      <c r="G1550" s="236" t="s">
        <v>493</v>
      </c>
      <c r="H1550" s="237">
        <f t="shared" si="114"/>
        <v>10</v>
      </c>
      <c r="I1550" s="236">
        <v>1404</v>
      </c>
      <c r="J1550" s="236"/>
      <c r="K1550" s="238"/>
      <c r="L1550" s="368"/>
    </row>
    <row r="1551" spans="1:12" ht="15.75" customHeight="1">
      <c r="A1551" s="194"/>
      <c r="B155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51" s="358"/>
      <c r="D1551" s="358"/>
      <c r="E1551" s="236"/>
      <c r="F1551" s="249"/>
      <c r="G1551" s="236" t="s">
        <v>493</v>
      </c>
      <c r="H1551" s="237">
        <f t="shared" si="114"/>
        <v>10</v>
      </c>
      <c r="I1551" s="236">
        <v>1404</v>
      </c>
      <c r="J1551" s="236"/>
      <c r="K1551" s="238"/>
      <c r="L1551" s="368"/>
    </row>
    <row r="1552" spans="1:12" ht="15.75" customHeight="1">
      <c r="A1552" s="194"/>
      <c r="B155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52" s="358"/>
      <c r="D1552" s="358"/>
      <c r="E1552" s="236"/>
      <c r="F1552" s="249"/>
      <c r="G1552" s="236" t="s">
        <v>493</v>
      </c>
      <c r="H1552" s="237">
        <f t="shared" si="114"/>
        <v>10</v>
      </c>
      <c r="I1552" s="236">
        <v>1404</v>
      </c>
      <c r="J1552" s="236"/>
      <c r="K1552" s="238"/>
      <c r="L1552" s="368"/>
    </row>
    <row r="1553" spans="1:12" ht="15.75" customHeight="1">
      <c r="A1553" s="194"/>
      <c r="B155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53" s="358"/>
      <c r="D1553" s="358"/>
      <c r="E1553" s="236"/>
      <c r="F1553" s="249"/>
      <c r="G1553" s="236" t="s">
        <v>493</v>
      </c>
      <c r="H1553" s="237">
        <f t="shared" si="114"/>
        <v>10</v>
      </c>
      <c r="I1553" s="236">
        <v>1404</v>
      </c>
      <c r="J1553" s="236"/>
      <c r="K1553" s="238"/>
      <c r="L1553" s="368"/>
    </row>
    <row r="1554" spans="1:12" ht="15.75" customHeight="1">
      <c r="A1554" s="194"/>
      <c r="B155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54" s="358"/>
      <c r="D1554" s="358"/>
      <c r="E1554" s="236"/>
      <c r="F1554" s="249"/>
      <c r="G1554" s="236" t="s">
        <v>493</v>
      </c>
      <c r="H1554" s="237">
        <f t="shared" si="114"/>
        <v>10</v>
      </c>
      <c r="I1554" s="236">
        <v>1404</v>
      </c>
      <c r="J1554" s="236"/>
      <c r="K1554" s="238"/>
      <c r="L1554" s="368"/>
    </row>
    <row r="1555" spans="1:12" ht="15.75" customHeight="1">
      <c r="A1555" s="194"/>
      <c r="B155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55" s="358"/>
      <c r="D1555" s="358"/>
      <c r="E1555" s="236"/>
      <c r="F1555" s="249"/>
      <c r="G1555" s="236" t="s">
        <v>493</v>
      </c>
      <c r="H1555" s="237">
        <f t="shared" si="114"/>
        <v>10</v>
      </c>
      <c r="I1555" s="236">
        <v>1404</v>
      </c>
      <c r="J1555" s="236"/>
      <c r="K1555" s="238"/>
      <c r="L1555" s="368"/>
    </row>
    <row r="1556" spans="1:12" ht="15.75" customHeight="1">
      <c r="A1556" s="194"/>
      <c r="B155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56" s="358"/>
      <c r="D1556" s="358"/>
      <c r="E1556" s="236"/>
      <c r="F1556" s="249"/>
      <c r="G1556" s="236" t="s">
        <v>493</v>
      </c>
      <c r="H1556" s="237">
        <f t="shared" si="114"/>
        <v>10</v>
      </c>
      <c r="I1556" s="236">
        <v>1404</v>
      </c>
      <c r="J1556" s="236"/>
      <c r="K1556" s="238"/>
      <c r="L1556" s="368"/>
    </row>
    <row r="1557" spans="1:12" ht="15.75" customHeight="1">
      <c r="A1557" s="194"/>
      <c r="B155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57" s="358"/>
      <c r="D1557" s="358"/>
      <c r="E1557" s="236"/>
      <c r="F1557" s="249"/>
      <c r="G1557" s="236" t="s">
        <v>493</v>
      </c>
      <c r="H1557" s="237">
        <f t="shared" si="114"/>
        <v>10</v>
      </c>
      <c r="I1557" s="236">
        <v>1404</v>
      </c>
      <c r="J1557" s="236"/>
      <c r="K1557" s="238"/>
      <c r="L1557" s="368"/>
    </row>
    <row r="1558" spans="1:12" ht="15.75" customHeight="1">
      <c r="A1558" s="194"/>
      <c r="B155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58" s="358"/>
      <c r="D1558" s="358"/>
      <c r="E1558" s="236"/>
      <c r="F1558" s="249"/>
      <c r="G1558" s="236" t="s">
        <v>493</v>
      </c>
      <c r="H1558" s="237">
        <f t="shared" si="114"/>
        <v>10</v>
      </c>
      <c r="I1558" s="236">
        <v>1404</v>
      </c>
      <c r="J1558" s="236"/>
      <c r="K1558" s="238"/>
      <c r="L1558" s="368"/>
    </row>
    <row r="1559" spans="1:12" ht="15.75" customHeight="1">
      <c r="A1559" s="194"/>
      <c r="B155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59" s="358"/>
      <c r="D1559" s="358"/>
      <c r="E1559" s="236"/>
      <c r="F1559" s="249"/>
      <c r="G1559" s="236" t="s">
        <v>493</v>
      </c>
      <c r="H1559" s="237">
        <f t="shared" ref="H1559:H1582" si="115">IF(G1559="","",VLOOKUP(G1559,mah,2,0))</f>
        <v>10</v>
      </c>
      <c r="I1559" s="236">
        <v>1404</v>
      </c>
      <c r="J1559" s="236"/>
      <c r="K1559" s="238"/>
      <c r="L1559" s="368"/>
    </row>
    <row r="1560" spans="1:12" ht="15.75" customHeight="1">
      <c r="A1560" s="194"/>
      <c r="B156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60" s="358"/>
      <c r="D1560" s="358"/>
      <c r="E1560" s="236"/>
      <c r="F1560" s="249"/>
      <c r="G1560" s="236" t="s">
        <v>493</v>
      </c>
      <c r="H1560" s="237">
        <f t="shared" si="115"/>
        <v>10</v>
      </c>
      <c r="I1560" s="236">
        <v>1404</v>
      </c>
      <c r="J1560" s="236"/>
      <c r="K1560" s="238"/>
      <c r="L1560" s="368"/>
    </row>
    <row r="1561" spans="1:12" ht="15.75" customHeight="1">
      <c r="A1561" s="194"/>
      <c r="B156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61" s="358"/>
      <c r="D1561" s="358"/>
      <c r="E1561" s="236"/>
      <c r="F1561" s="249"/>
      <c r="G1561" s="236" t="s">
        <v>493</v>
      </c>
      <c r="H1561" s="237">
        <f t="shared" si="115"/>
        <v>10</v>
      </c>
      <c r="I1561" s="236">
        <v>1404</v>
      </c>
      <c r="J1561" s="236"/>
      <c r="K1561" s="238"/>
      <c r="L1561" s="368"/>
    </row>
    <row r="1562" spans="1:12" ht="15.75" customHeight="1">
      <c r="A1562" s="194"/>
      <c r="B156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62" s="358"/>
      <c r="D1562" s="358"/>
      <c r="E1562" s="236"/>
      <c r="F1562" s="249"/>
      <c r="G1562" s="236" t="s">
        <v>493</v>
      </c>
      <c r="H1562" s="237">
        <f t="shared" si="115"/>
        <v>10</v>
      </c>
      <c r="I1562" s="236">
        <v>1404</v>
      </c>
      <c r="J1562" s="236"/>
      <c r="K1562" s="238"/>
      <c r="L1562" s="368"/>
    </row>
    <row r="1563" spans="1:12" ht="15.75" customHeight="1">
      <c r="A1563" s="194"/>
      <c r="B156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63" s="358"/>
      <c r="D1563" s="358"/>
      <c r="E1563" s="236"/>
      <c r="F1563" s="249"/>
      <c r="G1563" s="236" t="s">
        <v>493</v>
      </c>
      <c r="H1563" s="237">
        <f t="shared" si="115"/>
        <v>10</v>
      </c>
      <c r="I1563" s="236">
        <v>1404</v>
      </c>
      <c r="J1563" s="236"/>
      <c r="K1563" s="238"/>
      <c r="L1563" s="368"/>
    </row>
    <row r="1564" spans="1:12" ht="15.75" customHeight="1">
      <c r="A1564" s="194"/>
      <c r="B156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64" s="358"/>
      <c r="D1564" s="358"/>
      <c r="E1564" s="236"/>
      <c r="F1564" s="249"/>
      <c r="G1564" s="236"/>
      <c r="H1564" s="237" t="str">
        <f t="shared" si="115"/>
        <v/>
      </c>
      <c r="I1564" s="236"/>
      <c r="J1564" s="236"/>
      <c r="K1564" s="238"/>
      <c r="L1564" s="368"/>
    </row>
    <row r="1565" spans="1:12" ht="15.75" customHeight="1">
      <c r="A1565" s="194"/>
      <c r="B156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65" s="358"/>
      <c r="D1565" s="358"/>
      <c r="E1565" s="236"/>
      <c r="F1565" s="249"/>
      <c r="G1565" s="236"/>
      <c r="H1565" s="237" t="str">
        <f t="shared" si="115"/>
        <v/>
      </c>
      <c r="I1565" s="236"/>
      <c r="J1565" s="236"/>
      <c r="K1565" s="238"/>
      <c r="L1565" s="368"/>
    </row>
    <row r="1566" spans="1:12" ht="15.75" customHeight="1">
      <c r="A1566" s="194"/>
      <c r="B156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66" s="358"/>
      <c r="D1566" s="358"/>
      <c r="E1566" s="236"/>
      <c r="F1566" s="249"/>
      <c r="G1566" s="236"/>
      <c r="H1566" s="237" t="str">
        <f t="shared" si="115"/>
        <v/>
      </c>
      <c r="I1566" s="236"/>
      <c r="J1566" s="236"/>
      <c r="K1566" s="238"/>
      <c r="L1566" s="368"/>
    </row>
    <row r="1567" spans="1:12" ht="15.75" customHeight="1">
      <c r="A1567" s="194"/>
      <c r="B156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67" s="358"/>
      <c r="D1567" s="358"/>
      <c r="E1567" s="236"/>
      <c r="F1567" s="249"/>
      <c r="G1567" s="236"/>
      <c r="H1567" s="237" t="str">
        <f t="shared" si="115"/>
        <v/>
      </c>
      <c r="I1567" s="236"/>
      <c r="J1567" s="236"/>
      <c r="K1567" s="238"/>
      <c r="L1567" s="368"/>
    </row>
    <row r="1568" spans="1:12" ht="15.75" customHeight="1">
      <c r="A1568" s="194"/>
      <c r="B156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68" s="358"/>
      <c r="D1568" s="358"/>
      <c r="E1568" s="236"/>
      <c r="F1568" s="249"/>
      <c r="G1568" s="236"/>
      <c r="H1568" s="237" t="str">
        <f t="shared" si="115"/>
        <v/>
      </c>
      <c r="I1568" s="236"/>
      <c r="J1568" s="236"/>
      <c r="K1568" s="238"/>
      <c r="L1568" s="368"/>
    </row>
    <row r="1569" spans="1:13" ht="15.75" customHeight="1">
      <c r="A1569" s="194"/>
      <c r="B156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69" s="358"/>
      <c r="D1569" s="358"/>
      <c r="E1569" s="236"/>
      <c r="F1569" s="249"/>
      <c r="G1569" s="236"/>
      <c r="H1569" s="237" t="str">
        <f t="shared" si="115"/>
        <v/>
      </c>
      <c r="I1569" s="236"/>
      <c r="J1569" s="236"/>
      <c r="K1569" s="238"/>
      <c r="L1569" s="368"/>
    </row>
    <row r="1570" spans="1:13" ht="15.75" customHeight="1">
      <c r="A1570" s="194"/>
      <c r="B157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70" s="358"/>
      <c r="D1570" s="358"/>
      <c r="E1570" s="236"/>
      <c r="F1570" s="249"/>
      <c r="G1570" s="236"/>
      <c r="H1570" s="237" t="str">
        <f t="shared" si="115"/>
        <v/>
      </c>
      <c r="I1570" s="236"/>
      <c r="J1570" s="236"/>
      <c r="K1570" s="238"/>
      <c r="L1570" s="368"/>
    </row>
    <row r="1571" spans="1:13" ht="15.75" customHeight="1">
      <c r="A1571" s="194"/>
      <c r="B1571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71" s="358"/>
      <c r="D1571" s="358"/>
      <c r="E1571" s="236"/>
      <c r="F1571" s="249"/>
      <c r="G1571" s="236"/>
      <c r="H1571" s="237" t="str">
        <f t="shared" si="115"/>
        <v/>
      </c>
      <c r="I1571" s="236"/>
      <c r="J1571" s="236"/>
      <c r="K1571" s="238"/>
      <c r="L1571" s="368"/>
    </row>
    <row r="1572" spans="1:13" ht="15.75" customHeight="1">
      <c r="A1572" s="194"/>
      <c r="B1572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72" s="358"/>
      <c r="D1572" s="358"/>
      <c r="E1572" s="236"/>
      <c r="F1572" s="249"/>
      <c r="G1572" s="236"/>
      <c r="H1572" s="237" t="str">
        <f t="shared" si="115"/>
        <v/>
      </c>
      <c r="I1572" s="236"/>
      <c r="J1572" s="236"/>
      <c r="K1572" s="238"/>
      <c r="L1572" s="368"/>
    </row>
    <row r="1573" spans="1:13" ht="15.75" customHeight="1">
      <c r="A1573" s="194"/>
      <c r="B1573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73" s="358"/>
      <c r="D1573" s="358"/>
      <c r="E1573" s="236"/>
      <c r="F1573" s="249"/>
      <c r="G1573" s="236"/>
      <c r="H1573" s="237" t="str">
        <f t="shared" si="115"/>
        <v/>
      </c>
      <c r="I1573" s="236"/>
      <c r="J1573" s="236"/>
      <c r="K1573" s="238"/>
      <c r="L1573" s="368"/>
    </row>
    <row r="1574" spans="1:13" ht="15.75" customHeight="1">
      <c r="A1574" s="194"/>
      <c r="B1574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74" s="358"/>
      <c r="D1574" s="358"/>
      <c r="E1574" s="236"/>
      <c r="F1574" s="249"/>
      <c r="G1574" s="236"/>
      <c r="H1574" s="237" t="str">
        <f t="shared" si="115"/>
        <v/>
      </c>
      <c r="I1574" s="236"/>
      <c r="J1574" s="236"/>
      <c r="K1574" s="238"/>
      <c r="L1574" s="368"/>
    </row>
    <row r="1575" spans="1:13" ht="15.75" customHeight="1">
      <c r="A1575" s="194"/>
      <c r="B1575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75" s="358"/>
      <c r="D1575" s="358"/>
      <c r="E1575" s="236"/>
      <c r="F1575" s="249"/>
      <c r="G1575" s="236"/>
      <c r="H1575" s="237" t="str">
        <f t="shared" si="115"/>
        <v/>
      </c>
      <c r="I1575" s="236"/>
      <c r="J1575" s="236"/>
      <c r="K1575" s="238"/>
      <c r="L1575" s="368"/>
    </row>
    <row r="1576" spans="1:13" ht="15.75" customHeight="1">
      <c r="A1576" s="194"/>
      <c r="B1576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76" s="358"/>
      <c r="D1576" s="358"/>
      <c r="E1576" s="236"/>
      <c r="F1576" s="249"/>
      <c r="G1576" s="236"/>
      <c r="H1576" s="237" t="str">
        <f t="shared" si="115"/>
        <v/>
      </c>
      <c r="I1576" s="236"/>
      <c r="J1576" s="236"/>
      <c r="K1576" s="238"/>
      <c r="L1576" s="368"/>
    </row>
    <row r="1577" spans="1:13" ht="15.75" customHeight="1">
      <c r="A1577" s="194"/>
      <c r="B1577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77" s="358"/>
      <c r="D1577" s="358"/>
      <c r="E1577" s="236"/>
      <c r="F1577" s="249"/>
      <c r="G1577" s="236"/>
      <c r="H1577" s="237" t="str">
        <f t="shared" si="115"/>
        <v/>
      </c>
      <c r="I1577" s="236">
        <v>1404</v>
      </c>
      <c r="J1577" s="236"/>
      <c r="K1577" s="238"/>
      <c r="L1577" s="368"/>
    </row>
    <row r="1578" spans="1:13" ht="15.75" customHeight="1">
      <c r="A1578" s="194"/>
      <c r="B1578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78" s="358"/>
      <c r="D1578" s="358"/>
      <c r="E1578" s="236"/>
      <c r="F1578" s="249"/>
      <c r="G1578" s="236"/>
      <c r="H1578" s="237" t="str">
        <f t="shared" si="115"/>
        <v/>
      </c>
      <c r="I1578" s="236"/>
      <c r="J1578" s="236"/>
      <c r="K1578" s="238"/>
      <c r="L1578" s="368"/>
    </row>
    <row r="1579" spans="1:13" ht="15.75" customHeight="1">
      <c r="A1579" s="194"/>
      <c r="B1579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79" s="358"/>
      <c r="D1579" s="358"/>
      <c r="E1579" s="236"/>
      <c r="F1579" s="249"/>
      <c r="G1579" s="236"/>
      <c r="H1579" s="237" t="str">
        <f t="shared" si="115"/>
        <v/>
      </c>
      <c r="I1579" s="236"/>
      <c r="J1579" s="236"/>
      <c r="K1579" s="238"/>
      <c r="L1579" s="368"/>
    </row>
    <row r="1580" spans="1:13" ht="15.75" customHeight="1">
      <c r="A1580" s="194"/>
      <c r="B1580" s="235">
        <f>SUMIFS('لیست واریزی کل خیرین'!B:B,'لیست واریزی کل خیرین'!D:D,Table1[[#This Row],[نام]],'لیست واریزی کل خیرین'!E:E,Table1[[#This Row],[نام خانوادگی]])</f>
        <v>0</v>
      </c>
      <c r="C1580" s="432"/>
      <c r="D1580" s="432"/>
      <c r="E1580" s="432"/>
      <c r="F1580" s="443"/>
      <c r="G1580" s="432"/>
      <c r="H1580" s="237" t="str">
        <f t="shared" si="115"/>
        <v/>
      </c>
      <c r="I1580" s="236"/>
      <c r="J1580" s="432"/>
      <c r="K1580" s="441"/>
      <c r="L1580" s="368"/>
    </row>
    <row r="1581" spans="1:13" ht="15.75" customHeight="1">
      <c r="A1581" s="194"/>
      <c r="B1581" s="133">
        <f>SUMIFS('لیست واریزی کل خیرین'!B:B,'لیست واریزی کل خیرین'!D:D,Table1[[#This Row],[نام]],'لیست واریزی کل خیرین'!E:E,Table1[[#This Row],[نام خانوادگی]])</f>
        <v>0</v>
      </c>
      <c r="C1581" s="432"/>
      <c r="D1581" s="432"/>
      <c r="E1581" s="432"/>
      <c r="F1581" s="443"/>
      <c r="G1581" s="432"/>
      <c r="H1581" s="237" t="str">
        <f t="shared" si="115"/>
        <v/>
      </c>
      <c r="I1581" s="236"/>
      <c r="J1581" s="432"/>
      <c r="K1581" s="441"/>
      <c r="L1581" s="240"/>
    </row>
    <row r="1582" spans="1:13" ht="15.75" customHeight="1">
      <c r="A1582" s="194"/>
      <c r="B1582" s="364">
        <f>SUMIFS('لیست واریزی کل خیرین'!B:B,'لیست واریزی کل خیرین'!D:D,Table1[[#This Row],[نام]],'لیست واریزی کل خیرین'!E:E,Table1[[#This Row],[نام خانوادگی]])</f>
        <v>0</v>
      </c>
      <c r="C1582" s="370"/>
      <c r="D1582" s="370"/>
      <c r="E1582" s="241"/>
      <c r="F1582" s="365"/>
      <c r="G1582" s="241"/>
      <c r="H1582" s="237" t="str">
        <f t="shared" si="115"/>
        <v/>
      </c>
      <c r="I1582" s="241"/>
      <c r="J1582" s="241"/>
      <c r="K1582" s="367"/>
      <c r="L1582" s="368"/>
      <c r="M1582" s="449"/>
    </row>
    <row r="1583" spans="1:13" ht="15.75" customHeight="1">
      <c r="A1583" s="399"/>
      <c r="B1583" s="400"/>
      <c r="C1583" s="401"/>
      <c r="D1583" s="401"/>
      <c r="E1583" s="402"/>
      <c r="F1583" s="403"/>
      <c r="G1583" s="404"/>
      <c r="H1583" s="405"/>
      <c r="I1583" s="404"/>
      <c r="J1583" s="404"/>
      <c r="K1583" s="406"/>
      <c r="L1583" s="407"/>
    </row>
    <row r="1584" spans="1:13" ht="15.75" customHeight="1">
      <c r="A1584" s="147"/>
      <c r="B1584" s="384"/>
      <c r="C1584" s="385" t="s">
        <v>445</v>
      </c>
      <c r="D1584" s="386"/>
      <c r="E1584" s="383"/>
      <c r="F1584" s="250"/>
      <c r="G1584" s="148"/>
      <c r="H1584" s="148"/>
      <c r="I1584" s="148"/>
      <c r="J1584" s="148"/>
      <c r="K1584" s="398">
        <f>SUM(K2:K1583)</f>
        <v>62351448336</v>
      </c>
      <c r="L1584" s="148"/>
    </row>
    <row r="1585" spans="3:11" ht="15.75" customHeight="1">
      <c r="C1585" s="129"/>
      <c r="D1585" s="129"/>
      <c r="F1585" s="251"/>
    </row>
    <row r="1586" spans="3:11" ht="15.75" customHeight="1">
      <c r="C1586" s="129"/>
      <c r="D1586" s="129"/>
      <c r="F1586" s="251"/>
      <c r="K1586">
        <v>3552502358</v>
      </c>
    </row>
    <row r="1587" spans="3:11" ht="15.75" customHeight="1">
      <c r="C1587" s="129"/>
      <c r="D1587" s="129"/>
      <c r="F1587" s="251"/>
      <c r="K1587" s="184">
        <f>K1586-K1584</f>
        <v>-58798945978</v>
      </c>
    </row>
    <row r="1588" spans="3:11" ht="15.75" customHeight="1">
      <c r="C1588" s="129"/>
      <c r="D1588" s="129"/>
      <c r="F1588" s="251"/>
      <c r="K1588">
        <v>37024214</v>
      </c>
    </row>
    <row r="1589" spans="3:11" ht="15.75" customHeight="1">
      <c r="C1589" s="129"/>
      <c r="D1589" s="129"/>
      <c r="F1589" s="251"/>
      <c r="K1589" s="165">
        <f>K1587-K1588</f>
        <v>-58835970192</v>
      </c>
    </row>
    <row r="1590" spans="3:11" ht="15.75" customHeight="1">
      <c r="C1590" s="129"/>
      <c r="D1590" s="129"/>
      <c r="F1590" s="251"/>
    </row>
    <row r="1591" spans="3:11" ht="15.75" customHeight="1">
      <c r="C1591" s="129"/>
      <c r="D1591" s="129"/>
      <c r="F1591" s="251"/>
    </row>
    <row r="1592" spans="3:11" ht="15.75" customHeight="1">
      <c r="C1592" s="129"/>
      <c r="D1592" s="129"/>
      <c r="F1592" s="251"/>
    </row>
    <row r="1593" spans="3:11" ht="15.75" customHeight="1">
      <c r="C1593" s="129"/>
      <c r="D1593" s="129"/>
      <c r="F1593" s="251"/>
    </row>
    <row r="1594" spans="3:11" ht="15.75" customHeight="1">
      <c r="C1594" s="129"/>
      <c r="D1594" s="129"/>
      <c r="F1594" s="251"/>
    </row>
    <row r="1595" spans="3:11" ht="15.75" customHeight="1">
      <c r="C1595" s="129"/>
      <c r="D1595" s="129"/>
      <c r="F1595" s="251"/>
    </row>
    <row r="1596" spans="3:11" ht="15.75" customHeight="1">
      <c r="C1596" s="129"/>
      <c r="D1596" s="129"/>
      <c r="F1596" s="251"/>
    </row>
    <row r="1597" spans="3:11" ht="15.75" customHeight="1">
      <c r="C1597" s="129"/>
      <c r="D1597" s="129"/>
      <c r="F1597" s="251"/>
    </row>
    <row r="1598" spans="3:11" ht="15.75" customHeight="1">
      <c r="C1598" s="129"/>
      <c r="D1598" s="129"/>
      <c r="F1598" s="251"/>
    </row>
    <row r="1599" spans="3:11" ht="15.75" customHeight="1">
      <c r="C1599" s="129"/>
      <c r="D1599" s="129"/>
      <c r="F1599" s="251"/>
    </row>
    <row r="1600" spans="3:11" ht="15.75" customHeight="1">
      <c r="C1600" s="129"/>
      <c r="D1600" s="129"/>
      <c r="F1600" s="251"/>
    </row>
    <row r="1601" spans="3:6" ht="15.75" customHeight="1">
      <c r="C1601" s="129"/>
      <c r="D1601" s="129"/>
      <c r="F1601" s="251"/>
    </row>
    <row r="1602" spans="3:6" ht="15.75" customHeight="1">
      <c r="C1602" s="129"/>
      <c r="D1602" s="129"/>
      <c r="F1602" s="251"/>
    </row>
    <row r="1603" spans="3:6" ht="15.75" customHeight="1">
      <c r="C1603" s="129"/>
      <c r="D1603" s="129"/>
      <c r="F1603" s="251"/>
    </row>
    <row r="1604" spans="3:6" ht="15.75" customHeight="1">
      <c r="C1604" s="129"/>
      <c r="D1604" s="129"/>
      <c r="F1604" s="251"/>
    </row>
    <row r="1605" spans="3:6" ht="15.75" customHeight="1">
      <c r="C1605" s="129"/>
      <c r="D1605" s="129"/>
      <c r="F1605" s="251"/>
    </row>
    <row r="1606" spans="3:6" ht="15.75" customHeight="1">
      <c r="C1606" s="129"/>
      <c r="D1606" s="129"/>
      <c r="F1606" s="251"/>
    </row>
    <row r="1607" spans="3:6" ht="15.75" customHeight="1">
      <c r="C1607" s="129"/>
      <c r="D1607" s="129"/>
      <c r="F1607" s="251"/>
    </row>
    <row r="1608" spans="3:6" ht="15.75" customHeight="1">
      <c r="C1608" s="129"/>
      <c r="D1608" s="129"/>
      <c r="F1608" s="251"/>
    </row>
    <row r="1609" spans="3:6" ht="15.75" customHeight="1">
      <c r="C1609" s="129"/>
      <c r="D1609" s="129"/>
      <c r="F1609" s="251"/>
    </row>
    <row r="1610" spans="3:6" ht="15.75" customHeight="1">
      <c r="C1610" s="129"/>
      <c r="D1610" s="129"/>
      <c r="F1610" s="251"/>
    </row>
    <row r="1611" spans="3:6" ht="15.75" customHeight="1">
      <c r="C1611" s="129"/>
      <c r="D1611" s="129"/>
      <c r="F1611" s="251"/>
    </row>
    <row r="1612" spans="3:6" ht="15.75" customHeight="1">
      <c r="C1612" s="129"/>
      <c r="D1612" s="129"/>
      <c r="F1612" s="251"/>
    </row>
    <row r="1613" spans="3:6" ht="15.75" customHeight="1">
      <c r="C1613" s="129"/>
      <c r="D1613" s="129"/>
      <c r="F1613" s="251"/>
    </row>
    <row r="1614" spans="3:6" ht="15.75" customHeight="1">
      <c r="C1614" s="129"/>
      <c r="D1614" s="129"/>
      <c r="F1614" s="251"/>
    </row>
    <row r="1615" spans="3:6" ht="15.75" customHeight="1">
      <c r="C1615" s="129"/>
      <c r="D1615" s="129"/>
      <c r="F1615" s="251"/>
    </row>
    <row r="1616" spans="3:6" ht="15.75" customHeight="1">
      <c r="C1616" s="129"/>
      <c r="D1616" s="129"/>
      <c r="F1616" s="251"/>
    </row>
    <row r="1617" spans="3:6" ht="15.75" customHeight="1">
      <c r="C1617" s="129"/>
      <c r="D1617" s="129"/>
      <c r="F1617" s="251"/>
    </row>
    <row r="1618" spans="3:6" ht="15.75" customHeight="1">
      <c r="C1618" s="129"/>
      <c r="D1618" s="129"/>
      <c r="F1618" s="251"/>
    </row>
    <row r="1619" spans="3:6" ht="15.75" customHeight="1">
      <c r="C1619" s="129"/>
      <c r="D1619" s="129"/>
      <c r="F1619" s="251"/>
    </row>
    <row r="1620" spans="3:6" ht="15.75" customHeight="1">
      <c r="C1620" s="129"/>
      <c r="D1620" s="129"/>
      <c r="F1620" s="251"/>
    </row>
    <row r="1621" spans="3:6" ht="15.75" customHeight="1">
      <c r="C1621" s="129"/>
      <c r="D1621" s="129"/>
      <c r="F1621" s="251"/>
    </row>
    <row r="1622" spans="3:6" ht="15.75" customHeight="1">
      <c r="C1622" s="129"/>
      <c r="D1622" s="129"/>
      <c r="F1622" s="251"/>
    </row>
    <row r="1623" spans="3:6" ht="15.75" customHeight="1">
      <c r="C1623" s="129"/>
      <c r="D1623" s="129"/>
      <c r="F1623" s="251"/>
    </row>
    <row r="1624" spans="3:6" ht="15.75" customHeight="1">
      <c r="C1624" s="129"/>
      <c r="D1624" s="129"/>
      <c r="F1624" s="251"/>
    </row>
    <row r="1625" spans="3:6" ht="15.75" customHeight="1">
      <c r="C1625" s="129"/>
      <c r="D1625" s="129"/>
      <c r="F1625" s="251"/>
    </row>
    <row r="1626" spans="3:6" ht="15.75" customHeight="1">
      <c r="C1626" s="129"/>
      <c r="D1626" s="129"/>
      <c r="F1626" s="251"/>
    </row>
    <row r="1627" spans="3:6" ht="15.75" customHeight="1">
      <c r="C1627" s="129"/>
      <c r="D1627" s="129"/>
      <c r="F1627" s="251"/>
    </row>
    <row r="1628" spans="3:6" ht="15.75" customHeight="1">
      <c r="C1628" s="129"/>
      <c r="D1628" s="129"/>
      <c r="F1628" s="251"/>
    </row>
    <row r="1629" spans="3:6" ht="15.75" customHeight="1">
      <c r="C1629" s="129"/>
      <c r="D1629" s="129"/>
      <c r="F1629" s="251"/>
    </row>
    <row r="1630" spans="3:6" ht="15.75" customHeight="1">
      <c r="C1630" s="129"/>
      <c r="D1630" s="129"/>
      <c r="F1630" s="251"/>
    </row>
    <row r="1631" spans="3:6" ht="15.75" customHeight="1">
      <c r="C1631" s="129"/>
      <c r="D1631" s="129"/>
      <c r="F1631" s="251"/>
    </row>
    <row r="1632" spans="3:6" ht="15.75" customHeight="1">
      <c r="C1632" s="129"/>
      <c r="D1632" s="129"/>
      <c r="F1632" s="251"/>
    </row>
    <row r="1633" spans="3:6" ht="15.75" customHeight="1">
      <c r="C1633" s="129"/>
      <c r="D1633" s="129"/>
      <c r="F1633" s="251"/>
    </row>
    <row r="1634" spans="3:6" ht="15.75" customHeight="1">
      <c r="C1634" s="129"/>
      <c r="D1634" s="129"/>
      <c r="F1634" s="251"/>
    </row>
    <row r="1635" spans="3:6" ht="15.75" customHeight="1">
      <c r="C1635" s="129"/>
      <c r="D1635" s="129"/>
      <c r="F1635" s="251"/>
    </row>
    <row r="1636" spans="3:6" ht="15.75" customHeight="1">
      <c r="C1636" s="129"/>
      <c r="D1636" s="129"/>
      <c r="F1636" s="251"/>
    </row>
    <row r="1637" spans="3:6" ht="15.75" customHeight="1">
      <c r="C1637" s="129"/>
      <c r="D1637" s="129"/>
      <c r="F1637" s="251"/>
    </row>
    <row r="1638" spans="3:6" ht="15.75" customHeight="1">
      <c r="C1638" s="129"/>
      <c r="D1638" s="129"/>
      <c r="F1638" s="251"/>
    </row>
    <row r="1639" spans="3:6" ht="15.75" customHeight="1">
      <c r="C1639" s="129"/>
      <c r="D1639" s="129"/>
      <c r="F1639" s="251"/>
    </row>
    <row r="1640" spans="3:6" ht="15.75" customHeight="1">
      <c r="C1640" s="129"/>
      <c r="D1640" s="129"/>
      <c r="F1640" s="251"/>
    </row>
    <row r="1641" spans="3:6" ht="15.75" customHeight="1">
      <c r="C1641" s="129"/>
      <c r="D1641" s="129"/>
      <c r="F1641" s="251"/>
    </row>
    <row r="1642" spans="3:6" ht="15.75" customHeight="1">
      <c r="C1642" s="129"/>
      <c r="D1642" s="129"/>
      <c r="F1642" s="251"/>
    </row>
    <row r="1643" spans="3:6" ht="15.75" customHeight="1">
      <c r="C1643" s="129"/>
      <c r="D1643" s="129"/>
      <c r="F1643" s="251"/>
    </row>
    <row r="1644" spans="3:6" ht="15.75" customHeight="1">
      <c r="C1644" s="129"/>
      <c r="D1644" s="129"/>
      <c r="F1644" s="251"/>
    </row>
    <row r="1645" spans="3:6" ht="15.75" customHeight="1">
      <c r="C1645" s="129"/>
      <c r="D1645" s="129"/>
      <c r="F1645" s="251"/>
    </row>
    <row r="1646" spans="3:6" ht="15.75" customHeight="1">
      <c r="C1646" s="129"/>
      <c r="D1646" s="129"/>
      <c r="F1646" s="251"/>
    </row>
    <row r="1647" spans="3:6" ht="15.75" customHeight="1">
      <c r="C1647" s="129"/>
      <c r="D1647" s="129"/>
      <c r="F1647" s="251"/>
    </row>
    <row r="1648" spans="3:6" ht="15.75" customHeight="1">
      <c r="C1648" s="129"/>
      <c r="D1648" s="129"/>
      <c r="F1648" s="251"/>
    </row>
    <row r="1649" spans="3:6" ht="15.75" customHeight="1">
      <c r="C1649" s="129"/>
      <c r="D1649" s="129"/>
      <c r="F1649" s="251"/>
    </row>
    <row r="1650" spans="3:6" ht="15.75" customHeight="1">
      <c r="C1650" s="129"/>
      <c r="D1650" s="129"/>
      <c r="F1650" s="251"/>
    </row>
    <row r="1651" spans="3:6" ht="15.75" customHeight="1">
      <c r="C1651" s="129"/>
      <c r="D1651" s="129"/>
      <c r="F1651" s="251"/>
    </row>
    <row r="1652" spans="3:6" ht="15.75" customHeight="1">
      <c r="C1652" s="129"/>
      <c r="D1652" s="129"/>
      <c r="F1652" s="251"/>
    </row>
    <row r="1653" spans="3:6" ht="15.75" customHeight="1">
      <c r="C1653" s="129"/>
      <c r="D1653" s="129"/>
      <c r="F1653" s="251"/>
    </row>
    <row r="1654" spans="3:6" ht="15.75" customHeight="1">
      <c r="C1654" s="129"/>
      <c r="D1654" s="129"/>
      <c r="F1654" s="251"/>
    </row>
    <row r="1655" spans="3:6" ht="15.75" customHeight="1">
      <c r="C1655" s="129"/>
      <c r="D1655" s="129"/>
      <c r="F1655" s="251"/>
    </row>
    <row r="1656" spans="3:6" ht="15.75" customHeight="1">
      <c r="C1656" s="129"/>
      <c r="D1656" s="129"/>
      <c r="F1656" s="251"/>
    </row>
    <row r="1657" spans="3:6" ht="15.75" customHeight="1">
      <c r="C1657" s="129"/>
      <c r="D1657" s="129"/>
      <c r="F1657" s="251"/>
    </row>
    <row r="1658" spans="3:6" ht="15.75" customHeight="1">
      <c r="C1658" s="129"/>
      <c r="D1658" s="129"/>
      <c r="F1658" s="251"/>
    </row>
    <row r="1659" spans="3:6" ht="15.75" customHeight="1">
      <c r="C1659" s="129"/>
      <c r="D1659" s="129"/>
      <c r="F1659" s="251"/>
    </row>
    <row r="1660" spans="3:6" ht="15.75" customHeight="1">
      <c r="C1660" s="129"/>
      <c r="D1660" s="129"/>
      <c r="F1660" s="251"/>
    </row>
    <row r="1661" spans="3:6" ht="15.75" customHeight="1">
      <c r="C1661" s="129"/>
      <c r="D1661" s="129"/>
      <c r="F1661" s="251"/>
    </row>
    <row r="1662" spans="3:6" ht="15.75" customHeight="1">
      <c r="C1662" s="129"/>
      <c r="D1662" s="129"/>
      <c r="F1662" s="251"/>
    </row>
    <row r="1663" spans="3:6" ht="15.75" customHeight="1">
      <c r="C1663" s="129"/>
      <c r="D1663" s="129"/>
      <c r="F1663" s="251"/>
    </row>
    <row r="1664" spans="3:6" ht="15.75" customHeight="1">
      <c r="C1664" s="129"/>
      <c r="D1664" s="129"/>
      <c r="F1664" s="251"/>
    </row>
    <row r="1665" spans="3:6" ht="15.75" customHeight="1">
      <c r="C1665" s="129"/>
      <c r="D1665" s="129"/>
      <c r="F1665" s="251"/>
    </row>
    <row r="1666" spans="3:6" ht="15.75" customHeight="1">
      <c r="C1666" s="129"/>
      <c r="D1666" s="129"/>
      <c r="F1666" s="251"/>
    </row>
    <row r="1667" spans="3:6" ht="15.75" customHeight="1">
      <c r="C1667" s="129"/>
      <c r="D1667" s="129"/>
      <c r="F1667" s="251"/>
    </row>
    <row r="1668" spans="3:6" ht="15.75" customHeight="1">
      <c r="C1668" s="129"/>
      <c r="D1668" s="129"/>
      <c r="F1668" s="251"/>
    </row>
    <row r="1669" spans="3:6" ht="15.75" customHeight="1">
      <c r="C1669" s="129"/>
      <c r="D1669" s="129"/>
      <c r="F1669" s="251"/>
    </row>
    <row r="1670" spans="3:6" ht="15.75" customHeight="1">
      <c r="C1670" s="129"/>
      <c r="D1670" s="129"/>
      <c r="F1670" s="251"/>
    </row>
    <row r="1671" spans="3:6" ht="15.75" customHeight="1">
      <c r="C1671" s="129"/>
      <c r="D1671" s="129"/>
      <c r="F1671" s="251"/>
    </row>
    <row r="1672" spans="3:6" ht="15.75" customHeight="1">
      <c r="C1672" s="129"/>
      <c r="D1672" s="129"/>
      <c r="F1672" s="251"/>
    </row>
    <row r="1673" spans="3:6" ht="15.75" customHeight="1">
      <c r="C1673" s="129"/>
      <c r="D1673" s="129"/>
      <c r="F1673" s="251"/>
    </row>
    <row r="1674" spans="3:6" ht="15.75" customHeight="1">
      <c r="C1674" s="129"/>
      <c r="D1674" s="129"/>
      <c r="F1674" s="251"/>
    </row>
    <row r="1675" spans="3:6" ht="15.75" customHeight="1">
      <c r="C1675" s="129"/>
      <c r="D1675" s="129"/>
      <c r="F1675" s="251"/>
    </row>
    <row r="1676" spans="3:6" ht="15.75" customHeight="1">
      <c r="C1676" s="129"/>
      <c r="D1676" s="129"/>
      <c r="F1676" s="251"/>
    </row>
    <row r="1677" spans="3:6" ht="15.75" customHeight="1">
      <c r="C1677" s="129"/>
      <c r="D1677" s="129"/>
      <c r="F1677" s="251"/>
    </row>
    <row r="1678" spans="3:6" ht="15.75" customHeight="1">
      <c r="C1678" s="129"/>
      <c r="D1678" s="129"/>
      <c r="F1678" s="251"/>
    </row>
    <row r="1679" spans="3:6" ht="15.75" customHeight="1">
      <c r="C1679" s="129"/>
      <c r="D1679" s="129"/>
      <c r="F1679" s="251"/>
    </row>
    <row r="1680" spans="3:6" ht="15.75" customHeight="1">
      <c r="C1680" s="129"/>
      <c r="D1680" s="129"/>
      <c r="F1680" s="251"/>
    </row>
    <row r="1681" spans="3:6" ht="15.75" customHeight="1">
      <c r="C1681" s="129"/>
      <c r="D1681" s="129"/>
      <c r="F1681" s="251"/>
    </row>
    <row r="1682" spans="3:6" ht="15.75" customHeight="1">
      <c r="C1682" s="129"/>
      <c r="D1682" s="129"/>
      <c r="F1682" s="251"/>
    </row>
    <row r="1683" spans="3:6" ht="15.75" customHeight="1">
      <c r="C1683" s="129"/>
      <c r="D1683" s="129"/>
      <c r="F1683" s="251"/>
    </row>
    <row r="1684" spans="3:6" ht="15.75" customHeight="1">
      <c r="C1684" s="129"/>
      <c r="D1684" s="129"/>
      <c r="F1684" s="251"/>
    </row>
    <row r="1685" spans="3:6" ht="15.75" customHeight="1">
      <c r="C1685" s="129"/>
      <c r="D1685" s="129"/>
      <c r="F1685" s="251"/>
    </row>
    <row r="1686" spans="3:6" ht="15.75" customHeight="1">
      <c r="C1686" s="129"/>
      <c r="D1686" s="129"/>
      <c r="F1686" s="251"/>
    </row>
    <row r="1687" spans="3:6" ht="15.75" customHeight="1">
      <c r="C1687" s="129"/>
      <c r="D1687" s="129"/>
      <c r="F1687" s="251"/>
    </row>
    <row r="1688" spans="3:6" ht="15.75" customHeight="1">
      <c r="C1688" s="129"/>
      <c r="D1688" s="129"/>
      <c r="F1688" s="251"/>
    </row>
    <row r="1689" spans="3:6" ht="15.75" customHeight="1">
      <c r="C1689" s="129"/>
      <c r="D1689" s="129"/>
      <c r="F1689" s="251"/>
    </row>
    <row r="1690" spans="3:6" ht="15.75" customHeight="1">
      <c r="C1690" s="129"/>
      <c r="D1690" s="129"/>
      <c r="F1690" s="251"/>
    </row>
    <row r="1691" spans="3:6" ht="15.75" customHeight="1">
      <c r="C1691" s="129"/>
      <c r="D1691" s="129"/>
      <c r="F1691" s="251"/>
    </row>
    <row r="1692" spans="3:6" ht="15.75" customHeight="1">
      <c r="C1692" s="129"/>
      <c r="D1692" s="129"/>
      <c r="F1692" s="251"/>
    </row>
    <row r="1693" spans="3:6" ht="15.75" customHeight="1">
      <c r="C1693" s="129"/>
      <c r="D1693" s="129"/>
      <c r="F1693" s="251"/>
    </row>
    <row r="1694" spans="3:6" ht="15.75" customHeight="1">
      <c r="C1694" s="129"/>
      <c r="D1694" s="129"/>
      <c r="F1694" s="251"/>
    </row>
    <row r="1695" spans="3:6" ht="15.75" customHeight="1">
      <c r="C1695" s="129"/>
      <c r="D1695" s="129"/>
      <c r="F1695" s="251"/>
    </row>
    <row r="1696" spans="3:6" ht="15.75" customHeight="1">
      <c r="C1696" s="129"/>
      <c r="D1696" s="129"/>
      <c r="F1696" s="251"/>
    </row>
    <row r="1697" spans="3:6" ht="15.75" customHeight="1">
      <c r="C1697" s="129"/>
      <c r="D1697" s="129"/>
      <c r="F1697" s="251"/>
    </row>
    <row r="1698" spans="3:6" ht="15.75" customHeight="1">
      <c r="C1698" s="129"/>
      <c r="D1698" s="129"/>
      <c r="F1698" s="251"/>
    </row>
    <row r="1699" spans="3:6" ht="15.75" customHeight="1">
      <c r="C1699" s="129"/>
      <c r="D1699" s="129"/>
      <c r="F1699" s="251"/>
    </row>
    <row r="1700" spans="3:6" ht="15.75" customHeight="1">
      <c r="C1700" s="129"/>
      <c r="D1700" s="129"/>
      <c r="F1700" s="251"/>
    </row>
    <row r="1701" spans="3:6" ht="15.75" customHeight="1">
      <c r="C1701" s="129"/>
      <c r="D1701" s="129"/>
      <c r="F1701" s="251"/>
    </row>
    <row r="1702" spans="3:6" ht="15.75" customHeight="1">
      <c r="C1702" s="129"/>
      <c r="D1702" s="129"/>
      <c r="F1702" s="251"/>
    </row>
    <row r="1703" spans="3:6" ht="15.75" customHeight="1">
      <c r="C1703" s="129"/>
      <c r="D1703" s="129"/>
      <c r="F1703" s="251"/>
    </row>
    <row r="1704" spans="3:6" ht="15.75" customHeight="1">
      <c r="C1704" s="129"/>
      <c r="D1704" s="129"/>
      <c r="F1704" s="251"/>
    </row>
    <row r="1705" spans="3:6" ht="15.75" customHeight="1">
      <c r="C1705" s="129"/>
      <c r="D1705" s="129"/>
      <c r="F1705" s="251"/>
    </row>
    <row r="1706" spans="3:6" ht="15.75" customHeight="1">
      <c r="C1706" s="129"/>
      <c r="D1706" s="129"/>
      <c r="F1706" s="251"/>
    </row>
    <row r="1707" spans="3:6" ht="15.75" customHeight="1">
      <c r="C1707" s="129"/>
      <c r="D1707" s="129"/>
      <c r="F1707" s="251"/>
    </row>
    <row r="1708" spans="3:6" ht="15.75" customHeight="1">
      <c r="C1708" s="129"/>
      <c r="D1708" s="129"/>
      <c r="F1708" s="251"/>
    </row>
    <row r="1709" spans="3:6" ht="15.75" customHeight="1">
      <c r="C1709" s="129"/>
      <c r="D1709" s="129"/>
      <c r="F1709" s="251"/>
    </row>
    <row r="1710" spans="3:6" ht="15.75" customHeight="1">
      <c r="C1710" s="129"/>
      <c r="D1710" s="129"/>
      <c r="F1710" s="251"/>
    </row>
    <row r="1711" spans="3:6" ht="15.75" customHeight="1">
      <c r="C1711" s="129"/>
      <c r="D1711" s="129"/>
      <c r="F1711" s="251"/>
    </row>
    <row r="1712" spans="3:6" ht="15.75" customHeight="1">
      <c r="C1712" s="129"/>
      <c r="D1712" s="129"/>
      <c r="F1712" s="251"/>
    </row>
    <row r="1713" spans="3:6" ht="15.75" customHeight="1">
      <c r="C1713" s="129"/>
      <c r="D1713" s="129"/>
      <c r="F1713" s="251"/>
    </row>
    <row r="1714" spans="3:6" ht="15.75" customHeight="1">
      <c r="C1714" s="129"/>
      <c r="D1714" s="129"/>
      <c r="F1714" s="251"/>
    </row>
    <row r="1715" spans="3:6" ht="15.75" customHeight="1">
      <c r="C1715" s="129"/>
      <c r="D1715" s="129"/>
      <c r="F1715" s="251"/>
    </row>
    <row r="1716" spans="3:6" ht="15.75" customHeight="1">
      <c r="C1716" s="129"/>
      <c r="D1716" s="129"/>
      <c r="F1716" s="251"/>
    </row>
    <row r="1717" spans="3:6" ht="15.75" customHeight="1">
      <c r="C1717" s="129"/>
      <c r="D1717" s="129"/>
      <c r="F1717" s="251"/>
    </row>
    <row r="1718" spans="3:6" ht="15.75" customHeight="1">
      <c r="C1718" s="129"/>
      <c r="D1718" s="129"/>
      <c r="F1718" s="251"/>
    </row>
    <row r="1719" spans="3:6" ht="15.75" customHeight="1">
      <c r="C1719" s="129"/>
      <c r="D1719" s="129"/>
      <c r="F1719" s="251"/>
    </row>
    <row r="1720" spans="3:6" ht="15.75" customHeight="1">
      <c r="C1720" s="129"/>
      <c r="D1720" s="129"/>
      <c r="F1720" s="251"/>
    </row>
    <row r="1721" spans="3:6" ht="15.75" customHeight="1">
      <c r="C1721" s="129"/>
      <c r="D1721" s="129"/>
      <c r="F1721" s="251"/>
    </row>
    <row r="1722" spans="3:6" ht="15.75" customHeight="1">
      <c r="C1722" s="129"/>
      <c r="D1722" s="129"/>
      <c r="F1722" s="251"/>
    </row>
    <row r="1723" spans="3:6" ht="15.75" customHeight="1">
      <c r="C1723" s="129"/>
      <c r="D1723" s="129"/>
      <c r="F1723" s="251"/>
    </row>
    <row r="1724" spans="3:6" ht="15.75" customHeight="1">
      <c r="C1724" s="129"/>
      <c r="D1724" s="129"/>
      <c r="F1724" s="251"/>
    </row>
    <row r="1725" spans="3:6" ht="15.75" customHeight="1">
      <c r="C1725" s="129"/>
      <c r="D1725" s="129"/>
      <c r="F1725" s="251"/>
    </row>
    <row r="1726" spans="3:6" ht="15.75" customHeight="1">
      <c r="C1726" s="129"/>
      <c r="D1726" s="129"/>
      <c r="F1726" s="251"/>
    </row>
    <row r="1727" spans="3:6" ht="15.75" customHeight="1">
      <c r="C1727" s="129"/>
      <c r="D1727" s="129"/>
      <c r="F1727" s="251"/>
    </row>
    <row r="1728" spans="3:6" ht="15.75" customHeight="1">
      <c r="C1728" s="129"/>
      <c r="D1728" s="129"/>
      <c r="F1728" s="251"/>
    </row>
    <row r="1729" spans="3:6" ht="15.75" customHeight="1">
      <c r="C1729" s="129"/>
      <c r="D1729" s="129"/>
      <c r="F1729" s="251"/>
    </row>
    <row r="1730" spans="3:6" ht="15.75" customHeight="1">
      <c r="C1730" s="129"/>
      <c r="D1730" s="129"/>
      <c r="F1730" s="251"/>
    </row>
    <row r="1731" spans="3:6" ht="15.75" customHeight="1">
      <c r="C1731" s="129"/>
      <c r="D1731" s="129"/>
      <c r="F1731" s="251"/>
    </row>
    <row r="1732" spans="3:6" ht="15.75" customHeight="1">
      <c r="C1732" s="129"/>
      <c r="D1732" s="129"/>
      <c r="F1732" s="251"/>
    </row>
    <row r="1733" spans="3:6" ht="15.75" customHeight="1">
      <c r="C1733" s="129"/>
      <c r="D1733" s="129"/>
      <c r="F1733" s="251"/>
    </row>
    <row r="1734" spans="3:6" ht="15.75" customHeight="1">
      <c r="C1734" s="129"/>
      <c r="D1734" s="129"/>
      <c r="F1734" s="251"/>
    </row>
    <row r="1735" spans="3:6" ht="15.75" customHeight="1">
      <c r="C1735" s="129"/>
      <c r="D1735" s="129"/>
      <c r="F1735" s="251"/>
    </row>
    <row r="1736" spans="3:6" ht="15.75" customHeight="1">
      <c r="C1736" s="129"/>
      <c r="D1736" s="129"/>
      <c r="F1736" s="251"/>
    </row>
    <row r="1737" spans="3:6" ht="15.75" customHeight="1">
      <c r="C1737" s="129"/>
      <c r="D1737" s="129"/>
      <c r="F1737" s="251"/>
    </row>
    <row r="1738" spans="3:6" ht="15.75" customHeight="1">
      <c r="C1738" s="129"/>
      <c r="D1738" s="129"/>
      <c r="F1738" s="251"/>
    </row>
    <row r="1739" spans="3:6" ht="15.75" customHeight="1">
      <c r="C1739" s="129"/>
      <c r="D1739" s="129"/>
      <c r="F1739" s="251"/>
    </row>
    <row r="1740" spans="3:6" ht="15.75" customHeight="1">
      <c r="C1740" s="129"/>
      <c r="D1740" s="129"/>
      <c r="F1740" s="251"/>
    </row>
    <row r="1741" spans="3:6" ht="15.75" customHeight="1">
      <c r="C1741" s="129"/>
      <c r="D1741" s="129"/>
      <c r="F1741" s="251"/>
    </row>
    <row r="1742" spans="3:6" ht="15.75" customHeight="1">
      <c r="C1742" s="129"/>
      <c r="D1742" s="129"/>
      <c r="F1742" s="251"/>
    </row>
    <row r="1743" spans="3:6" ht="15.75" customHeight="1">
      <c r="C1743" s="129"/>
      <c r="D1743" s="129"/>
      <c r="F1743" s="251"/>
    </row>
    <row r="1744" spans="3:6" ht="15.75" customHeight="1">
      <c r="C1744" s="129"/>
      <c r="D1744" s="129"/>
      <c r="F1744" s="251"/>
    </row>
    <row r="1745" spans="3:6" ht="15.75" customHeight="1">
      <c r="C1745" s="129"/>
      <c r="D1745" s="129"/>
      <c r="F1745" s="251"/>
    </row>
    <row r="1746" spans="3:6" ht="15.75" customHeight="1">
      <c r="C1746" s="129"/>
      <c r="D1746" s="129"/>
      <c r="F1746" s="251"/>
    </row>
    <row r="1747" spans="3:6" ht="15.75" customHeight="1">
      <c r="C1747" s="129"/>
      <c r="D1747" s="129"/>
      <c r="F1747" s="251"/>
    </row>
    <row r="1748" spans="3:6" ht="15.75" customHeight="1">
      <c r="C1748" s="129"/>
      <c r="D1748" s="129"/>
      <c r="F1748" s="251"/>
    </row>
    <row r="1749" spans="3:6" ht="15.75" customHeight="1">
      <c r="C1749" s="129"/>
      <c r="D1749" s="129"/>
      <c r="F1749" s="251"/>
    </row>
    <row r="1750" spans="3:6" ht="15.75" customHeight="1">
      <c r="C1750" s="129"/>
      <c r="D1750" s="129"/>
      <c r="F1750" s="251"/>
    </row>
    <row r="1751" spans="3:6" ht="15.75" customHeight="1">
      <c r="C1751" s="129"/>
      <c r="D1751" s="129"/>
      <c r="F1751" s="251"/>
    </row>
    <row r="1752" spans="3:6" ht="15.75" customHeight="1">
      <c r="C1752" s="129"/>
      <c r="D1752" s="129"/>
      <c r="F1752" s="251"/>
    </row>
    <row r="1753" spans="3:6" ht="15.75" customHeight="1">
      <c r="C1753" s="129"/>
      <c r="D1753" s="129"/>
      <c r="F1753" s="251"/>
    </row>
    <row r="1754" spans="3:6" ht="15.75" customHeight="1">
      <c r="C1754" s="129"/>
      <c r="D1754" s="129"/>
      <c r="F1754" s="251"/>
    </row>
    <row r="1755" spans="3:6" ht="15.75" customHeight="1">
      <c r="C1755" s="129"/>
      <c r="D1755" s="129"/>
      <c r="F1755" s="251"/>
    </row>
    <row r="1756" spans="3:6" ht="15.75" customHeight="1">
      <c r="C1756" s="129"/>
      <c r="D1756" s="129"/>
      <c r="F1756" s="251"/>
    </row>
    <row r="1757" spans="3:6" ht="15.75" customHeight="1">
      <c r="C1757" s="129"/>
      <c r="D1757" s="129"/>
      <c r="F1757" s="251"/>
    </row>
    <row r="1758" spans="3:6" ht="15.75" customHeight="1">
      <c r="C1758" s="129"/>
      <c r="D1758" s="129"/>
      <c r="F1758" s="251"/>
    </row>
    <row r="1759" spans="3:6" ht="15.75" customHeight="1">
      <c r="C1759" s="129"/>
      <c r="D1759" s="129"/>
      <c r="F1759" s="251"/>
    </row>
    <row r="1760" spans="3:6" ht="15.75" customHeight="1">
      <c r="C1760" s="129"/>
      <c r="D1760" s="129"/>
      <c r="F1760" s="251"/>
    </row>
    <row r="1761" spans="3:6" ht="15.75" customHeight="1">
      <c r="C1761" s="129"/>
      <c r="D1761" s="129"/>
      <c r="F1761" s="251"/>
    </row>
    <row r="1762" spans="3:6" ht="15.75" customHeight="1">
      <c r="C1762" s="129"/>
      <c r="D1762" s="129"/>
      <c r="F1762" s="251"/>
    </row>
    <row r="1763" spans="3:6" ht="15.75" customHeight="1">
      <c r="C1763" s="129"/>
      <c r="D1763" s="129"/>
      <c r="F1763" s="251"/>
    </row>
    <row r="1764" spans="3:6" ht="15.75" customHeight="1">
      <c r="C1764" s="129"/>
      <c r="D1764" s="129"/>
      <c r="F1764" s="251"/>
    </row>
    <row r="1765" spans="3:6" ht="15.75" customHeight="1">
      <c r="C1765" s="129"/>
      <c r="D1765" s="129"/>
      <c r="F1765" s="251"/>
    </row>
    <row r="1766" spans="3:6" ht="15.75" customHeight="1">
      <c r="C1766" s="129"/>
      <c r="D1766" s="129"/>
      <c r="F1766" s="251"/>
    </row>
    <row r="1767" spans="3:6" ht="15.75" customHeight="1">
      <c r="C1767" s="129"/>
      <c r="D1767" s="129"/>
      <c r="F1767" s="251"/>
    </row>
    <row r="1768" spans="3:6" ht="15.75" customHeight="1">
      <c r="C1768" s="129"/>
      <c r="D1768" s="129"/>
      <c r="F1768" s="251"/>
    </row>
    <row r="1769" spans="3:6" ht="15.75" customHeight="1">
      <c r="C1769" s="129"/>
      <c r="D1769" s="129"/>
      <c r="F1769" s="251"/>
    </row>
    <row r="1770" spans="3:6" ht="15.75" customHeight="1">
      <c r="C1770" s="129"/>
      <c r="D1770" s="129"/>
      <c r="F1770" s="251"/>
    </row>
    <row r="1771" spans="3:6" ht="15.75" customHeight="1">
      <c r="C1771" s="129"/>
      <c r="D1771" s="129"/>
      <c r="F1771" s="251"/>
    </row>
    <row r="1772" spans="3:6" ht="15.75" customHeight="1">
      <c r="C1772" s="129"/>
      <c r="D1772" s="129"/>
      <c r="F1772" s="251"/>
    </row>
    <row r="1773" spans="3:6" ht="15.75" customHeight="1">
      <c r="C1773" s="129"/>
      <c r="D1773" s="129"/>
      <c r="F1773" s="251"/>
    </row>
    <row r="1774" spans="3:6" ht="15.75" customHeight="1">
      <c r="C1774" s="129"/>
      <c r="D1774" s="129"/>
      <c r="F1774" s="251"/>
    </row>
    <row r="1775" spans="3:6" ht="15.75" customHeight="1">
      <c r="C1775" s="129"/>
      <c r="D1775" s="129"/>
      <c r="F1775" s="251"/>
    </row>
    <row r="1776" spans="3:6" ht="15.75" customHeight="1">
      <c r="C1776" s="129"/>
      <c r="D1776" s="129"/>
      <c r="F1776" s="251"/>
    </row>
    <row r="1777" spans="3:6" ht="15.75" customHeight="1">
      <c r="C1777" s="129"/>
      <c r="D1777" s="129"/>
      <c r="F1777" s="251"/>
    </row>
    <row r="1778" spans="3:6" ht="15.75" customHeight="1">
      <c r="C1778" s="129"/>
      <c r="D1778" s="129"/>
      <c r="F1778" s="251"/>
    </row>
    <row r="1779" spans="3:6" ht="15.75" customHeight="1">
      <c r="C1779" s="129"/>
      <c r="D1779" s="129"/>
      <c r="F1779" s="251"/>
    </row>
    <row r="1780" spans="3:6" ht="15.75" customHeight="1">
      <c r="C1780" s="129"/>
      <c r="D1780" s="129"/>
      <c r="F1780" s="251"/>
    </row>
    <row r="1781" spans="3:6" ht="15.75" customHeight="1">
      <c r="C1781" s="129"/>
      <c r="D1781" s="129"/>
      <c r="F1781" s="251"/>
    </row>
    <row r="1782" spans="3:6" ht="15.75" customHeight="1">
      <c r="C1782" s="129"/>
      <c r="D1782" s="129"/>
      <c r="F1782" s="251"/>
    </row>
    <row r="1783" spans="3:6" ht="15.75" customHeight="1">
      <c r="C1783" s="129"/>
      <c r="D1783" s="129"/>
      <c r="F1783" s="251"/>
    </row>
    <row r="1784" spans="3:6" ht="15.75" customHeight="1">
      <c r="C1784" s="129"/>
      <c r="D1784" s="129"/>
      <c r="F1784" s="251"/>
    </row>
    <row r="1785" spans="3:6" ht="15.75" customHeight="1">
      <c r="C1785" s="149"/>
      <c r="D1785" s="149"/>
    </row>
    <row r="1786" spans="3:6" ht="15.75" customHeight="1">
      <c r="C1786" s="149"/>
      <c r="D1786" s="149"/>
    </row>
    <row r="1787" spans="3:6" ht="15.75" customHeight="1">
      <c r="C1787" s="149"/>
      <c r="D1787" s="149"/>
    </row>
    <row r="1788" spans="3:6" ht="15.75" customHeight="1">
      <c r="C1788" s="149"/>
      <c r="D1788" s="149"/>
    </row>
    <row r="1789" spans="3:6" ht="15.75" customHeight="1">
      <c r="C1789" s="149"/>
      <c r="D1789" s="149"/>
    </row>
    <row r="1790" spans="3:6" ht="15.75" customHeight="1">
      <c r="C1790" s="149"/>
      <c r="D1790" s="149"/>
    </row>
    <row r="1791" spans="3:6" ht="15.75" customHeight="1">
      <c r="C1791" s="149"/>
      <c r="D1791" s="149"/>
    </row>
    <row r="1792" spans="3:6" ht="15.75" customHeight="1">
      <c r="C1792" s="149"/>
      <c r="D1792" s="149"/>
    </row>
    <row r="1793" spans="3:4" ht="15.75" customHeight="1">
      <c r="C1793" s="149"/>
      <c r="D1793" s="149"/>
    </row>
    <row r="1794" spans="3:4" ht="15.75" customHeight="1">
      <c r="C1794" s="149"/>
      <c r="D1794" s="149"/>
    </row>
    <row r="1795" spans="3:4" ht="15.75" customHeight="1">
      <c r="C1795" s="149"/>
      <c r="D1795" s="149"/>
    </row>
    <row r="1796" spans="3:4" ht="15.75" customHeight="1">
      <c r="C1796" s="149"/>
      <c r="D1796" s="149"/>
    </row>
    <row r="1797" spans="3:4" ht="15.75" customHeight="1">
      <c r="C1797" s="149"/>
      <c r="D1797" s="149"/>
    </row>
    <row r="1798" spans="3:4" ht="15.75" customHeight="1">
      <c r="C1798" s="149"/>
      <c r="D1798" s="149"/>
    </row>
    <row r="1799" spans="3:4" ht="15.75" customHeight="1">
      <c r="C1799" s="149"/>
      <c r="D1799" s="149"/>
    </row>
    <row r="1800" spans="3:4" ht="15.75" customHeight="1">
      <c r="C1800" s="149"/>
      <c r="D1800" s="149"/>
    </row>
    <row r="1801" spans="3:4" ht="15.75" customHeight="1">
      <c r="C1801" s="149"/>
      <c r="D1801" s="149"/>
    </row>
    <row r="1802" spans="3:4" ht="15.75" customHeight="1">
      <c r="C1802" s="149"/>
      <c r="D1802" s="149"/>
    </row>
    <row r="1803" spans="3:4" ht="15.75" customHeight="1">
      <c r="C1803" s="149"/>
      <c r="D1803" s="149"/>
    </row>
    <row r="1804" spans="3:4" ht="15.75" customHeight="1">
      <c r="C1804" s="149"/>
      <c r="D1804" s="149"/>
    </row>
    <row r="1805" spans="3:4" ht="15.75" customHeight="1">
      <c r="C1805" s="149"/>
      <c r="D1805" s="149"/>
    </row>
    <row r="1806" spans="3:4" ht="15.75" customHeight="1">
      <c r="C1806" s="149"/>
      <c r="D1806" s="149"/>
    </row>
    <row r="1807" spans="3:4" ht="15.75" customHeight="1">
      <c r="C1807" s="149"/>
      <c r="D1807" s="149"/>
    </row>
    <row r="1808" spans="3:4" ht="15.75" customHeight="1">
      <c r="C1808" s="149"/>
      <c r="D1808" s="149"/>
    </row>
    <row r="1809" spans="3:4" ht="15.75" customHeight="1">
      <c r="C1809" s="149"/>
      <c r="D1809" s="149"/>
    </row>
    <row r="1810" spans="3:4" ht="15.75" customHeight="1">
      <c r="C1810" s="149"/>
      <c r="D1810" s="149"/>
    </row>
    <row r="1811" spans="3:4" ht="15.75" customHeight="1">
      <c r="C1811" s="149"/>
      <c r="D1811" s="149"/>
    </row>
    <row r="1812" spans="3:4" ht="15.75" customHeight="1">
      <c r="C1812" s="149"/>
      <c r="D1812" s="149"/>
    </row>
    <row r="1813" spans="3:4" ht="15.75" customHeight="1">
      <c r="C1813" s="149"/>
      <c r="D1813" s="149"/>
    </row>
    <row r="1814" spans="3:4" ht="15.75" customHeight="1">
      <c r="C1814" s="149"/>
      <c r="D1814" s="149"/>
    </row>
    <row r="1815" spans="3:4" ht="15.75" customHeight="1">
      <c r="C1815" s="149"/>
      <c r="D1815" s="149"/>
    </row>
    <row r="1816" spans="3:4" ht="15.75" customHeight="1">
      <c r="C1816" s="149"/>
      <c r="D1816" s="149"/>
    </row>
    <row r="1817" spans="3:4" ht="15.75" customHeight="1">
      <c r="C1817" s="149"/>
      <c r="D1817" s="149"/>
    </row>
    <row r="1818" spans="3:4" ht="15.75" customHeight="1">
      <c r="C1818" s="149"/>
      <c r="D1818" s="149"/>
    </row>
    <row r="1819" spans="3:4" ht="15.75" customHeight="1">
      <c r="C1819" s="149"/>
      <c r="D1819" s="149"/>
    </row>
    <row r="1820" spans="3:4" ht="15.75" customHeight="1">
      <c r="C1820" s="149"/>
      <c r="D1820" s="149"/>
    </row>
    <row r="1821" spans="3:4" ht="15.75" customHeight="1">
      <c r="C1821" s="149"/>
      <c r="D1821" s="149"/>
    </row>
    <row r="1822" spans="3:4" ht="15.75" customHeight="1">
      <c r="C1822" s="149"/>
      <c r="D1822" s="149"/>
    </row>
    <row r="1823" spans="3:4" ht="15.75" customHeight="1">
      <c r="C1823" s="149"/>
      <c r="D1823" s="149"/>
    </row>
    <row r="1824" spans="3:4" ht="15.75" customHeight="1">
      <c r="C1824" s="149"/>
      <c r="D1824" s="149"/>
    </row>
    <row r="1825" spans="3:4" ht="15.75" customHeight="1">
      <c r="C1825" s="149"/>
      <c r="D1825" s="149"/>
    </row>
    <row r="1826" spans="3:4" ht="15.75" customHeight="1">
      <c r="C1826" s="149"/>
      <c r="D1826" s="149"/>
    </row>
    <row r="1827" spans="3:4" ht="15.75" customHeight="1">
      <c r="C1827" s="149"/>
      <c r="D1827" s="149"/>
    </row>
    <row r="1828" spans="3:4" ht="15.75" customHeight="1">
      <c r="C1828" s="149"/>
      <c r="D1828" s="149"/>
    </row>
    <row r="1829" spans="3:4" ht="15.75" customHeight="1">
      <c r="C1829" s="149"/>
      <c r="D1829" s="149"/>
    </row>
    <row r="1830" spans="3:4" ht="15.75" customHeight="1">
      <c r="C1830" s="149"/>
      <c r="D1830" s="149"/>
    </row>
    <row r="1831" spans="3:4" ht="15.75" customHeight="1">
      <c r="C1831" s="149"/>
      <c r="D1831" s="149"/>
    </row>
    <row r="1832" spans="3:4" ht="15.75" customHeight="1">
      <c r="C1832" s="149"/>
      <c r="D1832" s="149"/>
    </row>
    <row r="1833" spans="3:4" ht="15.75" customHeight="1">
      <c r="C1833" s="149"/>
      <c r="D1833" s="149"/>
    </row>
    <row r="1834" spans="3:4" ht="15.75" customHeight="1">
      <c r="C1834" s="149"/>
      <c r="D1834" s="149"/>
    </row>
    <row r="1835" spans="3:4" ht="15.75" customHeight="1">
      <c r="C1835" s="149"/>
      <c r="D1835" s="149"/>
    </row>
    <row r="1836" spans="3:4" ht="15.75" customHeight="1">
      <c r="C1836" s="149"/>
      <c r="D1836" s="149"/>
    </row>
    <row r="1837" spans="3:4" ht="15.75" customHeight="1">
      <c r="C1837" s="149"/>
      <c r="D1837" s="149"/>
    </row>
    <row r="1838" spans="3:4" ht="15.75" customHeight="1">
      <c r="C1838" s="149"/>
      <c r="D1838" s="149"/>
    </row>
    <row r="1839" spans="3:4" ht="15.75" customHeight="1">
      <c r="C1839" s="149"/>
      <c r="D1839" s="149"/>
    </row>
    <row r="1840" spans="3:4" ht="15.75" customHeight="1">
      <c r="C1840" s="149"/>
      <c r="D1840" s="149"/>
    </row>
    <row r="1841" spans="3:4" ht="15.75" customHeight="1">
      <c r="C1841" s="149"/>
      <c r="D1841" s="149"/>
    </row>
    <row r="1842" spans="3:4" ht="15.75" customHeight="1">
      <c r="C1842" s="149"/>
      <c r="D1842" s="149"/>
    </row>
    <row r="1843" spans="3:4" ht="15.75" customHeight="1">
      <c r="C1843" s="149"/>
      <c r="D1843" s="149"/>
    </row>
    <row r="1844" spans="3:4" ht="15.75" customHeight="1">
      <c r="C1844" s="149"/>
      <c r="D1844" s="149"/>
    </row>
    <row r="1845" spans="3:4" ht="15.75" customHeight="1">
      <c r="C1845" s="149"/>
      <c r="D1845" s="149"/>
    </row>
    <row r="1846" spans="3:4" ht="15.75" customHeight="1">
      <c r="C1846" s="149"/>
      <c r="D1846" s="149"/>
    </row>
    <row r="1847" spans="3:4" ht="15.75" customHeight="1">
      <c r="C1847" s="149"/>
      <c r="D1847" s="149"/>
    </row>
    <row r="1848" spans="3:4" ht="15.75" customHeight="1">
      <c r="C1848" s="149"/>
      <c r="D1848" s="149"/>
    </row>
    <row r="1849" spans="3:4" ht="15.75" customHeight="1">
      <c r="C1849" s="149"/>
      <c r="D1849" s="149"/>
    </row>
    <row r="1850" spans="3:4" ht="15.75" customHeight="1">
      <c r="C1850" s="149"/>
      <c r="D1850" s="149"/>
    </row>
    <row r="1851" spans="3:4" ht="15.75" customHeight="1">
      <c r="C1851" s="149"/>
      <c r="D1851" s="149"/>
    </row>
    <row r="1852" spans="3:4" ht="15.75" customHeight="1">
      <c r="C1852" s="149"/>
      <c r="D1852" s="149"/>
    </row>
    <row r="1853" spans="3:4" ht="15.75" customHeight="1">
      <c r="C1853" s="149"/>
      <c r="D1853" s="149"/>
    </row>
    <row r="1854" spans="3:4" ht="15.75" customHeight="1">
      <c r="C1854" s="149"/>
      <c r="D1854" s="149"/>
    </row>
    <row r="1855" spans="3:4" ht="15.75" customHeight="1">
      <c r="C1855" s="149"/>
      <c r="D1855" s="149"/>
    </row>
    <row r="1856" spans="3:4" ht="15.75" customHeight="1">
      <c r="C1856" s="149"/>
      <c r="D1856" s="149"/>
    </row>
    <row r="1857" spans="3:4" ht="15.75" customHeight="1">
      <c r="C1857" s="149"/>
      <c r="D1857" s="149"/>
    </row>
    <row r="1858" spans="3:4" ht="15.75" customHeight="1">
      <c r="C1858" s="149"/>
      <c r="D1858" s="149"/>
    </row>
    <row r="1859" spans="3:4" ht="15.75" customHeight="1">
      <c r="C1859" s="149"/>
      <c r="D1859" s="149"/>
    </row>
    <row r="1860" spans="3:4" ht="15.75" customHeight="1">
      <c r="C1860" s="149"/>
      <c r="D1860" s="149"/>
    </row>
    <row r="1861" spans="3:4" ht="15.75" customHeight="1">
      <c r="C1861" s="149"/>
      <c r="D1861" s="149"/>
    </row>
    <row r="1862" spans="3:4" ht="15.75" customHeight="1">
      <c r="C1862" s="149"/>
      <c r="D1862" s="149"/>
    </row>
    <row r="1863" spans="3:4" ht="15.75" customHeight="1">
      <c r="C1863" s="149"/>
      <c r="D1863" s="149"/>
    </row>
    <row r="1864" spans="3:4" ht="15.75" customHeight="1">
      <c r="C1864" s="149"/>
      <c r="D1864" s="149"/>
    </row>
    <row r="1865" spans="3:4" ht="15.75" customHeight="1">
      <c r="C1865" s="149"/>
      <c r="D1865" s="149"/>
    </row>
    <row r="1866" spans="3:4" ht="15.75" customHeight="1">
      <c r="C1866" s="149"/>
      <c r="D1866" s="149"/>
    </row>
    <row r="1867" spans="3:4" ht="15.75" customHeight="1">
      <c r="C1867" s="149"/>
      <c r="D1867" s="149"/>
    </row>
    <row r="1868" spans="3:4" ht="15.75" customHeight="1">
      <c r="C1868" s="149"/>
      <c r="D1868" s="149"/>
    </row>
    <row r="1869" spans="3:4" ht="15.75" customHeight="1">
      <c r="C1869" s="149"/>
      <c r="D1869" s="149"/>
    </row>
    <row r="1870" spans="3:4" ht="15.75" customHeight="1">
      <c r="C1870" s="149"/>
      <c r="D1870" s="149"/>
    </row>
    <row r="1871" spans="3:4" ht="15.75" customHeight="1">
      <c r="C1871" s="149"/>
      <c r="D1871" s="149"/>
    </row>
    <row r="1872" spans="3:4" ht="15.75" customHeight="1">
      <c r="C1872" s="149"/>
      <c r="D1872" s="149"/>
    </row>
    <row r="1873" spans="3:4" ht="15.75" customHeight="1">
      <c r="C1873" s="149"/>
      <c r="D1873" s="149"/>
    </row>
    <row r="1874" spans="3:4" ht="15.75" customHeight="1">
      <c r="C1874" s="149"/>
      <c r="D1874" s="149"/>
    </row>
    <row r="1875" spans="3:4" ht="15.75" customHeight="1">
      <c r="C1875" s="149"/>
      <c r="D1875" s="149"/>
    </row>
    <row r="1876" spans="3:4" ht="15.75" customHeight="1">
      <c r="C1876" s="149"/>
      <c r="D1876" s="149"/>
    </row>
    <row r="1877" spans="3:4" ht="15.75" customHeight="1">
      <c r="C1877" s="149"/>
      <c r="D1877" s="149"/>
    </row>
    <row r="1878" spans="3:4" ht="15.75" customHeight="1">
      <c r="C1878" s="149"/>
      <c r="D1878" s="149"/>
    </row>
    <row r="1879" spans="3:4" ht="15.75" customHeight="1">
      <c r="C1879" s="149"/>
      <c r="D1879" s="149"/>
    </row>
    <row r="1880" spans="3:4" ht="15.75" customHeight="1">
      <c r="C1880" s="149"/>
      <c r="D1880" s="149"/>
    </row>
    <row r="1881" spans="3:4" ht="15.75" customHeight="1">
      <c r="C1881" s="149"/>
      <c r="D1881" s="149"/>
    </row>
    <row r="1882" spans="3:4" ht="15.75" customHeight="1">
      <c r="C1882" s="149"/>
      <c r="D1882" s="149"/>
    </row>
    <row r="1883" spans="3:4" ht="15.75" customHeight="1">
      <c r="C1883" s="149"/>
      <c r="D1883" s="149"/>
    </row>
    <row r="1884" spans="3:4" ht="15.75" customHeight="1">
      <c r="C1884" s="149"/>
      <c r="D1884" s="149"/>
    </row>
    <row r="1885" spans="3:4" ht="15.75" customHeight="1">
      <c r="C1885" s="149"/>
      <c r="D1885" s="149"/>
    </row>
    <row r="1886" spans="3:4" ht="15.75" customHeight="1">
      <c r="C1886" s="149"/>
      <c r="D1886" s="149"/>
    </row>
    <row r="1887" spans="3:4" ht="15.75" customHeight="1">
      <c r="C1887" s="149"/>
      <c r="D1887" s="149"/>
    </row>
    <row r="1888" spans="3:4" ht="15.75" customHeight="1">
      <c r="C1888" s="149"/>
      <c r="D1888" s="149"/>
    </row>
    <row r="1889" spans="3:4" ht="15.75" customHeight="1">
      <c r="C1889" s="149"/>
      <c r="D1889" s="149"/>
    </row>
    <row r="1890" spans="3:4" ht="15.75" customHeight="1">
      <c r="C1890" s="149"/>
      <c r="D1890" s="149"/>
    </row>
    <row r="1891" spans="3:4" ht="15.75" customHeight="1">
      <c r="C1891" s="149"/>
      <c r="D1891" s="149"/>
    </row>
    <row r="1892" spans="3:4" ht="15.75" customHeight="1">
      <c r="C1892" s="149"/>
      <c r="D1892" s="149"/>
    </row>
    <row r="1893" spans="3:4" ht="15.75" customHeight="1">
      <c r="C1893" s="149"/>
      <c r="D1893" s="149"/>
    </row>
    <row r="1894" spans="3:4" ht="15.75" customHeight="1">
      <c r="C1894" s="149"/>
      <c r="D1894" s="149"/>
    </row>
    <row r="1895" spans="3:4" ht="15.75" customHeight="1">
      <c r="C1895" s="149"/>
      <c r="D1895" s="149"/>
    </row>
    <row r="1896" spans="3:4" ht="15.75" customHeight="1">
      <c r="C1896" s="149"/>
      <c r="D1896" s="149"/>
    </row>
    <row r="1897" spans="3:4" ht="15.75" customHeight="1">
      <c r="C1897" s="149"/>
      <c r="D1897" s="149"/>
    </row>
    <row r="1898" spans="3:4" ht="15.75" customHeight="1">
      <c r="C1898" s="149"/>
      <c r="D1898" s="149"/>
    </row>
    <row r="1899" spans="3:4" ht="15.75" customHeight="1">
      <c r="C1899" s="149"/>
      <c r="D1899" s="149"/>
    </row>
    <row r="1900" spans="3:4" ht="15.75" customHeight="1">
      <c r="C1900" s="149"/>
      <c r="D1900" s="149"/>
    </row>
    <row r="1901" spans="3:4" ht="15.75" customHeight="1">
      <c r="C1901" s="149"/>
      <c r="D1901" s="149"/>
    </row>
    <row r="1902" spans="3:4" ht="15.75" customHeight="1">
      <c r="C1902" s="149"/>
      <c r="D1902" s="149"/>
    </row>
    <row r="1903" spans="3:4" ht="15.75" customHeight="1">
      <c r="C1903" s="149"/>
      <c r="D1903" s="149"/>
    </row>
    <row r="1904" spans="3:4" ht="15.75" customHeight="1">
      <c r="C1904" s="149"/>
      <c r="D1904" s="149"/>
    </row>
    <row r="1905" spans="3:4" ht="15.75" customHeight="1">
      <c r="C1905" s="149"/>
      <c r="D1905" s="149"/>
    </row>
    <row r="1906" spans="3:4" ht="15.75" customHeight="1">
      <c r="C1906" s="149"/>
      <c r="D1906" s="149"/>
    </row>
    <row r="1907" spans="3:4" ht="15.75" customHeight="1">
      <c r="C1907" s="149"/>
      <c r="D1907" s="149"/>
    </row>
    <row r="1908" spans="3:4" ht="15.75" customHeight="1">
      <c r="C1908" s="149"/>
      <c r="D1908" s="149"/>
    </row>
    <row r="1909" spans="3:4" ht="15.75" customHeight="1">
      <c r="C1909" s="149"/>
      <c r="D1909" s="149"/>
    </row>
    <row r="1910" spans="3:4" ht="15.75" customHeight="1">
      <c r="C1910" s="149"/>
      <c r="D1910" s="149"/>
    </row>
    <row r="1911" spans="3:4" ht="15.75" customHeight="1">
      <c r="C1911" s="149"/>
      <c r="D1911" s="149"/>
    </row>
    <row r="1912" spans="3:4" ht="15.75" customHeight="1">
      <c r="C1912" s="149"/>
      <c r="D1912" s="149"/>
    </row>
    <row r="1913" spans="3:4" ht="15.75" customHeight="1">
      <c r="C1913" s="149"/>
      <c r="D1913" s="149"/>
    </row>
    <row r="1914" spans="3:4" ht="15.75" customHeight="1">
      <c r="C1914" s="149"/>
      <c r="D1914" s="149"/>
    </row>
    <row r="1915" spans="3:4" ht="15.75" customHeight="1">
      <c r="C1915" s="149"/>
      <c r="D1915" s="149"/>
    </row>
    <row r="1916" spans="3:4" ht="15.75" customHeight="1">
      <c r="C1916" s="149"/>
      <c r="D1916" s="149"/>
    </row>
    <row r="1917" spans="3:4" ht="15.75" customHeight="1">
      <c r="C1917" s="149"/>
      <c r="D1917" s="149"/>
    </row>
    <row r="1918" spans="3:4" ht="15.75" customHeight="1">
      <c r="C1918" s="149"/>
      <c r="D1918" s="149"/>
    </row>
    <row r="1919" spans="3:4" ht="15.75" customHeight="1">
      <c r="C1919" s="149"/>
      <c r="D1919" s="149"/>
    </row>
    <row r="1920" spans="3:4" ht="15.75" customHeight="1">
      <c r="C1920" s="149"/>
      <c r="D1920" s="149"/>
    </row>
    <row r="1921" spans="3:4" ht="15.75" customHeight="1">
      <c r="C1921" s="149"/>
      <c r="D1921" s="149"/>
    </row>
    <row r="1922" spans="3:4" ht="15.75" customHeight="1">
      <c r="C1922" s="149"/>
      <c r="D1922" s="149"/>
    </row>
    <row r="1923" spans="3:4" ht="15.75" customHeight="1">
      <c r="C1923" s="149"/>
      <c r="D1923" s="149"/>
    </row>
    <row r="1924" spans="3:4" ht="15.75" customHeight="1">
      <c r="C1924" s="149"/>
      <c r="D1924" s="149"/>
    </row>
    <row r="1925" spans="3:4" ht="15.75" customHeight="1">
      <c r="C1925" s="149"/>
      <c r="D1925" s="149"/>
    </row>
    <row r="1926" spans="3:4" ht="15.75" customHeight="1">
      <c r="C1926" s="149"/>
      <c r="D1926" s="149"/>
    </row>
    <row r="1927" spans="3:4" ht="15.75" customHeight="1">
      <c r="C1927" s="149"/>
      <c r="D1927" s="149"/>
    </row>
    <row r="1928" spans="3:4" ht="15.75" customHeight="1">
      <c r="C1928" s="149"/>
      <c r="D1928" s="149"/>
    </row>
    <row r="1929" spans="3:4" ht="15.75" customHeight="1">
      <c r="C1929" s="149"/>
      <c r="D1929" s="149"/>
    </row>
    <row r="1930" spans="3:4" ht="15.75" customHeight="1">
      <c r="C1930" s="149"/>
      <c r="D1930" s="149"/>
    </row>
    <row r="1931" spans="3:4" ht="15.75" customHeight="1">
      <c r="C1931" s="149"/>
      <c r="D1931" s="149"/>
    </row>
    <row r="1932" spans="3:4" ht="15.75" customHeight="1">
      <c r="C1932" s="149"/>
      <c r="D1932" s="149"/>
    </row>
    <row r="1933" spans="3:4" ht="15.75" customHeight="1">
      <c r="C1933" s="149"/>
      <c r="D1933" s="149"/>
    </row>
    <row r="1934" spans="3:4" ht="15.75" customHeight="1">
      <c r="C1934" s="149"/>
      <c r="D1934" s="149"/>
    </row>
    <row r="1935" spans="3:4" ht="15.75" customHeight="1">
      <c r="C1935" s="149"/>
      <c r="D1935" s="149"/>
    </row>
    <row r="1936" spans="3:4" ht="15.75" customHeight="1">
      <c r="C1936" s="149"/>
      <c r="D1936" s="149"/>
    </row>
    <row r="1937" spans="3:4" ht="15.75" customHeight="1">
      <c r="C1937" s="149"/>
      <c r="D1937" s="149"/>
    </row>
    <row r="1938" spans="3:4" ht="15.75" customHeight="1">
      <c r="C1938" s="149"/>
      <c r="D1938" s="149"/>
    </row>
    <row r="1939" spans="3:4" ht="15.75" customHeight="1">
      <c r="C1939" s="149"/>
      <c r="D1939" s="149"/>
    </row>
    <row r="1940" spans="3:4" ht="15.75" customHeight="1">
      <c r="C1940" s="149"/>
      <c r="D1940" s="149"/>
    </row>
    <row r="1941" spans="3:4" ht="15.75" customHeight="1">
      <c r="C1941" s="149"/>
      <c r="D1941" s="149"/>
    </row>
    <row r="1942" spans="3:4" ht="15.75" customHeight="1">
      <c r="C1942" s="149"/>
      <c r="D1942" s="149"/>
    </row>
    <row r="1943" spans="3:4" ht="15.75" customHeight="1">
      <c r="C1943" s="149"/>
      <c r="D1943" s="149"/>
    </row>
    <row r="1944" spans="3:4" ht="15.75" customHeight="1">
      <c r="C1944" s="149"/>
      <c r="D1944" s="149"/>
    </row>
    <row r="1945" spans="3:4" ht="15.75" customHeight="1">
      <c r="C1945" s="149"/>
      <c r="D1945" s="149"/>
    </row>
    <row r="1946" spans="3:4" ht="15.75" customHeight="1">
      <c r="C1946" s="149"/>
      <c r="D1946" s="149"/>
    </row>
    <row r="1947" spans="3:4" ht="15.75" customHeight="1">
      <c r="C1947" s="149"/>
      <c r="D1947" s="149"/>
    </row>
    <row r="1948" spans="3:4" ht="15.75" customHeight="1">
      <c r="C1948" s="149"/>
      <c r="D1948" s="149"/>
    </row>
    <row r="1949" spans="3:4" ht="15.75" customHeight="1">
      <c r="C1949" s="149"/>
      <c r="D1949" s="149"/>
    </row>
    <row r="1950" spans="3:4" ht="15.75" customHeight="1">
      <c r="C1950" s="149"/>
      <c r="D1950" s="149"/>
    </row>
    <row r="1951" spans="3:4" ht="15.75" customHeight="1">
      <c r="C1951" s="149"/>
      <c r="D1951" s="149"/>
    </row>
    <row r="1952" spans="3:4" ht="15.75" customHeight="1">
      <c r="C1952" s="149"/>
      <c r="D1952" s="149"/>
    </row>
    <row r="1953" spans="3:4" ht="15.75" customHeight="1">
      <c r="C1953" s="149"/>
      <c r="D1953" s="149"/>
    </row>
    <row r="1954" spans="3:4" ht="15.75" customHeight="1">
      <c r="C1954" s="149"/>
      <c r="D1954" s="149"/>
    </row>
    <row r="1955" spans="3:4" ht="15.75" customHeight="1">
      <c r="C1955" s="149"/>
      <c r="D1955" s="149"/>
    </row>
    <row r="1956" spans="3:4" ht="15.75" customHeight="1">
      <c r="C1956" s="149"/>
      <c r="D1956" s="149"/>
    </row>
    <row r="1957" spans="3:4" ht="15.75" customHeight="1">
      <c r="C1957" s="149"/>
      <c r="D1957" s="149"/>
    </row>
    <row r="1958" spans="3:4" ht="15.75" customHeight="1">
      <c r="C1958" s="149"/>
      <c r="D1958" s="149"/>
    </row>
    <row r="1959" spans="3:4" ht="15.75" customHeight="1">
      <c r="C1959" s="149"/>
      <c r="D1959" s="149"/>
    </row>
    <row r="1960" spans="3:4" ht="15.75" customHeight="1">
      <c r="C1960" s="149"/>
      <c r="D1960" s="149"/>
    </row>
    <row r="1961" spans="3:4" ht="15.75" customHeight="1">
      <c r="C1961" s="149"/>
      <c r="D1961" s="149"/>
    </row>
    <row r="1962" spans="3:4" ht="15.75" customHeight="1">
      <c r="C1962" s="149"/>
      <c r="D1962" s="149"/>
    </row>
    <row r="1963" spans="3:4" ht="15.75" customHeight="1">
      <c r="C1963" s="149"/>
      <c r="D1963" s="149"/>
    </row>
    <row r="1964" spans="3:4" ht="15.75" customHeight="1">
      <c r="C1964" s="149"/>
      <c r="D1964" s="149"/>
    </row>
    <row r="1965" spans="3:4" ht="15.75" customHeight="1">
      <c r="C1965" s="149"/>
      <c r="D1965" s="149"/>
    </row>
    <row r="1966" spans="3:4" ht="15.75" customHeight="1">
      <c r="C1966" s="149"/>
      <c r="D1966" s="149"/>
    </row>
    <row r="1967" spans="3:4" ht="15.75" customHeight="1">
      <c r="C1967" s="149"/>
      <c r="D1967" s="149"/>
    </row>
    <row r="1968" spans="3:4" ht="15.75" customHeight="1">
      <c r="C1968" s="149"/>
      <c r="D1968" s="149"/>
    </row>
    <row r="1969" spans="3:4" ht="15.75" customHeight="1">
      <c r="C1969" s="149"/>
      <c r="D1969" s="149"/>
    </row>
    <row r="1970" spans="3:4" ht="15.75" customHeight="1">
      <c r="C1970" s="149"/>
      <c r="D1970" s="149"/>
    </row>
    <row r="1971" spans="3:4" ht="15.75" customHeight="1">
      <c r="C1971" s="149"/>
      <c r="D1971" s="149"/>
    </row>
    <row r="1972" spans="3:4" ht="15.75" customHeight="1">
      <c r="C1972" s="149"/>
      <c r="D1972" s="149"/>
    </row>
    <row r="1973" spans="3:4" ht="15.75" customHeight="1">
      <c r="C1973" s="149"/>
      <c r="D1973" s="149"/>
    </row>
    <row r="1974" spans="3:4" ht="15.75" customHeight="1">
      <c r="C1974" s="149"/>
      <c r="D1974" s="149"/>
    </row>
    <row r="1975" spans="3:4" ht="15.75" customHeight="1">
      <c r="C1975" s="149"/>
      <c r="D1975" s="149"/>
    </row>
    <row r="1976" spans="3:4" ht="15.75" customHeight="1">
      <c r="C1976" s="149"/>
      <c r="D1976" s="149"/>
    </row>
    <row r="1977" spans="3:4" ht="15.75" customHeight="1">
      <c r="C1977" s="149"/>
      <c r="D1977" s="149"/>
    </row>
    <row r="1978" spans="3:4" ht="15.75" customHeight="1">
      <c r="C1978" s="149"/>
      <c r="D1978" s="149"/>
    </row>
    <row r="1979" spans="3:4" ht="15.75" customHeight="1">
      <c r="C1979" s="149"/>
      <c r="D1979" s="149"/>
    </row>
    <row r="1980" spans="3:4" ht="15.75" customHeight="1">
      <c r="C1980" s="149"/>
      <c r="D1980" s="149"/>
    </row>
    <row r="1981" spans="3:4" ht="15.75" customHeight="1">
      <c r="C1981" s="149"/>
      <c r="D1981" s="149"/>
    </row>
    <row r="1982" spans="3:4" ht="15.75" customHeight="1">
      <c r="C1982" s="149"/>
      <c r="D1982" s="149"/>
    </row>
    <row r="1983" spans="3:4" ht="15.75" customHeight="1">
      <c r="C1983" s="149"/>
      <c r="D1983" s="149"/>
    </row>
    <row r="1984" spans="3:4" ht="15.75" customHeight="1">
      <c r="C1984" s="149"/>
      <c r="D1984" s="149"/>
    </row>
    <row r="1985" spans="3:4" ht="15.75" customHeight="1">
      <c r="C1985" s="149"/>
      <c r="D1985" s="149"/>
    </row>
    <row r="1986" spans="3:4" ht="15.75" customHeight="1">
      <c r="C1986" s="149"/>
      <c r="D1986" s="149"/>
    </row>
    <row r="1987" spans="3:4" ht="15.75" customHeight="1">
      <c r="C1987" s="149"/>
      <c r="D1987" s="149"/>
    </row>
    <row r="1988" spans="3:4" ht="15.75" customHeight="1">
      <c r="C1988" s="149"/>
      <c r="D1988" s="149"/>
    </row>
    <row r="1989" spans="3:4" ht="15.75" customHeight="1">
      <c r="C1989" s="149"/>
      <c r="D1989" s="149"/>
    </row>
    <row r="1990" spans="3:4" ht="15.75" customHeight="1">
      <c r="C1990" s="149"/>
      <c r="D1990" s="149"/>
    </row>
    <row r="1991" spans="3:4" ht="15.75" customHeight="1">
      <c r="C1991" s="149"/>
      <c r="D1991" s="149"/>
    </row>
    <row r="1992" spans="3:4" ht="15.75" customHeight="1">
      <c r="C1992" s="149"/>
      <c r="D1992" s="149"/>
    </row>
    <row r="1993" spans="3:4" ht="15.75" customHeight="1">
      <c r="C1993" s="149"/>
      <c r="D1993" s="149"/>
    </row>
    <row r="1994" spans="3:4" ht="15.75" customHeight="1">
      <c r="C1994" s="149"/>
      <c r="D1994" s="149"/>
    </row>
    <row r="1995" spans="3:4" ht="15.75" customHeight="1">
      <c r="C1995" s="149"/>
      <c r="D1995" s="149"/>
    </row>
    <row r="1996" spans="3:4" ht="15.75" customHeight="1">
      <c r="C1996" s="149"/>
      <c r="D1996" s="149"/>
    </row>
    <row r="1997" spans="3:4" ht="15.75" customHeight="1">
      <c r="C1997" s="149"/>
      <c r="D1997" s="149"/>
    </row>
    <row r="1998" spans="3:4" ht="15.75" customHeight="1">
      <c r="C1998" s="149"/>
      <c r="D1998" s="149"/>
    </row>
    <row r="1999" spans="3:4" ht="15.75" customHeight="1">
      <c r="C1999" s="149"/>
      <c r="D1999" s="149"/>
    </row>
    <row r="2000" spans="3:4" ht="15.75" customHeight="1">
      <c r="C2000" s="149"/>
      <c r="D2000" s="149"/>
    </row>
    <row r="2001" spans="3:4" ht="15.75" customHeight="1">
      <c r="C2001" s="149"/>
      <c r="D2001" s="149"/>
    </row>
    <row r="2002" spans="3:4" ht="15.75" customHeight="1">
      <c r="C2002" s="149"/>
      <c r="D2002" s="149"/>
    </row>
    <row r="2003" spans="3:4" ht="15.75" customHeight="1">
      <c r="C2003" s="149"/>
      <c r="D2003" s="149"/>
    </row>
    <row r="2004" spans="3:4" ht="15.75" customHeight="1">
      <c r="C2004" s="149"/>
      <c r="D2004" s="149"/>
    </row>
    <row r="2005" spans="3:4" ht="15.75" customHeight="1">
      <c r="C2005" s="149"/>
      <c r="D2005" s="149"/>
    </row>
    <row r="2006" spans="3:4" ht="15.75" customHeight="1">
      <c r="C2006" s="149"/>
      <c r="D2006" s="149"/>
    </row>
    <row r="2007" spans="3:4" ht="15.75" customHeight="1">
      <c r="C2007" s="149"/>
      <c r="D2007" s="149"/>
    </row>
    <row r="2008" spans="3:4" ht="15.75" customHeight="1">
      <c r="C2008" s="149"/>
      <c r="D2008" s="149"/>
    </row>
    <row r="2009" spans="3:4" ht="15.75" customHeight="1">
      <c r="C2009" s="149"/>
      <c r="D2009" s="149"/>
    </row>
    <row r="2010" spans="3:4" ht="15.75" customHeight="1">
      <c r="C2010" s="149"/>
      <c r="D2010" s="149"/>
    </row>
    <row r="2011" spans="3:4" ht="15.75" customHeight="1">
      <c r="C2011" s="149"/>
      <c r="D2011" s="149"/>
    </row>
    <row r="2012" spans="3:4" ht="15.75" customHeight="1">
      <c r="C2012" s="149"/>
      <c r="D2012" s="149"/>
    </row>
    <row r="2013" spans="3:4" ht="15.75" customHeight="1">
      <c r="C2013" s="149"/>
      <c r="D2013" s="149"/>
    </row>
    <row r="2014" spans="3:4" ht="15.75" customHeight="1">
      <c r="C2014" s="149"/>
      <c r="D2014" s="149"/>
    </row>
    <row r="2015" spans="3:4" ht="15.75" customHeight="1">
      <c r="C2015" s="149"/>
      <c r="D2015" s="149"/>
    </row>
    <row r="2016" spans="3:4" ht="15.75" customHeight="1">
      <c r="C2016" s="149"/>
      <c r="D2016" s="149"/>
    </row>
    <row r="2017" spans="3:4" ht="15.75" customHeight="1">
      <c r="C2017" s="149"/>
      <c r="D2017" s="149"/>
    </row>
    <row r="2018" spans="3:4" ht="15.75" customHeight="1">
      <c r="C2018" s="149"/>
      <c r="D2018" s="149"/>
    </row>
    <row r="2019" spans="3:4" ht="15.75" customHeight="1">
      <c r="C2019" s="149"/>
      <c r="D2019" s="149"/>
    </row>
    <row r="2020" spans="3:4" ht="15.75" customHeight="1">
      <c r="C2020" s="149"/>
      <c r="D2020" s="149"/>
    </row>
    <row r="2021" spans="3:4" ht="15.75" customHeight="1">
      <c r="C2021" s="149"/>
      <c r="D2021" s="149"/>
    </row>
    <row r="2022" spans="3:4" ht="15.75" customHeight="1">
      <c r="C2022" s="149"/>
      <c r="D2022" s="149"/>
    </row>
    <row r="2023" spans="3:4" ht="15.75" customHeight="1">
      <c r="C2023" s="149"/>
      <c r="D2023" s="149"/>
    </row>
    <row r="2024" spans="3:4" ht="15.75" customHeight="1">
      <c r="C2024" s="149"/>
      <c r="D2024" s="149"/>
    </row>
    <row r="2025" spans="3:4" ht="15.75" customHeight="1">
      <c r="C2025" s="149"/>
      <c r="D2025" s="149"/>
    </row>
    <row r="2026" spans="3:4" ht="15.75" customHeight="1">
      <c r="C2026" s="149"/>
      <c r="D2026" s="149"/>
    </row>
    <row r="2027" spans="3:4" ht="15.75" customHeight="1">
      <c r="C2027" s="149"/>
      <c r="D2027" s="149"/>
    </row>
    <row r="2028" spans="3:4" ht="15.75" customHeight="1">
      <c r="C2028" s="149"/>
      <c r="D2028" s="149"/>
    </row>
    <row r="2029" spans="3:4" ht="15.75" customHeight="1">
      <c r="C2029" s="149"/>
      <c r="D2029" s="149"/>
    </row>
    <row r="2030" spans="3:4" ht="15.75" customHeight="1">
      <c r="C2030" s="149"/>
      <c r="D2030" s="149"/>
    </row>
    <row r="2031" spans="3:4" ht="15.75" customHeight="1">
      <c r="C2031" s="149"/>
      <c r="D2031" s="149"/>
    </row>
    <row r="2032" spans="3:4" ht="15.75" customHeight="1">
      <c r="C2032" s="149"/>
      <c r="D2032" s="149"/>
    </row>
    <row r="2033" spans="3:4" ht="15.75" customHeight="1">
      <c r="C2033" s="149"/>
      <c r="D2033" s="149"/>
    </row>
    <row r="2034" spans="3:4" ht="15.75" customHeight="1">
      <c r="C2034" s="149"/>
      <c r="D2034" s="149"/>
    </row>
    <row r="2035" spans="3:4" ht="15.75" customHeight="1">
      <c r="C2035" s="149"/>
      <c r="D2035" s="149"/>
    </row>
    <row r="2036" spans="3:4" ht="15.75" customHeight="1">
      <c r="C2036" s="149"/>
      <c r="D2036" s="149"/>
    </row>
    <row r="2037" spans="3:4" ht="15.75" customHeight="1">
      <c r="C2037" s="149"/>
      <c r="D2037" s="149"/>
    </row>
    <row r="2038" spans="3:4" ht="15.75" customHeight="1">
      <c r="C2038" s="149"/>
      <c r="D2038" s="149"/>
    </row>
    <row r="2039" spans="3:4" ht="15.75" customHeight="1">
      <c r="C2039" s="149"/>
      <c r="D2039" s="149"/>
    </row>
    <row r="2040" spans="3:4" ht="15.75" customHeight="1">
      <c r="C2040" s="149"/>
      <c r="D2040" s="149"/>
    </row>
    <row r="2041" spans="3:4" ht="15.75" customHeight="1">
      <c r="C2041" s="149"/>
      <c r="D2041" s="149"/>
    </row>
    <row r="2042" spans="3:4" ht="15.75" customHeight="1">
      <c r="C2042" s="149"/>
      <c r="D2042" s="149"/>
    </row>
    <row r="2043" spans="3:4" ht="15.75" customHeight="1">
      <c r="C2043" s="149"/>
      <c r="D2043" s="149"/>
    </row>
    <row r="2044" spans="3:4" ht="15.75" customHeight="1">
      <c r="C2044" s="149"/>
      <c r="D2044" s="149"/>
    </row>
    <row r="2045" spans="3:4" ht="15.75" customHeight="1">
      <c r="C2045" s="149"/>
      <c r="D2045" s="149"/>
    </row>
    <row r="2046" spans="3:4" ht="15.75" customHeight="1">
      <c r="C2046" s="149"/>
      <c r="D2046" s="149"/>
    </row>
    <row r="2047" spans="3:4" ht="15.75" customHeight="1">
      <c r="C2047" s="149"/>
      <c r="D2047" s="149"/>
    </row>
    <row r="2048" spans="3:4" ht="15.75" customHeight="1">
      <c r="C2048" s="149"/>
      <c r="D2048" s="149"/>
    </row>
    <row r="2049" spans="3:4" ht="15.75" customHeight="1">
      <c r="C2049" s="149"/>
      <c r="D2049" s="149"/>
    </row>
    <row r="2050" spans="3:4" ht="15.75" customHeight="1">
      <c r="C2050" s="149"/>
      <c r="D2050" s="149"/>
    </row>
    <row r="2051" spans="3:4" ht="15.75" customHeight="1">
      <c r="C2051" s="149"/>
      <c r="D2051" s="149"/>
    </row>
    <row r="2052" spans="3:4" ht="15.75" customHeight="1">
      <c r="C2052" s="149"/>
      <c r="D2052" s="149"/>
    </row>
    <row r="2053" spans="3:4" ht="15.75" customHeight="1">
      <c r="C2053" s="149"/>
      <c r="D2053" s="149"/>
    </row>
    <row r="2054" spans="3:4" ht="15.75" customHeight="1">
      <c r="C2054" s="149"/>
      <c r="D2054" s="149"/>
    </row>
    <row r="2055" spans="3:4" ht="15.75" customHeight="1">
      <c r="C2055" s="149"/>
      <c r="D2055" s="149"/>
    </row>
    <row r="2056" spans="3:4" ht="15.75" customHeight="1">
      <c r="C2056" s="149"/>
      <c r="D2056" s="149"/>
    </row>
    <row r="2057" spans="3:4" ht="15.75" customHeight="1">
      <c r="C2057" s="149"/>
      <c r="D2057" s="149"/>
    </row>
    <row r="2058" spans="3:4" ht="15.75" customHeight="1">
      <c r="C2058" s="149"/>
      <c r="D2058" s="149"/>
    </row>
    <row r="2059" spans="3:4" ht="15.75" customHeight="1">
      <c r="C2059" s="149"/>
      <c r="D2059" s="149"/>
    </row>
    <row r="2060" spans="3:4" ht="15.75" customHeight="1">
      <c r="C2060" s="149"/>
      <c r="D2060" s="149"/>
    </row>
    <row r="2061" spans="3:4" ht="15.75" customHeight="1">
      <c r="C2061" s="149"/>
      <c r="D2061" s="149"/>
    </row>
    <row r="2062" spans="3:4" ht="15.75" customHeight="1">
      <c r="C2062" s="149"/>
      <c r="D2062" s="149"/>
    </row>
    <row r="2063" spans="3:4" ht="15.75" customHeight="1">
      <c r="C2063" s="149"/>
      <c r="D2063" s="149"/>
    </row>
    <row r="2064" spans="3:4" ht="15.75" customHeight="1">
      <c r="C2064" s="149"/>
      <c r="D2064" s="149"/>
    </row>
    <row r="2065" spans="3:4" ht="15.75" customHeight="1">
      <c r="C2065" s="149"/>
      <c r="D2065" s="149"/>
    </row>
    <row r="2066" spans="3:4" ht="15.75" customHeight="1">
      <c r="C2066" s="149"/>
      <c r="D2066" s="149"/>
    </row>
    <row r="2067" spans="3:4" ht="15.75" customHeight="1">
      <c r="C2067" s="149"/>
      <c r="D2067" s="149"/>
    </row>
    <row r="2068" spans="3:4" ht="15.75" customHeight="1">
      <c r="C2068" s="149"/>
      <c r="D2068" s="149"/>
    </row>
    <row r="2069" spans="3:4" ht="15.75" customHeight="1">
      <c r="C2069" s="149"/>
      <c r="D2069" s="149"/>
    </row>
    <row r="2070" spans="3:4" ht="15.75" customHeight="1">
      <c r="C2070" s="149"/>
      <c r="D2070" s="149"/>
    </row>
    <row r="2071" spans="3:4" ht="15.75" customHeight="1">
      <c r="C2071" s="149"/>
      <c r="D2071" s="149"/>
    </row>
    <row r="2072" spans="3:4" ht="15.75" customHeight="1">
      <c r="C2072" s="149"/>
      <c r="D2072" s="149"/>
    </row>
    <row r="2073" spans="3:4" ht="15.75" customHeight="1">
      <c r="C2073" s="149"/>
      <c r="D2073" s="149"/>
    </row>
    <row r="2074" spans="3:4" ht="15.75" customHeight="1">
      <c r="C2074" s="149"/>
      <c r="D2074" s="149"/>
    </row>
    <row r="2075" spans="3:4" ht="15.75" customHeight="1">
      <c r="C2075" s="149"/>
      <c r="D2075" s="149"/>
    </row>
    <row r="2076" spans="3:4" ht="15.75" customHeight="1">
      <c r="C2076" s="149"/>
      <c r="D2076" s="149"/>
    </row>
    <row r="2077" spans="3:4" ht="15.75" customHeight="1">
      <c r="C2077" s="149"/>
      <c r="D2077" s="149"/>
    </row>
    <row r="2078" spans="3:4" ht="15.75" customHeight="1">
      <c r="C2078" s="149"/>
      <c r="D2078" s="149"/>
    </row>
    <row r="2079" spans="3:4" ht="15.75" customHeight="1">
      <c r="C2079" s="149"/>
      <c r="D2079" s="149"/>
    </row>
    <row r="2080" spans="3:4" ht="15.75" customHeight="1">
      <c r="C2080" s="149"/>
      <c r="D2080" s="149"/>
    </row>
    <row r="2081" spans="3:4" ht="15.75" customHeight="1">
      <c r="C2081" s="149"/>
      <c r="D2081" s="149"/>
    </row>
    <row r="2082" spans="3:4" ht="15.75" customHeight="1">
      <c r="C2082" s="149"/>
      <c r="D2082" s="149"/>
    </row>
    <row r="2083" spans="3:4" ht="15.75" customHeight="1">
      <c r="C2083" s="149"/>
      <c r="D2083" s="149"/>
    </row>
    <row r="2084" spans="3:4" ht="15.75" customHeight="1">
      <c r="C2084" s="149"/>
      <c r="D2084" s="149"/>
    </row>
    <row r="2085" spans="3:4" ht="15.75" customHeight="1">
      <c r="C2085" s="149"/>
      <c r="D2085" s="149"/>
    </row>
    <row r="2086" spans="3:4" ht="15.75" customHeight="1">
      <c r="C2086" s="149"/>
      <c r="D2086" s="149"/>
    </row>
    <row r="2087" spans="3:4" ht="15.75" customHeight="1">
      <c r="C2087" s="149"/>
      <c r="D2087" s="149"/>
    </row>
    <row r="2088" spans="3:4" ht="15.75" customHeight="1">
      <c r="C2088" s="149"/>
      <c r="D2088" s="149"/>
    </row>
    <row r="2089" spans="3:4" ht="15.75" customHeight="1">
      <c r="C2089" s="149"/>
      <c r="D2089" s="149"/>
    </row>
    <row r="2090" spans="3:4" ht="15.75" customHeight="1">
      <c r="C2090" s="149"/>
      <c r="D2090" s="149"/>
    </row>
    <row r="2091" spans="3:4" ht="15.75" customHeight="1">
      <c r="C2091" s="149"/>
      <c r="D2091" s="149"/>
    </row>
    <row r="2092" spans="3:4" ht="15.75" customHeight="1">
      <c r="C2092" s="149"/>
      <c r="D2092" s="149"/>
    </row>
    <row r="2093" spans="3:4" ht="15.75" customHeight="1">
      <c r="C2093" s="149"/>
      <c r="D2093" s="149"/>
    </row>
    <row r="2094" spans="3:4" ht="15.75" customHeight="1">
      <c r="C2094" s="149"/>
      <c r="D2094" s="149"/>
    </row>
    <row r="2095" spans="3:4" ht="15.75" customHeight="1">
      <c r="C2095" s="149"/>
      <c r="D2095" s="149"/>
    </row>
    <row r="2096" spans="3:4" ht="15.75" customHeight="1">
      <c r="C2096" s="149"/>
      <c r="D2096" s="149"/>
    </row>
    <row r="2097" spans="3:4" ht="15.75" customHeight="1">
      <c r="C2097" s="149"/>
      <c r="D2097" s="149"/>
    </row>
    <row r="2098" spans="3:4" ht="15.75" customHeight="1">
      <c r="C2098" s="149"/>
      <c r="D2098" s="149"/>
    </row>
    <row r="2099" spans="3:4" ht="15.75" customHeight="1">
      <c r="C2099" s="149"/>
      <c r="D2099" s="149"/>
    </row>
    <row r="2100" spans="3:4" ht="15.75" customHeight="1">
      <c r="C2100" s="149"/>
      <c r="D2100" s="149"/>
    </row>
    <row r="2101" spans="3:4" ht="15.75" customHeight="1">
      <c r="C2101" s="149"/>
      <c r="D2101" s="149"/>
    </row>
    <row r="2102" spans="3:4" ht="15.75" customHeight="1">
      <c r="C2102" s="149"/>
      <c r="D2102" s="149"/>
    </row>
    <row r="2103" spans="3:4" ht="15.75" customHeight="1">
      <c r="C2103" s="149"/>
      <c r="D2103" s="149"/>
    </row>
    <row r="2104" spans="3:4" ht="15.75" customHeight="1">
      <c r="C2104" s="149"/>
      <c r="D2104" s="149"/>
    </row>
    <row r="2105" spans="3:4" ht="15.75" customHeight="1">
      <c r="C2105" s="149"/>
      <c r="D2105" s="149"/>
    </row>
    <row r="2106" spans="3:4" ht="15.75" customHeight="1">
      <c r="C2106" s="149"/>
      <c r="D2106" s="149"/>
    </row>
    <row r="2107" spans="3:4" ht="15.75" customHeight="1">
      <c r="C2107" s="149"/>
      <c r="D2107" s="149"/>
    </row>
    <row r="2108" spans="3:4" ht="15.75" customHeight="1">
      <c r="C2108" s="149"/>
      <c r="D2108" s="149"/>
    </row>
    <row r="2109" spans="3:4" ht="15.75" customHeight="1">
      <c r="C2109" s="149"/>
      <c r="D2109" s="149"/>
    </row>
    <row r="2110" spans="3:4" ht="15.75" customHeight="1">
      <c r="C2110" s="149"/>
      <c r="D2110" s="149"/>
    </row>
    <row r="2111" spans="3:4" ht="15.75" customHeight="1">
      <c r="C2111" s="149"/>
      <c r="D2111" s="149"/>
    </row>
    <row r="2112" spans="3:4" ht="15.75" customHeight="1">
      <c r="C2112" s="149"/>
      <c r="D2112" s="149"/>
    </row>
    <row r="2113" spans="3:4" ht="15.75" customHeight="1">
      <c r="C2113" s="149"/>
      <c r="D2113" s="149"/>
    </row>
    <row r="2114" spans="3:4" ht="15.75" customHeight="1">
      <c r="C2114" s="149"/>
      <c r="D2114" s="149"/>
    </row>
    <row r="2115" spans="3:4" ht="15.75" customHeight="1">
      <c r="C2115" s="149"/>
      <c r="D2115" s="149"/>
    </row>
    <row r="2116" spans="3:4" ht="15.75" customHeight="1">
      <c r="C2116" s="149"/>
      <c r="D2116" s="149"/>
    </row>
    <row r="2117" spans="3:4" ht="15.75" customHeight="1">
      <c r="C2117" s="149"/>
      <c r="D2117" s="149"/>
    </row>
    <row r="2118" spans="3:4" ht="15.75" customHeight="1">
      <c r="C2118" s="149"/>
      <c r="D2118" s="149"/>
    </row>
    <row r="2119" spans="3:4" ht="15.75" customHeight="1">
      <c r="C2119" s="149"/>
      <c r="D2119" s="149"/>
    </row>
    <row r="2120" spans="3:4" ht="15.75" customHeight="1">
      <c r="C2120" s="149"/>
      <c r="D2120" s="149"/>
    </row>
    <row r="2121" spans="3:4" ht="15.75" customHeight="1">
      <c r="C2121" s="149"/>
      <c r="D2121" s="149"/>
    </row>
    <row r="2122" spans="3:4" ht="15.75" customHeight="1">
      <c r="C2122" s="149"/>
      <c r="D2122" s="149"/>
    </row>
    <row r="2123" spans="3:4" ht="15.75" customHeight="1">
      <c r="C2123" s="149"/>
      <c r="D2123" s="149"/>
    </row>
    <row r="2124" spans="3:4" ht="15.75" customHeight="1">
      <c r="C2124" s="149"/>
      <c r="D2124" s="149"/>
    </row>
    <row r="2125" spans="3:4" ht="15.75" customHeight="1">
      <c r="C2125" s="149"/>
      <c r="D2125" s="149"/>
    </row>
    <row r="2126" spans="3:4" ht="15.75" customHeight="1">
      <c r="C2126" s="149"/>
      <c r="D2126" s="149"/>
    </row>
    <row r="2127" spans="3:4" ht="15.75" customHeight="1">
      <c r="C2127" s="149"/>
      <c r="D2127" s="149"/>
    </row>
    <row r="2128" spans="3:4" ht="15.75" customHeight="1">
      <c r="C2128" s="149"/>
      <c r="D2128" s="149"/>
    </row>
    <row r="2129" spans="3:4" ht="15.75" customHeight="1">
      <c r="C2129" s="149"/>
      <c r="D2129" s="149"/>
    </row>
    <row r="2130" spans="3:4" ht="15.75" customHeight="1">
      <c r="C2130" s="149"/>
      <c r="D2130" s="149"/>
    </row>
    <row r="2131" spans="3:4" ht="15.75" customHeight="1">
      <c r="C2131" s="149"/>
      <c r="D2131" s="149"/>
    </row>
    <row r="2132" spans="3:4" ht="15.75" customHeight="1">
      <c r="C2132" s="149"/>
      <c r="D2132" s="149"/>
    </row>
    <row r="2133" spans="3:4" ht="15.75" customHeight="1">
      <c r="C2133" s="149"/>
      <c r="D2133" s="149"/>
    </row>
    <row r="2134" spans="3:4" ht="15.75" customHeight="1">
      <c r="C2134" s="149"/>
      <c r="D2134" s="149"/>
    </row>
    <row r="2135" spans="3:4" ht="15.75" customHeight="1">
      <c r="C2135" s="149"/>
      <c r="D2135" s="149"/>
    </row>
    <row r="2136" spans="3:4" ht="15.75" customHeight="1">
      <c r="C2136" s="149"/>
      <c r="D2136" s="149"/>
    </row>
    <row r="2137" spans="3:4" ht="15.75" customHeight="1">
      <c r="C2137" s="149"/>
      <c r="D2137" s="149"/>
    </row>
    <row r="2138" spans="3:4" ht="15.75" customHeight="1">
      <c r="C2138" s="149"/>
      <c r="D2138" s="149"/>
    </row>
    <row r="2139" spans="3:4" ht="15.75" customHeight="1">
      <c r="C2139" s="149"/>
      <c r="D2139" s="149"/>
    </row>
    <row r="2140" spans="3:4" ht="15.75" customHeight="1">
      <c r="C2140" s="149"/>
      <c r="D2140" s="149"/>
    </row>
    <row r="2141" spans="3:4" ht="15.75" customHeight="1">
      <c r="C2141" s="149"/>
      <c r="D2141" s="149"/>
    </row>
    <row r="2142" spans="3:4" ht="15.75" customHeight="1">
      <c r="C2142" s="149"/>
      <c r="D2142" s="149"/>
    </row>
    <row r="2143" spans="3:4" ht="15.75" customHeight="1">
      <c r="C2143" s="149"/>
      <c r="D2143" s="149"/>
    </row>
    <row r="2144" spans="3:4" ht="15.75" customHeight="1">
      <c r="C2144" s="149"/>
      <c r="D2144" s="149"/>
    </row>
    <row r="2145" spans="3:4" ht="15.75" customHeight="1">
      <c r="C2145" s="149"/>
      <c r="D2145" s="149"/>
    </row>
    <row r="2146" spans="3:4" ht="15.75" customHeight="1">
      <c r="C2146" s="149"/>
      <c r="D2146" s="149"/>
    </row>
    <row r="2147" spans="3:4" ht="15.75" customHeight="1">
      <c r="C2147" s="149"/>
      <c r="D2147" s="149"/>
    </row>
    <row r="2148" spans="3:4" ht="15.75" customHeight="1">
      <c r="C2148" s="149"/>
      <c r="D2148" s="149"/>
    </row>
    <row r="2149" spans="3:4" ht="15.75" customHeight="1">
      <c r="C2149" s="149"/>
      <c r="D2149" s="149"/>
    </row>
    <row r="2150" spans="3:4" ht="15.75" customHeight="1">
      <c r="C2150" s="149"/>
      <c r="D2150" s="149"/>
    </row>
    <row r="2151" spans="3:4" ht="15.75" customHeight="1">
      <c r="C2151" s="149"/>
      <c r="D2151" s="149"/>
    </row>
    <row r="2152" spans="3:4" ht="15.75" customHeight="1">
      <c r="C2152" s="149"/>
      <c r="D2152" s="149"/>
    </row>
    <row r="2153" spans="3:4" ht="15.75" customHeight="1">
      <c r="C2153" s="149"/>
      <c r="D2153" s="149"/>
    </row>
    <row r="2154" spans="3:4" ht="15.75" customHeight="1">
      <c r="C2154" s="149"/>
      <c r="D2154" s="149"/>
    </row>
    <row r="2155" spans="3:4" ht="15.75" customHeight="1">
      <c r="C2155" s="149"/>
      <c r="D2155" s="149"/>
    </row>
    <row r="2156" spans="3:4" ht="15.75" customHeight="1">
      <c r="C2156" s="149"/>
      <c r="D2156" s="149"/>
    </row>
    <row r="2157" spans="3:4" ht="15.75" customHeight="1">
      <c r="C2157" s="149"/>
      <c r="D2157" s="149"/>
    </row>
    <row r="2158" spans="3:4" ht="15.75" customHeight="1">
      <c r="C2158" s="149"/>
      <c r="D2158" s="149"/>
    </row>
    <row r="2159" spans="3:4" ht="15.75" customHeight="1">
      <c r="C2159" s="149"/>
      <c r="D2159" s="149"/>
    </row>
    <row r="2160" spans="3:4" ht="15.75" customHeight="1">
      <c r="C2160" s="149"/>
      <c r="D2160" s="149"/>
    </row>
    <row r="2161" spans="3:4" ht="15.75" customHeight="1">
      <c r="C2161" s="149"/>
      <c r="D2161" s="149"/>
    </row>
    <row r="2162" spans="3:4" ht="15.75" customHeight="1">
      <c r="C2162" s="149"/>
      <c r="D2162" s="149"/>
    </row>
    <row r="2163" spans="3:4" ht="15.75" customHeight="1">
      <c r="C2163" s="149"/>
      <c r="D2163" s="149"/>
    </row>
    <row r="2164" spans="3:4" ht="15.75" customHeight="1">
      <c r="C2164" s="149"/>
      <c r="D2164" s="149"/>
    </row>
    <row r="2165" spans="3:4" ht="15.75" customHeight="1">
      <c r="C2165" s="149"/>
      <c r="D2165" s="149"/>
    </row>
    <row r="2166" spans="3:4" ht="15.75" customHeight="1">
      <c r="C2166" s="149"/>
      <c r="D2166" s="149"/>
    </row>
    <row r="2167" spans="3:4" ht="15.75" customHeight="1">
      <c r="C2167" s="149"/>
      <c r="D2167" s="149"/>
    </row>
    <row r="2168" spans="3:4" ht="15.75" customHeight="1">
      <c r="C2168" s="149"/>
      <c r="D2168" s="149"/>
    </row>
    <row r="2169" spans="3:4" ht="15.75" customHeight="1">
      <c r="C2169" s="149"/>
      <c r="D2169" s="149"/>
    </row>
    <row r="2170" spans="3:4" ht="15.75" customHeight="1">
      <c r="C2170" s="149"/>
      <c r="D2170" s="149"/>
    </row>
    <row r="2171" spans="3:4" ht="15.75" customHeight="1">
      <c r="C2171" s="149"/>
      <c r="D2171" s="149"/>
    </row>
    <row r="2172" spans="3:4" ht="15.75" customHeight="1">
      <c r="C2172" s="149"/>
      <c r="D2172" s="149"/>
    </row>
    <row r="2173" spans="3:4" ht="15.75" customHeight="1">
      <c r="C2173" s="149"/>
      <c r="D2173" s="149"/>
    </row>
    <row r="2174" spans="3:4" ht="15.75" customHeight="1">
      <c r="C2174" s="149"/>
      <c r="D2174" s="149"/>
    </row>
    <row r="2175" spans="3:4" ht="15.75" customHeight="1">
      <c r="C2175" s="149"/>
      <c r="D2175" s="149"/>
    </row>
    <row r="2176" spans="3:4" ht="15.75" customHeight="1">
      <c r="C2176" s="149"/>
      <c r="D2176" s="149"/>
    </row>
    <row r="2177" spans="3:4" ht="15.75" customHeight="1">
      <c r="C2177" s="149"/>
      <c r="D2177" s="149"/>
    </row>
    <row r="2178" spans="3:4" ht="15.75" customHeight="1">
      <c r="C2178" s="149"/>
      <c r="D2178" s="149"/>
    </row>
    <row r="2179" spans="3:4" ht="15.75" customHeight="1">
      <c r="C2179" s="149"/>
      <c r="D2179" s="149"/>
    </row>
    <row r="2180" spans="3:4" ht="15.75" customHeight="1">
      <c r="C2180" s="149"/>
      <c r="D2180" s="149"/>
    </row>
    <row r="2181" spans="3:4" ht="15.75" customHeight="1">
      <c r="C2181" s="149"/>
      <c r="D2181" s="149"/>
    </row>
    <row r="2182" spans="3:4" ht="15.75" customHeight="1">
      <c r="C2182" s="149"/>
      <c r="D2182" s="149"/>
    </row>
    <row r="2183" spans="3:4" ht="15.75" customHeight="1">
      <c r="C2183" s="149"/>
      <c r="D2183" s="149"/>
    </row>
    <row r="2184" spans="3:4" ht="15.75" customHeight="1">
      <c r="C2184" s="149"/>
      <c r="D2184" s="149"/>
    </row>
    <row r="2185" spans="3:4" ht="15.75" customHeight="1">
      <c r="C2185" s="149"/>
      <c r="D2185" s="149"/>
    </row>
    <row r="2186" spans="3:4" ht="15.75" customHeight="1">
      <c r="C2186" s="149"/>
      <c r="D2186" s="149"/>
    </row>
    <row r="2187" spans="3:4" ht="15.75" customHeight="1">
      <c r="C2187" s="149"/>
      <c r="D2187" s="149"/>
    </row>
    <row r="2188" spans="3:4" ht="15.75" customHeight="1">
      <c r="C2188" s="149"/>
      <c r="D2188" s="149"/>
    </row>
    <row r="2189" spans="3:4" ht="15.75" customHeight="1">
      <c r="C2189" s="149"/>
      <c r="D2189" s="149"/>
    </row>
    <row r="2190" spans="3:4" ht="15.75" customHeight="1">
      <c r="C2190" s="149"/>
      <c r="D2190" s="149"/>
    </row>
    <row r="2191" spans="3:4" ht="15.75" customHeight="1">
      <c r="C2191" s="149"/>
      <c r="D2191" s="149"/>
    </row>
    <row r="2192" spans="3:4" ht="15.75" customHeight="1">
      <c r="C2192" s="149"/>
      <c r="D2192" s="149"/>
    </row>
    <row r="2193" spans="3:4" ht="15.75" customHeight="1">
      <c r="C2193" s="149"/>
      <c r="D2193" s="149"/>
    </row>
    <row r="2194" spans="3:4" ht="15.75" customHeight="1">
      <c r="C2194" s="149"/>
      <c r="D2194" s="149"/>
    </row>
    <row r="2195" spans="3:4" ht="15.75" customHeight="1">
      <c r="C2195" s="149"/>
      <c r="D2195" s="149"/>
    </row>
    <row r="2196" spans="3:4" ht="15" customHeight="1">
      <c r="C2196" s="149"/>
      <c r="D2196" s="149"/>
    </row>
    <row r="2197" spans="3:4" ht="15" customHeight="1">
      <c r="C2197" s="149"/>
      <c r="D2197" s="149"/>
    </row>
    <row r="2198" spans="3:4" ht="15" customHeight="1">
      <c r="C2198" s="149"/>
      <c r="D2198" s="149"/>
    </row>
    <row r="2199" spans="3:4" ht="15" customHeight="1">
      <c r="C2199" s="149"/>
      <c r="D2199" s="149"/>
    </row>
    <row r="2200" spans="3:4" ht="15" customHeight="1">
      <c r="C2200" s="149"/>
      <c r="D2200" s="149"/>
    </row>
    <row r="2201" spans="3:4" ht="15" customHeight="1">
      <c r="C2201" s="149"/>
      <c r="D2201" s="149"/>
    </row>
    <row r="2202" spans="3:4" ht="15" customHeight="1">
      <c r="C2202" s="149"/>
      <c r="D2202" s="149"/>
    </row>
    <row r="2203" spans="3:4" ht="15" customHeight="1">
      <c r="C2203" s="149"/>
      <c r="D2203" s="149"/>
    </row>
    <row r="2204" spans="3:4" ht="15" customHeight="1">
      <c r="C2204" s="149"/>
      <c r="D2204" s="149"/>
    </row>
    <row r="2205" spans="3:4" ht="15" customHeight="1">
      <c r="C2205" s="149"/>
      <c r="D2205" s="149"/>
    </row>
    <row r="2206" spans="3:4" ht="15" customHeight="1">
      <c r="C2206" s="149"/>
      <c r="D2206" s="149"/>
    </row>
    <row r="2207" spans="3:4" ht="15" customHeight="1">
      <c r="C2207" s="149"/>
      <c r="D2207" s="149"/>
    </row>
    <row r="2208" spans="3:4" ht="15" customHeight="1">
      <c r="C2208" s="149"/>
      <c r="D2208" s="149"/>
    </row>
    <row r="2209" spans="3:4" ht="15" customHeight="1">
      <c r="C2209" s="149"/>
      <c r="D2209" s="149"/>
    </row>
    <row r="2210" spans="3:4" ht="15" customHeight="1">
      <c r="C2210" s="149"/>
      <c r="D2210" s="149"/>
    </row>
    <row r="2211" spans="3:4" ht="15" customHeight="1">
      <c r="C2211" s="149"/>
      <c r="D2211" s="149"/>
    </row>
    <row r="2212" spans="3:4" ht="15" customHeight="1">
      <c r="C2212" s="149"/>
      <c r="D2212" s="149"/>
    </row>
    <row r="2213" spans="3:4" ht="15" customHeight="1">
      <c r="C2213" s="149"/>
      <c r="D2213" s="149"/>
    </row>
    <row r="2214" spans="3:4" ht="15" customHeight="1">
      <c r="C2214" s="149"/>
      <c r="D2214" s="149"/>
    </row>
    <row r="2215" spans="3:4" ht="15" customHeight="1">
      <c r="C2215" s="149"/>
      <c r="D2215" s="149"/>
    </row>
    <row r="2216" spans="3:4" ht="15" customHeight="1">
      <c r="C2216" s="149"/>
      <c r="D2216" s="149"/>
    </row>
    <row r="2217" spans="3:4" ht="15" customHeight="1">
      <c r="C2217" s="149"/>
      <c r="D2217" s="149"/>
    </row>
    <row r="2218" spans="3:4" ht="15" customHeight="1">
      <c r="C2218" s="149"/>
      <c r="D2218" s="149"/>
    </row>
    <row r="2219" spans="3:4" ht="15" customHeight="1">
      <c r="C2219" s="149"/>
      <c r="D2219" s="149"/>
    </row>
    <row r="2220" spans="3:4" ht="15" customHeight="1">
      <c r="C2220" s="149"/>
      <c r="D2220" s="149"/>
    </row>
    <row r="2221" spans="3:4" ht="15" customHeight="1">
      <c r="C2221" s="149"/>
      <c r="D2221" s="149"/>
    </row>
    <row r="2222" spans="3:4" ht="15" customHeight="1">
      <c r="C2222" s="149"/>
      <c r="D2222" s="149"/>
    </row>
    <row r="2223" spans="3:4" ht="15" customHeight="1">
      <c r="C2223" s="149"/>
      <c r="D2223" s="149"/>
    </row>
    <row r="2224" spans="3:4" ht="15" customHeight="1">
      <c r="C2224" s="149"/>
      <c r="D2224" s="149"/>
    </row>
    <row r="2225" spans="3:4" ht="15" customHeight="1">
      <c r="C2225" s="149"/>
      <c r="D2225" s="149"/>
    </row>
    <row r="2226" spans="3:4" ht="15" customHeight="1">
      <c r="C2226" s="149"/>
      <c r="D2226" s="149"/>
    </row>
    <row r="2227" spans="3:4" ht="15" customHeight="1">
      <c r="C2227" s="149"/>
      <c r="D2227" s="149"/>
    </row>
    <row r="2228" spans="3:4" ht="15" customHeight="1">
      <c r="C2228" s="149"/>
      <c r="D2228" s="149"/>
    </row>
    <row r="2229" spans="3:4" ht="15" customHeight="1">
      <c r="C2229" s="149"/>
      <c r="D2229" s="149"/>
    </row>
    <row r="2230" spans="3:4" ht="15" customHeight="1">
      <c r="C2230" s="149"/>
      <c r="D2230" s="149"/>
    </row>
    <row r="2231" spans="3:4" ht="15" customHeight="1">
      <c r="C2231" s="149"/>
      <c r="D2231" s="149"/>
    </row>
    <row r="2232" spans="3:4" ht="15" customHeight="1">
      <c r="C2232" s="149"/>
      <c r="D2232" s="149"/>
    </row>
    <row r="2233" spans="3:4" ht="15" customHeight="1">
      <c r="C2233" s="149"/>
      <c r="D2233" s="149"/>
    </row>
    <row r="2234" spans="3:4" ht="15" customHeight="1">
      <c r="C2234" s="149"/>
      <c r="D2234" s="149"/>
    </row>
    <row r="2235" spans="3:4" ht="15" customHeight="1">
      <c r="C2235" s="149"/>
      <c r="D2235" s="149"/>
    </row>
    <row r="2236" spans="3:4" ht="15" customHeight="1">
      <c r="C2236" s="149"/>
      <c r="D2236" s="149"/>
    </row>
    <row r="2237" spans="3:4" ht="15" customHeight="1">
      <c r="C2237" s="149"/>
      <c r="D2237" s="149"/>
    </row>
    <row r="2238" spans="3:4" ht="15" customHeight="1">
      <c r="C2238" s="149"/>
      <c r="D2238" s="149"/>
    </row>
    <row r="2239" spans="3:4" ht="15" customHeight="1">
      <c r="C2239" s="149"/>
      <c r="D2239" s="149"/>
    </row>
    <row r="2240" spans="3:4" ht="15" customHeight="1">
      <c r="C2240" s="149"/>
      <c r="D2240" s="149"/>
    </row>
    <row r="2241" spans="3:4" ht="15" customHeight="1">
      <c r="C2241" s="149"/>
      <c r="D2241" s="149"/>
    </row>
    <row r="2242" spans="3:4" ht="15" customHeight="1">
      <c r="C2242" s="149"/>
      <c r="D2242" s="149"/>
    </row>
    <row r="2243" spans="3:4" ht="15" customHeight="1">
      <c r="C2243" s="149"/>
      <c r="D2243" s="149"/>
    </row>
    <row r="2244" spans="3:4" ht="15" customHeight="1">
      <c r="C2244" s="149"/>
      <c r="D2244" s="149"/>
    </row>
    <row r="2245" spans="3:4" ht="15" customHeight="1">
      <c r="C2245" s="149"/>
      <c r="D2245" s="149"/>
    </row>
    <row r="2246" spans="3:4" ht="15" customHeight="1">
      <c r="C2246" s="149"/>
      <c r="D2246" s="149"/>
    </row>
    <row r="2247" spans="3:4" ht="15" customHeight="1">
      <c r="C2247" s="149"/>
      <c r="D2247" s="149"/>
    </row>
    <row r="2248" spans="3:4" ht="15" customHeight="1">
      <c r="C2248" s="149"/>
      <c r="D2248" s="149"/>
    </row>
    <row r="2249" spans="3:4" ht="15" customHeight="1">
      <c r="C2249" s="149"/>
      <c r="D2249" s="149"/>
    </row>
    <row r="2250" spans="3:4" ht="15" customHeight="1">
      <c r="C2250" s="149"/>
      <c r="D2250" s="149"/>
    </row>
    <row r="2251" spans="3:4" ht="15" customHeight="1">
      <c r="C2251" s="149"/>
      <c r="D2251" s="149"/>
    </row>
    <row r="2252" spans="3:4" ht="15" customHeight="1">
      <c r="C2252" s="149"/>
      <c r="D2252" s="149"/>
    </row>
    <row r="2253" spans="3:4" ht="15" customHeight="1">
      <c r="C2253" s="149"/>
      <c r="D2253" s="149"/>
    </row>
    <row r="2254" spans="3:4" ht="15" customHeight="1">
      <c r="C2254" s="149"/>
      <c r="D2254" s="149"/>
    </row>
    <row r="2255" spans="3:4" ht="15" customHeight="1">
      <c r="C2255" s="149"/>
      <c r="D2255" s="149"/>
    </row>
    <row r="2256" spans="3:4" ht="15" customHeight="1">
      <c r="C2256" s="149"/>
      <c r="D2256" s="149"/>
    </row>
    <row r="2257" spans="3:4" ht="15" customHeight="1">
      <c r="C2257" s="149"/>
      <c r="D2257" s="149"/>
    </row>
    <row r="2258" spans="3:4" ht="15" customHeight="1">
      <c r="C2258" s="149"/>
      <c r="D2258" s="149"/>
    </row>
    <row r="2259" spans="3:4" ht="15" customHeight="1">
      <c r="C2259" s="149"/>
      <c r="D2259" s="149"/>
    </row>
    <row r="2260" spans="3:4" ht="15" customHeight="1">
      <c r="C2260" s="149"/>
      <c r="D2260" s="149"/>
    </row>
    <row r="2261" spans="3:4" ht="15" customHeight="1">
      <c r="C2261" s="149"/>
      <c r="D2261" s="149"/>
    </row>
    <row r="2262" spans="3:4" ht="15" customHeight="1">
      <c r="C2262" s="149"/>
      <c r="D2262" s="149"/>
    </row>
    <row r="2263" spans="3:4" ht="15" customHeight="1">
      <c r="C2263" s="149"/>
      <c r="D2263" s="149"/>
    </row>
    <row r="2264" spans="3:4" ht="15" customHeight="1">
      <c r="C2264" s="149"/>
      <c r="D2264" s="149"/>
    </row>
    <row r="2265" spans="3:4" ht="15" customHeight="1">
      <c r="C2265" s="149"/>
      <c r="D2265" s="149"/>
    </row>
    <row r="2266" spans="3:4" ht="15" customHeight="1">
      <c r="C2266" s="149"/>
      <c r="D2266" s="149"/>
    </row>
    <row r="2267" spans="3:4" ht="15" customHeight="1">
      <c r="C2267" s="149"/>
      <c r="D2267" s="149"/>
    </row>
    <row r="2268" spans="3:4" ht="15" customHeight="1">
      <c r="C2268" s="149"/>
      <c r="D2268" s="149"/>
    </row>
    <row r="2269" spans="3:4" ht="15" customHeight="1">
      <c r="C2269" s="149"/>
      <c r="D2269" s="149"/>
    </row>
    <row r="2270" spans="3:4" ht="15" customHeight="1">
      <c r="C2270" s="149"/>
      <c r="D2270" s="149"/>
    </row>
    <row r="2271" spans="3:4" ht="15" customHeight="1">
      <c r="C2271" s="149"/>
      <c r="D2271" s="149"/>
    </row>
    <row r="2272" spans="3:4" ht="15" customHeight="1">
      <c r="C2272" s="149"/>
      <c r="D2272" s="149"/>
    </row>
    <row r="2273" spans="3:4" ht="15" customHeight="1">
      <c r="C2273" s="149"/>
      <c r="D2273" s="149"/>
    </row>
    <row r="2274" spans="3:4" ht="15" customHeight="1">
      <c r="C2274" s="149"/>
      <c r="D2274" s="149"/>
    </row>
    <row r="2275" spans="3:4" ht="15" customHeight="1">
      <c r="C2275" s="149"/>
      <c r="D2275" s="149"/>
    </row>
    <row r="2276" spans="3:4" ht="15" customHeight="1">
      <c r="C2276" s="149"/>
      <c r="D2276" s="149"/>
    </row>
    <row r="2277" spans="3:4" ht="15" customHeight="1">
      <c r="C2277" s="149"/>
      <c r="D2277" s="149"/>
    </row>
    <row r="2278" spans="3:4" ht="15" customHeight="1">
      <c r="C2278" s="149"/>
      <c r="D2278" s="149"/>
    </row>
    <row r="2279" spans="3:4" ht="15" customHeight="1">
      <c r="C2279" s="149"/>
      <c r="D2279" s="149"/>
    </row>
    <row r="2280" spans="3:4" ht="15" customHeight="1">
      <c r="C2280" s="149"/>
      <c r="D2280" s="149"/>
    </row>
    <row r="2281" spans="3:4" ht="15" customHeight="1">
      <c r="C2281" s="149"/>
      <c r="D2281" s="149"/>
    </row>
    <row r="2282" spans="3:4" ht="15" customHeight="1">
      <c r="C2282" s="149"/>
      <c r="D2282" s="149"/>
    </row>
    <row r="2283" spans="3:4" ht="15" customHeight="1">
      <c r="C2283" s="149"/>
      <c r="D2283" s="149"/>
    </row>
    <row r="2284" spans="3:4" ht="15" customHeight="1">
      <c r="C2284" s="149"/>
      <c r="D2284" s="149"/>
    </row>
    <row r="2285" spans="3:4" ht="15" customHeight="1">
      <c r="C2285" s="149"/>
      <c r="D2285" s="149"/>
    </row>
    <row r="2286" spans="3:4" ht="15" customHeight="1">
      <c r="C2286" s="149"/>
      <c r="D2286" s="149"/>
    </row>
    <row r="2287" spans="3:4" ht="15" customHeight="1">
      <c r="C2287" s="149"/>
      <c r="D2287" s="149"/>
    </row>
    <row r="2288" spans="3:4" ht="15" customHeight="1">
      <c r="C2288" s="149"/>
      <c r="D2288" s="149"/>
    </row>
    <row r="2289" spans="3:4" ht="15" customHeight="1">
      <c r="C2289" s="149"/>
      <c r="D2289" s="149"/>
    </row>
    <row r="2290" spans="3:4" ht="15" customHeight="1">
      <c r="C2290" s="149"/>
      <c r="D2290" s="149"/>
    </row>
    <row r="2291" spans="3:4" ht="15" customHeight="1">
      <c r="C2291" s="149"/>
      <c r="D2291" s="149"/>
    </row>
    <row r="2292" spans="3:4" ht="15" customHeight="1">
      <c r="C2292" s="149"/>
      <c r="D2292" s="149"/>
    </row>
    <row r="2293" spans="3:4" ht="15" customHeight="1">
      <c r="C2293" s="149"/>
      <c r="D2293" s="149"/>
    </row>
    <row r="2294" spans="3:4" ht="15" customHeight="1">
      <c r="C2294" s="149"/>
      <c r="D2294" s="149"/>
    </row>
    <row r="2295" spans="3:4" ht="15" customHeight="1">
      <c r="C2295" s="149"/>
      <c r="D2295" s="149"/>
    </row>
    <row r="2296" spans="3:4" ht="15" customHeight="1">
      <c r="C2296" s="149"/>
      <c r="D2296" s="149"/>
    </row>
    <row r="2297" spans="3:4" ht="15" customHeight="1">
      <c r="C2297" s="149"/>
      <c r="D2297" s="149"/>
    </row>
    <row r="2298" spans="3:4" ht="15" customHeight="1">
      <c r="C2298" s="149"/>
      <c r="D2298" s="149"/>
    </row>
    <row r="2299" spans="3:4" ht="15" customHeight="1">
      <c r="C2299" s="149"/>
      <c r="D2299" s="149"/>
    </row>
    <row r="2300" spans="3:4" ht="15" customHeight="1">
      <c r="C2300" s="149"/>
      <c r="D2300" s="149"/>
    </row>
    <row r="2301" spans="3:4" ht="15" customHeight="1">
      <c r="C2301" s="149"/>
      <c r="D2301" s="149"/>
    </row>
    <row r="2302" spans="3:4" ht="15" customHeight="1">
      <c r="C2302" s="149"/>
      <c r="D2302" s="149"/>
    </row>
    <row r="2303" spans="3:4" ht="15" customHeight="1">
      <c r="C2303" s="149"/>
      <c r="D2303" s="149"/>
    </row>
    <row r="2304" spans="3:4" ht="15" customHeight="1">
      <c r="C2304" s="149"/>
      <c r="D2304" s="149"/>
    </row>
    <row r="2305" spans="3:4" ht="15" customHeight="1">
      <c r="C2305" s="149"/>
      <c r="D2305" s="149"/>
    </row>
    <row r="2306" spans="3:4" ht="15" customHeight="1">
      <c r="C2306" s="149"/>
      <c r="D2306" s="149"/>
    </row>
    <row r="2307" spans="3:4" ht="15" customHeight="1">
      <c r="C2307" s="149"/>
      <c r="D2307" s="149"/>
    </row>
    <row r="2308" spans="3:4" ht="15" customHeight="1">
      <c r="C2308" s="149"/>
      <c r="D2308" s="149"/>
    </row>
    <row r="2309" spans="3:4" ht="15" customHeight="1">
      <c r="C2309" s="149"/>
      <c r="D2309" s="149"/>
    </row>
    <row r="2310" spans="3:4" ht="15" customHeight="1">
      <c r="C2310" s="149"/>
      <c r="D2310" s="149"/>
    </row>
    <row r="2311" spans="3:4" ht="15" customHeight="1">
      <c r="C2311" s="149"/>
      <c r="D2311" s="149"/>
    </row>
    <row r="2312" spans="3:4" ht="15" customHeight="1">
      <c r="C2312" s="149"/>
      <c r="D2312" s="149"/>
    </row>
    <row r="2313" spans="3:4" ht="15" customHeight="1">
      <c r="C2313" s="149"/>
      <c r="D2313" s="149"/>
    </row>
    <row r="2314" spans="3:4" ht="15" customHeight="1">
      <c r="C2314" s="149"/>
      <c r="D2314" s="149"/>
    </row>
    <row r="2315" spans="3:4" ht="15" customHeight="1">
      <c r="C2315" s="149"/>
      <c r="D2315" s="149"/>
    </row>
    <row r="2316" spans="3:4" ht="15" customHeight="1">
      <c r="C2316" s="149"/>
      <c r="D2316" s="149"/>
    </row>
    <row r="2317" spans="3:4" ht="15" customHeight="1">
      <c r="C2317" s="149"/>
      <c r="D2317" s="149"/>
    </row>
    <row r="2318" spans="3:4" ht="15" customHeight="1">
      <c r="C2318" s="149"/>
      <c r="D2318" s="149"/>
    </row>
    <row r="2319" spans="3:4" ht="15" customHeight="1">
      <c r="C2319" s="149"/>
      <c r="D2319" s="149"/>
    </row>
    <row r="2320" spans="3:4" ht="15" customHeight="1">
      <c r="C2320" s="149"/>
      <c r="D2320" s="149"/>
    </row>
    <row r="2321" spans="3:4" ht="15" customHeight="1">
      <c r="C2321" s="149"/>
      <c r="D2321" s="149"/>
    </row>
    <row r="2322" spans="3:4" ht="15" customHeight="1">
      <c r="C2322" s="149"/>
      <c r="D2322" s="149"/>
    </row>
    <row r="2323" spans="3:4" ht="15" customHeight="1">
      <c r="C2323" s="149"/>
      <c r="D2323" s="149"/>
    </row>
    <row r="2324" spans="3:4" ht="15" customHeight="1">
      <c r="C2324" s="149"/>
      <c r="D2324" s="149"/>
    </row>
    <row r="2325" spans="3:4" ht="15" customHeight="1">
      <c r="C2325" s="149"/>
      <c r="D2325" s="149"/>
    </row>
    <row r="2326" spans="3:4" ht="15" customHeight="1">
      <c r="C2326" s="149"/>
      <c r="D2326" s="149"/>
    </row>
    <row r="2327" spans="3:4" ht="15" customHeight="1">
      <c r="C2327" s="149"/>
      <c r="D2327" s="149"/>
    </row>
    <row r="2328" spans="3:4" ht="15" customHeight="1">
      <c r="C2328" s="149"/>
      <c r="D2328" s="149"/>
    </row>
    <row r="2329" spans="3:4" ht="15" customHeight="1">
      <c r="C2329" s="149"/>
      <c r="D2329" s="149"/>
    </row>
    <row r="2330" spans="3:4" ht="15" customHeight="1">
      <c r="C2330" s="149"/>
      <c r="D2330" s="149"/>
    </row>
    <row r="2331" spans="3:4" ht="15" customHeight="1">
      <c r="C2331" s="149"/>
      <c r="D2331" s="149"/>
    </row>
    <row r="2332" spans="3:4" ht="15" customHeight="1">
      <c r="C2332" s="149"/>
      <c r="D2332" s="149"/>
    </row>
    <row r="2333" spans="3:4" ht="15" customHeight="1">
      <c r="C2333" s="149"/>
      <c r="D2333" s="149"/>
    </row>
    <row r="2334" spans="3:4" ht="15" customHeight="1">
      <c r="C2334" s="149"/>
      <c r="D2334" s="149"/>
    </row>
    <row r="2335" spans="3:4" ht="15" customHeight="1">
      <c r="C2335" s="149"/>
      <c r="D2335" s="149"/>
    </row>
    <row r="2336" spans="3:4" ht="15" customHeight="1">
      <c r="C2336" s="149"/>
      <c r="D2336" s="149"/>
    </row>
    <row r="2337" spans="3:4" ht="15" customHeight="1">
      <c r="C2337" s="149"/>
      <c r="D2337" s="149"/>
    </row>
    <row r="2338" spans="3:4" ht="15" customHeight="1">
      <c r="C2338" s="149"/>
      <c r="D2338" s="149"/>
    </row>
    <row r="2339" spans="3:4" ht="15" customHeight="1">
      <c r="C2339" s="149"/>
      <c r="D2339" s="149"/>
    </row>
    <row r="2340" spans="3:4" ht="15" customHeight="1">
      <c r="C2340" s="149"/>
      <c r="D2340" s="149"/>
    </row>
    <row r="2341" spans="3:4" ht="15" customHeight="1">
      <c r="C2341" s="149"/>
      <c r="D2341" s="149"/>
    </row>
    <row r="2342" spans="3:4" ht="15" customHeight="1">
      <c r="C2342" s="149"/>
      <c r="D2342" s="149"/>
    </row>
    <row r="2343" spans="3:4" ht="15" customHeight="1">
      <c r="C2343" s="149"/>
      <c r="D2343" s="149"/>
    </row>
    <row r="2344" spans="3:4" ht="15" customHeight="1">
      <c r="C2344" s="149"/>
      <c r="D2344" s="149"/>
    </row>
    <row r="2345" spans="3:4" ht="15" customHeight="1">
      <c r="C2345" s="149"/>
      <c r="D2345" s="149"/>
    </row>
    <row r="2346" spans="3:4" ht="15" customHeight="1">
      <c r="C2346" s="149"/>
      <c r="D2346" s="149"/>
    </row>
    <row r="2347" spans="3:4" ht="15" customHeight="1">
      <c r="C2347" s="149"/>
      <c r="D2347" s="149"/>
    </row>
    <row r="2348" spans="3:4" ht="15" customHeight="1">
      <c r="C2348" s="149"/>
      <c r="D2348" s="149"/>
    </row>
  </sheetData>
  <customSheetViews>
    <customSheetView guid="{4375E1BE-E0CA-47E2-B4BA-7AD66A4660B4}" filter="1" showAutoFilter="1">
      <pageMargins left="0.7" right="0.7" top="0.75" bottom="0.75" header="0.3" footer="0.3"/>
      <autoFilter ref="A3:U253" xr:uid="{479544F8-7F3E-D24F-B8BB-15A0B6B48623}"/>
      <extLst>
        <ext uri="GoogleSheetsCustomDataVersion1">
          <go:sheetsCustomData xmlns:go="http://customooxmlschemas.google.com/" filterViewId="1945428781"/>
        </ext>
      </extLst>
    </customSheetView>
  </customSheetViews>
  <phoneticPr fontId="54" type="noConversion"/>
  <conditionalFormatting sqref="B2:B400">
    <cfRule type="cellIs" dxfId="1" priority="2" operator="equal">
      <formula>0</formula>
    </cfRule>
  </conditionalFormatting>
  <conditionalFormatting sqref="N183 B401:B1583">
    <cfRule type="cellIs" dxfId="0" priority="23" operator="equal">
      <formula>0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2:BG1087"/>
  <sheetViews>
    <sheetView rightToLeft="1" zoomScaleNormal="100" workbookViewId="0">
      <pane xSplit="10" ySplit="3" topLeftCell="AX4" activePane="bottomRight" state="frozen"/>
      <selection pane="topRight" activeCell="H1" sqref="H1"/>
      <selection pane="bottomLeft" activeCell="A4" sqref="A4"/>
      <selection pane="bottomRight" activeCell="E10" sqref="D10:E10"/>
    </sheetView>
  </sheetViews>
  <sheetFormatPr baseColWidth="10" defaultColWidth="14.5" defaultRowHeight="15" customHeight="1"/>
  <cols>
    <col min="1" max="1" width="4.83203125" customWidth="1"/>
    <col min="2" max="2" width="5.1640625" customWidth="1"/>
    <col min="3" max="3" width="15.6640625" customWidth="1"/>
    <col min="4" max="4" width="10.6640625" customWidth="1"/>
    <col min="5" max="5" width="14.33203125" customWidth="1"/>
    <col min="6" max="6" width="16" customWidth="1"/>
    <col min="7" max="7" width="17.33203125" customWidth="1"/>
    <col min="8" max="8" width="16" customWidth="1"/>
    <col min="9" max="9" width="16.33203125" customWidth="1"/>
    <col min="10" max="10" width="18.5" customWidth="1"/>
    <col min="11" max="11" width="8.6640625" customWidth="1"/>
    <col min="12" max="23" width="13.83203125" style="170" customWidth="1"/>
    <col min="24" max="24" width="15" bestFit="1" customWidth="1"/>
  </cols>
  <sheetData>
    <row r="2" spans="2:59" s="388" customFormat="1" ht="25.5" customHeight="1" thickBot="1">
      <c r="F2" s="388">
        <v>1401</v>
      </c>
      <c r="G2" s="388">
        <v>1402</v>
      </c>
      <c r="H2" s="388">
        <v>1403</v>
      </c>
      <c r="I2" s="388">
        <v>1404</v>
      </c>
      <c r="L2" s="387">
        <v>1401</v>
      </c>
      <c r="M2" s="387">
        <v>1401</v>
      </c>
      <c r="N2" s="387">
        <v>1401</v>
      </c>
      <c r="O2" s="387">
        <v>1401</v>
      </c>
      <c r="P2" s="387">
        <v>1401</v>
      </c>
      <c r="Q2" s="387">
        <v>1401</v>
      </c>
      <c r="R2" s="387">
        <v>1401</v>
      </c>
      <c r="S2" s="387">
        <v>1401</v>
      </c>
      <c r="T2" s="387">
        <v>1401</v>
      </c>
      <c r="U2" s="387">
        <v>1401</v>
      </c>
      <c r="V2" s="387">
        <v>1401</v>
      </c>
      <c r="W2" s="387">
        <v>1401</v>
      </c>
      <c r="X2" s="388">
        <v>1402</v>
      </c>
      <c r="Y2" s="388">
        <v>1402</v>
      </c>
      <c r="Z2" s="388">
        <v>1402</v>
      </c>
      <c r="AA2" s="388">
        <v>1402</v>
      </c>
      <c r="AB2" s="388">
        <v>1402</v>
      </c>
      <c r="AC2" s="388">
        <v>1402</v>
      </c>
      <c r="AD2" s="388">
        <v>1402</v>
      </c>
      <c r="AE2" s="388">
        <v>1402</v>
      </c>
      <c r="AF2" s="388">
        <v>1402</v>
      </c>
      <c r="AG2" s="388">
        <v>1402</v>
      </c>
      <c r="AH2" s="388">
        <v>1402</v>
      </c>
      <c r="AI2" s="388">
        <v>1402</v>
      </c>
      <c r="AJ2" s="388">
        <v>1403</v>
      </c>
      <c r="AK2" s="388">
        <v>1403</v>
      </c>
      <c r="AL2" s="388">
        <v>1403</v>
      </c>
      <c r="AM2" s="388">
        <v>1403</v>
      </c>
      <c r="AN2" s="388">
        <v>1403</v>
      </c>
      <c r="AO2" s="388">
        <v>1403</v>
      </c>
      <c r="AP2" s="388">
        <v>1403</v>
      </c>
      <c r="AQ2" s="388">
        <v>1403</v>
      </c>
      <c r="AR2" s="388">
        <v>1403</v>
      </c>
      <c r="AS2" s="388">
        <v>1403</v>
      </c>
      <c r="AT2" s="388">
        <v>1403</v>
      </c>
      <c r="AU2" s="388">
        <v>1403</v>
      </c>
      <c r="AV2" s="388">
        <v>1404</v>
      </c>
      <c r="AW2" s="388">
        <v>1404</v>
      </c>
      <c r="AX2" s="388">
        <v>1404</v>
      </c>
      <c r="AY2" s="388">
        <v>1404</v>
      </c>
      <c r="AZ2" s="388">
        <v>1404</v>
      </c>
      <c r="BA2" s="388">
        <v>1404</v>
      </c>
      <c r="BB2" s="388">
        <v>1404</v>
      </c>
      <c r="BC2" s="388">
        <v>1404</v>
      </c>
      <c r="BD2" s="388">
        <v>1404</v>
      </c>
      <c r="BE2" s="388">
        <v>1404</v>
      </c>
      <c r="BF2" s="388">
        <v>1404</v>
      </c>
      <c r="BG2" s="388">
        <v>1404</v>
      </c>
    </row>
    <row r="3" spans="2:59" ht="32.25" customHeight="1" thickTop="1">
      <c r="B3" s="150" t="s">
        <v>344</v>
      </c>
      <c r="C3" s="150"/>
      <c r="D3" s="150" t="s">
        <v>449</v>
      </c>
      <c r="E3" s="150" t="s">
        <v>450</v>
      </c>
      <c r="F3" s="150" t="s">
        <v>1373</v>
      </c>
      <c r="G3" s="150" t="s">
        <v>1374</v>
      </c>
      <c r="H3" s="150" t="s">
        <v>1920</v>
      </c>
      <c r="I3" s="150" t="s">
        <v>1921</v>
      </c>
      <c r="J3" s="150" t="s">
        <v>719</v>
      </c>
      <c r="L3" s="167" t="s">
        <v>463</v>
      </c>
      <c r="M3" s="167" t="s">
        <v>468</v>
      </c>
      <c r="N3" s="167" t="s">
        <v>462</v>
      </c>
      <c r="O3" s="167" t="s">
        <v>474</v>
      </c>
      <c r="P3" s="167" t="s">
        <v>477</v>
      </c>
      <c r="Q3" s="167" t="s">
        <v>479</v>
      </c>
      <c r="R3" s="167" t="s">
        <v>482</v>
      </c>
      <c r="S3" s="167" t="s">
        <v>485</v>
      </c>
      <c r="T3" s="167" t="s">
        <v>488</v>
      </c>
      <c r="U3" s="167" t="s">
        <v>493</v>
      </c>
      <c r="V3" s="167" t="s">
        <v>496</v>
      </c>
      <c r="W3" s="167" t="s">
        <v>499</v>
      </c>
      <c r="X3" s="389" t="s">
        <v>463</v>
      </c>
      <c r="Y3" s="389" t="s">
        <v>468</v>
      </c>
      <c r="Z3" s="389" t="s">
        <v>462</v>
      </c>
      <c r="AA3" s="389" t="s">
        <v>474</v>
      </c>
      <c r="AB3" s="389" t="s">
        <v>477</v>
      </c>
      <c r="AC3" s="389" t="s">
        <v>479</v>
      </c>
      <c r="AD3" s="389" t="s">
        <v>482</v>
      </c>
      <c r="AE3" s="389" t="s">
        <v>485</v>
      </c>
      <c r="AF3" s="389" t="s">
        <v>488</v>
      </c>
      <c r="AG3" s="389" t="s">
        <v>493</v>
      </c>
      <c r="AH3" s="389" t="s">
        <v>496</v>
      </c>
      <c r="AI3" s="389" t="s">
        <v>499</v>
      </c>
      <c r="AJ3" s="167" t="s">
        <v>463</v>
      </c>
      <c r="AK3" s="167" t="s">
        <v>468</v>
      </c>
      <c r="AL3" s="167" t="s">
        <v>462</v>
      </c>
      <c r="AM3" s="167" t="s">
        <v>474</v>
      </c>
      <c r="AN3" s="167" t="s">
        <v>477</v>
      </c>
      <c r="AO3" s="167" t="s">
        <v>479</v>
      </c>
      <c r="AP3" s="167" t="s">
        <v>482</v>
      </c>
      <c r="AQ3" s="167" t="s">
        <v>485</v>
      </c>
      <c r="AR3" s="167" t="s">
        <v>488</v>
      </c>
      <c r="AS3" s="167" t="s">
        <v>493</v>
      </c>
      <c r="AT3" s="167" t="s">
        <v>496</v>
      </c>
      <c r="AU3" s="167" t="s">
        <v>499</v>
      </c>
      <c r="AV3" s="389" t="s">
        <v>463</v>
      </c>
      <c r="AW3" s="389" t="s">
        <v>468</v>
      </c>
      <c r="AX3" s="389" t="s">
        <v>462</v>
      </c>
      <c r="AY3" s="389" t="s">
        <v>474</v>
      </c>
      <c r="AZ3" s="389" t="s">
        <v>477</v>
      </c>
      <c r="BA3" s="389" t="s">
        <v>479</v>
      </c>
      <c r="BB3" s="389" t="s">
        <v>482</v>
      </c>
      <c r="BC3" s="389" t="s">
        <v>485</v>
      </c>
      <c r="BD3" s="389" t="s">
        <v>488</v>
      </c>
      <c r="BE3" s="389" t="s">
        <v>493</v>
      </c>
      <c r="BF3" s="389" t="s">
        <v>496</v>
      </c>
      <c r="BG3" s="389" t="s">
        <v>499</v>
      </c>
    </row>
    <row r="4" spans="2:59">
      <c r="B4" s="133">
        <v>1</v>
      </c>
      <c r="C4" s="133" t="s">
        <v>1733</v>
      </c>
      <c r="D4" s="137" t="s">
        <v>469</v>
      </c>
      <c r="E4" s="137" t="s">
        <v>470</v>
      </c>
      <c r="F4" s="151">
        <f>SUMIFS(Table1[مبلغ واریزی],Table1[ردیف],$B4,Table1[سال],F$2)</f>
        <v>100000000</v>
      </c>
      <c r="G4" s="151">
        <f>SUMIFS(Table1[مبلغ واریزی],Table1[ردیف],$B4,Table1[سال],G$2)</f>
        <v>120000000</v>
      </c>
      <c r="H4" s="151">
        <f>SUMIFS(Table1[مبلغ واریزی],Table1[ردیف],$B4,Table1[سال],H$2)</f>
        <v>177500000</v>
      </c>
      <c r="I4" s="151">
        <f>SUMIFS(Table1[توضیحات ‍‍‍‍],Table1[نام],$B4,Table1[شماره فیش],I$2)</f>
        <v>0</v>
      </c>
      <c r="J4" s="151">
        <f>SUMIF('لیست واریزی ماهیانه'!B:B,'لیست واریزی کل خیرین'!$B4,'لیست واریزی ماهیانه'!K:K)</f>
        <v>397500000</v>
      </c>
      <c r="L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</v>
      </c>
      <c r="Q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11169500</v>
      </c>
      <c r="T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28830500</v>
      </c>
      <c r="U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10000000</v>
      </c>
      <c r="AE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10000000</v>
      </c>
      <c r="AG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</v>
      </c>
      <c r="AH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10000000</v>
      </c>
      <c r="AI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10000000</v>
      </c>
      <c r="AJ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50000000</v>
      </c>
      <c r="AR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127500000</v>
      </c>
      <c r="AV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" spans="2:59">
      <c r="B5" s="133">
        <v>2</v>
      </c>
      <c r="C5" s="133" t="s">
        <v>1733</v>
      </c>
      <c r="D5" s="137" t="s">
        <v>464</v>
      </c>
      <c r="E5" s="152" t="s">
        <v>465</v>
      </c>
      <c r="F5" s="151">
        <f>SUMIFS(Table1[مبلغ واریزی],Table1[ردیف],$B5,Table1[سال],F$2)</f>
        <v>250000000</v>
      </c>
      <c r="G5" s="151">
        <f>SUMIFS(Table1[مبلغ واریزی],Table1[ردیف],$B5,Table1[سال],G$2)</f>
        <v>100000000</v>
      </c>
      <c r="H5" s="151">
        <f>SUMIFS(Table1[مبلغ واریزی],Table1[ردیف],$B5,Table1[سال],H$2)</f>
        <v>820000000</v>
      </c>
      <c r="I5" s="151">
        <f>SUMIFS(Table1[توضیحات ‍‍‍‍],Table1[نام],$B5,Table1[شماره فیش],I$2)</f>
        <v>0</v>
      </c>
      <c r="J5" s="151">
        <f>SUMIF('لیست واریزی ماهیانه'!B:B,'لیست واریزی کل خیرین'!$B5,'لیست واریزی ماهیانه'!K:K)</f>
        <v>2509790000</v>
      </c>
      <c r="L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20000000</v>
      </c>
      <c r="O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20000000</v>
      </c>
      <c r="P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</v>
      </c>
      <c r="Q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20000000</v>
      </c>
      <c r="R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20000000</v>
      </c>
      <c r="S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20000000</v>
      </c>
      <c r="T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20000000</v>
      </c>
      <c r="U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20000000</v>
      </c>
      <c r="V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30000000</v>
      </c>
      <c r="W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70000000</v>
      </c>
      <c r="X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20000000</v>
      </c>
      <c r="Y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20000000</v>
      </c>
      <c r="Z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20000000</v>
      </c>
      <c r="AA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20000000</v>
      </c>
      <c r="AB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20000000</v>
      </c>
      <c r="AC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100000000</v>
      </c>
      <c r="AR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20000000</v>
      </c>
      <c r="AT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600000000</v>
      </c>
      <c r="AU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100000000</v>
      </c>
      <c r="AV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354500000</v>
      </c>
      <c r="AW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200000000</v>
      </c>
      <c r="AY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200000000</v>
      </c>
      <c r="BA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10000000</v>
      </c>
      <c r="BB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375290000</v>
      </c>
      <c r="BC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200000000</v>
      </c>
      <c r="BE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" spans="2:59">
      <c r="B6" s="133">
        <v>3</v>
      </c>
      <c r="C6" s="457" t="s">
        <v>1734</v>
      </c>
      <c r="D6" s="137" t="s">
        <v>459</v>
      </c>
      <c r="E6" s="137" t="s">
        <v>460</v>
      </c>
      <c r="F6" s="151">
        <f>SUMIFS(Table1[مبلغ واریزی],Table1[ردیف],$B6,Table1[سال],F$2)</f>
        <v>300000000</v>
      </c>
      <c r="G6" s="151">
        <f>SUMIFS(Table1[مبلغ واریزی],Table1[ردیف],$B6,Table1[سال],G$2)</f>
        <v>790000000</v>
      </c>
      <c r="H6" s="151">
        <f>SUMIFS(Table1[مبلغ واریزی],Table1[ردیف],$B6,Table1[سال],H$2)</f>
        <v>1800000000</v>
      </c>
      <c r="I6" s="151">
        <f>SUMIFS(Table1[توضیحات ‍‍‍‍],Table1[نام],$B6,Table1[شماره فیش],I$2)</f>
        <v>0</v>
      </c>
      <c r="J6" s="151">
        <f>SUMIF('لیست واریزی ماهیانه'!B:B,'لیست واریزی کل خیرین'!$B6,'لیست واریزی ماهیانه'!K:K)</f>
        <v>2890000000</v>
      </c>
      <c r="L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30000000</v>
      </c>
      <c r="O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30000000</v>
      </c>
      <c r="P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30000000</v>
      </c>
      <c r="Q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30000000</v>
      </c>
      <c r="R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30000000</v>
      </c>
      <c r="S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30000000</v>
      </c>
      <c r="T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30000000</v>
      </c>
      <c r="U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30000000</v>
      </c>
      <c r="V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30000000</v>
      </c>
      <c r="W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30000000</v>
      </c>
      <c r="X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30000000</v>
      </c>
      <c r="Y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30000000</v>
      </c>
      <c r="Z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30000000</v>
      </c>
      <c r="AA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30000000</v>
      </c>
      <c r="AB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30000000</v>
      </c>
      <c r="AC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30000000</v>
      </c>
      <c r="AD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30000000</v>
      </c>
      <c r="AE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580000000</v>
      </c>
      <c r="AF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1800000000</v>
      </c>
      <c r="AU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" spans="2:59">
      <c r="B7" s="133">
        <v>4</v>
      </c>
      <c r="C7" s="133"/>
      <c r="D7" s="137" t="s">
        <v>471</v>
      </c>
      <c r="E7" s="137" t="s">
        <v>472</v>
      </c>
      <c r="F7" s="151">
        <f>SUMIFS(Table1[مبلغ واریزی],Table1[ردیف],$B7,Table1[سال],F$2)</f>
        <v>25000000</v>
      </c>
      <c r="G7" s="151">
        <f>SUMIFS(Table1[مبلغ واریزی],Table1[ردیف],$B7,Table1[سال],G$2)</f>
        <v>24000000</v>
      </c>
      <c r="H7" s="151">
        <f>SUMIFS(Table1[مبلغ واریزی],Table1[ردیف],$B7,Table1[سال],H$2)</f>
        <v>22000000</v>
      </c>
      <c r="I7" s="151">
        <f>SUMIFS(Table1[توضیحات ‍‍‍‍],Table1[نام],$B7,Table1[شماره فیش],I$2)</f>
        <v>0</v>
      </c>
      <c r="J7" s="151">
        <f>SUMIF('لیست واریزی ماهیانه'!B:B,'لیست واریزی کل خیرین'!$B7,'لیست واریزی ماهیانه'!K:K)</f>
        <v>87000000</v>
      </c>
      <c r="L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2000000</v>
      </c>
      <c r="O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</v>
      </c>
      <c r="P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</v>
      </c>
      <c r="Q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</v>
      </c>
      <c r="R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</v>
      </c>
      <c r="S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</v>
      </c>
      <c r="T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2000000</v>
      </c>
      <c r="U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</v>
      </c>
      <c r="V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2000000</v>
      </c>
      <c r="W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7000000</v>
      </c>
      <c r="X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2000000</v>
      </c>
      <c r="Y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2000000</v>
      </c>
      <c r="Z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</v>
      </c>
      <c r="AA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2000000</v>
      </c>
      <c r="AB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</v>
      </c>
      <c r="AC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2000000</v>
      </c>
      <c r="AD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</v>
      </c>
      <c r="AE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2000000</v>
      </c>
      <c r="AF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2000000</v>
      </c>
      <c r="AG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2000000</v>
      </c>
      <c r="AH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2000000</v>
      </c>
      <c r="AI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2000000</v>
      </c>
      <c r="AJ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2000000</v>
      </c>
      <c r="AK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2000000</v>
      </c>
      <c r="AL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4000000</v>
      </c>
      <c r="AN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2000000</v>
      </c>
      <c r="AP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2000000</v>
      </c>
      <c r="AQ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4000000</v>
      </c>
      <c r="AS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6000000</v>
      </c>
      <c r="AV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16000000</v>
      </c>
      <c r="BD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" spans="2:59">
      <c r="B8" s="133">
        <v>5</v>
      </c>
      <c r="C8" s="133"/>
      <c r="D8" s="137" t="s">
        <v>475</v>
      </c>
      <c r="E8" s="137" t="s">
        <v>476</v>
      </c>
      <c r="F8" s="151">
        <f>SUMIFS(Table1[مبلغ واریزی],Table1[ردیف],$B8,Table1[سال],F$2)</f>
        <v>50000000</v>
      </c>
      <c r="G8" s="151">
        <f>SUMIFS(Table1[مبلغ واریزی],Table1[ردیف],$B8,Table1[سال],G$2)</f>
        <v>60000000</v>
      </c>
      <c r="H8" s="151">
        <f>SUMIFS(Table1[مبلغ واریزی],Table1[ردیف],$B8,Table1[سال],H$2)</f>
        <v>104999996</v>
      </c>
      <c r="I8" s="151">
        <f>SUMIFS(Table1[توضیحات ‍‍‍‍],Table1[نام],$B8,Table1[شماره فیش],I$2)</f>
        <v>0</v>
      </c>
      <c r="J8" s="151">
        <f>SUMIF('لیست واریزی ماهیانه'!B:B,'لیست واریزی کل خیرین'!$B8,'لیست واریزی ماهیانه'!K:K)</f>
        <v>244999996</v>
      </c>
      <c r="K8" s="17" t="s">
        <v>531</v>
      </c>
      <c r="L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  <c r="AH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5000000</v>
      </c>
      <c r="AI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</v>
      </c>
      <c r="AJ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8333333</v>
      </c>
      <c r="AK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8333333</v>
      </c>
      <c r="AL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8333333</v>
      </c>
      <c r="AM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8333333</v>
      </c>
      <c r="AN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8333333</v>
      </c>
      <c r="AO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8333333</v>
      </c>
      <c r="AP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8333333</v>
      </c>
      <c r="AQ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8333333</v>
      </c>
      <c r="AR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8333333</v>
      </c>
      <c r="AS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8333333</v>
      </c>
      <c r="AT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8333333</v>
      </c>
      <c r="AU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13333333</v>
      </c>
      <c r="AV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30000000</v>
      </c>
      <c r="AW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" spans="2:59">
      <c r="B9" s="133">
        <v>6</v>
      </c>
      <c r="C9" s="133"/>
      <c r="D9" s="137" t="s">
        <v>207</v>
      </c>
      <c r="E9" s="137" t="s">
        <v>478</v>
      </c>
      <c r="F9" s="151">
        <f>SUMIFS(Table1[مبلغ واریزی],Table1[ردیف],$B9,Table1[سال],F$2)</f>
        <v>42000000</v>
      </c>
      <c r="G9" s="151">
        <f>SUMIFS(Table1[مبلغ واریزی],Table1[ردیف],$B9,Table1[سال],G$2)</f>
        <v>55000000</v>
      </c>
      <c r="H9" s="151">
        <f>SUMIFS(Table1[مبلغ واریزی],Table1[ردیف],$B9,Table1[سال],H$2)</f>
        <v>30000000</v>
      </c>
      <c r="I9" s="151">
        <f>SUMIFS(Table1[توضیحات ‍‍‍‍],Table1[نام],$B9,Table1[شماره فیش],I$2)</f>
        <v>0</v>
      </c>
      <c r="J9" s="151">
        <f>SUMIF('لیست واریزی ماهیانه'!B:B,'لیست واریزی کل خیرین'!$B9,'لیست واریزی ماهیانه'!K:K)</f>
        <v>182000000</v>
      </c>
      <c r="L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</v>
      </c>
      <c r="S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  <c r="AH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5000000</v>
      </c>
      <c r="AI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</v>
      </c>
      <c r="AJ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5000000</v>
      </c>
      <c r="AK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5000000</v>
      </c>
      <c r="AL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5000000</v>
      </c>
      <c r="AM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5000000</v>
      </c>
      <c r="AN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5000000</v>
      </c>
      <c r="AQ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5000000</v>
      </c>
      <c r="AR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40000000</v>
      </c>
      <c r="AW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15000000</v>
      </c>
      <c r="BC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" spans="2:59">
      <c r="B10" s="133">
        <v>7</v>
      </c>
      <c r="C10" s="133"/>
      <c r="D10" s="137" t="s">
        <v>480</v>
      </c>
      <c r="E10" s="137" t="s">
        <v>481</v>
      </c>
      <c r="F10" s="151">
        <f>SUMIFS(Table1[مبلغ واریزی],Table1[ردیف],$B10,Table1[سال],F$2)</f>
        <v>157000000</v>
      </c>
      <c r="G10" s="151">
        <f>SUMIFS(Table1[مبلغ واریزی],Table1[ردیف],$B10,Table1[سال],G$2)</f>
        <v>520000000</v>
      </c>
      <c r="H10" s="151">
        <f>SUMIFS(Table1[مبلغ واریزی],Table1[ردیف],$B10,Table1[سال],H$2)</f>
        <v>600000000</v>
      </c>
      <c r="I10" s="151">
        <f>SUMIFS(Table1[توضیحات ‍‍‍‍],Table1[نام],$B10,Table1[شماره فیش],I$2)</f>
        <v>0</v>
      </c>
      <c r="J10" s="151">
        <f>SUMIF('لیست واریزی ماهیانه'!B:B,'لیست واریزی کل خیرین'!$B10,'لیست واریزی ماهیانه'!K:K)</f>
        <v>1477000000</v>
      </c>
      <c r="L1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1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1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15000000</v>
      </c>
      <c r="Q1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1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17000000</v>
      </c>
      <c r="S1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1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1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1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1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60000000</v>
      </c>
      <c r="X1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50000000</v>
      </c>
      <c r="Z1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50000000</v>
      </c>
      <c r="AA1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50000000</v>
      </c>
      <c r="AB1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50000000</v>
      </c>
      <c r="AC1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50000000</v>
      </c>
      <c r="AD1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50000000</v>
      </c>
      <c r="AE1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70000000</v>
      </c>
      <c r="AF1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100000000</v>
      </c>
      <c r="AH1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50000000</v>
      </c>
      <c r="AJ1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50000000</v>
      </c>
      <c r="AK1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50000000</v>
      </c>
      <c r="AL1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50000000</v>
      </c>
      <c r="AM1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50000000</v>
      </c>
      <c r="AN1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50000000</v>
      </c>
      <c r="AO1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50000000</v>
      </c>
      <c r="AP1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50000000</v>
      </c>
      <c r="AQ1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50000000</v>
      </c>
      <c r="AS1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50000000</v>
      </c>
      <c r="AT1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100000000</v>
      </c>
      <c r="AU1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50000000</v>
      </c>
      <c r="AV1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50000000</v>
      </c>
      <c r="AW1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50000000</v>
      </c>
      <c r="AX1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50000000</v>
      </c>
      <c r="AY1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50000000</v>
      </c>
      <c r="BE1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" spans="2:59">
      <c r="B11" s="133">
        <v>8</v>
      </c>
      <c r="C11" s="133"/>
      <c r="D11" s="137" t="s">
        <v>483</v>
      </c>
      <c r="E11" s="137" t="s">
        <v>484</v>
      </c>
      <c r="F11" s="151">
        <f>SUMIFS(Table1[مبلغ واریزی],Table1[ردیف],$B11,Table1[سال],F$2)</f>
        <v>70000000</v>
      </c>
      <c r="G11" s="151">
        <f>SUMIFS(Table1[مبلغ واریزی],Table1[ردیف],$B11,Table1[سال],G$2)</f>
        <v>60000000</v>
      </c>
      <c r="H11" s="151">
        <f>SUMIFS(Table1[مبلغ واریزی],Table1[ردیف],$B11,Table1[سال],H$2)</f>
        <v>90000000</v>
      </c>
      <c r="I11" s="151">
        <f>SUMIFS(Table1[توضیحات ‍‍‍‍],Table1[نام],$B11,Table1[شماره فیش],I$2)</f>
        <v>0</v>
      </c>
      <c r="J11" s="151">
        <f>SUMIF('لیست واریزی ماهیانه'!B:B,'لیست واریزی کل خیرین'!$B11,'لیست واریزی ماهیانه'!K:K)</f>
        <v>230000000</v>
      </c>
      <c r="L1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1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1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1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1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1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1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1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25000000</v>
      </c>
      <c r="V1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1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1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1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1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1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1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1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1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1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1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1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  <c r="AH1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5000000</v>
      </c>
      <c r="AI1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</v>
      </c>
      <c r="AJ1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5000000</v>
      </c>
      <c r="AK1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5000000</v>
      </c>
      <c r="AL1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45000000</v>
      </c>
      <c r="AQ1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30000000</v>
      </c>
      <c r="AT1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5000000</v>
      </c>
      <c r="AU1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5000000</v>
      </c>
      <c r="AW1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5000000</v>
      </c>
      <c r="AY1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" spans="2:59">
      <c r="B12" s="133">
        <v>9</v>
      </c>
      <c r="C12" s="133"/>
      <c r="D12" s="137" t="s">
        <v>486</v>
      </c>
      <c r="E12" s="137" t="s">
        <v>487</v>
      </c>
      <c r="F12" s="151">
        <f>SUMIFS(Table1[مبلغ واریزی],Table1[ردیف],$B12,Table1[سال],F$2)</f>
        <v>104000000</v>
      </c>
      <c r="G12" s="151">
        <f>SUMIFS(Table1[مبلغ واریزی],Table1[ردیف],$B12,Table1[سال],G$2)</f>
        <v>283000000</v>
      </c>
      <c r="H12" s="151">
        <f>SUMIFS(Table1[مبلغ واریزی],Table1[ردیف],$B12,Table1[سال],H$2)</f>
        <v>275000000</v>
      </c>
      <c r="I12" s="151">
        <f>SUMIFS(Table1[توضیحات ‍‍‍‍],Table1[نام],$B12,Table1[شماره فیش],I$2)</f>
        <v>0</v>
      </c>
      <c r="J12" s="151">
        <f>SUMIF('لیست واریزی ماهیانه'!B:B,'لیست واریزی کل خیرین'!$B12,'لیست واریزی ماهیانه'!K:K)</f>
        <v>902500000</v>
      </c>
      <c r="L1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1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1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1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1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20000000</v>
      </c>
      <c r="S1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1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1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12000000</v>
      </c>
      <c r="V1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12000000</v>
      </c>
      <c r="W1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20000000</v>
      </c>
      <c r="X1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15000000</v>
      </c>
      <c r="Y1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20000000</v>
      </c>
      <c r="Z1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20000000</v>
      </c>
      <c r="AA1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40000000</v>
      </c>
      <c r="AB1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22000000</v>
      </c>
      <c r="AC1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26000000</v>
      </c>
      <c r="AD1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20000000</v>
      </c>
      <c r="AE1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20000000</v>
      </c>
      <c r="AF1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20000000</v>
      </c>
      <c r="AG1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40000000</v>
      </c>
      <c r="AH1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20000000</v>
      </c>
      <c r="AI1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20000000</v>
      </c>
      <c r="AJ1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20000000</v>
      </c>
      <c r="AK1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20000000</v>
      </c>
      <c r="AL1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20000000</v>
      </c>
      <c r="AM1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20000000</v>
      </c>
      <c r="AN1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20000000</v>
      </c>
      <c r="AO1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20000000</v>
      </c>
      <c r="AP1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30000000</v>
      </c>
      <c r="AQ1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40000000</v>
      </c>
      <c r="AR1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25000000</v>
      </c>
      <c r="AS1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20000000</v>
      </c>
      <c r="AT1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20000000</v>
      </c>
      <c r="AU1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20000000</v>
      </c>
      <c r="AV1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37500000</v>
      </c>
      <c r="AW1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33000000</v>
      </c>
      <c r="AX1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20000000</v>
      </c>
      <c r="AY1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20000000</v>
      </c>
      <c r="AZ1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36000000</v>
      </c>
      <c r="BA1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24000000</v>
      </c>
      <c r="BB1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30000000</v>
      </c>
      <c r="BC1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20000000</v>
      </c>
      <c r="BD1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20000000</v>
      </c>
      <c r="BE1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" spans="2:59">
      <c r="B13" s="133">
        <v>10</v>
      </c>
      <c r="C13" s="133"/>
      <c r="D13" s="137" t="s">
        <v>489</v>
      </c>
      <c r="E13" s="137" t="s">
        <v>490</v>
      </c>
      <c r="F13" s="151">
        <f>SUMIFS(Table1[مبلغ واریزی],Table1[ردیف],$B13,Table1[سال],F$2)</f>
        <v>1090000000</v>
      </c>
      <c r="G13" s="151">
        <f>SUMIFS(Table1[مبلغ واریزی],Table1[ردیف],$B13,Table1[سال],G$2)</f>
        <v>1343000000</v>
      </c>
      <c r="H13" s="151">
        <f>SUMIFS(Table1[مبلغ واریزی],Table1[ردیف],$B13,Table1[سال],H$2)</f>
        <v>1769000000</v>
      </c>
      <c r="I13" s="151">
        <f>SUMIFS(Table1[توضیحات ‍‍‍‍],Table1[نام],$B13,Table1[شماره فیش],I$2)</f>
        <v>0</v>
      </c>
      <c r="J13" s="151">
        <f>SUMIF('لیست واریزی ماهیانه'!B:B,'لیست واریزی کل خیرین'!$B13,'لیست واریزی ماهیانه'!K:K)</f>
        <v>4643000000</v>
      </c>
      <c r="L1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100000000</v>
      </c>
      <c r="O1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100000000</v>
      </c>
      <c r="P1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100000000</v>
      </c>
      <c r="Q1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100000000</v>
      </c>
      <c r="R1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120000000</v>
      </c>
      <c r="S1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100000000</v>
      </c>
      <c r="T1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100000000</v>
      </c>
      <c r="U1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120000000</v>
      </c>
      <c r="V1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100000000</v>
      </c>
      <c r="W1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150000000</v>
      </c>
      <c r="X1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110000000</v>
      </c>
      <c r="Y1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100000000</v>
      </c>
      <c r="Z1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105000000</v>
      </c>
      <c r="AA1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100000000</v>
      </c>
      <c r="AB1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100000000</v>
      </c>
      <c r="AC1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100000000</v>
      </c>
      <c r="AD1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130000000</v>
      </c>
      <c r="AE1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200000000</v>
      </c>
      <c r="AF1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200000000</v>
      </c>
      <c r="AG1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</v>
      </c>
      <c r="AH1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178000000</v>
      </c>
      <c r="AI1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10000000</v>
      </c>
      <c r="AJ1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100000000</v>
      </c>
      <c r="AL1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100000000</v>
      </c>
      <c r="AN1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110000000</v>
      </c>
      <c r="AO1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602500000</v>
      </c>
      <c r="AP1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130000000</v>
      </c>
      <c r="AQ1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181000000</v>
      </c>
      <c r="AR1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203000000</v>
      </c>
      <c r="AS1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115000000</v>
      </c>
      <c r="AT1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227500000</v>
      </c>
      <c r="AV1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130000000</v>
      </c>
      <c r="AW1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3000000</v>
      </c>
      <c r="AX1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203000000</v>
      </c>
      <c r="AY1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62000000</v>
      </c>
      <c r="AZ1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30000000</v>
      </c>
      <c r="BB1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10000000</v>
      </c>
      <c r="BD1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3000000</v>
      </c>
      <c r="BE1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4" spans="2:59">
      <c r="B14" s="133">
        <v>11</v>
      </c>
      <c r="C14" s="133"/>
      <c r="D14" s="137" t="s">
        <v>494</v>
      </c>
      <c r="E14" s="137" t="s">
        <v>495</v>
      </c>
      <c r="F14" s="151">
        <f>SUMIFS(Table1[مبلغ واریزی],Table1[ردیف],$B14,Table1[سال],F$2)</f>
        <v>280000000</v>
      </c>
      <c r="G14" s="151">
        <f>SUMIFS(Table1[مبلغ واریزی],Table1[ردیف],$B14,Table1[سال],G$2)</f>
        <v>440000000</v>
      </c>
      <c r="H14" s="151">
        <f>SUMIFS(Table1[مبلغ واریزی],Table1[ردیف],$B14,Table1[سال],H$2)</f>
        <v>0</v>
      </c>
      <c r="I14" s="151">
        <f>SUMIFS(Table1[توضیحات ‍‍‍‍],Table1[نام],$B14,Table1[شماره فیش],I$2)</f>
        <v>0</v>
      </c>
      <c r="J14" s="151">
        <f>SUMIF('لیست واریزی ماهیانه'!B:B,'لیست واریزی کل خیرین'!$B14,'لیست واریزی ماهیانه'!K:K)</f>
        <v>720000000</v>
      </c>
      <c r="L1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20000000</v>
      </c>
      <c r="O1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20000000</v>
      </c>
      <c r="P1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30000000</v>
      </c>
      <c r="Q1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30000000</v>
      </c>
      <c r="R1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30000000</v>
      </c>
      <c r="S1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30000000</v>
      </c>
      <c r="T1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30000000</v>
      </c>
      <c r="U1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30000000</v>
      </c>
      <c r="V1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30000000</v>
      </c>
      <c r="W1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30000000</v>
      </c>
      <c r="X1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30000000</v>
      </c>
      <c r="Y1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40000000</v>
      </c>
      <c r="Z1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40000000</v>
      </c>
      <c r="AA1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40000000</v>
      </c>
      <c r="AB1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40000000</v>
      </c>
      <c r="AC1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50000000</v>
      </c>
      <c r="AD1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50000000</v>
      </c>
      <c r="AE1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50000000</v>
      </c>
      <c r="AF1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50000000</v>
      </c>
      <c r="AG1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50000000</v>
      </c>
      <c r="AH1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5" spans="2:59">
      <c r="B15" s="133">
        <v>12</v>
      </c>
      <c r="C15" s="133"/>
      <c r="D15" s="137" t="s">
        <v>497</v>
      </c>
      <c r="E15" s="152" t="s">
        <v>498</v>
      </c>
      <c r="F15" s="151">
        <f>SUMIFS(Table1[مبلغ واریزی],Table1[ردیف],$B15,Table1[سال],F$2)</f>
        <v>52000000</v>
      </c>
      <c r="G15" s="151">
        <f>SUMIFS(Table1[مبلغ واریزی],Table1[ردیف],$B15,Table1[سال],G$2)</f>
        <v>147400000</v>
      </c>
      <c r="H15" s="151">
        <f>SUMIFS(Table1[مبلغ واریزی],Table1[ردیف],$B15,Table1[سال],H$2)</f>
        <v>290000000</v>
      </c>
      <c r="I15" s="151">
        <f>SUMIFS(Table1[توضیحات ‍‍‍‍],Table1[نام],$B15,Table1[شماره فیش],I$2)</f>
        <v>0</v>
      </c>
      <c r="J15" s="151">
        <f>SUMIF('لیست واریزی ماهیانه'!B:B,'لیست واریزی کل خیرین'!$B15,'لیست واریزی ماهیانه'!K:K)</f>
        <v>659400000</v>
      </c>
      <c r="L1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1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</v>
      </c>
      <c r="P1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1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</v>
      </c>
      <c r="R1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</v>
      </c>
      <c r="S1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1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1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1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1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1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1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1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1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1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1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1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10000000</v>
      </c>
      <c r="AE1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1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10000000</v>
      </c>
      <c r="AG1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</v>
      </c>
      <c r="AH1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10000000</v>
      </c>
      <c r="AI1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37400000</v>
      </c>
      <c r="AJ1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20000000</v>
      </c>
      <c r="AK1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20000000</v>
      </c>
      <c r="AL1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20000000</v>
      </c>
      <c r="AM1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30000000</v>
      </c>
      <c r="AN1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50000000</v>
      </c>
      <c r="AP1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150000000</v>
      </c>
      <c r="AQ1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5" s="168">
        <v>0</v>
      </c>
      <c r="AS15" s="168">
        <v>0</v>
      </c>
      <c r="AT1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50000000</v>
      </c>
      <c r="AX1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50000000</v>
      </c>
      <c r="BA1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20000000</v>
      </c>
      <c r="BB1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50000000</v>
      </c>
      <c r="BD15" s="168">
        <v>0</v>
      </c>
      <c r="BE15" s="168">
        <v>0</v>
      </c>
      <c r="BF15" s="168">
        <v>0</v>
      </c>
      <c r="BG15" s="168">
        <v>0</v>
      </c>
    </row>
    <row r="16" spans="2:59">
      <c r="B16" s="133">
        <v>13</v>
      </c>
      <c r="C16" s="133"/>
      <c r="D16" s="137" t="s">
        <v>486</v>
      </c>
      <c r="E16" s="137" t="s">
        <v>500</v>
      </c>
      <c r="F16" s="151">
        <f>SUMIFS(Table1[مبلغ واریزی],Table1[ردیف],$B16,Table1[سال],F$2)</f>
        <v>25000000</v>
      </c>
      <c r="G16" s="151">
        <f>SUMIFS(Table1[مبلغ واریزی],Table1[ردیف],$B16,Table1[سال],G$2)</f>
        <v>49992000</v>
      </c>
      <c r="H16" s="151">
        <f>SUMIFS(Table1[مبلغ واریزی],Table1[ردیف],$B16,Table1[سال],H$2)</f>
        <v>0</v>
      </c>
      <c r="I16" s="151">
        <f>SUMIFS(Table1[توضیحات ‍‍‍‍],Table1[نام],$B16,Table1[شماره فیش],I$2)</f>
        <v>0</v>
      </c>
      <c r="J16" s="151">
        <f>SUMIF('لیست واریزی ماهیانه'!B:B,'لیست واریزی کل خیرین'!$B16,'لیست واریزی ماهیانه'!K:K)</f>
        <v>74992000</v>
      </c>
      <c r="L1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2500000</v>
      </c>
      <c r="O1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2500000</v>
      </c>
      <c r="P1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2500000</v>
      </c>
      <c r="Q1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2500000</v>
      </c>
      <c r="R1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2500000</v>
      </c>
      <c r="S1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2500000</v>
      </c>
      <c r="T1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2500000</v>
      </c>
      <c r="U1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2500000</v>
      </c>
      <c r="V1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2500000</v>
      </c>
      <c r="W1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2500000</v>
      </c>
      <c r="X1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4166000</v>
      </c>
      <c r="Y1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4166000</v>
      </c>
      <c r="Z1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4166000</v>
      </c>
      <c r="AA1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4166000</v>
      </c>
      <c r="AB1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4166000</v>
      </c>
      <c r="AC1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4166000</v>
      </c>
      <c r="AD1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4166000</v>
      </c>
      <c r="AE1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4166000</v>
      </c>
      <c r="AF1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4166000</v>
      </c>
      <c r="AG1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4166000</v>
      </c>
      <c r="AH1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4166000</v>
      </c>
      <c r="AI1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4166000</v>
      </c>
      <c r="AJ1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7" spans="2:59">
      <c r="B17" s="133">
        <v>14</v>
      </c>
      <c r="C17" s="133"/>
      <c r="D17" s="137" t="s">
        <v>202</v>
      </c>
      <c r="E17" s="137" t="s">
        <v>502</v>
      </c>
      <c r="F17" s="151">
        <f>SUMIFS(Table1[مبلغ واریزی],Table1[ردیف],$B17,Table1[سال],F$2)</f>
        <v>100000000</v>
      </c>
      <c r="G17" s="151">
        <f>SUMIFS(Table1[مبلغ واریزی],Table1[ردیف],$B17,Table1[سال],G$2)</f>
        <v>120000000</v>
      </c>
      <c r="H17" s="151">
        <f>SUMIFS(Table1[مبلغ واریزی],Table1[ردیف],$B17,Table1[سال],H$2)</f>
        <v>175000000</v>
      </c>
      <c r="I17" s="151">
        <f>SUMIFS(Table1[توضیحات ‍‍‍‍],Table1[نام],$B17,Table1[شماره فیش],I$2)</f>
        <v>0</v>
      </c>
      <c r="J17" s="151">
        <f>SUMIF('لیست واریزی ماهیانه'!B:B,'لیست واریزی کل خیرین'!$B17,'لیست واریزی ماهیانه'!K:K)</f>
        <v>455000000</v>
      </c>
      <c r="L1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1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1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</v>
      </c>
      <c r="Q1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1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1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1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1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1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1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1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1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1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1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1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1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1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10000000</v>
      </c>
      <c r="AE1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1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10000000</v>
      </c>
      <c r="AG1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</v>
      </c>
      <c r="AH1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10000000</v>
      </c>
      <c r="AI1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10000000</v>
      </c>
      <c r="AJ1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10000000</v>
      </c>
      <c r="AK1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10000000</v>
      </c>
      <c r="AL1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10000000</v>
      </c>
      <c r="AM1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15000000</v>
      </c>
      <c r="AN1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15000000</v>
      </c>
      <c r="AO1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30000000</v>
      </c>
      <c r="AQ1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20000000</v>
      </c>
      <c r="AR1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45000000</v>
      </c>
      <c r="AU1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20000000</v>
      </c>
      <c r="AV1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20000000</v>
      </c>
      <c r="AY1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20000000</v>
      </c>
      <c r="AZ1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20000000</v>
      </c>
      <c r="BA1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8" spans="2:59">
      <c r="B18" s="133">
        <v>15</v>
      </c>
      <c r="C18" s="133"/>
      <c r="D18" s="137" t="s">
        <v>503</v>
      </c>
      <c r="E18" s="137" t="s">
        <v>504</v>
      </c>
      <c r="F18" s="151">
        <f>SUMIFS(Table1[مبلغ واریزی],Table1[ردیف],$B18,Table1[سال],F$2)</f>
        <v>140000000</v>
      </c>
      <c r="G18" s="151">
        <f>SUMIFS(Table1[مبلغ واریزی],Table1[ردیف],$B18,Table1[سال],G$2)</f>
        <v>60000000</v>
      </c>
      <c r="H18" s="151">
        <f>SUMIFS(Table1[مبلغ واریزی],Table1[ردیف],$B18,Table1[سال],H$2)</f>
        <v>70000000</v>
      </c>
      <c r="I18" s="151">
        <f>SUMIFS(Table1[توضیحات ‍‍‍‍],Table1[نام],$B18,Table1[شماره فیش],I$2)</f>
        <v>0</v>
      </c>
      <c r="J18" s="151">
        <f>SUMIF('لیست واریزی ماهیانه'!B:B,'لیست واریزی کل خیرین'!$B18,'لیست واریزی ماهیانه'!K:K)</f>
        <v>360000000</v>
      </c>
      <c r="L1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1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1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</v>
      </c>
      <c r="Q1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1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1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1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1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1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1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50000000</v>
      </c>
      <c r="X1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1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1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1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1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1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1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30000000</v>
      </c>
      <c r="AN1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10000000</v>
      </c>
      <c r="AO1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30000000</v>
      </c>
      <c r="AV1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20000000</v>
      </c>
      <c r="AX1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10000000</v>
      </c>
      <c r="AY1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60000000</v>
      </c>
      <c r="BD1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9" spans="2:59">
      <c r="B19" s="133">
        <v>16</v>
      </c>
      <c r="C19" s="133"/>
      <c r="D19" s="137" t="s">
        <v>497</v>
      </c>
      <c r="E19" s="137" t="s">
        <v>505</v>
      </c>
      <c r="F19" s="151">
        <f>SUMIFS(Table1[مبلغ واریزی],Table1[ردیف],$B19,Table1[سال],F$2)</f>
        <v>30000000</v>
      </c>
      <c r="G19" s="151">
        <f>SUMIFS(Table1[مبلغ واریزی],Table1[ردیف],$B19,Table1[سال],G$2)</f>
        <v>20000000</v>
      </c>
      <c r="H19" s="151">
        <f>SUMIFS(Table1[مبلغ واریزی],Table1[ردیف],$B19,Table1[سال],H$2)</f>
        <v>0</v>
      </c>
      <c r="I19" s="151">
        <f>SUMIFS(Table1[توضیحات ‍‍‍‍],Table1[نام],$B19,Table1[شماره فیش],I$2)</f>
        <v>0</v>
      </c>
      <c r="J19" s="151">
        <f>SUMIF('لیست واریزی ماهیانه'!B:B,'لیست واریزی کل خیرین'!$B19,'لیست واریزی ماهیانه'!K:K)</f>
        <v>50000000</v>
      </c>
      <c r="L1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3000000</v>
      </c>
      <c r="O1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</v>
      </c>
      <c r="P1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1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</v>
      </c>
      <c r="R1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</v>
      </c>
      <c r="S1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3000000</v>
      </c>
      <c r="T1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</v>
      </c>
      <c r="U1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</v>
      </c>
      <c r="V1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</v>
      </c>
      <c r="W1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</v>
      </c>
      <c r="X1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3000000</v>
      </c>
      <c r="Y1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3000000</v>
      </c>
      <c r="Z1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3000000</v>
      </c>
      <c r="AA1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3000000</v>
      </c>
      <c r="AB1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3000000</v>
      </c>
      <c r="AC1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3000000</v>
      </c>
      <c r="AD1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</v>
      </c>
      <c r="AE1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20" spans="2:59">
      <c r="B20" s="133">
        <v>17</v>
      </c>
      <c r="C20" s="133"/>
      <c r="D20" s="137" t="s">
        <v>507</v>
      </c>
      <c r="E20" s="137" t="s">
        <v>508</v>
      </c>
      <c r="F20" s="151">
        <f>SUMIFS(Table1[مبلغ واریزی],Table1[ردیف],$B20,Table1[سال],F$2)</f>
        <v>45000000</v>
      </c>
      <c r="G20" s="151">
        <f>SUMIFS(Table1[مبلغ واریزی],Table1[ردیف],$B20,Table1[سال],G$2)</f>
        <v>0</v>
      </c>
      <c r="H20" s="151">
        <f>SUMIFS(Table1[مبلغ واریزی],Table1[ردیف],$B20,Table1[سال],H$2)</f>
        <v>0</v>
      </c>
      <c r="I20" s="151">
        <f>SUMIFS(Table1[توضیحات ‍‍‍‍],Table1[نام],$B20,Table1[شماره فیش],I$2)</f>
        <v>0</v>
      </c>
      <c r="J20" s="151">
        <f>SUMIF('لیست واریزی ماهیانه'!B:B,'لیست واریزی کل خیرین'!$B20,'لیست واریزی ماهیانه'!K:K)</f>
        <v>45000000</v>
      </c>
      <c r="L2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15000000</v>
      </c>
      <c r="O2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15000000</v>
      </c>
      <c r="P2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15000000</v>
      </c>
      <c r="Q2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2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2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2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2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2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2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2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2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2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2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2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2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2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2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2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2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2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2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2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2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2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2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2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2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2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2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2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2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2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2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2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2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2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2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2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21" spans="2:59" ht="15.75" customHeight="1">
      <c r="B21" s="133">
        <v>18</v>
      </c>
      <c r="C21" s="457" t="s">
        <v>1734</v>
      </c>
      <c r="D21" s="137" t="s">
        <v>509</v>
      </c>
      <c r="E21" s="137" t="s">
        <v>510</v>
      </c>
      <c r="F21" s="151">
        <f>SUMIFS(Table1[مبلغ واریزی],Table1[ردیف],$B21,Table1[سال],F$2)</f>
        <v>120000000</v>
      </c>
      <c r="G21" s="151">
        <f>SUMIFS(Table1[مبلغ واریزی],Table1[ردیف],$B21,Table1[سال],G$2)</f>
        <v>50000000</v>
      </c>
      <c r="H21" s="151">
        <f>SUMIFS(Table1[مبلغ واریزی],Table1[ردیف],$B21,Table1[سال],H$2)</f>
        <v>100000000</v>
      </c>
      <c r="I21" s="151">
        <f>SUMIFS(Table1[توضیحات ‍‍‍‍],Table1[نام],$B21,Table1[شماره فیش],I$2)</f>
        <v>0</v>
      </c>
      <c r="J21" s="151">
        <f>SUMIF('لیست واریزی ماهیانه'!B:B,'لیست واریزی کل خیرین'!$B21,'لیست واریزی ماهیانه'!K:K)</f>
        <v>270000000</v>
      </c>
      <c r="L2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50000000</v>
      </c>
      <c r="O2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2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40000000</v>
      </c>
      <c r="Q2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2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30000000</v>
      </c>
      <c r="S2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2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2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2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2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2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2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2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2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2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50000000</v>
      </c>
      <c r="AJ2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2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2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2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2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2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2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2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100000000</v>
      </c>
      <c r="AR2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2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2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2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2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2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2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2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2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2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2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2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2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2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2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2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22" spans="2:59" ht="15.75" customHeight="1">
      <c r="B22" s="133">
        <v>19</v>
      </c>
      <c r="C22" s="133"/>
      <c r="D22" s="137" t="s">
        <v>497</v>
      </c>
      <c r="E22" s="137" t="s">
        <v>513</v>
      </c>
      <c r="F22" s="151">
        <f>SUMIFS(Table1[مبلغ واریزی],Table1[ردیف],$B22,Table1[سال],F$2)</f>
        <v>170000000</v>
      </c>
      <c r="G22" s="151">
        <f>SUMIFS(Table1[مبلغ واریزی],Table1[ردیف],$B22,Table1[سال],G$2)</f>
        <v>230000000</v>
      </c>
      <c r="H22" s="151">
        <f>SUMIFS(Table1[مبلغ واریزی],Table1[ردیف],$B22,Table1[سال],H$2)</f>
        <v>100000000</v>
      </c>
      <c r="I22" s="151">
        <f>SUMIFS(Table1[توضیحات ‍‍‍‍],Table1[نام],$B22,Table1[شماره فیش],I$2)</f>
        <v>0</v>
      </c>
      <c r="J22" s="151">
        <f>SUMIF('لیست واریزی ماهیانه'!B:B,'لیست واریزی کل خیرین'!$B22,'لیست واریزی ماهیانه'!K:K)</f>
        <v>560000000</v>
      </c>
      <c r="L2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2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2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</v>
      </c>
      <c r="Q2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2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30000000</v>
      </c>
      <c r="S2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20000000</v>
      </c>
      <c r="T2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20000000</v>
      </c>
      <c r="U2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20000000</v>
      </c>
      <c r="V2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20000000</v>
      </c>
      <c r="W2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20000000</v>
      </c>
      <c r="X2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20000000</v>
      </c>
      <c r="Y2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20000000</v>
      </c>
      <c r="Z2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20000000</v>
      </c>
      <c r="AA2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20000000</v>
      </c>
      <c r="AB2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20000000</v>
      </c>
      <c r="AC2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30000000</v>
      </c>
      <c r="AD2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20000000</v>
      </c>
      <c r="AE2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20000000</v>
      </c>
      <c r="AF2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20000000</v>
      </c>
      <c r="AG2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2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20000000</v>
      </c>
      <c r="AI2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20000000</v>
      </c>
      <c r="AJ2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20000000</v>
      </c>
      <c r="AK2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2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2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2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20000000</v>
      </c>
      <c r="AO2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40000000</v>
      </c>
      <c r="AP2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2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2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2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2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2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20000000</v>
      </c>
      <c r="AV2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2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30000000</v>
      </c>
      <c r="AX2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30000000</v>
      </c>
      <c r="AY2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2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2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2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2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2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2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2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2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23" spans="2:59" ht="15.75" customHeight="1">
      <c r="B23" s="133">
        <v>20</v>
      </c>
      <c r="C23" s="133"/>
      <c r="D23" s="137" t="s">
        <v>494</v>
      </c>
      <c r="E23" s="137" t="s">
        <v>511</v>
      </c>
      <c r="F23" s="151">
        <f>SUMIFS(Table1[مبلغ واریزی],Table1[ردیف],$B23,Table1[سال],F$2)</f>
        <v>460000000</v>
      </c>
      <c r="G23" s="151">
        <f>SUMIFS(Table1[مبلغ واریزی],Table1[ردیف],$B23,Table1[سال],G$2)</f>
        <v>350000000</v>
      </c>
      <c r="H23" s="151">
        <f>SUMIFS(Table1[مبلغ واریزی],Table1[ردیف],$B23,Table1[سال],H$2)</f>
        <v>100000000</v>
      </c>
      <c r="I23" s="151">
        <f>SUMIFS(Table1[توضیحات ‍‍‍‍],Table1[نام],$B23,Table1[شماره فیش],I$2)</f>
        <v>0</v>
      </c>
      <c r="J23" s="151">
        <f>SUMIF('لیست واریزی ماهیانه'!B:B,'لیست واریزی کل خیرین'!$B23,'لیست واریزی ماهیانه'!K:K)</f>
        <v>1295000000</v>
      </c>
      <c r="L2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20000000</v>
      </c>
      <c r="O2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20000000</v>
      </c>
      <c r="P2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20000000</v>
      </c>
      <c r="Q2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20000000</v>
      </c>
      <c r="R2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70000000</v>
      </c>
      <c r="S2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50000000</v>
      </c>
      <c r="T2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50000000</v>
      </c>
      <c r="U2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100000000</v>
      </c>
      <c r="V2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50000000</v>
      </c>
      <c r="W2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60000000</v>
      </c>
      <c r="X2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2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2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2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50000000</v>
      </c>
      <c r="AD2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50000000</v>
      </c>
      <c r="AE2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50000000</v>
      </c>
      <c r="AF2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50000000</v>
      </c>
      <c r="AG2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50000000</v>
      </c>
      <c r="AH2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50000000</v>
      </c>
      <c r="AI2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50000000</v>
      </c>
      <c r="AJ2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50000000</v>
      </c>
      <c r="AK2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2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50000000</v>
      </c>
      <c r="AM2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2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2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2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2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2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2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2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2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2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2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220000000</v>
      </c>
      <c r="AX2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165000000</v>
      </c>
      <c r="AY2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2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2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2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2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2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2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2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2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24" spans="2:59" ht="15.75" customHeight="1">
      <c r="B24" s="133">
        <v>21</v>
      </c>
      <c r="C24" s="133"/>
      <c r="D24" s="137" t="s">
        <v>497</v>
      </c>
      <c r="E24" s="137" t="s">
        <v>516</v>
      </c>
      <c r="F24" s="151">
        <f>SUMIFS(Table1[مبلغ واریزی],Table1[ردیف],$B24,Table1[سال],F$2)</f>
        <v>40000000</v>
      </c>
      <c r="G24" s="151">
        <f>SUMIFS(Table1[مبلغ واریزی],Table1[ردیف],$B24,Table1[سال],G$2)</f>
        <v>55000000</v>
      </c>
      <c r="H24" s="151">
        <f>SUMIFS(Table1[مبلغ واریزی],Table1[ردیف],$B24,Table1[سال],H$2)</f>
        <v>10000000</v>
      </c>
      <c r="I24" s="151">
        <f>SUMIFS(Table1[توضیحات ‍‍‍‍],Table1[نام],$B24,Table1[شماره فیش],I$2)</f>
        <v>0</v>
      </c>
      <c r="J24" s="151">
        <f>SUMIF('لیست واریزی ماهیانه'!B:B,'لیست واریزی کل خیرین'!$B24,'لیست واریزی ماهیانه'!K:K)</f>
        <v>145000000</v>
      </c>
      <c r="L2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2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2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2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2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2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2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2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2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2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2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2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2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2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2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2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2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2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2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  <c r="AH2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5000000</v>
      </c>
      <c r="AI2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</v>
      </c>
      <c r="AJ2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2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2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2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10000000</v>
      </c>
      <c r="AN2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2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2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2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2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2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2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2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2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2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2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2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2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2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40000000</v>
      </c>
      <c r="BB2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2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2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2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2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2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25" spans="2:59" ht="15.75" customHeight="1">
      <c r="B25" s="133">
        <v>22</v>
      </c>
      <c r="C25" s="133"/>
      <c r="D25" s="137" t="s">
        <v>518</v>
      </c>
      <c r="E25" s="137" t="s">
        <v>519</v>
      </c>
      <c r="F25" s="151">
        <f>SUMIFS(Table1[مبلغ واریزی],Table1[ردیف],$B25,Table1[سال],F$2)</f>
        <v>23000000</v>
      </c>
      <c r="G25" s="151">
        <f>SUMIFS(Table1[مبلغ واریزی],Table1[ردیف],$B25,Table1[سال],G$2)</f>
        <v>24000000</v>
      </c>
      <c r="H25" s="151">
        <f>SUMIFS(Table1[مبلغ واریزی],Table1[ردیف],$B25,Table1[سال],H$2)</f>
        <v>36000000</v>
      </c>
      <c r="I25" s="151">
        <f>SUMIFS(Table1[توضیحات ‍‍‍‍],Table1[نام],$B25,Table1[شماره فیش],I$2)</f>
        <v>0</v>
      </c>
      <c r="J25" s="151">
        <f>SUMIF('لیست واریزی ماهیانه'!B:B,'لیست واریزی کل خیرین'!$B25,'لیست واریزی ماهیانه'!K:K)</f>
        <v>108000000</v>
      </c>
      <c r="L2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2000000</v>
      </c>
      <c r="O2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</v>
      </c>
      <c r="P2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</v>
      </c>
      <c r="Q2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</v>
      </c>
      <c r="R2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</v>
      </c>
      <c r="S2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</v>
      </c>
      <c r="T2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2000000</v>
      </c>
      <c r="U2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</v>
      </c>
      <c r="V2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2000000</v>
      </c>
      <c r="W2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2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2000000</v>
      </c>
      <c r="Y2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2000000</v>
      </c>
      <c r="Z2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</v>
      </c>
      <c r="AA2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2000000</v>
      </c>
      <c r="AB2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</v>
      </c>
      <c r="AC2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2000000</v>
      </c>
      <c r="AD2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</v>
      </c>
      <c r="AE2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2000000</v>
      </c>
      <c r="AF2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2000000</v>
      </c>
      <c r="AG2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2000000</v>
      </c>
      <c r="AH2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2000000</v>
      </c>
      <c r="AI2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2000000</v>
      </c>
      <c r="AJ2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2000000</v>
      </c>
      <c r="AK2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2000000</v>
      </c>
      <c r="AL2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2000000</v>
      </c>
      <c r="AM2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2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2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2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2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2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2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2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30000000</v>
      </c>
      <c r="AU2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2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2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2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25000000</v>
      </c>
      <c r="AY2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2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2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2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2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2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2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2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2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26" spans="2:59" ht="15.75" customHeight="1">
      <c r="B26" s="133">
        <v>23</v>
      </c>
      <c r="C26" s="133"/>
      <c r="D26" s="137" t="s">
        <v>588</v>
      </c>
      <c r="E26" s="137" t="s">
        <v>521</v>
      </c>
      <c r="F26" s="151">
        <f>SUMIFS(Table1[مبلغ واریزی],Table1[ردیف],$B26,Table1[سال],F$2)</f>
        <v>100000000</v>
      </c>
      <c r="G26" s="151">
        <f>SUMIFS(Table1[مبلغ واریزی],Table1[ردیف],$B26,Table1[سال],G$2)</f>
        <v>80000000</v>
      </c>
      <c r="H26" s="151">
        <f>SUMIFS(Table1[مبلغ واریزی],Table1[ردیف],$B26,Table1[سال],H$2)</f>
        <v>60000000</v>
      </c>
      <c r="I26" s="151">
        <f>SUMIFS(Table1[توضیحات ‍‍‍‍],Table1[نام],$B26,Table1[شماره فیش],I$2)</f>
        <v>0</v>
      </c>
      <c r="J26" s="151">
        <f>SUMIF('لیست واریزی ماهیانه'!B:B,'لیست واریزی کل خیرین'!$B26,'لیست واریزی ماهیانه'!K:K)</f>
        <v>240000000</v>
      </c>
      <c r="L2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2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2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</v>
      </c>
      <c r="Q2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2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2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2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2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2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2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2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2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2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2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50000000</v>
      </c>
      <c r="AF2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2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2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2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2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2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2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2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2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2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2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2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2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60000000</v>
      </c>
      <c r="AT2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2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2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2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2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2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2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2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2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2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2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2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2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2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27" spans="2:59" ht="15.75" customHeight="1">
      <c r="B27" s="133">
        <v>24</v>
      </c>
      <c r="C27" s="133"/>
      <c r="D27" s="137" t="s">
        <v>529</v>
      </c>
      <c r="E27" s="137" t="s">
        <v>530</v>
      </c>
      <c r="F27" s="151">
        <f>SUMIFS(Table1[مبلغ واریزی],Table1[ردیف],$B27,Table1[سال],F$2)</f>
        <v>30000000</v>
      </c>
      <c r="G27" s="151">
        <f>SUMIFS(Table1[مبلغ واریزی],Table1[ردیف],$B27,Table1[سال],G$2)</f>
        <v>40000000</v>
      </c>
      <c r="H27" s="151">
        <f>SUMIFS(Table1[مبلغ واریزی],Table1[ردیف],$B27,Table1[سال],H$2)</f>
        <v>47500000</v>
      </c>
      <c r="I27" s="151">
        <f>SUMIFS(Table1[توضیحات ‍‍‍‍],Table1[نام],$B27,Table1[شماره فیش],I$2)</f>
        <v>0</v>
      </c>
      <c r="J27" s="151">
        <f>SUMIF('لیست واریزی ماهیانه'!B:B,'لیست واریزی کل خیرین'!$B27,'لیست واریزی ماهیانه'!K:K)</f>
        <v>127500000</v>
      </c>
      <c r="L2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2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2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2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2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2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2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2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2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2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2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2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2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2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2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2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2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  <c r="AH2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5000000</v>
      </c>
      <c r="AI2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</v>
      </c>
      <c r="AJ2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2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5000000</v>
      </c>
      <c r="AL2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2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2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2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2500000</v>
      </c>
      <c r="AP2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10000000</v>
      </c>
      <c r="AQ2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30000000</v>
      </c>
      <c r="AR2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2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2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2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2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10000000</v>
      </c>
      <c r="AW2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2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2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2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2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2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2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2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2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2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2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28" spans="2:59" ht="15.75" customHeight="1">
      <c r="B28" s="133">
        <v>25</v>
      </c>
      <c r="C28" s="133"/>
      <c r="D28" s="137" t="s">
        <v>532</v>
      </c>
      <c r="E28" s="137" t="s">
        <v>533</v>
      </c>
      <c r="F28" s="151">
        <f>SUMIFS(Table1[مبلغ واریزی],Table1[ردیف],$B28,Table1[سال],F$2)</f>
        <v>470000000</v>
      </c>
      <c r="G28" s="151">
        <f>SUMIFS(Table1[مبلغ واریزی],Table1[ردیف],$B28,Table1[سال],G$2)</f>
        <v>120000000</v>
      </c>
      <c r="H28" s="151">
        <f>SUMIFS(Table1[مبلغ واریزی],Table1[ردیف],$B28,Table1[سال],H$2)</f>
        <v>0</v>
      </c>
      <c r="I28" s="151">
        <f>SUMIFS(Table1[توضیحات ‍‍‍‍],Table1[نام],$B28,Table1[شماره فیش],I$2)</f>
        <v>0</v>
      </c>
      <c r="J28" s="151">
        <f>SUMIF('لیست واریزی ماهیانه'!B:B,'لیست واریزی کل خیرین'!$B28,'لیست واریزی ماهیانه'!K:K)</f>
        <v>590000000</v>
      </c>
      <c r="L2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2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30000000</v>
      </c>
      <c r="P2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30000000</v>
      </c>
      <c r="Q2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30000000</v>
      </c>
      <c r="R2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30000000</v>
      </c>
      <c r="S2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30000000</v>
      </c>
      <c r="T2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30000000</v>
      </c>
      <c r="U2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30000000</v>
      </c>
      <c r="V2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30000000</v>
      </c>
      <c r="W2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230000000</v>
      </c>
      <c r="X2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30000000</v>
      </c>
      <c r="Y2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30000000</v>
      </c>
      <c r="Z2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30000000</v>
      </c>
      <c r="AA2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30000000</v>
      </c>
      <c r="AB2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2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2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2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2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2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2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2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2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2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2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2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2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2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2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2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2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2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2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2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2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2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2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2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2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2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2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29" spans="2:59" ht="15.75" customHeight="1">
      <c r="B29" s="133">
        <v>26</v>
      </c>
      <c r="C29" s="457" t="s">
        <v>1734</v>
      </c>
      <c r="D29" s="137" t="s">
        <v>207</v>
      </c>
      <c r="E29" s="137" t="s">
        <v>534</v>
      </c>
      <c r="F29" s="151">
        <f>SUMIFS(Table1[مبلغ واریزی],Table1[ردیف],$B29,Table1[سال],F$2)</f>
        <v>10000000</v>
      </c>
      <c r="G29" s="151">
        <f>SUMIFS(Table1[مبلغ واریزی],Table1[ردیف],$B29,Table1[سال],G$2)</f>
        <v>0</v>
      </c>
      <c r="H29" s="151">
        <f>SUMIFS(Table1[مبلغ واریزی],Table1[ردیف],$B29,Table1[سال],H$2)</f>
        <v>0</v>
      </c>
      <c r="I29" s="151">
        <f>SUMIFS(Table1[توضیحات ‍‍‍‍],Table1[نام],$B29,Table1[شماره فیش],I$2)</f>
        <v>0</v>
      </c>
      <c r="J29" s="151">
        <f>SUMIF('لیست واریزی ماهیانه'!B:B,'لیست واریزی کل خیرین'!$B29,'لیست واریزی ماهیانه'!K:K)</f>
        <v>10000000</v>
      </c>
      <c r="L2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2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2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2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2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2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2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2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2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2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2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2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2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2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2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2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2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2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2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2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2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2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2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2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2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2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2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2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2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2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2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2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2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2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2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2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2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2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2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30" spans="2:59" ht="15.75" customHeight="1">
      <c r="B30" s="133">
        <v>27</v>
      </c>
      <c r="C30" s="133"/>
      <c r="D30" s="137" t="s">
        <v>543</v>
      </c>
      <c r="E30" s="137" t="s">
        <v>544</v>
      </c>
      <c r="F30" s="151">
        <f>SUMIFS(Table1[مبلغ واریزی],Table1[ردیف],$B30,Table1[سال],F$2)</f>
        <v>40000000</v>
      </c>
      <c r="G30" s="151">
        <f>SUMIFS(Table1[مبلغ واریزی],Table1[ردیف],$B30,Table1[سال],G$2)</f>
        <v>40000000</v>
      </c>
      <c r="H30" s="151">
        <f>SUMIFS(Table1[مبلغ واریزی],Table1[ردیف],$B30,Table1[سال],H$2)</f>
        <v>35000000</v>
      </c>
      <c r="I30" s="151">
        <f>SUMIFS(Table1[توضیحات ‍‍‍‍],Table1[نام],$B30,Table1[شماره فیش],I$2)</f>
        <v>0</v>
      </c>
      <c r="J30" s="151">
        <f>SUMIF('لیست واریزی ماهیانه'!B:B,'لیست واریزی کل خیرین'!$B30,'لیست واریزی ماهیانه'!K:K)</f>
        <v>115000000</v>
      </c>
      <c r="L3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3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3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3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3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3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3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3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3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3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3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3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3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3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3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3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3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3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3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3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3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3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3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3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3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3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3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3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3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35000000</v>
      </c>
      <c r="AS3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3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3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3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3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3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3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3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3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3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3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3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3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3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3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31" spans="2:59" ht="15.75" customHeight="1">
      <c r="B31" s="133">
        <v>28</v>
      </c>
      <c r="C31" s="133"/>
      <c r="D31" s="137" t="s">
        <v>545</v>
      </c>
      <c r="E31" s="137" t="s">
        <v>546</v>
      </c>
      <c r="F31" s="151">
        <f>SUMIFS(Table1[مبلغ واریزی],Table1[ردیف],$B31,Table1[سال],F$2)</f>
        <v>36500000</v>
      </c>
      <c r="G31" s="151">
        <f>SUMIFS(Table1[مبلغ واریزی],Table1[ردیف],$B31,Table1[سال],G$2)</f>
        <v>30000000</v>
      </c>
      <c r="H31" s="151">
        <f>SUMIFS(Table1[مبلغ واریزی],Table1[ردیف],$B31,Table1[سال],H$2)</f>
        <v>0</v>
      </c>
      <c r="I31" s="151">
        <f>SUMIFS(Table1[توضیحات ‍‍‍‍],Table1[نام],$B31,Table1[شماره فیش],I$2)</f>
        <v>0</v>
      </c>
      <c r="J31" s="151">
        <f>SUMIF('لیست واریزی ماهیانه'!B:B,'لیست واریزی کل خیرین'!$B31,'لیست واریزی ماهیانه'!K:K)</f>
        <v>66500000</v>
      </c>
      <c r="L3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3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13000000</v>
      </c>
      <c r="Q3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4000000</v>
      </c>
      <c r="R3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</v>
      </c>
      <c r="S3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6500000</v>
      </c>
      <c r="U3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3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10000000</v>
      </c>
      <c r="AG3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3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10000000</v>
      </c>
      <c r="AI3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3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3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3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3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3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3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3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3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3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3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3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3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3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3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3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3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3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3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3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3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3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3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3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3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32" spans="2:59" ht="15.75" customHeight="1">
      <c r="B32" s="133">
        <v>29</v>
      </c>
      <c r="C32" s="457" t="s">
        <v>1734</v>
      </c>
      <c r="D32" s="137" t="s">
        <v>549</v>
      </c>
      <c r="E32" s="137" t="s">
        <v>550</v>
      </c>
      <c r="F32" s="151">
        <f>SUMIFS(Table1[مبلغ واریزی],Table1[ردیف],$B32,Table1[سال],F$2)</f>
        <v>10000000</v>
      </c>
      <c r="G32" s="151">
        <f>SUMIFS(Table1[مبلغ واریزی],Table1[ردیف],$B32,Table1[سال],G$2)</f>
        <v>1500000</v>
      </c>
      <c r="H32" s="151">
        <f>SUMIFS(Table1[مبلغ واریزی],Table1[ردیف],$B32,Table1[سال],H$2)</f>
        <v>0</v>
      </c>
      <c r="I32" s="151">
        <f>SUMIFS(Table1[توضیحات ‍‍‍‍],Table1[نام],$B32,Table1[شماره فیش],I$2)</f>
        <v>0</v>
      </c>
      <c r="J32" s="151">
        <f>SUMIF('لیست واریزی ماهیانه'!B:B,'لیست واریزی کل خیرین'!$B32,'لیست واریزی ماهیانه'!K:K)</f>
        <v>11500000</v>
      </c>
      <c r="L3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3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3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3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3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1500000</v>
      </c>
      <c r="AH3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3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3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3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3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3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3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3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3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3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3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3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3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3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3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3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3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3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3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3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3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3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3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3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3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3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33" spans="2:59" ht="15.75" customHeight="1">
      <c r="B33" s="133">
        <v>30</v>
      </c>
      <c r="C33" s="457" t="s">
        <v>1734</v>
      </c>
      <c r="D33" s="137" t="s">
        <v>552</v>
      </c>
      <c r="E33" s="137" t="s">
        <v>553</v>
      </c>
      <c r="F33" s="151">
        <f>SUMIFS(Table1[مبلغ واریزی],Table1[ردیف],$B33,Table1[سال],F$2)</f>
        <v>10000000</v>
      </c>
      <c r="G33" s="151">
        <f>SUMIFS(Table1[مبلغ واریزی],Table1[ردیف],$B33,Table1[سال],G$2)</f>
        <v>0</v>
      </c>
      <c r="H33" s="151">
        <f>SUMIFS(Table1[مبلغ واریزی],Table1[ردیف],$B33,Table1[سال],H$2)</f>
        <v>30000000</v>
      </c>
      <c r="I33" s="151">
        <f>SUMIFS(Table1[توضیحات ‍‍‍‍],Table1[نام],$B33,Table1[شماره فیش],I$2)</f>
        <v>0</v>
      </c>
      <c r="J33" s="151">
        <f>SUMIF('لیست واریزی ماهیانه'!B:B,'لیست واریزی کل خیرین'!$B33,'لیست واریزی ماهیانه'!K:K)</f>
        <v>40000000</v>
      </c>
      <c r="L3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3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3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3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3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3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3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3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3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3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3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3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3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3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3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30000000</v>
      </c>
      <c r="AR3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3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3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3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3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3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3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3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3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3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3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3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3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3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3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3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34" spans="2:59" ht="15.75" customHeight="1">
      <c r="B34" s="133">
        <v>31</v>
      </c>
      <c r="C34" s="133"/>
      <c r="D34" s="137" t="s">
        <v>556</v>
      </c>
      <c r="E34" s="137" t="s">
        <v>557</v>
      </c>
      <c r="F34" s="151">
        <f>SUMIFS(Table1[مبلغ واریزی],Table1[ردیف],$B34,Table1[سال],F$2)</f>
        <v>5000000</v>
      </c>
      <c r="G34" s="151">
        <f>SUMIFS(Table1[مبلغ واریزی],Table1[ردیف],$B34,Table1[سال],G$2)</f>
        <v>0</v>
      </c>
      <c r="H34" s="151">
        <f>SUMIFS(Table1[مبلغ واریزی],Table1[ردیف],$B34,Table1[سال],H$2)</f>
        <v>0</v>
      </c>
      <c r="I34" s="151">
        <f>SUMIFS(Table1[توضیحات ‍‍‍‍],Table1[نام],$B34,Table1[شماره فیش],I$2)</f>
        <v>0</v>
      </c>
      <c r="J34" s="151">
        <f>SUMIF('لیست واریزی ماهیانه'!B:B,'لیست واریزی کل خیرین'!$B34,'لیست واریزی ماهیانه'!K:K)</f>
        <v>5000000</v>
      </c>
      <c r="L3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3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3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3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3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3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3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3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3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3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3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3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3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3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3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3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3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3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3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3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3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3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3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3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3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3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3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3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3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3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3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35" spans="2:59" ht="15.75" customHeight="1">
      <c r="B35" s="133">
        <v>32</v>
      </c>
      <c r="C35" s="133"/>
      <c r="D35" s="137" t="s">
        <v>574</v>
      </c>
      <c r="E35" s="137" t="s">
        <v>575</v>
      </c>
      <c r="F35" s="151">
        <f>SUMIFS(Table1[مبلغ واریزی],Table1[ردیف],$B35,Table1[سال],F$2)</f>
        <v>10000000</v>
      </c>
      <c r="G35" s="151">
        <f>SUMIFS(Table1[مبلغ واریزی],Table1[ردیف],$B35,Table1[سال],G$2)</f>
        <v>0</v>
      </c>
      <c r="H35" s="151">
        <f>SUMIFS(Table1[مبلغ واریزی],Table1[ردیف],$B35,Table1[سال],H$2)</f>
        <v>0</v>
      </c>
      <c r="I35" s="151">
        <f>SUMIFS(Table1[توضیحات ‍‍‍‍],Table1[نام],$B35,Table1[شماره فیش],I$2)</f>
        <v>0</v>
      </c>
      <c r="J35" s="151">
        <f>SUMIF('لیست واریزی ماهیانه'!B:B,'لیست واریزی کل خیرین'!$B35,'لیست واریزی ماهیانه'!K:K)</f>
        <v>10000000</v>
      </c>
      <c r="L3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3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3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3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3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3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3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3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3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3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3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3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3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3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3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3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3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3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3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3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3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3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3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3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3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3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3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3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3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3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3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36" spans="2:59" ht="15.75" customHeight="1">
      <c r="B36" s="133">
        <v>33</v>
      </c>
      <c r="C36" s="457" t="s">
        <v>1734</v>
      </c>
      <c r="D36" s="137" t="s">
        <v>583</v>
      </c>
      <c r="E36" s="137" t="s">
        <v>584</v>
      </c>
      <c r="F36" s="151">
        <f>SUMIFS(Table1[مبلغ واریزی],Table1[ردیف],$B36,Table1[سال],F$2)</f>
        <v>110000000</v>
      </c>
      <c r="G36" s="151">
        <f>SUMIFS(Table1[مبلغ واریزی],Table1[ردیف],$B36,Table1[سال],G$2)</f>
        <v>0</v>
      </c>
      <c r="H36" s="151">
        <f>SUMIFS(Table1[مبلغ واریزی],Table1[ردیف],$B36,Table1[سال],H$2)</f>
        <v>0</v>
      </c>
      <c r="I36" s="151">
        <f>SUMIFS(Table1[توضیحات ‍‍‍‍],Table1[نام],$B36,Table1[شماره فیش],I$2)</f>
        <v>0</v>
      </c>
      <c r="J36" s="151">
        <f>SUMIF('لیست واریزی ماهیانه'!B:B,'لیست واریزی کل خیرین'!$B36,'لیست واریزی ماهیانه'!K:K)</f>
        <v>110000000</v>
      </c>
      <c r="L3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3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20000000</v>
      </c>
      <c r="Q3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20000000</v>
      </c>
      <c r="R3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20000000</v>
      </c>
      <c r="S3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20000000</v>
      </c>
      <c r="T3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30000000</v>
      </c>
      <c r="X3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3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3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3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3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3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3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3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3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3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3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3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3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3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3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3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3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3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3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3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3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3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3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3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3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3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3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37" spans="2:59" ht="15.75" customHeight="1">
      <c r="B37" s="133">
        <v>34</v>
      </c>
      <c r="C37" s="133"/>
      <c r="D37" s="137" t="s">
        <v>588</v>
      </c>
      <c r="E37" s="137" t="s">
        <v>589</v>
      </c>
      <c r="F37" s="151">
        <f>SUMIFS(Table1[مبلغ واریزی],Table1[ردیف],$B37,Table1[سال],F$2)</f>
        <v>35000000</v>
      </c>
      <c r="G37" s="151">
        <f>SUMIFS(Table1[مبلغ واریزی],Table1[ردیف],$B37,Table1[سال],G$2)</f>
        <v>0</v>
      </c>
      <c r="H37" s="151">
        <f>SUMIFS(Table1[مبلغ واریزی],Table1[ردیف],$B37,Table1[سال],H$2)</f>
        <v>0</v>
      </c>
      <c r="I37" s="151">
        <f>SUMIFS(Table1[توضیحات ‍‍‍‍],Table1[نام],$B37,Table1[شماره فیش],I$2)</f>
        <v>0</v>
      </c>
      <c r="J37" s="151">
        <f>SUMIF('لیست واریزی ماهیانه'!B:B,'لیست واریزی کل خیرین'!$B37,'لیست واریزی ماهیانه'!K:K)</f>
        <v>35000000</v>
      </c>
      <c r="L3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3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3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3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3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3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3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3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3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3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3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3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3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3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3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3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3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3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3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3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3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3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3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3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3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3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3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3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3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3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3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3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3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3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3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38" spans="2:59" ht="15.75" customHeight="1">
      <c r="B38" s="133">
        <v>35</v>
      </c>
      <c r="C38" s="133"/>
      <c r="D38" s="137" t="s">
        <v>596</v>
      </c>
      <c r="E38" s="137" t="s">
        <v>597</v>
      </c>
      <c r="F38" s="151">
        <f>SUMIFS(Table1[مبلغ واریزی],Table1[ردیف],$B38,Table1[سال],F$2)</f>
        <v>25000000</v>
      </c>
      <c r="G38" s="151">
        <f>SUMIFS(Table1[مبلغ واریزی],Table1[ردیف],$B38,Table1[سال],G$2)</f>
        <v>43000000</v>
      </c>
      <c r="H38" s="151">
        <f>SUMIFS(Table1[مبلغ واریزی],Table1[ردیف],$B38,Table1[سال],H$2)</f>
        <v>62000000</v>
      </c>
      <c r="I38" s="151">
        <f>SUMIFS(Table1[توضیحات ‍‍‍‍],Table1[نام],$B38,Table1[شماره فیش],I$2)</f>
        <v>0</v>
      </c>
      <c r="J38" s="151">
        <f>SUMIF('لیست واریزی ماهیانه'!B:B,'لیست واریزی کل خیرین'!$B38,'لیست واریزی ماهیانه'!K:K)</f>
        <v>195000000</v>
      </c>
      <c r="L3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3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</v>
      </c>
      <c r="Q3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</v>
      </c>
      <c r="R3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</v>
      </c>
      <c r="S3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</v>
      </c>
      <c r="T3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2000000</v>
      </c>
      <c r="U3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</v>
      </c>
      <c r="V3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</v>
      </c>
      <c r="W3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8000000</v>
      </c>
      <c r="X3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3000000</v>
      </c>
      <c r="Y3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3000000</v>
      </c>
      <c r="Z3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4000000</v>
      </c>
      <c r="AA3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4000000</v>
      </c>
      <c r="AB3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4000000</v>
      </c>
      <c r="AC3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4000000</v>
      </c>
      <c r="AD3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4000000</v>
      </c>
      <c r="AE3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4000000</v>
      </c>
      <c r="AF3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4000000</v>
      </c>
      <c r="AG3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  <c r="AH3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4000000</v>
      </c>
      <c r="AI3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3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8000000</v>
      </c>
      <c r="AK3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4000000</v>
      </c>
      <c r="AL3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4000000</v>
      </c>
      <c r="AM3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3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8000000</v>
      </c>
      <c r="AO3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4000000</v>
      </c>
      <c r="AP3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4000000</v>
      </c>
      <c r="AQ3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3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10000000</v>
      </c>
      <c r="AS3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5000000</v>
      </c>
      <c r="AT3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5000000</v>
      </c>
      <c r="AU3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10000000</v>
      </c>
      <c r="AV3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3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10000000</v>
      </c>
      <c r="AX3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10000000</v>
      </c>
      <c r="AY3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3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10000000</v>
      </c>
      <c r="BA3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20000000</v>
      </c>
      <c r="BB3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3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3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15000000</v>
      </c>
      <c r="BE3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3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3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39" spans="2:59" ht="15.75" customHeight="1">
      <c r="B39" s="133">
        <v>36</v>
      </c>
      <c r="C39" s="457" t="s">
        <v>1734</v>
      </c>
      <c r="D39" s="137" t="s">
        <v>602</v>
      </c>
      <c r="E39" s="137" t="s">
        <v>603</v>
      </c>
      <c r="F39" s="151">
        <f>SUMIFS(Table1[مبلغ واریزی],Table1[ردیف],$B39,Table1[سال],F$2)</f>
        <v>490000000</v>
      </c>
      <c r="G39" s="151">
        <f>SUMIFS(Table1[مبلغ واریزی],Table1[ردیف],$B39,Table1[سال],G$2)</f>
        <v>0</v>
      </c>
      <c r="H39" s="151">
        <f>SUMIFS(Table1[مبلغ واریزی],Table1[ردیف],$B39,Table1[سال],H$2)</f>
        <v>0</v>
      </c>
      <c r="I39" s="151">
        <f>SUMIFS(Table1[توضیحات ‍‍‍‍],Table1[نام],$B39,Table1[شماره فیش],I$2)</f>
        <v>0</v>
      </c>
      <c r="J39" s="151">
        <f>SUMIF('لیست واریزی ماهیانه'!B:B,'لیست واریزی کل خیرین'!$B39,'لیست واریزی ماهیانه'!K:K)</f>
        <v>490000000</v>
      </c>
      <c r="L3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3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300000000</v>
      </c>
      <c r="Q3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70000000</v>
      </c>
      <c r="R3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3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20000000</v>
      </c>
      <c r="V3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100000000</v>
      </c>
      <c r="W3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3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3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3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3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3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3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3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3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3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3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3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3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3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3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3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3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3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3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3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3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3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3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3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3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3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3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40" spans="2:59" ht="15.75" customHeight="1">
      <c r="B40" s="133">
        <v>37</v>
      </c>
      <c r="C40" s="457" t="s">
        <v>1734</v>
      </c>
      <c r="D40" s="137" t="s">
        <v>612</v>
      </c>
      <c r="E40" s="137" t="s">
        <v>613</v>
      </c>
      <c r="F40" s="151">
        <f>SUMIFS(Table1[مبلغ واریزی],Table1[ردیف],$B40,Table1[سال],F$2)</f>
        <v>14000000</v>
      </c>
      <c r="G40" s="151">
        <f>SUMIFS(Table1[مبلغ واریزی],Table1[ردیف],$B40,Table1[سال],G$2)</f>
        <v>0</v>
      </c>
      <c r="H40" s="151">
        <f>SUMIFS(Table1[مبلغ واریزی],Table1[ردیف],$B40,Table1[سال],H$2)</f>
        <v>0</v>
      </c>
      <c r="I40" s="151">
        <f>SUMIFS(Table1[توضیحات ‍‍‍‍],Table1[نام],$B40,Table1[شماره فیش],I$2)</f>
        <v>0</v>
      </c>
      <c r="J40" s="151">
        <f>SUMIF('لیست واریزی ماهیانه'!B:B,'لیست واریزی کل خیرین'!$B40,'لیست واریزی ماهیانه'!K:K)</f>
        <v>14000000</v>
      </c>
      <c r="L4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4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</v>
      </c>
      <c r="R4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</v>
      </c>
      <c r="S4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3000000</v>
      </c>
      <c r="T4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4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4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4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4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4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4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4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4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4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4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4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4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4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4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4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4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4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4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4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4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4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41" spans="2:59" ht="15.75" customHeight="1">
      <c r="B41" s="133">
        <v>38</v>
      </c>
      <c r="C41" s="457" t="s">
        <v>1734</v>
      </c>
      <c r="D41" s="137" t="s">
        <v>560</v>
      </c>
      <c r="E41" s="137" t="s">
        <v>561</v>
      </c>
      <c r="F41" s="151">
        <f>SUMIFS(Table1[مبلغ واریزی],Table1[ردیف],$B41,Table1[سال],F$2)</f>
        <v>12000000</v>
      </c>
      <c r="G41" s="151">
        <f>SUMIFS(Table1[مبلغ واریزی],Table1[ردیف],$B41,Table1[سال],G$2)</f>
        <v>6000000</v>
      </c>
      <c r="H41" s="151">
        <f>SUMIFS(Table1[مبلغ واریزی],Table1[ردیف],$B41,Table1[سال],H$2)</f>
        <v>0</v>
      </c>
      <c r="I41" s="151">
        <f>SUMIFS(Table1[توضیحات ‍‍‍‍],Table1[نام],$B41,Table1[شماره فیش],I$2)</f>
        <v>0</v>
      </c>
      <c r="J41" s="151">
        <f>SUMIF('لیست واریزی ماهیانه'!B:B,'لیست واریزی کل خیرین'!$B41,'لیست واریزی ماهیانه'!K:K)</f>
        <v>18000000</v>
      </c>
      <c r="L4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</v>
      </c>
      <c r="P4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4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</v>
      </c>
      <c r="R4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</v>
      </c>
      <c r="S4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6000000</v>
      </c>
      <c r="Y4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4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4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4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4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4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4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4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4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4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4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4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4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4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4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4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4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4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4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4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4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42" spans="2:59" ht="15.75" customHeight="1">
      <c r="B42" s="133">
        <v>39</v>
      </c>
      <c r="C42" s="133"/>
      <c r="D42" s="137" t="s">
        <v>207</v>
      </c>
      <c r="E42" s="137" t="s">
        <v>525</v>
      </c>
      <c r="F42" s="151">
        <f>SUMIFS(Table1[مبلغ واریزی],Table1[ردیف],$B42,Table1[سال],F$2)</f>
        <v>32000000</v>
      </c>
      <c r="G42" s="151">
        <f>SUMIFS(Table1[مبلغ واریزی],Table1[ردیف],$B42,Table1[سال],G$2)</f>
        <v>0</v>
      </c>
      <c r="H42" s="151">
        <f>SUMIFS(Table1[مبلغ واریزی],Table1[ردیف],$B42,Table1[سال],H$2)</f>
        <v>60000000</v>
      </c>
      <c r="I42" s="151">
        <f>SUMIFS(Table1[توضیحات ‍‍‍‍],Table1[نام],$B42,Table1[شماره فیش],I$2)</f>
        <v>0</v>
      </c>
      <c r="J42" s="151">
        <f>SUMIF('لیست واریزی ماهیانه'!B:B,'لیست واریزی کل خیرین'!$B42,'لیست واریزی ماهیانه'!K:K)</f>
        <v>92000000</v>
      </c>
      <c r="L4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16000000</v>
      </c>
      <c r="P4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16000000</v>
      </c>
      <c r="Q4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4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4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4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4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4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60000000</v>
      </c>
      <c r="AM4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4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4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4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4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4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4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4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4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4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4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4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4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4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4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4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43" spans="2:59" ht="15.75" customHeight="1">
      <c r="B43" s="133">
        <v>40</v>
      </c>
      <c r="C43" s="133"/>
      <c r="D43" s="137" t="s">
        <v>494</v>
      </c>
      <c r="E43" s="137" t="s">
        <v>533</v>
      </c>
      <c r="F43" s="151">
        <f>SUMIFS(Table1[مبلغ واریزی],Table1[ردیف],$B43,Table1[سال],F$2)</f>
        <v>250000000</v>
      </c>
      <c r="G43" s="151">
        <f>SUMIFS(Table1[مبلغ واریزی],Table1[ردیف],$B43,Table1[سال],G$2)</f>
        <v>600000000</v>
      </c>
      <c r="H43" s="151">
        <f>SUMIFS(Table1[مبلغ واریزی],Table1[ردیف],$B43,Table1[سال],H$2)</f>
        <v>950000000</v>
      </c>
      <c r="I43" s="151">
        <f>SUMIFS(Table1[توضیحات ‍‍‍‍],Table1[نام],$B43,Table1[شماره فیش],I$2)</f>
        <v>0</v>
      </c>
      <c r="J43" s="151">
        <f>SUMIF('لیست واریزی ماهیانه'!B:B,'لیست واریزی کل خیرین'!$B43,'لیست واریزی ماهیانه'!K:K)</f>
        <v>3200000000</v>
      </c>
      <c r="L4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4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50000000</v>
      </c>
      <c r="R4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50000000</v>
      </c>
      <c r="S4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50000000</v>
      </c>
      <c r="T4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50000000</v>
      </c>
      <c r="U4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50000000</v>
      </c>
      <c r="V4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50000000</v>
      </c>
      <c r="Y4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50000000</v>
      </c>
      <c r="Z4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50000000</v>
      </c>
      <c r="AA4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50000000</v>
      </c>
      <c r="AB4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50000000</v>
      </c>
      <c r="AC4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100000000</v>
      </c>
      <c r="AF4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50000000</v>
      </c>
      <c r="AG4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100000000</v>
      </c>
      <c r="AH4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100000000</v>
      </c>
      <c r="AI4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4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50000000</v>
      </c>
      <c r="AL4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100000000</v>
      </c>
      <c r="AM4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100000000</v>
      </c>
      <c r="AN4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100000000</v>
      </c>
      <c r="AO4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100000000</v>
      </c>
      <c r="AP4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100000000</v>
      </c>
      <c r="AQ4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100000000</v>
      </c>
      <c r="AR4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100000000</v>
      </c>
      <c r="AS4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200000000</v>
      </c>
      <c r="AU4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4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200000000</v>
      </c>
      <c r="AW4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200000000</v>
      </c>
      <c r="AX4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200000000</v>
      </c>
      <c r="AY4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200000000</v>
      </c>
      <c r="AZ4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200000000</v>
      </c>
      <c r="BB4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200000000</v>
      </c>
      <c r="BC4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200000000</v>
      </c>
      <c r="BD4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44" spans="2:59" ht="15.75" customHeight="1">
      <c r="B44" s="133">
        <v>41</v>
      </c>
      <c r="C44" s="133"/>
      <c r="D44" s="137" t="s">
        <v>204</v>
      </c>
      <c r="E44" s="137" t="s">
        <v>628</v>
      </c>
      <c r="F44" s="151">
        <f>SUMIFS(Table1[مبلغ واریزی],Table1[ردیف],$B44,Table1[سال],F$2)</f>
        <v>20000000</v>
      </c>
      <c r="G44" s="151">
        <f>SUMIFS(Table1[مبلغ واریزی],Table1[ردیف],$B44,Table1[سال],G$2)</f>
        <v>0</v>
      </c>
      <c r="H44" s="151">
        <f>SUMIFS(Table1[مبلغ واریزی],Table1[ردیف],$B44,Table1[سال],H$2)</f>
        <v>0</v>
      </c>
      <c r="I44" s="151">
        <f>SUMIFS(Table1[توضیحات ‍‍‍‍],Table1[نام],$B44,Table1[شماره فیش],I$2)</f>
        <v>0</v>
      </c>
      <c r="J44" s="151">
        <f>SUMIF('لیست واریزی ماهیانه'!B:B,'لیست واریزی کل خیرین'!$B44,'لیست واریزی ماهیانه'!K:K)</f>
        <v>23000000</v>
      </c>
      <c r="L4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4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4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4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4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4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4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4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4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4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4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4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4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4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4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4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4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4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4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4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4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4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4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3000000</v>
      </c>
      <c r="BB4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4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4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45" spans="2:59" ht="15.75" customHeight="1">
      <c r="B45" s="133">
        <v>42</v>
      </c>
      <c r="C45" s="457" t="s">
        <v>1734</v>
      </c>
      <c r="D45" s="137" t="s">
        <v>630</v>
      </c>
      <c r="E45" s="137" t="s">
        <v>631</v>
      </c>
      <c r="F45" s="151">
        <f>SUMIFS(Table1[مبلغ واریزی],Table1[ردیف],$B45,Table1[سال],F$2)</f>
        <v>51175000</v>
      </c>
      <c r="G45" s="151">
        <f>SUMIFS(Table1[مبلغ واریزی],Table1[ردیف],$B45,Table1[سال],G$2)</f>
        <v>0</v>
      </c>
      <c r="H45" s="151">
        <f>SUMIFS(Table1[مبلغ واریزی],Table1[ردیف],$B45,Table1[سال],H$2)</f>
        <v>0</v>
      </c>
      <c r="I45" s="151">
        <f>SUMIFS(Table1[توضیحات ‍‍‍‍],Table1[نام],$B45,Table1[شماره فیش],I$2)</f>
        <v>0</v>
      </c>
      <c r="J45" s="151">
        <f>SUMIF('لیست واریزی ماهیانه'!B:B,'لیست واریزی کل خیرین'!$B45,'لیست واریزی ماهیانه'!K:K)</f>
        <v>51175000</v>
      </c>
      <c r="L4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4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11500000</v>
      </c>
      <c r="R4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12250000</v>
      </c>
      <c r="S4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13625000</v>
      </c>
      <c r="T4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13800000</v>
      </c>
      <c r="U4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4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4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4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4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4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4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4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4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4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4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4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4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4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4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4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4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4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4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4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4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46" spans="2:59" ht="15.75" customHeight="1">
      <c r="B46" s="133">
        <v>43</v>
      </c>
      <c r="C46" s="133"/>
      <c r="D46" s="137" t="s">
        <v>503</v>
      </c>
      <c r="E46" s="137" t="s">
        <v>633</v>
      </c>
      <c r="F46" s="151">
        <f>SUMIFS(Table1[مبلغ واریزی],Table1[ردیف],$B46,Table1[سال],F$2)</f>
        <v>3500000</v>
      </c>
      <c r="G46" s="151">
        <f>SUMIFS(Table1[مبلغ واریزی],Table1[ردیف],$B46,Table1[سال],G$2)</f>
        <v>0</v>
      </c>
      <c r="H46" s="151">
        <f>SUMIFS(Table1[مبلغ واریزی],Table1[ردیف],$B46,Table1[سال],H$2)</f>
        <v>0</v>
      </c>
      <c r="I46" s="151">
        <f>SUMIFS(Table1[توضیحات ‍‍‍‍],Table1[نام],$B46,Table1[شماره فیش],I$2)</f>
        <v>0</v>
      </c>
      <c r="J46" s="151">
        <f>SUMIF('لیست واریزی ماهیانه'!B:B,'لیست واریزی کل خیرین'!$B46,'لیست واریزی ماهیانه'!K:K)</f>
        <v>3500000</v>
      </c>
      <c r="L4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4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3500000</v>
      </c>
      <c r="R4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4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4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4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4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4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4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4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4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4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4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4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4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4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4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4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4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4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4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4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4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47" spans="2:59" ht="15.75" customHeight="1">
      <c r="B47" s="133">
        <v>44</v>
      </c>
      <c r="C47" s="457" t="s">
        <v>1734</v>
      </c>
      <c r="D47" s="137" t="s">
        <v>635</v>
      </c>
      <c r="E47" s="137" t="s">
        <v>636</v>
      </c>
      <c r="F47" s="151">
        <f>SUMIFS(Table1[مبلغ واریزی],Table1[ردیف],$B47,Table1[سال],F$2)</f>
        <v>15000000</v>
      </c>
      <c r="G47" s="151">
        <f>SUMIFS(Table1[مبلغ واریزی],Table1[ردیف],$B47,Table1[سال],G$2)</f>
        <v>19000000</v>
      </c>
      <c r="H47" s="151">
        <f>SUMIFS(Table1[مبلغ واریزی],Table1[ردیف],$B47,Table1[سال],H$2)</f>
        <v>0</v>
      </c>
      <c r="I47" s="151">
        <f>SUMIFS(Table1[توضیحات ‍‍‍‍],Table1[نام],$B47,Table1[شماره فیش],I$2)</f>
        <v>0</v>
      </c>
      <c r="J47" s="151">
        <f>SUMIF('لیست واریزی ماهیانه'!B:B,'لیست واریزی کل خیرین'!$B47,'لیست واریزی ماهیانه'!K:K)</f>
        <v>34000000</v>
      </c>
      <c r="L4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4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4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4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18000000</v>
      </c>
      <c r="AC4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</v>
      </c>
      <c r="AD4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4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4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4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4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4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4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4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4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4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4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4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4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4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4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4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4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4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4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4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4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48" spans="2:59" ht="15.75" customHeight="1">
      <c r="B48" s="133">
        <v>45</v>
      </c>
      <c r="C48" s="133"/>
      <c r="D48" s="137" t="s">
        <v>503</v>
      </c>
      <c r="E48" s="137" t="s">
        <v>637</v>
      </c>
      <c r="F48" s="151">
        <f>SUMIFS(Table1[مبلغ واریزی],Table1[ردیف],$B48,Table1[سال],F$2)</f>
        <v>20000000</v>
      </c>
      <c r="G48" s="151">
        <f>SUMIFS(Table1[مبلغ واریزی],Table1[ردیف],$B48,Table1[سال],G$2)</f>
        <v>0</v>
      </c>
      <c r="H48" s="151">
        <f>SUMIFS(Table1[مبلغ واریزی],Table1[ردیف],$B48,Table1[سال],H$2)</f>
        <v>0</v>
      </c>
      <c r="I48" s="151">
        <f>SUMIFS(Table1[توضیحات ‍‍‍‍],Table1[نام],$B48,Table1[شماره فیش],I$2)</f>
        <v>0</v>
      </c>
      <c r="J48" s="151">
        <f>SUMIF('لیست واریزی ماهیانه'!B:B,'لیست واریزی کل خیرین'!$B48,'لیست واریزی ماهیانه'!K:K)</f>
        <v>20000000</v>
      </c>
      <c r="L4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4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20000000</v>
      </c>
      <c r="R4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4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4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4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4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4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4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4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4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4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4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4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4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4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4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4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4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4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4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4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4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49" spans="2:59" ht="15.75" customHeight="1">
      <c r="B49" s="133">
        <v>46</v>
      </c>
      <c r="C49" s="457" t="s">
        <v>1734</v>
      </c>
      <c r="D49" s="137" t="s">
        <v>641</v>
      </c>
      <c r="E49" s="137" t="s">
        <v>642</v>
      </c>
      <c r="F49" s="151">
        <f>SUMIFS(Table1[مبلغ واریزی],Table1[ردیف],$B49,Table1[سال],F$2)</f>
        <v>5000000</v>
      </c>
      <c r="G49" s="151">
        <f>SUMIFS(Table1[مبلغ واریزی],Table1[ردیف],$B49,Table1[سال],G$2)</f>
        <v>0</v>
      </c>
      <c r="H49" s="151">
        <f>SUMIFS(Table1[مبلغ واریزی],Table1[ردیف],$B49,Table1[سال],H$2)</f>
        <v>0</v>
      </c>
      <c r="I49" s="151">
        <f>SUMIFS(Table1[توضیحات ‍‍‍‍],Table1[نام],$B49,Table1[شماره فیش],I$2)</f>
        <v>0</v>
      </c>
      <c r="J49" s="151">
        <f>SUMIF('لیست واریزی ماهیانه'!B:B,'لیست واریزی کل خیرین'!$B49,'لیست واریزی ماهیانه'!K:K)</f>
        <v>5000000</v>
      </c>
      <c r="L4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4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4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4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4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4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4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4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4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4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4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4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4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4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4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4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4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4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4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4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4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4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4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4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4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4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4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4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4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0" spans="2:59" ht="15.75" customHeight="1">
      <c r="B50" s="133">
        <v>47</v>
      </c>
      <c r="C50" s="133"/>
      <c r="D50" s="137" t="s">
        <v>494</v>
      </c>
      <c r="E50" s="137" t="s">
        <v>645</v>
      </c>
      <c r="F50" s="151">
        <f>SUMIFS(Table1[مبلغ واریزی],Table1[ردیف],$B50,Table1[سال],F$2)</f>
        <v>15000000</v>
      </c>
      <c r="G50" s="151">
        <f>SUMIFS(Table1[مبلغ واریزی],Table1[ردیف],$B50,Table1[سال],G$2)</f>
        <v>0</v>
      </c>
      <c r="H50" s="151">
        <f>SUMIFS(Table1[مبلغ واریزی],Table1[ردیف],$B50,Table1[سال],H$2)</f>
        <v>0</v>
      </c>
      <c r="I50" s="151">
        <f>SUMIFS(Table1[توضیحات ‍‍‍‍],Table1[نام],$B50,Table1[شماره فیش],I$2)</f>
        <v>0</v>
      </c>
      <c r="J50" s="151">
        <f>SUMIF('لیست واریزی ماهیانه'!B:B,'لیست واریزی کل خیرین'!$B50,'لیست واریزی ماهیانه'!K:K)</f>
        <v>38000000</v>
      </c>
      <c r="L5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5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5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5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5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5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5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5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5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5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5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5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5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5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5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5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3000000</v>
      </c>
      <c r="AW5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5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5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5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20000000</v>
      </c>
      <c r="BA5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5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5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5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5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1" spans="2:59" ht="15.75" customHeight="1">
      <c r="B51" s="133">
        <v>48</v>
      </c>
      <c r="C51" s="133"/>
      <c r="D51" s="137" t="s">
        <v>494</v>
      </c>
      <c r="E51" s="137" t="s">
        <v>546</v>
      </c>
      <c r="F51" s="151">
        <f>SUMIFS(Table1[مبلغ واریزی],Table1[ردیف],$B51,Table1[سال],F$2)</f>
        <v>260000000</v>
      </c>
      <c r="G51" s="151">
        <f>SUMIFS(Table1[مبلغ واریزی],Table1[ردیف],$B51,Table1[سال],G$2)</f>
        <v>290000000</v>
      </c>
      <c r="H51" s="151">
        <f>SUMIFS(Table1[مبلغ واریزی],Table1[ردیف],$B51,Table1[سال],H$2)</f>
        <v>580000000</v>
      </c>
      <c r="I51" s="151">
        <f>SUMIFS(Table1[توضیحات ‍‍‍‍],Table1[نام],$B51,Table1[شماره فیش],I$2)</f>
        <v>0</v>
      </c>
      <c r="J51" s="151">
        <f>SUMIF('لیست واریزی ماهیانه'!B:B,'لیست واریزی کل خیرین'!$B51,'لیست واریزی ماهیانه'!K:K)</f>
        <v>1440000000</v>
      </c>
      <c r="L5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5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40000000</v>
      </c>
      <c r="S5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40000000</v>
      </c>
      <c r="T5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40000000</v>
      </c>
      <c r="U5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40000000</v>
      </c>
      <c r="V5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40000000</v>
      </c>
      <c r="W5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60000000</v>
      </c>
      <c r="X5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40000000</v>
      </c>
      <c r="Y5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40000000</v>
      </c>
      <c r="Z5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40000000</v>
      </c>
      <c r="AC5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80000000</v>
      </c>
      <c r="AH5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50000000</v>
      </c>
      <c r="AI5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40000000</v>
      </c>
      <c r="AJ5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40000000</v>
      </c>
      <c r="AL5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5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200000000</v>
      </c>
      <c r="AQ5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40000000</v>
      </c>
      <c r="AR5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40000000</v>
      </c>
      <c r="AS5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40000000</v>
      </c>
      <c r="AT5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40000000</v>
      </c>
      <c r="AU5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180000000</v>
      </c>
      <c r="AV5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20000000</v>
      </c>
      <c r="AW5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40000000</v>
      </c>
      <c r="AX5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5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5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90000000</v>
      </c>
      <c r="BA5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5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80000000</v>
      </c>
      <c r="BC5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80000000</v>
      </c>
      <c r="BD5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5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2" spans="2:59" ht="15.75" customHeight="1">
      <c r="B52" s="133">
        <v>49</v>
      </c>
      <c r="C52" s="133"/>
      <c r="D52" s="137" t="s">
        <v>658</v>
      </c>
      <c r="E52" s="137" t="s">
        <v>659</v>
      </c>
      <c r="F52" s="151">
        <f>SUMIFS(Table1[مبلغ واریزی],Table1[ردیف],$B52,Table1[سال],F$2)</f>
        <v>5000000</v>
      </c>
      <c r="G52" s="151">
        <f>SUMIFS(Table1[مبلغ واریزی],Table1[ردیف],$B52,Table1[سال],G$2)</f>
        <v>0</v>
      </c>
      <c r="H52" s="151">
        <f>SUMIFS(Table1[مبلغ واریزی],Table1[ردیف],$B52,Table1[سال],H$2)</f>
        <v>0</v>
      </c>
      <c r="I52" s="151">
        <f>SUMIFS(Table1[توضیحات ‍‍‍‍],Table1[نام],$B52,Table1[شماره فیش],I$2)</f>
        <v>0</v>
      </c>
      <c r="J52" s="151">
        <f>SUMIF('لیست واریزی ماهیانه'!B:B,'لیست واریزی کل خیرین'!$B52,'لیست واریزی ماهیانه'!K:K)</f>
        <v>5000000</v>
      </c>
      <c r="L5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5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5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5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5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5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5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5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5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5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5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5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5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5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5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5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5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5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5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5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5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5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5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3" spans="2:59" ht="15.75" customHeight="1">
      <c r="B53" s="133">
        <v>50</v>
      </c>
      <c r="C53" s="133"/>
      <c r="D53" s="137" t="s">
        <v>503</v>
      </c>
      <c r="E53" s="137" t="s">
        <v>664</v>
      </c>
      <c r="F53" s="151">
        <f>SUMIFS(Table1[مبلغ واریزی],Table1[ردیف],$B53,Table1[سال],F$2)</f>
        <v>10000000</v>
      </c>
      <c r="G53" s="151">
        <f>SUMIFS(Table1[مبلغ واریزی],Table1[ردیف],$B53,Table1[سال],G$2)</f>
        <v>25000000</v>
      </c>
      <c r="H53" s="151">
        <f>SUMIFS(Table1[مبلغ واریزی],Table1[ردیف],$B53,Table1[سال],H$2)</f>
        <v>40000000</v>
      </c>
      <c r="I53" s="151">
        <f>SUMIFS(Table1[توضیحات ‍‍‍‍],Table1[نام],$B53,Table1[شماره فیش],I$2)</f>
        <v>0</v>
      </c>
      <c r="J53" s="151">
        <f>SUMIF('لیست واریزی ماهیانه'!B:B,'لیست واریزی کل خیرین'!$B53,'لیست واریزی ماهیانه'!K:K)</f>
        <v>75000000</v>
      </c>
      <c r="L5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5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5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5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</v>
      </c>
      <c r="AH5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5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</v>
      </c>
      <c r="AJ5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5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5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30000000</v>
      </c>
      <c r="AQ5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5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5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5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5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10000000</v>
      </c>
      <c r="AV5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5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5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5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5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5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5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5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5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5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4" spans="2:59" ht="15.75" customHeight="1">
      <c r="B54" s="133">
        <v>51</v>
      </c>
      <c r="C54" s="457" t="s">
        <v>1734</v>
      </c>
      <c r="D54" s="137" t="s">
        <v>670</v>
      </c>
      <c r="E54" s="137" t="s">
        <v>490</v>
      </c>
      <c r="F54" s="151">
        <f>SUMIFS(Table1[مبلغ واریزی],Table1[ردیف],$B54,Table1[سال],F$2)</f>
        <v>5000000</v>
      </c>
      <c r="G54" s="151">
        <f>SUMIFS(Table1[مبلغ واریزی],Table1[ردیف],$B54,Table1[سال],G$2)</f>
        <v>0</v>
      </c>
      <c r="H54" s="151">
        <f>SUMIFS(Table1[مبلغ واریزی],Table1[ردیف],$B54,Table1[سال],H$2)</f>
        <v>290000000</v>
      </c>
      <c r="I54" s="151">
        <f>SUMIFS(Table1[توضیحات ‍‍‍‍],Table1[نام],$B54,Table1[شماره فیش],I$2)</f>
        <v>0</v>
      </c>
      <c r="J54" s="151">
        <f>SUMIF('لیست واریزی ماهیانه'!B:B,'لیست واریزی کل خیرین'!$B54,'لیست واریزی ماهیانه'!K:K)</f>
        <v>475000000</v>
      </c>
      <c r="L5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5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5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5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5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5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5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20000000</v>
      </c>
      <c r="AM5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5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170000000</v>
      </c>
      <c r="AR5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20000000</v>
      </c>
      <c r="AS5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20000000</v>
      </c>
      <c r="AT5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20000000</v>
      </c>
      <c r="AU5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40000000</v>
      </c>
      <c r="AV5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5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5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5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30000000</v>
      </c>
      <c r="AZ5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30000000</v>
      </c>
      <c r="BA5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30000000</v>
      </c>
      <c r="BB5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30000000</v>
      </c>
      <c r="BC5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30000000</v>
      </c>
      <c r="BD5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30000000</v>
      </c>
      <c r="BE5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5" spans="2:59" ht="15.75" customHeight="1">
      <c r="B55" s="133">
        <v>52</v>
      </c>
      <c r="C55" s="457" t="s">
        <v>1734</v>
      </c>
      <c r="D55" s="137" t="s">
        <v>671</v>
      </c>
      <c r="E55" s="137" t="s">
        <v>672</v>
      </c>
      <c r="F55" s="151">
        <f>SUMIFS(Table1[مبلغ واریزی],Table1[ردیف],$B55,Table1[سال],F$2)</f>
        <v>4000000</v>
      </c>
      <c r="G55" s="151">
        <f>SUMIFS(Table1[مبلغ واریزی],Table1[ردیف],$B55,Table1[سال],G$2)</f>
        <v>0</v>
      </c>
      <c r="H55" s="151">
        <f>SUMIFS(Table1[مبلغ واریزی],Table1[ردیف],$B55,Table1[سال],H$2)</f>
        <v>0</v>
      </c>
      <c r="I55" s="151">
        <f>SUMIFS(Table1[توضیحات ‍‍‍‍],Table1[نام],$B55,Table1[شماره فیش],I$2)</f>
        <v>0</v>
      </c>
      <c r="J55" s="151">
        <f>SUMIF('لیست واریزی ماهیانه'!B:B,'لیست واریزی کل خیرین'!$B55,'لیست واریزی ماهیانه'!K:K)</f>
        <v>4000000</v>
      </c>
      <c r="L5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5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4000000</v>
      </c>
      <c r="S5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5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5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5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5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5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5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5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5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5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5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5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5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5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5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5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5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5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5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5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5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6" spans="2:59" ht="18" customHeight="1">
      <c r="B56" s="133">
        <v>53</v>
      </c>
      <c r="C56" s="457" t="s">
        <v>1734</v>
      </c>
      <c r="D56" s="137" t="s">
        <v>674</v>
      </c>
      <c r="E56" s="137" t="s">
        <v>675</v>
      </c>
      <c r="F56" s="151">
        <f>SUMIFS(Table1[مبلغ واریزی],Table1[ردیف],$B56,Table1[سال],F$2)</f>
        <v>3000000</v>
      </c>
      <c r="G56" s="151">
        <f>SUMIFS(Table1[مبلغ واریزی],Table1[ردیف],$B56,Table1[سال],G$2)</f>
        <v>0</v>
      </c>
      <c r="H56" s="151">
        <f>SUMIFS(Table1[مبلغ واریزی],Table1[ردیف],$B56,Table1[سال],H$2)</f>
        <v>0</v>
      </c>
      <c r="I56" s="151">
        <f>SUMIFS(Table1[توضیحات ‍‍‍‍],Table1[نام],$B56,Table1[شماره فیش],I$2)</f>
        <v>0</v>
      </c>
      <c r="J56" s="151">
        <f>SUMIF('لیست واریزی ماهیانه'!B:B,'لیست واریزی کل خیرین'!$B56,'لیست واریزی ماهیانه'!K:K)</f>
        <v>3000000</v>
      </c>
      <c r="L5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5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</v>
      </c>
      <c r="S5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5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5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5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5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5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5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5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5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5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5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5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5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5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5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5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5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5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5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5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5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7" spans="2:59" ht="18" customHeight="1">
      <c r="B57" s="133">
        <v>54</v>
      </c>
      <c r="C57" s="457" t="s">
        <v>1734</v>
      </c>
      <c r="D57" s="137" t="s">
        <v>552</v>
      </c>
      <c r="E57" s="137" t="s">
        <v>676</v>
      </c>
      <c r="F57" s="151">
        <f>SUMIFS(Table1[مبلغ واریزی],Table1[ردیف],$B57,Table1[سال],F$2)</f>
        <v>1000000</v>
      </c>
      <c r="G57" s="151">
        <f>SUMIFS(Table1[مبلغ واریزی],Table1[ردیف],$B57,Table1[سال],G$2)</f>
        <v>0</v>
      </c>
      <c r="H57" s="151">
        <f>SUMIFS(Table1[مبلغ واریزی],Table1[ردیف],$B57,Table1[سال],H$2)</f>
        <v>0</v>
      </c>
      <c r="I57" s="151">
        <f>SUMIFS(Table1[توضیحات ‍‍‍‍],Table1[نام],$B57,Table1[شماره فیش],I$2)</f>
        <v>0</v>
      </c>
      <c r="J57" s="151">
        <f>SUMIF('لیست واریزی ماهیانه'!B:B,'لیست واریزی کل خیرین'!$B57,'لیست واریزی ماهیانه'!K:K)</f>
        <v>1000000</v>
      </c>
      <c r="L5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5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</v>
      </c>
      <c r="S5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5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5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5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5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5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5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5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5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5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5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5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5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5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5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5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5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5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5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5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5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8" spans="2:59" ht="18" customHeight="1">
      <c r="B58" s="133">
        <v>55</v>
      </c>
      <c r="C58" s="457" t="s">
        <v>1734</v>
      </c>
      <c r="D58" s="137" t="s">
        <v>549</v>
      </c>
      <c r="E58" s="137" t="s">
        <v>1293</v>
      </c>
      <c r="F58" s="151">
        <f>SUMIFS(Table1[مبلغ واریزی],Table1[ردیف],$B58,Table1[سال],F$2)</f>
        <v>11000000</v>
      </c>
      <c r="G58" s="151">
        <f>SUMIFS(Table1[مبلغ واریزی],Table1[ردیف],$B58,Table1[سال],G$2)</f>
        <v>5000000</v>
      </c>
      <c r="H58" s="151">
        <f>SUMIFS(Table1[مبلغ واریزی],Table1[ردیف],$B58,Table1[سال],H$2)</f>
        <v>0</v>
      </c>
      <c r="I58" s="151">
        <f>SUMIFS(Table1[توضیحات ‍‍‍‍],Table1[نام],$B58,Table1[شماره فیش],I$2)</f>
        <v>0</v>
      </c>
      <c r="J58" s="151">
        <f>SUMIF('لیست واریزی ماهیانه'!B:B,'لیست واریزی کل خیرین'!$B58,'لیست واریزی ماهیانه'!K:K)</f>
        <v>16000000</v>
      </c>
      <c r="L5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5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5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6000000</v>
      </c>
      <c r="X5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5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5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5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5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5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5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5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5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5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5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5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5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5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5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5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5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5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5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5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5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5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59" spans="2:59" ht="18" customHeight="1">
      <c r="B59" s="133">
        <v>56</v>
      </c>
      <c r="C59" s="133"/>
      <c r="D59" s="137" t="s">
        <v>650</v>
      </c>
      <c r="E59" s="137" t="s">
        <v>651</v>
      </c>
      <c r="F59" s="151">
        <f>SUMIFS(Table1[مبلغ واریزی],Table1[ردیف],$B59,Table1[سال],F$2)</f>
        <v>15000000</v>
      </c>
      <c r="G59" s="151">
        <f>SUMIFS(Table1[مبلغ واریزی],Table1[ردیف],$B59,Table1[سال],G$2)</f>
        <v>0</v>
      </c>
      <c r="H59" s="151">
        <f>SUMIFS(Table1[مبلغ واریزی],Table1[ردیف],$B59,Table1[سال],H$2)</f>
        <v>0</v>
      </c>
      <c r="I59" s="151">
        <f>SUMIFS(Table1[توضیحات ‍‍‍‍],Table1[نام],$B59,Table1[شماره فیش],I$2)</f>
        <v>0</v>
      </c>
      <c r="J59" s="151">
        <f>SUMIF('لیست واریزی ماهیانه'!B:B,'لیست واریزی کل خیرین'!$B59,'لیست واریزی ماهیانه'!K:K)</f>
        <v>15000000</v>
      </c>
      <c r="L5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5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5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5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5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5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5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5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5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5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5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5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5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5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5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5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5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5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5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5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5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5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5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5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5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5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5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5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5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5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0" spans="2:59" ht="18" customHeight="1">
      <c r="B60" s="133">
        <v>57</v>
      </c>
      <c r="C60" s="457" t="s">
        <v>1734</v>
      </c>
      <c r="D60" s="137" t="s">
        <v>207</v>
      </c>
      <c r="E60" s="137" t="s">
        <v>678</v>
      </c>
      <c r="F60" s="151">
        <f>SUMIFS(Table1[مبلغ واریزی],Table1[ردیف],$B60,Table1[سال],F$2)</f>
        <v>3000000</v>
      </c>
      <c r="G60" s="151">
        <f>SUMIFS(Table1[مبلغ واریزی],Table1[ردیف],$B60,Table1[سال],G$2)</f>
        <v>0</v>
      </c>
      <c r="H60" s="151">
        <f>SUMIFS(Table1[مبلغ واریزی],Table1[ردیف],$B60,Table1[سال],H$2)</f>
        <v>0</v>
      </c>
      <c r="I60" s="151">
        <f>SUMIFS(Table1[توضیحات ‍‍‍‍],Table1[نام],$B60,Table1[شماره فیش],I$2)</f>
        <v>0</v>
      </c>
      <c r="J60" s="151">
        <f>SUMIF('لیست واریزی ماهیانه'!B:B,'لیست واریزی کل خیرین'!$B60,'لیست واریزی ماهیانه'!K:K)</f>
        <v>3000000</v>
      </c>
      <c r="L6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</v>
      </c>
      <c r="S6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6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6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6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6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6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6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6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6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6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6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6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6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6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6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6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6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6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6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6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6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6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6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6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6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1" spans="2:59" ht="18" customHeight="1">
      <c r="B61" s="133">
        <v>58</v>
      </c>
      <c r="C61" s="457" t="s">
        <v>1734</v>
      </c>
      <c r="D61" s="137" t="s">
        <v>1573</v>
      </c>
      <c r="E61" s="137" t="s">
        <v>1574</v>
      </c>
      <c r="F61" s="151">
        <f>SUMIFS(Table1[مبلغ واریزی],Table1[ردیف],$B61,Table1[سال],F$2)</f>
        <v>0</v>
      </c>
      <c r="G61" s="151">
        <f>SUMIFS(Table1[مبلغ واریزی],Table1[ردیف],$B61,Table1[سال],G$2)</f>
        <v>2000000</v>
      </c>
      <c r="H61" s="151">
        <f>SUMIFS(Table1[مبلغ واریزی],Table1[ردیف],$B61,Table1[سال],H$2)</f>
        <v>0</v>
      </c>
      <c r="I61" s="151">
        <f>SUMIFS(Table1[توضیحات ‍‍‍‍],Table1[نام],$B61,Table1[شماره فیش],I$2)</f>
        <v>0</v>
      </c>
      <c r="J61" s="151">
        <f>SUMIF('لیست واریزی ماهیانه'!B:B,'لیست واریزی کل خیرین'!$B61,'لیست واریزی ماهیانه'!K:K)</f>
        <v>2000000</v>
      </c>
      <c r="L6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</v>
      </c>
      <c r="AC6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6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6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6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6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6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6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6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6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6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6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6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6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6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6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6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6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6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6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6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6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6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6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6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6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2" spans="2:59" ht="20.25" customHeight="1">
      <c r="B62" s="133">
        <v>59</v>
      </c>
      <c r="C62" s="457" t="s">
        <v>1734</v>
      </c>
      <c r="D62" s="137" t="s">
        <v>695</v>
      </c>
      <c r="E62" s="137" t="s">
        <v>696</v>
      </c>
      <c r="F62" s="151">
        <f>SUMIFS(Table1[مبلغ واریزی],Table1[ردیف],$B62,Table1[سال],F$2)</f>
        <v>8000000</v>
      </c>
      <c r="G62" s="151">
        <f>SUMIFS(Table1[مبلغ واریزی],Table1[ردیف],$B62,Table1[سال],G$2)</f>
        <v>0</v>
      </c>
      <c r="H62" s="151">
        <f>SUMIFS(Table1[مبلغ واریزی],Table1[ردیف],$B62,Table1[سال],H$2)</f>
        <v>0</v>
      </c>
      <c r="I62" s="151">
        <f>SUMIFS(Table1[توضیحات ‍‍‍‍],Table1[نام],$B62,Table1[شماره فیش],I$2)</f>
        <v>0</v>
      </c>
      <c r="J62" s="151">
        <f>SUMIF('لیست واریزی ماهیانه'!B:B,'لیست واریزی کل خیرین'!$B62,'لیست واریزی ماهیانه'!K:K)</f>
        <v>8000000</v>
      </c>
      <c r="L6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6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</v>
      </c>
      <c r="X6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6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6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6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6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6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6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6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6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6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6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6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6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6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6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6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6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6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6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6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6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6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6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6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6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3" spans="2:59" ht="20.25" customHeight="1">
      <c r="B63" s="133">
        <v>60</v>
      </c>
      <c r="C63" s="133"/>
      <c r="D63" s="137" t="s">
        <v>650</v>
      </c>
      <c r="E63" s="137" t="s">
        <v>698</v>
      </c>
      <c r="F63" s="151">
        <f>SUMIFS(Table1[مبلغ واریزی],Table1[ردیف],$B63,Table1[سال],F$2)</f>
        <v>130000000</v>
      </c>
      <c r="G63" s="151">
        <f>SUMIFS(Table1[مبلغ واریزی],Table1[ردیف],$B63,Table1[سال],G$2)</f>
        <v>0</v>
      </c>
      <c r="H63" s="151">
        <f>SUMIFS(Table1[مبلغ واریزی],Table1[ردیف],$B63,Table1[سال],H$2)</f>
        <v>0</v>
      </c>
      <c r="I63" s="151">
        <f>SUMIFS(Table1[توضیحات ‍‍‍‍],Table1[نام],$B63,Table1[شماره فیش],I$2)</f>
        <v>0</v>
      </c>
      <c r="J63" s="151">
        <f>SUMIF('لیست واریزی ماهیانه'!B:B,'لیست واریزی کل خیرین'!$B63,'لیست واریزی ماهیانه'!K:K)</f>
        <v>130000000</v>
      </c>
      <c r="L6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40000000</v>
      </c>
      <c r="T6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6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15000000</v>
      </c>
      <c r="V6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35000000</v>
      </c>
      <c r="W6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30000000</v>
      </c>
      <c r="X6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6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6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6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6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6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6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6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6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6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6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6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6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6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6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6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6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6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6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6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6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6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6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6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6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4" spans="2:59" ht="20.25" customHeight="1">
      <c r="B64" s="133">
        <v>61</v>
      </c>
      <c r="C64" s="133"/>
      <c r="D64" s="137" t="s">
        <v>702</v>
      </c>
      <c r="E64" s="137" t="s">
        <v>703</v>
      </c>
      <c r="F64" s="151">
        <f>SUMIFS(Table1[مبلغ واریزی],Table1[ردیف],$B64,Table1[سال],F$2)</f>
        <v>8000000</v>
      </c>
      <c r="G64" s="151">
        <f>SUMIFS(Table1[مبلغ واریزی],Table1[ردیف],$B64,Table1[سال],G$2)</f>
        <v>30000000</v>
      </c>
      <c r="H64" s="151">
        <f>SUMIFS(Table1[مبلغ واریزی],Table1[ردیف],$B64,Table1[سال],H$2)</f>
        <v>10000000</v>
      </c>
      <c r="I64" s="151">
        <f>SUMIFS(Table1[توضیحات ‍‍‍‍],Table1[نام],$B64,Table1[شماره فیش],I$2)</f>
        <v>0</v>
      </c>
      <c r="J64" s="151">
        <f>SUMIF('لیست واریزی ماهیانه'!B:B,'لیست واریزی کل خیرین'!$B64,'لیست واریزی ماهیانه'!K:K)</f>
        <v>58000000</v>
      </c>
      <c r="L6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6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</v>
      </c>
      <c r="U6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6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6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6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6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5000000</v>
      </c>
      <c r="AI6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10000000</v>
      </c>
      <c r="AJ6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6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6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6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6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6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6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10000000</v>
      </c>
      <c r="AQ6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6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6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6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6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6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6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6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6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6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6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6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10000000</v>
      </c>
      <c r="BC6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6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6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5" spans="2:59" ht="25.5" customHeight="1">
      <c r="B65" s="133">
        <v>62</v>
      </c>
      <c r="C65" s="133"/>
      <c r="D65" s="137" t="s">
        <v>814</v>
      </c>
      <c r="E65" s="137" t="s">
        <v>705</v>
      </c>
      <c r="F65" s="151">
        <f>SUMIFS(Table1[مبلغ واریزی],Table1[ردیف],$B65,Table1[سال],F$2)</f>
        <v>40000000</v>
      </c>
      <c r="G65" s="151">
        <f>SUMIFS(Table1[مبلغ واریزی],Table1[ردیف],$B65,Table1[سال],G$2)</f>
        <v>80000000</v>
      </c>
      <c r="H65" s="151">
        <f>SUMIFS(Table1[مبلغ واریزی],Table1[ردیف],$B65,Table1[سال],H$2)</f>
        <v>60000000</v>
      </c>
      <c r="I65" s="151">
        <f>SUMIFS(Table1[توضیحات ‍‍‍‍],Table1[نام],$B65,Table1[شماره فیش],I$2)</f>
        <v>0</v>
      </c>
      <c r="J65" s="151">
        <f>SUMIF('لیست واریزی ماهیانه'!B:B,'لیست واریزی کل خیرین'!$B65,'لیست واریزی ماهیانه'!K:K)</f>
        <v>200000000</v>
      </c>
      <c r="L6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6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6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6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6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6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6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6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10000000</v>
      </c>
      <c r="AE6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6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10000000</v>
      </c>
      <c r="AG6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</v>
      </c>
      <c r="AH6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10000000</v>
      </c>
      <c r="AI6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6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6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6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10000000</v>
      </c>
      <c r="AM6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10000000</v>
      </c>
      <c r="AN6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10000000</v>
      </c>
      <c r="AO6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10000000</v>
      </c>
      <c r="AP6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10000000</v>
      </c>
      <c r="AQ6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10000000</v>
      </c>
      <c r="AR6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6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6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6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6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6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6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6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6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6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6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6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20000000</v>
      </c>
      <c r="BD6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6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6" spans="2:59" ht="25.5" customHeight="1">
      <c r="B66" s="133">
        <v>63</v>
      </c>
      <c r="C66" s="133"/>
      <c r="D66" s="137" t="s">
        <v>522</v>
      </c>
      <c r="E66" s="137" t="s">
        <v>523</v>
      </c>
      <c r="F66" s="151">
        <f>SUMIFS(Table1[مبلغ واریزی],Table1[ردیف],$B66,Table1[سال],F$2)</f>
        <v>138469783</v>
      </c>
      <c r="G66" s="151">
        <f>SUMIFS(Table1[مبلغ واریزی],Table1[ردیف],$B66,Table1[سال],G$2)</f>
        <v>258305270</v>
      </c>
      <c r="H66" s="151">
        <f>SUMIFS(Table1[مبلغ واریزی],Table1[ردیف],$B66,Table1[سال],H$2)</f>
        <v>848596336</v>
      </c>
      <c r="I66" s="151">
        <f>SUMIFS(Table1[توضیحات ‍‍‍‍],Table1[نام],$B66,Table1[شماره فیش],I$2)</f>
        <v>0</v>
      </c>
      <c r="J66" s="151">
        <f>SUMIF('لیست واریزی ماهیانه'!B:B,'لیست واریزی کل خیرین'!$B66,'لیست واریزی ماهیانه'!K:K)</f>
        <v>2196406486</v>
      </c>
      <c r="L6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4570</v>
      </c>
      <c r="O6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61172</v>
      </c>
      <c r="P6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5033530</v>
      </c>
      <c r="Q6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7696559</v>
      </c>
      <c r="R6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14555641</v>
      </c>
      <c r="S6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15594672</v>
      </c>
      <c r="T6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20361327</v>
      </c>
      <c r="U6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24065060</v>
      </c>
      <c r="V6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32965781</v>
      </c>
      <c r="W6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18131471</v>
      </c>
      <c r="X6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20216371</v>
      </c>
      <c r="Y6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25365951</v>
      </c>
      <c r="Z6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26623788</v>
      </c>
      <c r="AA6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20588777</v>
      </c>
      <c r="AB6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23182279</v>
      </c>
      <c r="AC6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84481</v>
      </c>
      <c r="AD6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5646626</v>
      </c>
      <c r="AE6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12201354</v>
      </c>
      <c r="AF6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25789018</v>
      </c>
      <c r="AG6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31010028</v>
      </c>
      <c r="AH6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33191770</v>
      </c>
      <c r="AI6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34404827</v>
      </c>
      <c r="AJ6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41716301</v>
      </c>
      <c r="AK6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51635142</v>
      </c>
      <c r="AL6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65982615</v>
      </c>
      <c r="AM6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68741441</v>
      </c>
      <c r="AN6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75121182</v>
      </c>
      <c r="AO6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84833355</v>
      </c>
      <c r="AP6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87274308</v>
      </c>
      <c r="AQ6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6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101316415</v>
      </c>
      <c r="AS6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101499802</v>
      </c>
      <c r="AT6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86377565</v>
      </c>
      <c r="AU6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84098210</v>
      </c>
      <c r="AV6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98722439</v>
      </c>
      <c r="AW6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106235643</v>
      </c>
      <c r="AX6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7500000</v>
      </c>
      <c r="AY6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109279740</v>
      </c>
      <c r="AZ6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123148633</v>
      </c>
      <c r="BA6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134275125</v>
      </c>
      <c r="BB6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141690438</v>
      </c>
      <c r="BC6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115201229</v>
      </c>
      <c r="BD6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114981850</v>
      </c>
      <c r="BE6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7" spans="2:59" ht="25.5" customHeight="1">
      <c r="B67" s="133">
        <v>64</v>
      </c>
      <c r="C67" s="133"/>
      <c r="D67" s="137" t="s">
        <v>520</v>
      </c>
      <c r="E67" s="137" t="s">
        <v>713</v>
      </c>
      <c r="F67" s="151">
        <f>SUMIFS(Table1[مبلغ واریزی],Table1[ردیف],$B67,Table1[سال],F$2)</f>
        <v>5000000</v>
      </c>
      <c r="G67" s="151">
        <f>SUMIFS(Table1[مبلغ واریزی],Table1[ردیف],$B67,Table1[سال],G$2)</f>
        <v>5000000</v>
      </c>
      <c r="H67" s="151">
        <f>SUMIFS(Table1[مبلغ واریزی],Table1[ردیف],$B67,Table1[سال],H$2)</f>
        <v>0</v>
      </c>
      <c r="I67" s="151">
        <f>SUMIFS(Table1[توضیحات ‍‍‍‍],Table1[نام],$B67,Table1[شماره فیش],I$2)</f>
        <v>0</v>
      </c>
      <c r="J67" s="151">
        <f>SUMIF('لیست واریزی ماهیانه'!B:B,'لیست واریزی کل خیرین'!$B67,'لیست واریزی ماهیانه'!K:K)</f>
        <v>10000000</v>
      </c>
      <c r="L6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6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6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6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6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6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6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6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6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6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6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6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6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6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6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6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6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6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6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6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6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6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6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6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6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6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6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8" spans="2:59" ht="25.5" customHeight="1">
      <c r="B68" s="133">
        <v>65</v>
      </c>
      <c r="C68" s="457" t="s">
        <v>1734</v>
      </c>
      <c r="D68" s="137" t="s">
        <v>717</v>
      </c>
      <c r="E68" s="137" t="s">
        <v>718</v>
      </c>
      <c r="F68" s="151">
        <f>SUMIFS(Table1[مبلغ واریزی],Table1[ردیف],$B68,Table1[سال],F$2)</f>
        <v>250000000</v>
      </c>
      <c r="G68" s="151">
        <f>SUMIFS(Table1[مبلغ واریزی],Table1[ردیف],$B68,Table1[سال],G$2)</f>
        <v>0</v>
      </c>
      <c r="H68" s="151">
        <f>SUMIFS(Table1[مبلغ واریزی],Table1[ردیف],$B68,Table1[سال],H$2)</f>
        <v>200000000</v>
      </c>
      <c r="I68" s="151">
        <f>SUMIFS(Table1[توضیحات ‍‍‍‍],Table1[نام],$B68,Table1[شماره فیش],I$2)</f>
        <v>0</v>
      </c>
      <c r="J68" s="151">
        <f>SUMIF('لیست واریزی ماهیانه'!B:B,'لیست واریزی کل خیرین'!$B68,'لیست واریزی ماهیانه'!K:K)</f>
        <v>450000000</v>
      </c>
      <c r="L6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250000000</v>
      </c>
      <c r="U6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6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6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6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6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6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6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6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6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6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6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6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200000000</v>
      </c>
      <c r="AS6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6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6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6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6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6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6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6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6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6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6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6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6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69" spans="2:59" ht="25.5" customHeight="1">
      <c r="B69" s="133">
        <v>66</v>
      </c>
      <c r="C69" s="133"/>
      <c r="D69" s="137" t="s">
        <v>746</v>
      </c>
      <c r="E69" s="137" t="s">
        <v>747</v>
      </c>
      <c r="F69" s="151">
        <f>SUMIFS(Table1[مبلغ واریزی],Table1[ردیف],$B69,Table1[سال],F$2)</f>
        <v>532000</v>
      </c>
      <c r="G69" s="151">
        <f>SUMIFS(Table1[مبلغ واریزی],Table1[ردیف],$B69,Table1[سال],G$2)</f>
        <v>0</v>
      </c>
      <c r="H69" s="151">
        <f>SUMIFS(Table1[مبلغ واریزی],Table1[ردیف],$B69,Table1[سال],H$2)</f>
        <v>0</v>
      </c>
      <c r="I69" s="151">
        <f>SUMIFS(Table1[توضیحات ‍‍‍‍],Table1[نام],$B69,Table1[شماره فیش],I$2)</f>
        <v>0</v>
      </c>
      <c r="J69" s="151">
        <f>SUMIF('لیست واریزی ماهیانه'!B:B,'لیست واریزی کل خیرین'!$B69,'لیست واریزی ماهیانه'!K:K)</f>
        <v>532000</v>
      </c>
      <c r="L6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532000</v>
      </c>
      <c r="S6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6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6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6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6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6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6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6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6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6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6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6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6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6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6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6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6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6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6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6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6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6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6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6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6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6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6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0" spans="2:59" ht="25.5" customHeight="1">
      <c r="B70" s="133">
        <v>67</v>
      </c>
      <c r="C70" s="133"/>
      <c r="D70" s="137" t="s">
        <v>748</v>
      </c>
      <c r="E70" s="137" t="s">
        <v>749</v>
      </c>
      <c r="F70" s="151">
        <f>SUMIFS(Table1[مبلغ واریزی],Table1[ردیف],$B70,Table1[سال],F$2)</f>
        <v>0</v>
      </c>
      <c r="G70" s="151">
        <f>SUMIFS(Table1[مبلغ واریزی],Table1[ردیف],$B70,Table1[سال],G$2)</f>
        <v>0</v>
      </c>
      <c r="H70" s="151">
        <f>SUMIFS(Table1[مبلغ واریزی],Table1[ردیف],$B70,Table1[سال],H$2)</f>
        <v>0</v>
      </c>
      <c r="I70" s="151">
        <f>SUMIFS(Table1[توضیحات ‍‍‍‍],Table1[نام],$B70,Table1[شماره فیش],I$2)</f>
        <v>0</v>
      </c>
      <c r="J70" s="151">
        <f>SUMIF('لیست واریزی ماهیانه'!B:B,'لیست واریزی کل خیرین'!$B70,'لیست واریزی ماهیانه'!K:K)</f>
        <v>0</v>
      </c>
      <c r="L7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7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7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7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7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7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7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7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7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7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7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7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7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7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7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7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7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7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7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7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7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7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1" spans="2:59" ht="25.5" customHeight="1">
      <c r="B71" s="133">
        <v>68</v>
      </c>
      <c r="C71" s="133"/>
      <c r="D71" s="137" t="s">
        <v>207</v>
      </c>
      <c r="E71" s="137" t="s">
        <v>804</v>
      </c>
      <c r="F71" s="151">
        <f>SUMIFS(Table1[مبلغ واریزی],Table1[ردیف],$B71,Table1[سال],F$2)</f>
        <v>10000000</v>
      </c>
      <c r="G71" s="151">
        <f>SUMIFS(Table1[مبلغ واریزی],Table1[ردیف],$B71,Table1[سال],G$2)</f>
        <v>0</v>
      </c>
      <c r="H71" s="151">
        <f>SUMIFS(Table1[مبلغ واریزی],Table1[ردیف],$B71,Table1[سال],H$2)</f>
        <v>0</v>
      </c>
      <c r="I71" s="151">
        <f>SUMIFS(Table1[توضیحات ‍‍‍‍],Table1[نام],$B71,Table1[شماره فیش],I$2)</f>
        <v>0</v>
      </c>
      <c r="J71" s="151">
        <f>SUMIF('لیست واریزی ماهیانه'!B:B,'لیست واریزی کل خیرین'!$B71,'لیست واریزی ماهیانه'!K:K)</f>
        <v>10000000</v>
      </c>
      <c r="L7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7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7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7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7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7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7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7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7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7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7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7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7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7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7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7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7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7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7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7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7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7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7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2" spans="2:59" ht="25.5" customHeight="1">
      <c r="B72" s="133">
        <v>69</v>
      </c>
      <c r="C72" s="133"/>
      <c r="D72" s="137" t="s">
        <v>810</v>
      </c>
      <c r="E72" s="137" t="s">
        <v>811</v>
      </c>
      <c r="F72" s="151">
        <f>SUMIFS(Table1[مبلغ واریزی],Table1[ردیف],$B72,Table1[سال],F$2)</f>
        <v>19000000</v>
      </c>
      <c r="G72" s="151">
        <f>SUMIFS(Table1[مبلغ واریزی],Table1[ردیف],$B72,Table1[سال],G$2)</f>
        <v>10000000</v>
      </c>
      <c r="H72" s="151">
        <f>SUMIFS(Table1[مبلغ واریزی],Table1[ردیف],$B72,Table1[سال],H$2)</f>
        <v>0</v>
      </c>
      <c r="I72" s="151">
        <f>SUMIFS(Table1[توضیحات ‍‍‍‍],Table1[نام],$B72,Table1[شماره فیش],I$2)</f>
        <v>0</v>
      </c>
      <c r="J72" s="151">
        <f>SUMIF('لیست واریزی ماهیانه'!B:B,'لیست واریزی کل خیرین'!$B72,'لیست واریزی ماهیانه'!K:K)</f>
        <v>29000000</v>
      </c>
      <c r="L7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7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4000000</v>
      </c>
      <c r="V7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7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7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7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7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7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7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7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7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7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7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7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7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7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7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7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7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7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7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7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7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7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7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7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7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7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3" spans="2:59" ht="25.5" customHeight="1">
      <c r="B73" s="133">
        <v>70</v>
      </c>
      <c r="C73" s="133"/>
      <c r="D73" s="137" t="s">
        <v>203</v>
      </c>
      <c r="E73" s="137" t="s">
        <v>813</v>
      </c>
      <c r="F73" s="151">
        <f>SUMIFS(Table1[مبلغ واریزی],Table1[ردیف],$B73,Table1[سال],F$2)</f>
        <v>60000000</v>
      </c>
      <c r="G73" s="151">
        <f>SUMIFS(Table1[مبلغ واریزی],Table1[ردیف],$B73,Table1[سال],G$2)</f>
        <v>20000000</v>
      </c>
      <c r="H73" s="151">
        <f>SUMIFS(Table1[مبلغ واریزی],Table1[ردیف],$B73,Table1[سال],H$2)</f>
        <v>0</v>
      </c>
      <c r="I73" s="151">
        <f>SUMIFS(Table1[توضیحات ‍‍‍‍],Table1[نام],$B73,Table1[شماره فیش],I$2)</f>
        <v>0</v>
      </c>
      <c r="J73" s="151">
        <f>SUMIF('لیست واریزی ماهیانه'!B:B,'لیست واریزی کل خیرین'!$B73,'لیست واریزی ماهیانه'!K:K)</f>
        <v>80000000</v>
      </c>
      <c r="L7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7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7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7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30000000</v>
      </c>
      <c r="X7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7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7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7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7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7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7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7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7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7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7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7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7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7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7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7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7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7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7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7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7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7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7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7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4" spans="2:59" ht="25.5" customHeight="1">
      <c r="B74" s="133">
        <v>71</v>
      </c>
      <c r="C74" s="133"/>
      <c r="D74" s="137" t="s">
        <v>494</v>
      </c>
      <c r="E74" s="137" t="s">
        <v>816</v>
      </c>
      <c r="F74" s="151">
        <f>SUMIFS(Table1[مبلغ واریزی],Table1[ردیف],$B74,Table1[سال],F$2)</f>
        <v>10000000</v>
      </c>
      <c r="G74" s="151">
        <f>SUMIFS(Table1[مبلغ واریزی],Table1[ردیف],$B74,Table1[سال],G$2)</f>
        <v>10000000</v>
      </c>
      <c r="H74" s="151">
        <f>SUMIFS(Table1[مبلغ واریزی],Table1[ردیف],$B74,Table1[سال],H$2)</f>
        <v>0</v>
      </c>
      <c r="I74" s="151">
        <f>SUMIFS(Table1[توضیحات ‍‍‍‍],Table1[نام],$B74,Table1[شماره فیش],I$2)</f>
        <v>0</v>
      </c>
      <c r="J74" s="151">
        <f>SUMIF('لیست واریزی ماهیانه'!B:B,'لیست واریزی کل خیرین'!$B74,'لیست واریزی ماهیانه'!K:K)</f>
        <v>20000000</v>
      </c>
      <c r="L7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7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</v>
      </c>
      <c r="AH7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7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7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7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7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7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7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7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7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7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7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7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7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7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7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7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7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7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7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7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7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5" spans="2:59" ht="25.5" customHeight="1">
      <c r="B75" s="133">
        <v>72</v>
      </c>
      <c r="C75" s="133"/>
      <c r="D75" s="137" t="s">
        <v>588</v>
      </c>
      <c r="E75" s="137" t="s">
        <v>817</v>
      </c>
      <c r="F75" s="151">
        <f>SUMIFS(Table1[مبلغ واریزی],Table1[ردیف],$B75,Table1[سال],F$2)</f>
        <v>20000000</v>
      </c>
      <c r="G75" s="151">
        <f>SUMIFS(Table1[مبلغ واریزی],Table1[ردیف],$B75,Table1[سال],G$2)</f>
        <v>10000000</v>
      </c>
      <c r="H75" s="151">
        <f>SUMIFS(Table1[مبلغ واریزی],Table1[ردیف],$B75,Table1[سال],H$2)</f>
        <v>0</v>
      </c>
      <c r="I75" s="151">
        <f>SUMIFS(Table1[توضیحات ‍‍‍‍],Table1[نام],$B75,Table1[شماره فیش],I$2)</f>
        <v>0</v>
      </c>
      <c r="J75" s="151">
        <f>SUMIF('لیست واریزی ماهیانه'!B:B,'لیست واریزی کل خیرین'!$B75,'لیست واریزی ماهیانه'!K:K)</f>
        <v>30000000</v>
      </c>
      <c r="L7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7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7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7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7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7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7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7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7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7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7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7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7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7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7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7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7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7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7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7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7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7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7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7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7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6" spans="2:59" ht="25.5" customHeight="1">
      <c r="B76" s="133">
        <v>73</v>
      </c>
      <c r="C76" s="457" t="s">
        <v>1734</v>
      </c>
      <c r="D76" s="137" t="s">
        <v>818</v>
      </c>
      <c r="E76" s="137" t="s">
        <v>819</v>
      </c>
      <c r="F76" s="151">
        <f>SUMIFS(Table1[مبلغ واریزی],Table1[ردیف],$B76,Table1[سال],F$2)</f>
        <v>420000000</v>
      </c>
      <c r="G76" s="151">
        <f>SUMIFS(Table1[مبلغ واریزی],Table1[ردیف],$B76,Table1[سال],G$2)</f>
        <v>0</v>
      </c>
      <c r="H76" s="151">
        <f>SUMIFS(Table1[مبلغ واریزی],Table1[ردیف],$B76,Table1[سال],H$2)</f>
        <v>0</v>
      </c>
      <c r="I76" s="151">
        <f>SUMIFS(Table1[توضیحات ‍‍‍‍],Table1[نام],$B76,Table1[شماره فیش],I$2)</f>
        <v>0</v>
      </c>
      <c r="J76" s="151">
        <f>SUMIF('لیست واریزی ماهیانه'!B:B,'لیست واریزی کل خیرین'!$B76,'لیست واریزی ماهیانه'!K:K)</f>
        <v>420000000</v>
      </c>
      <c r="L7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420000000</v>
      </c>
      <c r="U7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7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7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7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7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7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7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7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7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7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7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7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7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7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7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7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7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7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7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7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7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7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7" spans="2:59" ht="25.5" customHeight="1">
      <c r="B77" s="133">
        <v>74</v>
      </c>
      <c r="C77" s="133"/>
      <c r="D77" s="137" t="s">
        <v>838</v>
      </c>
      <c r="E77" s="137" t="s">
        <v>839</v>
      </c>
      <c r="F77" s="151">
        <f>SUMIFS(Table1[مبلغ واریزی],Table1[ردیف],$B77,Table1[سال],F$2)</f>
        <v>15000000</v>
      </c>
      <c r="G77" s="151">
        <f>SUMIFS(Table1[مبلغ واریزی],Table1[ردیف],$B77,Table1[سال],G$2)</f>
        <v>40000000</v>
      </c>
      <c r="H77" s="151">
        <f>SUMIFS(Table1[مبلغ واریزی],Table1[ردیف],$B77,Table1[سال],H$2)</f>
        <v>62500000</v>
      </c>
      <c r="I77" s="151">
        <f>SUMIFS(Table1[توضیحات ‍‍‍‍],Table1[نام],$B77,Table1[شماره فیش],I$2)</f>
        <v>0</v>
      </c>
      <c r="J77" s="151">
        <f>SUMIF('لیست واریزی ماهیانه'!B:B,'لیست واریزی کل خیرین'!$B77,'لیست واریزی ماهیانه'!K:K)</f>
        <v>175000000</v>
      </c>
      <c r="L7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7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7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7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7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7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7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7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7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  <c r="AH7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5000000</v>
      </c>
      <c r="AI7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</v>
      </c>
      <c r="AJ7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5000000</v>
      </c>
      <c r="AK7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7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5000000</v>
      </c>
      <c r="AM7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7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5000000</v>
      </c>
      <c r="AO7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10000000</v>
      </c>
      <c r="AP7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7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5000000</v>
      </c>
      <c r="AR7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10000000</v>
      </c>
      <c r="AS7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5000000</v>
      </c>
      <c r="AU7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17500000</v>
      </c>
      <c r="AV7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5000000</v>
      </c>
      <c r="AX7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7500000</v>
      </c>
      <c r="AZ7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7500000</v>
      </c>
      <c r="BA7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7500000</v>
      </c>
      <c r="BB7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7500000</v>
      </c>
      <c r="BC7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15000000</v>
      </c>
      <c r="BD7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7500000</v>
      </c>
      <c r="BE7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8" spans="2:59" ht="25.5" customHeight="1">
      <c r="B78" s="133">
        <v>75</v>
      </c>
      <c r="C78" s="133"/>
      <c r="D78" s="137" t="s">
        <v>843</v>
      </c>
      <c r="E78" s="137" t="s">
        <v>844</v>
      </c>
      <c r="F78" s="151">
        <f>SUMIFS(Table1[مبلغ واریزی],Table1[ردیف],$B78,Table1[سال],F$2)</f>
        <v>100000000</v>
      </c>
      <c r="G78" s="151">
        <f>SUMIFS(Table1[مبلغ واریزی],Table1[ردیف],$B78,Table1[سال],G$2)</f>
        <v>45000000</v>
      </c>
      <c r="H78" s="151">
        <f>SUMIFS(Table1[مبلغ واریزی],Table1[ردیف],$B78,Table1[سال],H$2)</f>
        <v>20000000</v>
      </c>
      <c r="I78" s="151">
        <f>SUMIFS(Table1[توضیحات ‍‍‍‍],Table1[نام],$B78,Table1[شماره فیش],I$2)</f>
        <v>0</v>
      </c>
      <c r="J78" s="151">
        <f>SUMIF('لیست واریزی ماهیانه'!B:B,'لیست واریزی کل خیرین'!$B78,'لیست واریزی ماهیانه'!K:K)</f>
        <v>165000000</v>
      </c>
      <c r="L7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100000000</v>
      </c>
      <c r="V7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7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7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  <c r="AH7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7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20000000</v>
      </c>
      <c r="AJ7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7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7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7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7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10000000</v>
      </c>
      <c r="AO7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5000000</v>
      </c>
      <c r="AP7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5000000</v>
      </c>
      <c r="AQ7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7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7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7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7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7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7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7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7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7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7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7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79" spans="2:59" ht="25.5" customHeight="1">
      <c r="B79" s="133">
        <v>76</v>
      </c>
      <c r="C79" s="133"/>
      <c r="D79" s="137" t="s">
        <v>849</v>
      </c>
      <c r="E79" s="137" t="s">
        <v>850</v>
      </c>
      <c r="F79" s="151">
        <f>SUMIFS(Table1[مبلغ واریزی],Table1[ردیف],$B79,Table1[سال],F$2)</f>
        <v>10000000</v>
      </c>
      <c r="G79" s="151">
        <f>SUMIFS(Table1[مبلغ واریزی],Table1[ردیف],$B79,Table1[سال],G$2)</f>
        <v>0</v>
      </c>
      <c r="H79" s="151">
        <f>SUMIFS(Table1[مبلغ واریزی],Table1[ردیف],$B79,Table1[سال],H$2)</f>
        <v>0</v>
      </c>
      <c r="I79" s="151">
        <f>SUMIFS(Table1[توضیحات ‍‍‍‍],Table1[نام],$B79,Table1[شماره فیش],I$2)</f>
        <v>0</v>
      </c>
      <c r="J79" s="151">
        <f>SUMIF('لیست واریزی ماهیانه'!B:B,'لیست واریزی کل خیرین'!$B79,'لیست واریزی ماهیانه'!K:K)</f>
        <v>10000000</v>
      </c>
      <c r="L7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7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7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7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7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7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7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7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7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7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7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7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7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7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7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7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7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7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7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7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7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7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7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7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7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7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7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7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0" spans="2:59" ht="25.5" customHeight="1">
      <c r="B80" s="133">
        <v>77</v>
      </c>
      <c r="C80" s="133"/>
      <c r="D80" s="137" t="s">
        <v>864</v>
      </c>
      <c r="E80" s="137" t="s">
        <v>865</v>
      </c>
      <c r="F80" s="151">
        <f>SUMIFS(Table1[مبلغ واریزی],Table1[ردیف],$B80,Table1[سال],F$2)</f>
        <v>100000000</v>
      </c>
      <c r="G80" s="151">
        <f>SUMIFS(Table1[مبلغ واریزی],Table1[ردیف],$B80,Table1[سال],G$2)</f>
        <v>0</v>
      </c>
      <c r="H80" s="151">
        <f>SUMIFS(Table1[مبلغ واریزی],Table1[ردیف],$B80,Table1[سال],H$2)</f>
        <v>0</v>
      </c>
      <c r="I80" s="151">
        <f>SUMIFS(Table1[توضیحات ‍‍‍‍],Table1[نام],$B80,Table1[شماره فیش],I$2)</f>
        <v>0</v>
      </c>
      <c r="J80" s="151">
        <f>SUMIF('لیست واریزی ماهیانه'!B:B,'لیست واریزی کل خیرین'!$B80,'لیست واریزی ماهیانه'!K:K)</f>
        <v>100000000</v>
      </c>
      <c r="L8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100000000</v>
      </c>
      <c r="V8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8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8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8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8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8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8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8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8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8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8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8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8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8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8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8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8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1" spans="2:59" ht="25.5" customHeight="1">
      <c r="B81" s="133">
        <v>78</v>
      </c>
      <c r="C81" s="133"/>
      <c r="D81" s="137" t="s">
        <v>574</v>
      </c>
      <c r="E81" s="137" t="s">
        <v>870</v>
      </c>
      <c r="F81" s="151">
        <f>SUMIFS(Table1[مبلغ واریزی],Table1[ردیف],$B81,Table1[سال],F$2)</f>
        <v>1500000</v>
      </c>
      <c r="G81" s="151">
        <f>SUMIFS(Table1[مبلغ واریزی],Table1[ردیف],$B81,Table1[سال],G$2)</f>
        <v>0</v>
      </c>
      <c r="H81" s="151">
        <f>SUMIFS(Table1[مبلغ واریزی],Table1[ردیف],$B81,Table1[سال],H$2)</f>
        <v>0</v>
      </c>
      <c r="I81" s="151">
        <f>SUMIFS(Table1[توضیحات ‍‍‍‍],Table1[نام],$B81,Table1[شماره فیش],I$2)</f>
        <v>0</v>
      </c>
      <c r="J81" s="151">
        <f>SUMIF('لیست واریزی ماهیانه'!B:B,'لیست واریزی کل خیرین'!$B81,'لیست واریزی ماهیانه'!K:K)</f>
        <v>1500000</v>
      </c>
      <c r="L8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1500000</v>
      </c>
      <c r="V8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8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8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8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8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8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8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8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8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8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8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8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8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8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8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8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8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2" spans="2:59" ht="25.5" customHeight="1">
      <c r="B82" s="133">
        <v>79</v>
      </c>
      <c r="C82" s="133"/>
      <c r="D82" s="137" t="s">
        <v>877</v>
      </c>
      <c r="E82" s="137" t="s">
        <v>876</v>
      </c>
      <c r="F82" s="151">
        <f>SUMIFS(Table1[مبلغ واریزی],Table1[ردیف],$B82,Table1[سال],F$2)</f>
        <v>1000000</v>
      </c>
      <c r="G82" s="151">
        <f>SUMIFS(Table1[مبلغ واریزی],Table1[ردیف],$B82,Table1[سال],G$2)</f>
        <v>0</v>
      </c>
      <c r="H82" s="151">
        <f>SUMIFS(Table1[مبلغ واریزی],Table1[ردیف],$B82,Table1[سال],H$2)</f>
        <v>0</v>
      </c>
      <c r="I82" s="151">
        <f>SUMIFS(Table1[توضیحات ‍‍‍‍],Table1[نام],$B82,Table1[شماره فیش],I$2)</f>
        <v>0</v>
      </c>
      <c r="J82" s="151">
        <f>SUMIF('لیست واریزی ماهیانه'!B:B,'لیست واریزی کل خیرین'!$B82,'لیست واریزی ماهیانه'!K:K)</f>
        <v>1000000</v>
      </c>
      <c r="L8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</v>
      </c>
      <c r="V8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8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8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8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8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8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8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8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8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8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8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8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8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8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8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8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8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3" spans="2:59" ht="25.5" customHeight="1">
      <c r="B83" s="133">
        <v>80</v>
      </c>
      <c r="C83" s="133"/>
      <c r="D83" s="137" t="s">
        <v>884</v>
      </c>
      <c r="E83" s="137" t="s">
        <v>885</v>
      </c>
      <c r="F83" s="151">
        <f>SUMIFS(Table1[مبلغ واریزی],Table1[ردیف],$B83,Table1[سال],F$2)</f>
        <v>1000000</v>
      </c>
      <c r="G83" s="151">
        <f>SUMIFS(Table1[مبلغ واریزی],Table1[ردیف],$B83,Table1[سال],G$2)</f>
        <v>0</v>
      </c>
      <c r="H83" s="151">
        <f>SUMIFS(Table1[مبلغ واریزی],Table1[ردیف],$B83,Table1[سال],H$2)</f>
        <v>0</v>
      </c>
      <c r="I83" s="151">
        <f>SUMIFS(Table1[توضیحات ‍‍‍‍],Table1[نام],$B83,Table1[شماره فیش],I$2)</f>
        <v>0</v>
      </c>
      <c r="J83" s="151">
        <f>SUMIF('لیست واریزی ماهیانه'!B:B,'لیست واریزی کل خیرین'!$B83,'لیست واریزی ماهیانه'!K:K)</f>
        <v>1000000</v>
      </c>
      <c r="L8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</v>
      </c>
      <c r="V8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8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8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8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8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8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8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8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8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8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8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8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8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8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8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8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8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4" spans="2:59" ht="25.5" customHeight="1">
      <c r="B84" s="133">
        <v>81</v>
      </c>
      <c r="C84" s="133"/>
      <c r="D84" s="137" t="s">
        <v>890</v>
      </c>
      <c r="E84" s="137" t="s">
        <v>891</v>
      </c>
      <c r="F84" s="151">
        <f>SUMIFS(Table1[مبلغ واریزی],Table1[ردیف],$B84,Table1[سال],F$2)</f>
        <v>7500000</v>
      </c>
      <c r="G84" s="151">
        <f>SUMIFS(Table1[مبلغ واریزی],Table1[ردیف],$B84,Table1[سال],G$2)</f>
        <v>0</v>
      </c>
      <c r="H84" s="151">
        <f>SUMIFS(Table1[مبلغ واریزی],Table1[ردیف],$B84,Table1[سال],H$2)</f>
        <v>0</v>
      </c>
      <c r="I84" s="151">
        <f>SUMIFS(Table1[توضیحات ‍‍‍‍],Table1[نام],$B84,Table1[شماره فیش],I$2)</f>
        <v>0</v>
      </c>
      <c r="J84" s="151">
        <f>SUMIF('لیست واریزی ماهیانه'!B:B,'لیست واریزی کل خیرین'!$B84,'لیست واریزی ماهیانه'!K:K)</f>
        <v>7500000</v>
      </c>
      <c r="L8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8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2500000</v>
      </c>
      <c r="X8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8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8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8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8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8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8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8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8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8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8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8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8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8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8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8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8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5" spans="2:59" ht="25.5" customHeight="1">
      <c r="B85" s="133">
        <v>82</v>
      </c>
      <c r="C85" s="133"/>
      <c r="D85" s="137" t="s">
        <v>898</v>
      </c>
      <c r="E85" s="137" t="s">
        <v>899</v>
      </c>
      <c r="F85" s="151">
        <f>SUMIFS(Table1[مبلغ واریزی],Table1[ردیف],$B85,Table1[سال],F$2)</f>
        <v>40000000</v>
      </c>
      <c r="G85" s="151">
        <f>SUMIFS(Table1[مبلغ واریزی],Table1[ردیف],$B85,Table1[سال],G$2)</f>
        <v>0</v>
      </c>
      <c r="H85" s="151">
        <f>SUMIFS(Table1[مبلغ واریزی],Table1[ردیف],$B85,Table1[سال],H$2)</f>
        <v>0</v>
      </c>
      <c r="I85" s="151">
        <f>SUMIFS(Table1[توضیحات ‍‍‍‍],Table1[نام],$B85,Table1[شماره فیش],I$2)</f>
        <v>0</v>
      </c>
      <c r="J85" s="151">
        <f>SUMIF('لیست واریزی ماهیانه'!B:B,'لیست واریزی کل خیرین'!$B85,'لیست واریزی ماهیانه'!K:K)</f>
        <v>40000000</v>
      </c>
      <c r="L8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40000000</v>
      </c>
      <c r="W8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8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8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8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8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8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8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8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8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8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8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8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8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8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8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8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8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6" spans="2:59" ht="25.5" customHeight="1">
      <c r="B86" s="133">
        <v>83</v>
      </c>
      <c r="C86" s="133"/>
      <c r="D86" s="137" t="s">
        <v>203</v>
      </c>
      <c r="E86" s="137" t="s">
        <v>904</v>
      </c>
      <c r="F86" s="151">
        <f>SUMIFS(Table1[مبلغ واریزی],Table1[ردیف],$B86,Table1[سال],F$2)</f>
        <v>100000000</v>
      </c>
      <c r="G86" s="151">
        <f>SUMIFS(Table1[مبلغ واریزی],Table1[ردیف],$B86,Table1[سال],G$2)</f>
        <v>0</v>
      </c>
      <c r="H86" s="151">
        <f>SUMIFS(Table1[مبلغ واریزی],Table1[ردیف],$B86,Table1[سال],H$2)</f>
        <v>0</v>
      </c>
      <c r="I86" s="151">
        <f>SUMIFS(Table1[توضیحات ‍‍‍‍],Table1[نام],$B86,Table1[شماره فیش],I$2)</f>
        <v>0</v>
      </c>
      <c r="J86" s="151">
        <f>SUMIF('لیست واریزی ماهیانه'!B:B,'لیست واریزی کل خیرین'!$B86,'لیست واریزی ماهیانه'!K:K)</f>
        <v>100000000</v>
      </c>
      <c r="L8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100000000</v>
      </c>
      <c r="W8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8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8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8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8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8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8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8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8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8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8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8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8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8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8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8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8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7" spans="2:59" ht="25.5" customHeight="1">
      <c r="B87" s="133">
        <v>84</v>
      </c>
      <c r="C87" s="133"/>
      <c r="D87" s="137" t="s">
        <v>907</v>
      </c>
      <c r="E87" s="137" t="s">
        <v>908</v>
      </c>
      <c r="F87" s="151">
        <f>SUMIFS(Table1[مبلغ واریزی],Table1[ردیف],$B87,Table1[سال],F$2)</f>
        <v>10000000</v>
      </c>
      <c r="G87" s="151">
        <f>SUMIFS(Table1[مبلغ واریزی],Table1[ردیف],$B87,Table1[سال],G$2)</f>
        <v>0</v>
      </c>
      <c r="H87" s="151">
        <f>SUMIFS(Table1[مبلغ واریزی],Table1[ردیف],$B87,Table1[سال],H$2)</f>
        <v>0</v>
      </c>
      <c r="I87" s="151">
        <f>SUMIFS(Table1[توضیحات ‍‍‍‍],Table1[نام],$B87,Table1[شماره فیش],I$2)</f>
        <v>0</v>
      </c>
      <c r="J87" s="151">
        <f>SUMIF('لیست واریزی ماهیانه'!B:B,'لیست واریزی کل خیرین'!$B87,'لیست واریزی ماهیانه'!K:K)</f>
        <v>10000000</v>
      </c>
      <c r="L8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8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8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8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8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8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8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8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8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8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8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8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8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8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8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8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8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8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8" spans="2:59" ht="25.5" customHeight="1">
      <c r="B88" s="133">
        <v>85</v>
      </c>
      <c r="C88" s="133"/>
      <c r="D88" s="137" t="s">
        <v>916</v>
      </c>
      <c r="E88" s="137" t="s">
        <v>917</v>
      </c>
      <c r="F88" s="151">
        <f>SUMIFS(Table1[مبلغ واریزی],Table1[ردیف],$B88,Table1[سال],F$2)</f>
        <v>50000000</v>
      </c>
      <c r="G88" s="151">
        <f>SUMIFS(Table1[مبلغ واریزی],Table1[ردیف],$B88,Table1[سال],G$2)</f>
        <v>25000000</v>
      </c>
      <c r="H88" s="151">
        <f>SUMIFS(Table1[مبلغ واریزی],Table1[ردیف],$B88,Table1[سال],H$2)</f>
        <v>0</v>
      </c>
      <c r="I88" s="151">
        <f>SUMIFS(Table1[توضیحات ‍‍‍‍],Table1[نام],$B88,Table1[شماره فیش],I$2)</f>
        <v>0</v>
      </c>
      <c r="J88" s="151">
        <f>SUMIF('لیست واریزی ماهیانه'!B:B,'لیست واریزی کل خیرین'!$B88,'لیست واریزی ماهیانه'!K:K)</f>
        <v>75000000</v>
      </c>
      <c r="L8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30000000</v>
      </c>
      <c r="W8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20000000</v>
      </c>
      <c r="X8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8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15000000</v>
      </c>
      <c r="AB8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8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8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8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8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8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8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8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8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8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8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8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8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8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8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8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8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89" spans="2:59" ht="25.5" customHeight="1">
      <c r="B89" s="133">
        <v>86</v>
      </c>
      <c r="C89" s="133"/>
      <c r="D89" s="137" t="s">
        <v>543</v>
      </c>
      <c r="E89" s="137" t="s">
        <v>1267</v>
      </c>
      <c r="F89" s="151">
        <f>SUMIFS(Table1[مبلغ واریزی],Table1[ردیف],$B89,Table1[سال],F$2)</f>
        <v>20000000</v>
      </c>
      <c r="G89" s="151">
        <f>SUMIFS(Table1[مبلغ واریزی],Table1[ردیف],$B89,Table1[سال],G$2)</f>
        <v>0</v>
      </c>
      <c r="H89" s="151">
        <f>SUMIFS(Table1[مبلغ واریزی],Table1[ردیف],$B89,Table1[سال],H$2)</f>
        <v>0</v>
      </c>
      <c r="I89" s="151">
        <f>SUMIFS(Table1[توضیحات ‍‍‍‍],Table1[نام],$B89,Table1[شماره فیش],I$2)</f>
        <v>0</v>
      </c>
      <c r="J89" s="151">
        <f>SUMIF('لیست واریزی ماهیانه'!B:B,'لیست واریزی کل خیرین'!$B89,'لیست واریزی ماهیانه'!K:K)</f>
        <v>20000000</v>
      </c>
      <c r="L8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20000000</v>
      </c>
      <c r="X8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8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8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8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8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8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8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8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8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8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8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8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8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8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8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8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8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8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8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8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8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8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8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8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8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8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8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0" spans="2:59" ht="25.5" customHeight="1">
      <c r="B90" s="133">
        <v>87</v>
      </c>
      <c r="C90" s="133"/>
      <c r="D90" s="137" t="s">
        <v>507</v>
      </c>
      <c r="E90" s="137" t="s">
        <v>1284</v>
      </c>
      <c r="F90" s="151">
        <f>SUMIFS(Table1[مبلغ واریزی],Table1[ردیف],$B90,Table1[سال],F$2)</f>
        <v>100000000</v>
      </c>
      <c r="G90" s="151">
        <f>SUMIFS(Table1[مبلغ واریزی],Table1[ردیف],$B90,Table1[سال],G$2)</f>
        <v>0</v>
      </c>
      <c r="H90" s="151">
        <f>SUMIFS(Table1[مبلغ واریزی],Table1[ردیف],$B90,Table1[سال],H$2)</f>
        <v>0</v>
      </c>
      <c r="I90" s="151">
        <f>SUMIFS(Table1[توضیحات ‍‍‍‍],Table1[نام],$B90,Table1[شماره فیش],I$2)</f>
        <v>0</v>
      </c>
      <c r="J90" s="151">
        <f>SUMIF('لیست واریزی ماهیانه'!B:B,'لیست واریزی کل خیرین'!$B90,'لیست واریزی ماهیانه'!K:K)</f>
        <v>100000000</v>
      </c>
      <c r="L9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100000000</v>
      </c>
      <c r="X9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9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9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9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9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9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9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9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9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9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9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9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9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1" spans="2:59" ht="25.5" customHeight="1">
      <c r="B91" s="133">
        <v>88</v>
      </c>
      <c r="C91" s="133"/>
      <c r="D91" s="137" t="s">
        <v>207</v>
      </c>
      <c r="E91" s="137" t="s">
        <v>1462</v>
      </c>
      <c r="F91" s="151">
        <f>SUMIFS(Table1[مبلغ واریزی],Table1[ردیف],$B91,Table1[سال],F$2)</f>
        <v>13000000</v>
      </c>
      <c r="G91" s="151">
        <f>SUMIFS(Table1[مبلغ واریزی],Table1[ردیف],$B91,Table1[سال],G$2)</f>
        <v>80400000</v>
      </c>
      <c r="H91" s="151">
        <f>SUMIFS(Table1[مبلغ واریزی],Table1[ردیف],$B91,Table1[سال],H$2)</f>
        <v>0</v>
      </c>
      <c r="I91" s="151">
        <f>SUMIFS(Table1[توضیحات ‍‍‍‍],Table1[نام],$B91,Table1[شماره فیش],I$2)</f>
        <v>0</v>
      </c>
      <c r="J91" s="151">
        <f>SUMIF('لیست واریزی ماهیانه'!B:B,'لیست واریزی کل خیرین'!$B91,'لیست واریزی ماهیانه'!K:K)</f>
        <v>113400000</v>
      </c>
      <c r="L9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13000000</v>
      </c>
      <c r="X9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7900000</v>
      </c>
      <c r="Z9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9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9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40500000</v>
      </c>
      <c r="AC9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9000000</v>
      </c>
      <c r="AF9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3000000</v>
      </c>
      <c r="AH9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9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9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9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9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9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9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9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9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9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9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20000000</v>
      </c>
      <c r="BE9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2" spans="2:59" ht="7.5" hidden="1" customHeight="1">
      <c r="B92" s="133">
        <v>89</v>
      </c>
      <c r="C92" s="452"/>
      <c r="D92" s="373"/>
      <c r="E92" s="374"/>
      <c r="F92" s="151">
        <f>SUMIFS(Table1[مبلغ واریزی],Table1[ردیف],$B92,Table1[سال],F$2)</f>
        <v>0</v>
      </c>
      <c r="G92" s="151">
        <f>SUMIFS(Table1[مبلغ واریزی],Table1[ردیف],$B92,Table1[سال],G$2)</f>
        <v>0</v>
      </c>
      <c r="H92" s="151">
        <f>SUMIFS(Table1[مبلغ واریزی],Table1[ردیف],$B92,Table1[سال],H$2)</f>
        <v>0</v>
      </c>
      <c r="I92" s="151">
        <f>SUMIFS(Table1[توضیحات ‍‍‍‍],Table1[نام],$B92,Table1[شماره فیش],I$2)</f>
        <v>0</v>
      </c>
      <c r="J92" s="151">
        <f>SUMIF('لیست واریزی ماهیانه'!B:B,'لیست واریزی کل خیرین'!$B92,'لیست واریزی ماهیانه'!K:K)</f>
        <v>0</v>
      </c>
      <c r="L9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9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9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9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9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9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9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9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9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9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9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9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9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3" spans="2:59" ht="28.5" customHeight="1">
      <c r="B93" s="166">
        <v>90</v>
      </c>
      <c r="C93" s="456"/>
      <c r="D93" s="453" t="s">
        <v>596</v>
      </c>
      <c r="E93" s="376" t="s">
        <v>1313</v>
      </c>
      <c r="F93" s="151">
        <f>SUMIFS(Table1[مبلغ واریزی],Table1[ردیف],$B93,Table1[سال],F$2)</f>
        <v>20000000</v>
      </c>
      <c r="G93" s="151">
        <f>SUMIFS(Table1[مبلغ واریزی],Table1[ردیف],$B93,Table1[سال],G$2)</f>
        <v>0</v>
      </c>
      <c r="H93" s="151">
        <f>SUMIFS(Table1[مبلغ واریزی],Table1[ردیف],$B93,Table1[سال],H$2)</f>
        <v>0</v>
      </c>
      <c r="I93" s="151">
        <f>SUMIFS(Table1[توضیحات ‍‍‍‍],Table1[نام],$B93,Table1[شماره فیش],I$2)</f>
        <v>0</v>
      </c>
      <c r="J93" s="151">
        <f>SUMIF('لیست واریزی ماهیانه'!B:B,'لیست واریزی کل خیرین'!$B93,'لیست واریزی ماهیانه'!K:K)</f>
        <v>20000000</v>
      </c>
      <c r="L9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20000000</v>
      </c>
      <c r="X9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9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9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9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9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9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9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9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9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9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9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9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9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4" spans="2:59" ht="28.5" customHeight="1">
      <c r="B94" s="166">
        <v>91</v>
      </c>
      <c r="C94" s="456"/>
      <c r="D94" s="454" t="s">
        <v>1315</v>
      </c>
      <c r="E94" s="375" t="s">
        <v>1316</v>
      </c>
      <c r="F94" s="151">
        <f>SUMIFS(Table1[مبلغ واریزی],Table1[ردیف],$B94,Table1[سال],F$2)</f>
        <v>5000000</v>
      </c>
      <c r="G94" s="151">
        <f>SUMIFS(Table1[مبلغ واریزی],Table1[ردیف],$B94,Table1[سال],G$2)</f>
        <v>10000000</v>
      </c>
      <c r="H94" s="151">
        <f>SUMIFS(Table1[مبلغ واریزی],Table1[ردیف],$B94,Table1[سال],H$2)</f>
        <v>0</v>
      </c>
      <c r="I94" s="151">
        <f>SUMIFS(Table1[توضیحات ‍‍‍‍],Table1[نام],$B94,Table1[شماره فیش],I$2)</f>
        <v>0</v>
      </c>
      <c r="J94" s="151">
        <f>SUMIF('لیست واریزی ماهیانه'!B:B,'لیست واریزی کل خیرین'!$B94,'لیست واریزی ماهیانه'!K:K)</f>
        <v>15000000</v>
      </c>
      <c r="L9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9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9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9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9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9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9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9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9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9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9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9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9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9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9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5" spans="2:59" ht="28.5" customHeight="1">
      <c r="B95" s="166">
        <v>92</v>
      </c>
      <c r="C95" s="456"/>
      <c r="D95" s="454" t="s">
        <v>1317</v>
      </c>
      <c r="E95" s="375" t="s">
        <v>1318</v>
      </c>
      <c r="F95" s="151">
        <f>SUMIFS(Table1[مبلغ واریزی],Table1[ردیف],$B95,Table1[سال],F$2)</f>
        <v>20000000</v>
      </c>
      <c r="G95" s="151">
        <f>SUMIFS(Table1[مبلغ واریزی],Table1[ردیف],$B95,Table1[سال],G$2)</f>
        <v>0</v>
      </c>
      <c r="H95" s="151">
        <f>SUMIFS(Table1[مبلغ واریزی],Table1[ردیف],$B95,Table1[سال],H$2)</f>
        <v>0</v>
      </c>
      <c r="I95" s="151">
        <f>SUMIFS(Table1[توضیحات ‍‍‍‍],Table1[نام],$B95,Table1[شماره فیش],I$2)</f>
        <v>0</v>
      </c>
      <c r="J95" s="151">
        <f>SUMIF('لیست واریزی ماهیانه'!B:B,'لیست واریزی کل خیرین'!$B95,'لیست واریزی ماهیانه'!K:K)</f>
        <v>20000000</v>
      </c>
      <c r="L9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20000000</v>
      </c>
      <c r="X9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9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9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9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9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9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9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9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9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9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9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9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9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6" spans="2:59" ht="28.5" customHeight="1">
      <c r="B96" s="166">
        <v>93</v>
      </c>
      <c r="C96" s="456"/>
      <c r="D96" s="454" t="s">
        <v>1320</v>
      </c>
      <c r="E96" s="375" t="s">
        <v>1321</v>
      </c>
      <c r="F96" s="151">
        <f>SUMIFS(Table1[مبلغ واریزی],Table1[ردیف],$B96,Table1[سال],F$2)</f>
        <v>15000000</v>
      </c>
      <c r="G96" s="151">
        <f>SUMIFS(Table1[مبلغ واریزی],Table1[ردیف],$B96,Table1[سال],G$2)</f>
        <v>0</v>
      </c>
      <c r="H96" s="151">
        <f>SUMIFS(Table1[مبلغ واریزی],Table1[ردیف],$B96,Table1[سال],H$2)</f>
        <v>0</v>
      </c>
      <c r="I96" s="151">
        <f>SUMIFS(Table1[توضیحات ‍‍‍‍],Table1[نام],$B96,Table1[شماره فیش],I$2)</f>
        <v>0</v>
      </c>
      <c r="J96" s="151">
        <f>SUMIF('لیست واریزی ماهیانه'!B:B,'لیست واریزی کل خیرین'!$B96,'لیست واریزی ماهیانه'!K:K)</f>
        <v>15000000</v>
      </c>
      <c r="L9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15000000</v>
      </c>
      <c r="X9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9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9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9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9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9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9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9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9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9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9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9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9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7" spans="2:59" ht="28.5" customHeight="1">
      <c r="B97" s="166">
        <v>94</v>
      </c>
      <c r="C97" s="456"/>
      <c r="D97" s="454" t="s">
        <v>1324</v>
      </c>
      <c r="E97" s="375" t="s">
        <v>1325</v>
      </c>
      <c r="F97" s="151">
        <f>SUMIFS(Table1[مبلغ واریزی],Table1[ردیف],$B97,Table1[سال],F$2)</f>
        <v>20000000</v>
      </c>
      <c r="G97" s="151">
        <f>SUMIFS(Table1[مبلغ واریزی],Table1[ردیف],$B97,Table1[سال],G$2)</f>
        <v>0</v>
      </c>
      <c r="H97" s="151">
        <f>SUMIFS(Table1[مبلغ واریزی],Table1[ردیف],$B97,Table1[سال],H$2)</f>
        <v>0</v>
      </c>
      <c r="I97" s="151">
        <f>SUMIFS(Table1[توضیحات ‍‍‍‍],Table1[نام],$B97,Table1[شماره فیش],I$2)</f>
        <v>0</v>
      </c>
      <c r="J97" s="151">
        <f>SUMIF('لیست واریزی ماهیانه'!B:B,'لیست واریزی کل خیرین'!$B97,'لیست واریزی ماهیانه'!K:K)</f>
        <v>20000000</v>
      </c>
      <c r="L9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20000000</v>
      </c>
      <c r="X9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9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9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9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9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9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9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9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9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9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9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9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9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8" spans="2:59" ht="28.5" customHeight="1">
      <c r="B98" s="166">
        <v>95</v>
      </c>
      <c r="C98" s="456"/>
      <c r="D98" s="453" t="s">
        <v>997</v>
      </c>
      <c r="E98" s="376" t="s">
        <v>1327</v>
      </c>
      <c r="F98" s="151">
        <f>SUMIFS(Table1[مبلغ واریزی],Table1[ردیف],$B98,Table1[سال],F$2)</f>
        <v>40000000</v>
      </c>
      <c r="G98" s="151">
        <f>SUMIFS(Table1[مبلغ واریزی],Table1[ردیف],$B98,Table1[سال],G$2)</f>
        <v>0</v>
      </c>
      <c r="H98" s="151">
        <f>SUMIFS(Table1[مبلغ واریزی],Table1[ردیف],$B98,Table1[سال],H$2)</f>
        <v>0</v>
      </c>
      <c r="I98" s="151">
        <f>SUMIFS(Table1[توضیحات ‍‍‍‍],Table1[نام],$B98,Table1[شماره فیش],I$2)</f>
        <v>0</v>
      </c>
      <c r="J98" s="151">
        <f>SUMIF('لیست واریزی ماهیانه'!B:B,'لیست واریزی کل خیرین'!$B98,'لیست واریزی ماهیانه'!K:K)</f>
        <v>40000000</v>
      </c>
      <c r="L9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40000000</v>
      </c>
      <c r="X9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9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9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9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9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9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9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9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9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9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9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9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9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99" spans="2:59" ht="28.5" customHeight="1">
      <c r="B99" s="166">
        <v>96</v>
      </c>
      <c r="C99" s="456"/>
      <c r="D99" s="454" t="s">
        <v>1335</v>
      </c>
      <c r="E99" s="375" t="s">
        <v>1336</v>
      </c>
      <c r="F99" s="151">
        <f>SUMIFS(Table1[مبلغ واریزی],Table1[ردیف],$B99,Table1[سال],F$2)</f>
        <v>0</v>
      </c>
      <c r="G99" s="151">
        <f>SUMIFS(Table1[مبلغ واریزی],Table1[ردیف],$B99,Table1[سال],G$2)</f>
        <v>10000000</v>
      </c>
      <c r="H99" s="151">
        <f>SUMIFS(Table1[مبلغ واریزی],Table1[ردیف],$B99,Table1[سال],H$2)</f>
        <v>0</v>
      </c>
      <c r="I99" s="151">
        <f>SUMIFS(Table1[توضیحات ‍‍‍‍],Table1[نام],$B99,Table1[شماره فیش],I$2)</f>
        <v>0</v>
      </c>
      <c r="J99" s="151">
        <f>SUMIF('لیست واریزی ماهیانه'!B:B,'لیست واریزی کل خیرین'!$B99,'لیست واریزی ماهیانه'!K:K)</f>
        <v>10000000</v>
      </c>
      <c r="L9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9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9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9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9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9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9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9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9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9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9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9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9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9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9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9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9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9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9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9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9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9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9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9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9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9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9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9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0" spans="2:59" ht="28.5" customHeight="1">
      <c r="B100" s="166">
        <v>97</v>
      </c>
      <c r="C100" s="456"/>
      <c r="D100" s="454" t="s">
        <v>1379</v>
      </c>
      <c r="E100" s="375" t="s">
        <v>1380</v>
      </c>
      <c r="F100" s="151">
        <f>SUMIFS(Table1[مبلغ واریزی],Table1[ردیف],$B100,Table1[سال],F$2)</f>
        <v>0</v>
      </c>
      <c r="G100" s="151">
        <f>SUMIFS(Table1[مبلغ واریزی],Table1[ردیف],$B100,Table1[سال],G$2)</f>
        <v>50000000</v>
      </c>
      <c r="H100" s="151">
        <f>SUMIFS(Table1[مبلغ واریزی],Table1[ردیف],$B100,Table1[سال],H$2)</f>
        <v>70000000</v>
      </c>
      <c r="I100" s="151">
        <f>SUMIFS(Table1[توضیحات ‍‍‍‍],Table1[نام],$B100,Table1[شماره فیش],I$2)</f>
        <v>0</v>
      </c>
      <c r="J100" s="151">
        <f>SUMIF('لیست واریزی ماهیانه'!B:B,'لیست واریزی کل خیرین'!$B100,'لیست واریزی ماهیانه'!K:K)</f>
        <v>120000000</v>
      </c>
      <c r="L10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50000000</v>
      </c>
      <c r="Y10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0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0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70000000</v>
      </c>
      <c r="AK10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0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0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0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0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0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0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0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0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0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0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0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0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0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0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0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1" spans="2:59" ht="28.5" customHeight="1">
      <c r="B101" s="166">
        <v>98</v>
      </c>
      <c r="C101" s="456"/>
      <c r="D101" s="454" t="s">
        <v>1405</v>
      </c>
      <c r="E101" s="375" t="s">
        <v>1406</v>
      </c>
      <c r="F101" s="151">
        <f>SUMIFS(Table1[مبلغ واریزی],Table1[ردیف],$B101,Table1[سال],F$2)</f>
        <v>0</v>
      </c>
      <c r="G101" s="151">
        <f>SUMIFS(Table1[مبلغ واریزی],Table1[ردیف],$B101,Table1[سال],G$2)</f>
        <v>10000000</v>
      </c>
      <c r="H101" s="151">
        <f>SUMIFS(Table1[مبلغ واریزی],Table1[ردیف],$B101,Table1[سال],H$2)</f>
        <v>0</v>
      </c>
      <c r="I101" s="151">
        <f>SUMIFS(Table1[توضیحات ‍‍‍‍],Table1[نام],$B101,Table1[شماره فیش],I$2)</f>
        <v>0</v>
      </c>
      <c r="J101" s="151">
        <f>SUMIF('لیست واریزی ماهیانه'!B:B,'لیست واریزی کل خیرین'!$B101,'لیست واریزی ماهیانه'!K:K)</f>
        <v>10000000</v>
      </c>
      <c r="L10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10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0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0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0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0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0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0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0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0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0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0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0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0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0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0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0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0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0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0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2" spans="2:59" ht="28.5" customHeight="1">
      <c r="B102" s="166">
        <v>99</v>
      </c>
      <c r="C102" s="456"/>
      <c r="D102" s="454" t="s">
        <v>1335</v>
      </c>
      <c r="E102" s="375" t="s">
        <v>1412</v>
      </c>
      <c r="F102" s="151">
        <f>SUMIFS(Table1[مبلغ واریزی],Table1[ردیف],$B102,Table1[سال],F$2)</f>
        <v>0</v>
      </c>
      <c r="G102" s="151">
        <f>SUMIFS(Table1[مبلغ واریزی],Table1[ردیف],$B102,Table1[سال],G$2)</f>
        <v>11000000</v>
      </c>
      <c r="H102" s="151">
        <f>SUMIFS(Table1[مبلغ واریزی],Table1[ردیف],$B102,Table1[سال],H$2)</f>
        <v>0</v>
      </c>
      <c r="I102" s="151">
        <f>SUMIFS(Table1[توضیحات ‍‍‍‍],Table1[نام],$B102,Table1[شماره فیش],I$2)</f>
        <v>0</v>
      </c>
      <c r="J102" s="151">
        <f>SUMIF('لیست واریزی ماهیانه'!B:B,'لیست واریزی کل خیرین'!$B102,'لیست واریزی ماهیانه'!K:K)</f>
        <v>26000000</v>
      </c>
      <c r="L10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6000000</v>
      </c>
      <c r="Z10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10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0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0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0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0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0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0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0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0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0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0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0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0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0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0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0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0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15000000</v>
      </c>
      <c r="BC10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0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3" spans="2:59" ht="28.5" customHeight="1">
      <c r="B103" s="166">
        <v>100</v>
      </c>
      <c r="C103" s="456"/>
      <c r="D103" s="454" t="s">
        <v>1416</v>
      </c>
      <c r="E103" s="375" t="s">
        <v>1417</v>
      </c>
      <c r="F103" s="151">
        <f>SUMIFS(Table1[مبلغ واریزی],Table1[ردیف],$B103,Table1[سال],F$2)</f>
        <v>0</v>
      </c>
      <c r="G103" s="151">
        <f>SUMIFS(Table1[مبلغ واریزی],Table1[ردیف],$B103,Table1[سال],G$2)</f>
        <v>50000000</v>
      </c>
      <c r="H103" s="151">
        <f>SUMIFS(Table1[مبلغ واریزی],Table1[ردیف],$B103,Table1[سال],H$2)</f>
        <v>0</v>
      </c>
      <c r="I103" s="151">
        <f>SUMIFS(Table1[توضیحات ‍‍‍‍],Table1[نام],$B103,Table1[شماره فیش],I$2)</f>
        <v>0</v>
      </c>
      <c r="J103" s="151">
        <f>SUMIF('لیست واریزی ماهیانه'!B:B,'لیست واریزی کل خیرین'!$B103,'لیست واریزی ماهیانه'!K:K)</f>
        <v>50000000</v>
      </c>
      <c r="L10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50000000</v>
      </c>
      <c r="Z10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0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0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0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0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0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0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0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0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0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0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0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0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0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0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0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0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0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0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4" spans="2:59" ht="28.5" customHeight="1">
      <c r="B104" s="166">
        <v>101</v>
      </c>
      <c r="C104" s="456"/>
      <c r="D104" s="454" t="s">
        <v>1003</v>
      </c>
      <c r="E104" s="375" t="s">
        <v>1513</v>
      </c>
      <c r="F104" s="151">
        <f>SUMIFS(Table1[مبلغ واریزی],Table1[ردیف],$B104,Table1[سال],F$2)</f>
        <v>0</v>
      </c>
      <c r="G104" s="151">
        <f>SUMIFS(Table1[مبلغ واریزی],Table1[ردیف],$B104,Table1[سال],G$2)</f>
        <v>20000000</v>
      </c>
      <c r="H104" s="151">
        <f>SUMIFS(Table1[مبلغ واریزی],Table1[ردیف],$B104,Table1[سال],H$2)</f>
        <v>0</v>
      </c>
      <c r="I104" s="151">
        <f>SUMIFS(Table1[توضیحات ‍‍‍‍],Table1[نام],$B104,Table1[شماره فیش],I$2)</f>
        <v>0</v>
      </c>
      <c r="J104" s="151">
        <f>SUMIF('لیست واریزی ماهیانه'!B:B,'لیست واریزی کل خیرین'!$B104,'لیست واریزی ماهیانه'!K:K)</f>
        <v>20000000</v>
      </c>
      <c r="L10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20000000</v>
      </c>
      <c r="AB10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0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0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0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0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0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0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0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0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0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0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0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0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0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0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0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0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0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0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5" spans="2:59" ht="28.5" customHeight="1">
      <c r="B105" s="166">
        <v>102</v>
      </c>
      <c r="C105" s="456"/>
      <c r="D105" s="454" t="s">
        <v>748</v>
      </c>
      <c r="E105" s="375" t="s">
        <v>1535</v>
      </c>
      <c r="F105" s="151">
        <f>SUMIFS(Table1[مبلغ واریزی],Table1[ردیف],$B105,Table1[سال],F$2)</f>
        <v>0</v>
      </c>
      <c r="G105" s="151">
        <f>SUMIFS(Table1[مبلغ واریزی],Table1[ردیف],$B105,Table1[سال],G$2)</f>
        <v>6000000</v>
      </c>
      <c r="H105" s="151">
        <f>SUMIFS(Table1[مبلغ واریزی],Table1[ردیف],$B105,Table1[سال],H$2)</f>
        <v>0</v>
      </c>
      <c r="I105" s="151">
        <f>SUMIFS(Table1[توضیحات ‍‍‍‍],Table1[نام],$B105,Table1[شماره فیش],I$2)</f>
        <v>0</v>
      </c>
      <c r="J105" s="151">
        <f>SUMIF('لیست واریزی ماهیانه'!B:B,'لیست واریزی کل خیرین'!$B105,'لیست واریزی ماهیانه'!K:K)</f>
        <v>6000000</v>
      </c>
      <c r="L10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6000000</v>
      </c>
      <c r="AB10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0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0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0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0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0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0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0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0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0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0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0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0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0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0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0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0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0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0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6" spans="2:59" ht="28.5" customHeight="1">
      <c r="B106" s="166">
        <v>103</v>
      </c>
      <c r="C106" s="456"/>
      <c r="D106" s="454" t="s">
        <v>1541</v>
      </c>
      <c r="E106" s="375" t="s">
        <v>1542</v>
      </c>
      <c r="F106" s="151">
        <f>SUMIFS(Table1[مبلغ واریزی],Table1[ردیف],$B106,Table1[سال],F$2)</f>
        <v>0</v>
      </c>
      <c r="G106" s="151">
        <f>SUMIFS(Table1[مبلغ واریزی],Table1[ردیف],$B106,Table1[سال],G$2)</f>
        <v>16000000</v>
      </c>
      <c r="H106" s="151">
        <f>SUMIFS(Table1[مبلغ واریزی],Table1[ردیف],$B106,Table1[سال],H$2)</f>
        <v>0</v>
      </c>
      <c r="I106" s="151">
        <f>SUMIFS(Table1[توضیحات ‍‍‍‍],Table1[نام],$B106,Table1[شماره فیش],I$2)</f>
        <v>0</v>
      </c>
      <c r="J106" s="151">
        <f>SUMIF('لیست واریزی ماهیانه'!B:B,'لیست واریزی کل خیرین'!$B106,'لیست واریزی ماهیانه'!K:K)</f>
        <v>16000000</v>
      </c>
      <c r="L10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10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10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6000000</v>
      </c>
      <c r="AG10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0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0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0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0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0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0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0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0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0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0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0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0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0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0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0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0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0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0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7" spans="2:59" ht="28.5" customHeight="1">
      <c r="B107" s="166">
        <v>104</v>
      </c>
      <c r="C107" s="456"/>
      <c r="D107" s="454" t="s">
        <v>1582</v>
      </c>
      <c r="E107" s="375" t="s">
        <v>1583</v>
      </c>
      <c r="F107" s="151">
        <f>SUMIFS(Table1[مبلغ واریزی],Table1[ردیف],$B107,Table1[سال],F$2)</f>
        <v>0</v>
      </c>
      <c r="G107" s="151">
        <f>SUMIFS(Table1[مبلغ واریزی],Table1[ردیف],$B107,Table1[سال],G$2)</f>
        <v>20000000</v>
      </c>
      <c r="H107" s="151">
        <f>SUMIFS(Table1[مبلغ واریزی],Table1[ردیف],$B107,Table1[سال],H$2)</f>
        <v>0</v>
      </c>
      <c r="I107" s="151">
        <f>SUMIFS(Table1[توضیحات ‍‍‍‍],Table1[نام],$B107,Table1[شماره فیش],I$2)</f>
        <v>0</v>
      </c>
      <c r="J107" s="151">
        <f>SUMIF('لیست واریزی ماهیانه'!B:B,'لیست واریزی کل خیرین'!$B107,'لیست واریزی ماهیانه'!K:K)</f>
        <v>20000000</v>
      </c>
      <c r="L10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20000000</v>
      </c>
      <c r="AC10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0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0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0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0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0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0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0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0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0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0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0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0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0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0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0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0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0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0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8" spans="2:59" ht="28.5" customHeight="1">
      <c r="B108" s="166">
        <v>105</v>
      </c>
      <c r="C108" s="456"/>
      <c r="D108" s="454" t="s">
        <v>1586</v>
      </c>
      <c r="E108" s="375" t="s">
        <v>1587</v>
      </c>
      <c r="F108" s="151">
        <f>SUMIFS(Table1[مبلغ واریزی],Table1[ردیف],$B108,Table1[سال],F$2)</f>
        <v>0</v>
      </c>
      <c r="G108" s="151">
        <f>SUMIFS(Table1[مبلغ واریزی],Table1[ردیف],$B108,Table1[سال],G$2)</f>
        <v>1000000</v>
      </c>
      <c r="H108" s="151">
        <f>SUMIFS(Table1[مبلغ واریزی],Table1[ردیف],$B108,Table1[سال],H$2)</f>
        <v>0</v>
      </c>
      <c r="I108" s="151">
        <f>SUMIFS(Table1[توضیحات ‍‍‍‍],Table1[نام],$B108,Table1[شماره فیش],I$2)</f>
        <v>0</v>
      </c>
      <c r="J108" s="151">
        <f>SUMIF('لیست واریزی ماهیانه'!B:B,'لیست واریزی کل خیرین'!$B108,'لیست واریزی ماهیانه'!K:K)</f>
        <v>1000000</v>
      </c>
      <c r="L10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</v>
      </c>
      <c r="AC10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0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0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0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0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0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0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0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0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0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0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0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0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0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0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0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0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0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0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09" spans="2:59" ht="28.5" customHeight="1">
      <c r="B109" s="166">
        <v>106</v>
      </c>
      <c r="C109" s="456"/>
      <c r="D109" s="454" t="s">
        <v>1590</v>
      </c>
      <c r="E109" s="375" t="s">
        <v>1591</v>
      </c>
      <c r="F109" s="151">
        <f>SUMIFS(Table1[مبلغ واریزی],Table1[ردیف],$B109,Table1[سال],F$2)</f>
        <v>0</v>
      </c>
      <c r="G109" s="151">
        <f>SUMIFS(Table1[مبلغ واریزی],Table1[ردیف],$B109,Table1[سال],G$2)</f>
        <v>10000000</v>
      </c>
      <c r="H109" s="151">
        <f>SUMIFS(Table1[مبلغ واریزی],Table1[ردیف],$B109,Table1[سال],H$2)</f>
        <v>20000000</v>
      </c>
      <c r="I109" s="151">
        <f>SUMIFS(Table1[توضیحات ‍‍‍‍],Table1[نام],$B109,Table1[شماره فیش],I$2)</f>
        <v>0</v>
      </c>
      <c r="J109" s="151">
        <f>SUMIF('لیست واریزی ماهیانه'!B:B,'لیست واریزی کل خیرین'!$B109,'لیست واریزی ماهیانه'!K:K)</f>
        <v>30000000</v>
      </c>
      <c r="L10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10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0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0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0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0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0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20000000</v>
      </c>
      <c r="AM10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0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0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0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0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0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0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0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0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0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0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0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0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0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0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0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0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0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0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0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0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0" spans="2:59" ht="28.5" customHeight="1">
      <c r="B110" s="166">
        <v>107</v>
      </c>
      <c r="C110" s="456"/>
      <c r="D110" s="454" t="s">
        <v>1605</v>
      </c>
      <c r="E110" s="375" t="s">
        <v>1606</v>
      </c>
      <c r="F110" s="151">
        <f>SUMIFS(Table1[مبلغ واریزی],Table1[ردیف],$B110,Table1[سال],F$2)</f>
        <v>0</v>
      </c>
      <c r="G110" s="151">
        <f>SUMIFS(Table1[مبلغ واریزی],Table1[ردیف],$B110,Table1[سال],G$2)</f>
        <v>41000000</v>
      </c>
      <c r="H110" s="151">
        <f>SUMIFS(Table1[مبلغ واریزی],Table1[ردیف],$B110,Table1[سال],H$2)</f>
        <v>0</v>
      </c>
      <c r="I110" s="151">
        <f>SUMIFS(Table1[توضیحات ‍‍‍‍],Table1[نام],$B110,Table1[شماره فیش],I$2)</f>
        <v>0</v>
      </c>
      <c r="J110" s="151">
        <f>SUMIF('لیست واریزی ماهیانه'!B:B,'لیست واریزی کل خیرین'!$B110,'لیست واریزی ماهیانه'!K:K)</f>
        <v>41500000</v>
      </c>
      <c r="L11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1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</v>
      </c>
      <c r="AD11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1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1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40000000</v>
      </c>
      <c r="AJ11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1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1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1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1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1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1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1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1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1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1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500000</v>
      </c>
      <c r="BC11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1" spans="2:59" ht="28.5" customHeight="1">
      <c r="B111" s="166">
        <v>108</v>
      </c>
      <c r="C111" s="456"/>
      <c r="D111" s="454" t="s">
        <v>1620</v>
      </c>
      <c r="E111" s="375" t="s">
        <v>1621</v>
      </c>
      <c r="F111" s="151">
        <f>SUMIFS(Table1[مبلغ واریزی],Table1[ردیف],$B111,Table1[سال],F$2)</f>
        <v>0</v>
      </c>
      <c r="G111" s="151">
        <f>SUMIFS(Table1[مبلغ واریزی],Table1[ردیف],$B111,Table1[سال],G$2)</f>
        <v>200000000</v>
      </c>
      <c r="H111" s="151">
        <f>SUMIFS(Table1[مبلغ واریزی],Table1[ردیف],$B111,Table1[سال],H$2)</f>
        <v>30000000</v>
      </c>
      <c r="I111" s="151">
        <f>SUMIFS(Table1[توضیحات ‍‍‍‍],Table1[نام],$B111,Table1[شماره فیش],I$2)</f>
        <v>0</v>
      </c>
      <c r="J111" s="151">
        <f>SUMIF('لیست واریزی ماهیانه'!B:B,'لیست واریزی کل خیرین'!$B111,'لیست واریزی ماهیانه'!K:K)</f>
        <v>230000000</v>
      </c>
      <c r="L11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1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200000000</v>
      </c>
      <c r="AD11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1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1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1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1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1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30000000</v>
      </c>
      <c r="AO11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1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1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1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1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1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1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1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1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2" spans="2:59" ht="28.5" customHeight="1">
      <c r="B112" s="166">
        <v>109</v>
      </c>
      <c r="C112" s="456"/>
      <c r="D112" s="454" t="s">
        <v>1624</v>
      </c>
      <c r="E112" s="375" t="s">
        <v>1623</v>
      </c>
      <c r="F112" s="151">
        <f>SUMIFS(Table1[مبلغ واریزی],Table1[ردیف],$B112,Table1[سال],F$2)</f>
        <v>0</v>
      </c>
      <c r="G112" s="151">
        <f>SUMIFS(Table1[مبلغ واریزی],Table1[ردیف],$B112,Table1[سال],G$2)</f>
        <v>5000000</v>
      </c>
      <c r="H112" s="151">
        <f>SUMIFS(Table1[مبلغ واریزی],Table1[ردیف],$B112,Table1[سال],H$2)</f>
        <v>0</v>
      </c>
      <c r="I112" s="151">
        <f>SUMIFS(Table1[توضیحات ‍‍‍‍],Table1[نام],$B112,Table1[شماره فیش],I$2)</f>
        <v>0</v>
      </c>
      <c r="J112" s="151">
        <f>SUMIF('لیست واریزی ماهیانه'!B:B,'لیست واریزی کل خیرین'!$B112,'لیست واریزی ماهیانه'!K:K)</f>
        <v>5000000</v>
      </c>
      <c r="L11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1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11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1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1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1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1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1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1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1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1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1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1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1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1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1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1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3" spans="2:59" ht="28.5" customHeight="1">
      <c r="B113" s="166">
        <v>110</v>
      </c>
      <c r="C113" s="456"/>
      <c r="D113" s="454" t="s">
        <v>1628</v>
      </c>
      <c r="E113" s="375" t="s">
        <v>1629</v>
      </c>
      <c r="F113" s="151">
        <f>SUMIFS(Table1[مبلغ واریزی],Table1[ردیف],$B113,Table1[سال],F$2)</f>
        <v>0</v>
      </c>
      <c r="G113" s="151">
        <f>SUMIFS(Table1[مبلغ واریزی],Table1[ردیف],$B113,Table1[سال],G$2)</f>
        <v>1000000</v>
      </c>
      <c r="H113" s="151">
        <f>SUMIFS(Table1[مبلغ واریزی],Table1[ردیف],$B113,Table1[سال],H$2)</f>
        <v>0</v>
      </c>
      <c r="I113" s="151">
        <f>SUMIFS(Table1[توضیحات ‍‍‍‍],Table1[نام],$B113,Table1[شماره فیش],I$2)</f>
        <v>0</v>
      </c>
      <c r="J113" s="151">
        <f>SUMIF('لیست واریزی ماهیانه'!B:B,'لیست واریزی کل خیرین'!$B113,'لیست واریزی ماهیانه'!K:K)</f>
        <v>1000000</v>
      </c>
      <c r="L11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1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</v>
      </c>
      <c r="AD11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1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1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1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1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1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1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1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1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1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1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1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1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1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1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4" spans="2:59" ht="28.5" customHeight="1">
      <c r="B114" s="166">
        <v>111</v>
      </c>
      <c r="C114" s="456"/>
      <c r="D114" s="454" t="s">
        <v>1635</v>
      </c>
      <c r="E114" s="375" t="s">
        <v>1636</v>
      </c>
      <c r="F114" s="151">
        <f>SUMIFS(Table1[مبلغ واریزی],Table1[ردیف],$B114,Table1[سال],F$2)</f>
        <v>0</v>
      </c>
      <c r="G114" s="151">
        <f>SUMIFS(Table1[مبلغ واریزی],Table1[ردیف],$B114,Table1[سال],G$2)</f>
        <v>10000000</v>
      </c>
      <c r="H114" s="151">
        <f>SUMIFS(Table1[مبلغ واریزی],Table1[ردیف],$B114,Table1[سال],H$2)</f>
        <v>70000000</v>
      </c>
      <c r="I114" s="151">
        <f>SUMIFS(Table1[توضیحات ‍‍‍‍],Table1[نام],$B114,Table1[شماره فیش],I$2)</f>
        <v>0</v>
      </c>
      <c r="J114" s="151">
        <f>SUMIF('لیست واریزی ماهیانه'!B:B,'لیست واریزی کل خیرین'!$B114,'لیست واریزی ماهیانه'!K:K)</f>
        <v>80000000</v>
      </c>
      <c r="L11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1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11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1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1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1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1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1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1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30000000</v>
      </c>
      <c r="AQ11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10000000</v>
      </c>
      <c r="AR11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1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1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30000000</v>
      </c>
      <c r="AV11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1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1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1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5" spans="2:59" ht="28.5" customHeight="1">
      <c r="B115" s="166">
        <v>112</v>
      </c>
      <c r="C115" s="456"/>
      <c r="D115" s="454" t="s">
        <v>1639</v>
      </c>
      <c r="E115" s="375" t="s">
        <v>1640</v>
      </c>
      <c r="F115" s="151">
        <f>SUMIFS(Table1[مبلغ واریزی],Table1[ردیف],$B115,Table1[سال],F$2)</f>
        <v>0</v>
      </c>
      <c r="G115" s="151">
        <f>SUMIFS(Table1[مبلغ واریزی],Table1[ردیف],$B115,Table1[سال],G$2)</f>
        <v>3000000</v>
      </c>
      <c r="H115" s="151">
        <f>SUMIFS(Table1[مبلغ واریزی],Table1[ردیف],$B115,Table1[سال],H$2)</f>
        <v>0</v>
      </c>
      <c r="I115" s="151">
        <f>SUMIFS(Table1[توضیحات ‍‍‍‍],Table1[نام],$B115,Table1[شماره فیش],I$2)</f>
        <v>0</v>
      </c>
      <c r="J115" s="151">
        <f>SUMIF('لیست واریزی ماهیانه'!B:B,'لیست واریزی کل خیرین'!$B115,'لیست واریزی ماهیانه'!K:K)</f>
        <v>3000000</v>
      </c>
      <c r="L11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1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3000000</v>
      </c>
      <c r="AD11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1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1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1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1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1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1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1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1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1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1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1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1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1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1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6" spans="2:59" ht="28.5" customHeight="1">
      <c r="B116" s="166">
        <v>113</v>
      </c>
      <c r="C116" s="456"/>
      <c r="D116" s="454" t="s">
        <v>207</v>
      </c>
      <c r="E116" s="375" t="s">
        <v>1642</v>
      </c>
      <c r="F116" s="151">
        <f>SUMIFS(Table1[مبلغ واریزی],Table1[ردیف],$B116,Table1[سال],F$2)</f>
        <v>0</v>
      </c>
      <c r="G116" s="151">
        <f>SUMIFS(Table1[مبلغ واریزی],Table1[ردیف],$B116,Table1[سال],G$2)</f>
        <v>10000000</v>
      </c>
      <c r="H116" s="151">
        <f>SUMIFS(Table1[مبلغ واریزی],Table1[ردیف],$B116,Table1[سال],H$2)</f>
        <v>0</v>
      </c>
      <c r="I116" s="151">
        <f>SUMIFS(Table1[توضیحات ‍‍‍‍],Table1[نام],$B116,Table1[شماره فیش],I$2)</f>
        <v>0</v>
      </c>
      <c r="J116" s="151">
        <f>SUMIF('لیست واریزی ماهیانه'!B:B,'لیست واریزی کل خیرین'!$B116,'لیست واریزی ماهیانه'!K:K)</f>
        <v>10000000</v>
      </c>
      <c r="L11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1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11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1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1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1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1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1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1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1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1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1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1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1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1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1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1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7" spans="2:59" ht="28.5" customHeight="1">
      <c r="B117" s="166">
        <v>114</v>
      </c>
      <c r="C117" s="456"/>
      <c r="D117" s="455" t="s">
        <v>1644</v>
      </c>
      <c r="E117" s="358" t="s">
        <v>1645</v>
      </c>
      <c r="F117" s="151">
        <f>SUMIFS(Table1[مبلغ واریزی],Table1[ردیف],$B117,Table1[سال],F$2)</f>
        <v>0</v>
      </c>
      <c r="G117" s="151">
        <f>SUMIFS(Table1[مبلغ واریزی],Table1[ردیف],$B117,Table1[سال],G$2)</f>
        <v>5000000</v>
      </c>
      <c r="H117" s="151">
        <f>SUMIFS(Table1[مبلغ واریزی],Table1[ردیف],$B117,Table1[سال],H$2)</f>
        <v>0</v>
      </c>
      <c r="I117" s="151">
        <f>SUMIFS(Table1[توضیحات ‍‍‍‍],Table1[نام],$B117,Table1[شماره فیش],I$2)</f>
        <v>0</v>
      </c>
      <c r="J117" s="151">
        <f>SUMIF('لیست واریزی ماهیانه'!B:B,'لیست واریزی کل خیرین'!$B117,'لیست واریزی ماهیانه'!K:K)</f>
        <v>5000000</v>
      </c>
      <c r="L11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1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11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1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1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1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1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1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1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1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1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1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1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1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1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1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1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8" spans="2:59" ht="28.5" customHeight="1">
      <c r="B118" s="166">
        <v>115</v>
      </c>
      <c r="C118" s="456"/>
      <c r="D118" s="454" t="s">
        <v>1647</v>
      </c>
      <c r="E118" s="375" t="s">
        <v>1648</v>
      </c>
      <c r="F118" s="151">
        <f>SUMIFS(Table1[مبلغ واریزی],Table1[ردیف],$B118,Table1[سال],F$2)</f>
        <v>0</v>
      </c>
      <c r="G118" s="151">
        <f>SUMIFS(Table1[مبلغ واریزی],Table1[ردیف],$B118,Table1[سال],G$2)</f>
        <v>500000</v>
      </c>
      <c r="H118" s="151">
        <f>SUMIFS(Table1[مبلغ واریزی],Table1[ردیف],$B118,Table1[سال],H$2)</f>
        <v>0</v>
      </c>
      <c r="I118" s="151">
        <f>SUMIFS(Table1[توضیحات ‍‍‍‍],Table1[نام],$B118,Table1[شماره فیش],I$2)</f>
        <v>0</v>
      </c>
      <c r="J118" s="151">
        <f>SUMIF('لیست واریزی ماهیانه'!B:B,'لیست واریزی کل خیرین'!$B118,'لیست واریزی ماهیانه'!K:K)</f>
        <v>500000</v>
      </c>
      <c r="L11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1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</v>
      </c>
      <c r="AD11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1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1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1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1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1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1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1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1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1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1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1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1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1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1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19" spans="2:59" ht="28.5" customHeight="1">
      <c r="B119" s="166">
        <v>116</v>
      </c>
      <c r="C119" s="456"/>
      <c r="D119" s="454" t="s">
        <v>997</v>
      </c>
      <c r="E119" s="375" t="s">
        <v>1650</v>
      </c>
      <c r="F119" s="151">
        <f>SUMIFS(Table1[مبلغ واریزی],Table1[ردیف],$B119,Table1[سال],F$2)</f>
        <v>0</v>
      </c>
      <c r="G119" s="151">
        <f>SUMIFS(Table1[مبلغ واریزی],Table1[ردیف],$B119,Table1[سال],G$2)</f>
        <v>10000000</v>
      </c>
      <c r="H119" s="151">
        <f>SUMIFS(Table1[مبلغ واریزی],Table1[ردیف],$B119,Table1[سال],H$2)</f>
        <v>0</v>
      </c>
      <c r="I119" s="151">
        <f>SUMIFS(Table1[توضیحات ‍‍‍‍],Table1[نام],$B119,Table1[شماره فیش],I$2)</f>
        <v>0</v>
      </c>
      <c r="J119" s="151">
        <f>SUMIF('لیست واریزی ماهیانه'!B:B,'لیست واریزی کل خیرین'!$B119,'لیست واریزی ماهیانه'!K:K)</f>
        <v>10000000</v>
      </c>
      <c r="L11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1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11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1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1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1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1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1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1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1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1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1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1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1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1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1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1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1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1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1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1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1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1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1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1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1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1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1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1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0" spans="2:59" ht="28.5" customHeight="1">
      <c r="B120" s="166">
        <v>117</v>
      </c>
      <c r="C120" s="456"/>
      <c r="D120" s="454" t="s">
        <v>1653</v>
      </c>
      <c r="E120" s="375" t="s">
        <v>1652</v>
      </c>
      <c r="F120" s="151">
        <f>SUMIFS(Table1[مبلغ واریزی],Table1[ردیف],$B120,Table1[سال],F$2)</f>
        <v>0</v>
      </c>
      <c r="G120" s="151">
        <f>SUMIFS(Table1[مبلغ واریزی],Table1[ردیف],$B120,Table1[سال],G$2)</f>
        <v>500000</v>
      </c>
      <c r="H120" s="151">
        <f>SUMIFS(Table1[مبلغ واریزی],Table1[ردیف],$B120,Table1[سال],H$2)</f>
        <v>0</v>
      </c>
      <c r="I120" s="151">
        <f>SUMIFS(Table1[توضیحات ‍‍‍‍],Table1[نام],$B120,Table1[شماره فیش],I$2)</f>
        <v>0</v>
      </c>
      <c r="J120" s="151">
        <f>SUMIF('لیست واریزی ماهیانه'!B:B,'لیست واریزی کل خیرین'!$B120,'لیست واریزی ماهیانه'!K:K)</f>
        <v>500000</v>
      </c>
      <c r="L12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</v>
      </c>
      <c r="AD12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2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2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2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2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2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2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2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2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2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2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2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2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2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2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2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2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2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2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2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2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2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2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2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2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1" spans="2:59" ht="28.5" customHeight="1">
      <c r="B121" s="166">
        <v>118</v>
      </c>
      <c r="C121" s="456"/>
      <c r="D121" s="454" t="s">
        <v>1655</v>
      </c>
      <c r="E121" s="375" t="s">
        <v>1656</v>
      </c>
      <c r="F121" s="151">
        <f>SUMIFS(Table1[مبلغ واریزی],Table1[ردیف],$B121,Table1[سال],F$2)</f>
        <v>0</v>
      </c>
      <c r="G121" s="151">
        <f>SUMIFS(Table1[مبلغ واریزی],Table1[ردیف],$B121,Table1[سال],G$2)</f>
        <v>500000</v>
      </c>
      <c r="H121" s="151">
        <f>SUMIFS(Table1[مبلغ واریزی],Table1[ردیف],$B121,Table1[سال],H$2)</f>
        <v>0</v>
      </c>
      <c r="I121" s="151">
        <f>SUMIFS(Table1[توضیحات ‍‍‍‍],Table1[نام],$B121,Table1[شماره فیش],I$2)</f>
        <v>0</v>
      </c>
      <c r="J121" s="151">
        <f>SUMIF('لیست واریزی ماهیانه'!B:B,'لیست واریزی کل خیرین'!$B121,'لیست واریزی ماهیانه'!K:K)</f>
        <v>500000</v>
      </c>
      <c r="L12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</v>
      </c>
      <c r="AD12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2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2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2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2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2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2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2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2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2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2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2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2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2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2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2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2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2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2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2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2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2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2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2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2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2" spans="2:59" ht="28.5" customHeight="1">
      <c r="B122" s="166">
        <v>119</v>
      </c>
      <c r="C122" s="456"/>
      <c r="D122" s="454" t="s">
        <v>1416</v>
      </c>
      <c r="E122" s="375" t="s">
        <v>1659</v>
      </c>
      <c r="F122" s="151">
        <f>SUMIFS(Table1[مبلغ واریزی],Table1[ردیف],$B122,Table1[سال],F$2)</f>
        <v>0</v>
      </c>
      <c r="G122" s="151">
        <f>SUMIFS(Table1[مبلغ واریزی],Table1[ردیف],$B122,Table1[سال],G$2)</f>
        <v>500000</v>
      </c>
      <c r="H122" s="151">
        <f>SUMIFS(Table1[مبلغ واریزی],Table1[ردیف],$B122,Table1[سال],H$2)</f>
        <v>0</v>
      </c>
      <c r="I122" s="151">
        <f>SUMIFS(Table1[توضیحات ‍‍‍‍],Table1[نام],$B122,Table1[شماره فیش],I$2)</f>
        <v>0</v>
      </c>
      <c r="J122" s="151">
        <f>SUMIF('لیست واریزی ماهیانه'!B:B,'لیست واریزی کل خیرین'!$B122,'لیست واریزی ماهیانه'!K:K)</f>
        <v>1500000</v>
      </c>
      <c r="L12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</v>
      </c>
      <c r="AD12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2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2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2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2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2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2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2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2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2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2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2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2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2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2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2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2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2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2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2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2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1000000</v>
      </c>
      <c r="BB12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2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2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2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3" spans="2:59" ht="28.5" customHeight="1">
      <c r="B123" s="166">
        <v>120</v>
      </c>
      <c r="C123" s="456"/>
      <c r="D123" s="454" t="s">
        <v>1667</v>
      </c>
      <c r="E123" s="375" t="s">
        <v>1668</v>
      </c>
      <c r="F123" s="151">
        <f>SUMIFS(Table1[مبلغ واریزی],Table1[ردیف],$B123,Table1[سال],F$2)</f>
        <v>0</v>
      </c>
      <c r="G123" s="151">
        <f>SUMIFS(Table1[مبلغ واریزی],Table1[ردیف],$B123,Table1[سال],G$2)</f>
        <v>2000000</v>
      </c>
      <c r="H123" s="151">
        <f>SUMIFS(Table1[مبلغ واریزی],Table1[ردیف],$B123,Table1[سال],H$2)</f>
        <v>0</v>
      </c>
      <c r="I123" s="151">
        <f>SUMIFS(Table1[توضیحات ‍‍‍‍],Table1[نام],$B123,Table1[شماره فیش],I$2)</f>
        <v>0</v>
      </c>
      <c r="J123" s="151">
        <f>SUMIF('لیست واریزی ماهیانه'!B:B,'لیست واریزی کل خیرین'!$B123,'لیست واریزی ماهیانه'!K:K)</f>
        <v>2000000</v>
      </c>
      <c r="L12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</v>
      </c>
      <c r="AE12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2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2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2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2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2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2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2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2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2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2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2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2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2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2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2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2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2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2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2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2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2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2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2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2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4" spans="2:59" ht="28.5" customHeight="1">
      <c r="B124" s="166">
        <v>121</v>
      </c>
      <c r="C124" s="456"/>
      <c r="D124" s="455" t="s">
        <v>1671</v>
      </c>
      <c r="E124" s="358" t="s">
        <v>1672</v>
      </c>
      <c r="F124" s="151">
        <f>SUMIFS(Table1[مبلغ واریزی],Table1[ردیف],$B124,Table1[سال],F$2)</f>
        <v>0</v>
      </c>
      <c r="G124" s="151">
        <f>SUMIFS(Table1[مبلغ واریزی],Table1[ردیف],$B124,Table1[سال],G$2)</f>
        <v>6000000</v>
      </c>
      <c r="H124" s="151">
        <f>SUMIFS(Table1[مبلغ واریزی],Table1[ردیف],$B124,Table1[سال],H$2)</f>
        <v>27000000</v>
      </c>
      <c r="I124" s="151">
        <f>SUMIFS(Table1[توضیحات ‍‍‍‍],Table1[نام],$B124,Table1[شماره فیش],I$2)</f>
        <v>0</v>
      </c>
      <c r="J124" s="151">
        <f>SUMIF('لیست واریزی ماهیانه'!B:B,'لیست واریزی کل خیرین'!$B124,'لیست واریزی ماهیانه'!K:K)</f>
        <v>60000000</v>
      </c>
      <c r="L12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</v>
      </c>
      <c r="AE12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2000000</v>
      </c>
      <c r="AF12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1000000</v>
      </c>
      <c r="AG12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</v>
      </c>
      <c r="AH12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2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2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2000000</v>
      </c>
      <c r="AK12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10000000</v>
      </c>
      <c r="AL12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2000000</v>
      </c>
      <c r="AM12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2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2000000</v>
      </c>
      <c r="AO12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2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2000000</v>
      </c>
      <c r="AQ12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3000000</v>
      </c>
      <c r="AR12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2000000</v>
      </c>
      <c r="AS12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2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2000000</v>
      </c>
      <c r="AU12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2000000</v>
      </c>
      <c r="AV12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10000000</v>
      </c>
      <c r="AW12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2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2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2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10000000</v>
      </c>
      <c r="BA12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2000000</v>
      </c>
      <c r="BB12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2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5000000</v>
      </c>
      <c r="BD12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2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5" spans="2:59" ht="28.5" customHeight="1">
      <c r="B125" s="166">
        <v>122</v>
      </c>
      <c r="C125" s="456"/>
      <c r="D125" s="375" t="s">
        <v>671</v>
      </c>
      <c r="E125" s="375" t="s">
        <v>1735</v>
      </c>
      <c r="F125" s="151">
        <f>SUMIFS(Table1[مبلغ واریزی],Table1[ردیف],$B125,Table1[سال],F$2)</f>
        <v>0</v>
      </c>
      <c r="G125" s="151">
        <f>SUMIFS(Table1[مبلغ واریزی],Table1[ردیف],$B125,Table1[سال],G$2)</f>
        <v>92500000</v>
      </c>
      <c r="H125" s="151">
        <f>SUMIFS(Table1[مبلغ واریزی],Table1[ردیف],$B125,Table1[سال],H$2)</f>
        <v>18191401</v>
      </c>
      <c r="I125" s="151">
        <f>SUMIFS(Table1[توضیحات ‍‍‍‍],Table1[نام],$B125,Table1[شماره فیش],I$2)</f>
        <v>0</v>
      </c>
      <c r="J125" s="151">
        <f>SUMIF('لیست واریزی ماهیانه'!B:B,'لیست واریزی کل خیرین'!$B125,'لیست واریزی ماهیانه'!K:K)</f>
        <v>110691401</v>
      </c>
      <c r="L12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92500000</v>
      </c>
      <c r="AD12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2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2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2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18191401</v>
      </c>
      <c r="AK12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2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2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2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2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2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2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2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2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2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2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2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2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2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2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2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2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2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2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2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2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6" spans="2:59" ht="28.5" customHeight="1">
      <c r="B126" s="166">
        <v>123</v>
      </c>
      <c r="C126" s="456"/>
      <c r="D126" s="375" t="s">
        <v>1762</v>
      </c>
      <c r="E126" s="375" t="s">
        <v>1763</v>
      </c>
      <c r="F126" s="151">
        <f>SUMIFS(Table1[مبلغ واریزی],Table1[ردیف],$B126,Table1[سال],F$2)</f>
        <v>0</v>
      </c>
      <c r="G126" s="151">
        <f>SUMIFS(Table1[مبلغ واریزی],Table1[ردیف],$B126,Table1[سال],G$2)</f>
        <v>80000000</v>
      </c>
      <c r="H126" s="151">
        <f>SUMIFS(Table1[مبلغ واریزی],Table1[ردیف],$B126,Table1[سال],H$2)</f>
        <v>40000000</v>
      </c>
      <c r="I126" s="151">
        <f>SUMIFS(Table1[توضیحات ‍‍‍‍],Table1[نام],$B126,Table1[شماره فیش],I$2)</f>
        <v>0</v>
      </c>
      <c r="J126" s="151">
        <f>SUMIF('لیست واریزی ماهیانه'!B:B,'لیست واریزی کل خیرین'!$B126,'لیست واریزی ماهیانه'!K:K)</f>
        <v>336000000</v>
      </c>
      <c r="L12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20000000</v>
      </c>
      <c r="AF12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20000000</v>
      </c>
      <c r="AH12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20000000</v>
      </c>
      <c r="AI12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20000000</v>
      </c>
      <c r="AJ12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2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20000000</v>
      </c>
      <c r="AL12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2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2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20000000</v>
      </c>
      <c r="AO12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2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2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2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2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2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2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2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2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216000000</v>
      </c>
      <c r="AX12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2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2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2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2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2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2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2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7" spans="2:59" ht="28.5" customHeight="1">
      <c r="B127" s="166">
        <v>124</v>
      </c>
      <c r="C127" s="456"/>
      <c r="D127" s="375" t="s">
        <v>1768</v>
      </c>
      <c r="E127" s="375" t="s">
        <v>1769</v>
      </c>
      <c r="F127" s="151">
        <f>SUMIFS(Table1[مبلغ واریزی],Table1[ردیف],$B127,Table1[سال],F$2)</f>
        <v>0</v>
      </c>
      <c r="G127" s="151">
        <f>SUMIFS(Table1[مبلغ واریزی],Table1[ردیف],$B127,Table1[سال],G$2)</f>
        <v>150000000</v>
      </c>
      <c r="H127" s="151">
        <f>SUMIFS(Table1[مبلغ واریزی],Table1[ردیف],$B127,Table1[سال],H$2)</f>
        <v>0</v>
      </c>
      <c r="I127" s="151">
        <f>SUMIFS(Table1[توضیحات ‍‍‍‍],Table1[نام],$B127,Table1[شماره فیش],I$2)</f>
        <v>0</v>
      </c>
      <c r="J127" s="151">
        <f>SUMIF('لیست واریزی ماهیانه'!B:B,'لیست واریزی کل خیرین'!$B127,'لیست واریزی ماهیانه'!K:K)</f>
        <v>150000000</v>
      </c>
      <c r="L12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50000000</v>
      </c>
      <c r="AG12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2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2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100000000</v>
      </c>
      <c r="AJ12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2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2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2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2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2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2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2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2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2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2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2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2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2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2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2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2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2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2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2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2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2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8" spans="2:59" ht="28.5" customHeight="1">
      <c r="B128" s="166">
        <v>125</v>
      </c>
      <c r="C128" s="456"/>
      <c r="D128" s="375" t="s">
        <v>1819</v>
      </c>
      <c r="E128" s="375" t="s">
        <v>1820</v>
      </c>
      <c r="F128" s="151">
        <f>SUMIFS(Table1[مبلغ واریزی],Table1[ردیف],$B128,Table1[سال],F$2)</f>
        <v>0</v>
      </c>
      <c r="G128" s="151">
        <f>SUMIFS(Table1[مبلغ واریزی],Table1[ردیف],$B128,Table1[سال],G$2)</f>
        <v>5000000</v>
      </c>
      <c r="H128" s="151">
        <f>SUMIFS(Table1[مبلغ واریزی],Table1[ردیف],$B128,Table1[سال],H$2)</f>
        <v>0</v>
      </c>
      <c r="I128" s="151">
        <f>SUMIFS(Table1[توضیحات ‍‍‍‍],Table1[نام],$B128,Table1[شماره فیش],I$2)</f>
        <v>0</v>
      </c>
      <c r="J128" s="151">
        <f>SUMIF('لیست واریزی ماهیانه'!B:B,'لیست واریزی کل خیرین'!$B128,'لیست واریزی ماهیانه'!K:K)</f>
        <v>25000000</v>
      </c>
      <c r="L12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  <c r="AH12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2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2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2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2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2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2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2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2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2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2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2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2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2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2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20000000</v>
      </c>
      <c r="AW12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2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2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2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2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2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2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2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2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29" spans="2:59" ht="28.5" customHeight="1">
      <c r="B129" s="166">
        <v>126</v>
      </c>
      <c r="C129" s="456"/>
      <c r="D129" s="375" t="s">
        <v>1868</v>
      </c>
      <c r="E129" s="375" t="s">
        <v>1869</v>
      </c>
      <c r="F129" s="151">
        <f>SUMIFS(Table1[مبلغ واریزی],Table1[ردیف],$B129,Table1[سال],F$2)</f>
        <v>0</v>
      </c>
      <c r="G129" s="151">
        <f>SUMIFS(Table1[مبلغ واریزی],Table1[ردیف],$B129,Table1[سال],G$2)</f>
        <v>200000000</v>
      </c>
      <c r="H129" s="151">
        <f>SUMIFS(Table1[مبلغ واریزی],Table1[ردیف],$B129,Table1[سال],H$2)</f>
        <v>400000000</v>
      </c>
      <c r="I129" s="151">
        <f>SUMIFS(Table1[توضیحات ‍‍‍‍],Table1[نام],$B129,Table1[شماره فیش],I$2)</f>
        <v>0</v>
      </c>
      <c r="J129" s="151">
        <f>SUMIF('لیست واریزی ماهیانه'!B:B,'لیست واریزی کل خیرین'!$B129,'لیست واریزی ماهیانه'!K:K)</f>
        <v>600000000</v>
      </c>
      <c r="L12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2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200000000</v>
      </c>
      <c r="AI12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2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200000000</v>
      </c>
      <c r="AK12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2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200000000</v>
      </c>
      <c r="AM12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2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2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2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2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2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2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2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2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2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2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2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2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2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2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2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2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2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2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2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2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0" spans="2:59" ht="28.5" customHeight="1">
      <c r="B130" s="166">
        <v>127</v>
      </c>
      <c r="C130" s="456"/>
      <c r="D130" s="375" t="s">
        <v>1876</v>
      </c>
      <c r="E130" s="375" t="s">
        <v>1877</v>
      </c>
      <c r="F130" s="151">
        <f>SUMIFS(Table1[مبلغ واریزی],Table1[ردیف],$B130,Table1[سال],F$2)</f>
        <v>0</v>
      </c>
      <c r="G130" s="151">
        <f>SUMIFS(Table1[مبلغ واریزی],Table1[ردیف],$B130,Table1[سال],G$2)</f>
        <v>100000000</v>
      </c>
      <c r="H130" s="151">
        <f>SUMIFS(Table1[مبلغ واریزی],Table1[ردیف],$B130,Table1[سال],H$2)</f>
        <v>0</v>
      </c>
      <c r="I130" s="151">
        <f>SUMIFS(Table1[توضیحات ‍‍‍‍],Table1[نام],$B130,Table1[شماره فیش],I$2)</f>
        <v>0</v>
      </c>
      <c r="J130" s="151">
        <f>SUMIF('لیست واریزی ماهیانه'!B:B,'لیست واریزی کل خیرین'!$B130,'لیست واریزی ماهیانه'!K:K)</f>
        <v>100000000</v>
      </c>
      <c r="L13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3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3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100000000</v>
      </c>
      <c r="AJ13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3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3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3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3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3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3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3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3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3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3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3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3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3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3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3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3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3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1" spans="2:59" ht="28.5" customHeight="1">
      <c r="B131" s="166">
        <v>128</v>
      </c>
      <c r="C131" s="456"/>
      <c r="D131" s="375" t="s">
        <v>1513</v>
      </c>
      <c r="E131" s="375" t="s">
        <v>1889</v>
      </c>
      <c r="F131" s="151">
        <f>SUMIFS(Table1[مبلغ واریزی],Table1[ردیف],$B131,Table1[سال],F$2)</f>
        <v>0</v>
      </c>
      <c r="G131" s="151">
        <f>SUMIFS(Table1[مبلغ واریزی],Table1[ردیف],$B131,Table1[سال],G$2)</f>
        <v>240000000</v>
      </c>
      <c r="H131" s="151">
        <f>SUMIFS(Table1[مبلغ واریزی],Table1[ردیف],$B131,Table1[سال],H$2)</f>
        <v>0</v>
      </c>
      <c r="I131" s="151">
        <f>SUMIFS(Table1[توضیحات ‍‍‍‍],Table1[نام],$B131,Table1[شماره فیش],I$2)</f>
        <v>0</v>
      </c>
      <c r="J131" s="151">
        <f>SUMIF('لیست واریزی ماهیانه'!B:B,'لیست واریزی کل خیرین'!$B131,'لیست واریزی ماهیانه'!K:K)</f>
        <v>240000000</v>
      </c>
      <c r="L13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3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3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240000000</v>
      </c>
      <c r="AJ13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3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3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3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3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3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3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3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3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3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3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3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3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3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3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3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3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3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2" spans="2:59" ht="28.5" customHeight="1">
      <c r="B132" s="166">
        <v>129</v>
      </c>
      <c r="C132" s="456"/>
      <c r="D132" s="375" t="s">
        <v>1899</v>
      </c>
      <c r="E132" s="375" t="s">
        <v>1900</v>
      </c>
      <c r="F132" s="151">
        <f>SUMIFS(Table1[مبلغ واریزی],Table1[ردیف],$B132,Table1[سال],F$2)</f>
        <v>0</v>
      </c>
      <c r="G132" s="151">
        <f>SUMIFS(Table1[مبلغ واریزی],Table1[ردیف],$B132,Table1[سال],G$2)</f>
        <v>3000000</v>
      </c>
      <c r="H132" s="151">
        <f>SUMIFS(Table1[مبلغ واریزی],Table1[ردیف],$B132,Table1[سال],H$2)</f>
        <v>0</v>
      </c>
      <c r="I132" s="151">
        <f>SUMIFS(Table1[توضیحات ‍‍‍‍],Table1[نام],$B132,Table1[شماره فیش],I$2)</f>
        <v>0</v>
      </c>
      <c r="J132" s="151">
        <f>SUMIF('لیست واریزی ماهیانه'!B:B,'لیست واریزی کل خیرین'!$B132,'لیست واریزی ماهیانه'!K:K)</f>
        <v>3000000</v>
      </c>
      <c r="L13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3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3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3000000</v>
      </c>
      <c r="AJ13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3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3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3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3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3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3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3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3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3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3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3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3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3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3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3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3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3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3" spans="2:59" ht="28.5" customHeight="1">
      <c r="B133" s="166">
        <v>130</v>
      </c>
      <c r="C133" s="456"/>
      <c r="D133" s="375" t="s">
        <v>1903</v>
      </c>
      <c r="E133" s="375" t="s">
        <v>1904</v>
      </c>
      <c r="F133" s="151">
        <f>SUMIFS(Table1[مبلغ واریزی],Table1[ردیف],$B133,Table1[سال],F$2)</f>
        <v>0</v>
      </c>
      <c r="G133" s="151">
        <f>SUMIFS(Table1[مبلغ واریزی],Table1[ردیف],$B133,Table1[سال],G$2)</f>
        <v>10000000</v>
      </c>
      <c r="H133" s="151">
        <f>SUMIFS(Table1[مبلغ واریزی],Table1[ردیف],$B133,Table1[سال],H$2)</f>
        <v>0</v>
      </c>
      <c r="I133" s="151">
        <f>SUMIFS(Table1[توضیحات ‍‍‍‍],Table1[نام],$B133,Table1[شماره فیش],I$2)</f>
        <v>0</v>
      </c>
      <c r="J133" s="151">
        <f>SUMIF('لیست واریزی ماهیانه'!B:B,'لیست واریزی کل خیرین'!$B133,'لیست واریزی ماهیانه'!K:K)</f>
        <v>10000000</v>
      </c>
      <c r="L13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3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3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10000000</v>
      </c>
      <c r="AJ13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3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3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3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3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3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3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3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3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3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3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3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3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3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3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3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3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3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4" spans="2:59" ht="28.5" customHeight="1">
      <c r="B134" s="166">
        <v>131</v>
      </c>
      <c r="C134" s="456"/>
      <c r="D134" s="375" t="s">
        <v>818</v>
      </c>
      <c r="E134" s="375" t="s">
        <v>1907</v>
      </c>
      <c r="F134" s="151">
        <f>SUMIFS(Table1[مبلغ واریزی],Table1[ردیف],$B134,Table1[سال],F$2)</f>
        <v>0</v>
      </c>
      <c r="G134" s="151">
        <f>SUMIFS(Table1[مبلغ واریزی],Table1[ردیف],$B134,Table1[سال],G$2)</f>
        <v>10000000</v>
      </c>
      <c r="H134" s="151">
        <f>SUMIFS(Table1[مبلغ واریزی],Table1[ردیف],$B134,Table1[سال],H$2)</f>
        <v>0</v>
      </c>
      <c r="I134" s="151">
        <f>SUMIFS(Table1[توضیحات ‍‍‍‍],Table1[نام],$B134,Table1[شماره فیش],I$2)</f>
        <v>0</v>
      </c>
      <c r="J134" s="151">
        <f>SUMIF('لیست واریزی ماهیانه'!B:B,'لیست واریزی کل خیرین'!$B134,'لیست واریزی ماهیانه'!K:K)</f>
        <v>10000000</v>
      </c>
      <c r="L13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3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3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10000000</v>
      </c>
      <c r="AJ13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3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3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3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3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3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3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3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3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3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3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3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3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3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3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3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3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3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5" spans="2:59" ht="28.5" customHeight="1">
      <c r="B135" s="166">
        <v>132</v>
      </c>
      <c r="C135" s="456"/>
      <c r="D135" s="375" t="s">
        <v>1909</v>
      </c>
      <c r="E135" s="375" t="s">
        <v>1910</v>
      </c>
      <c r="F135" s="151">
        <f>SUMIFS(Table1[مبلغ واریزی],Table1[ردیف],$B135,Table1[سال],F$2)</f>
        <v>0</v>
      </c>
      <c r="G135" s="151">
        <f>SUMIFS(Table1[مبلغ واریزی],Table1[ردیف],$B135,Table1[سال],G$2)</f>
        <v>5000000</v>
      </c>
      <c r="H135" s="151">
        <f>SUMIFS(Table1[مبلغ واریزی],Table1[ردیف],$B135,Table1[سال],H$2)</f>
        <v>0</v>
      </c>
      <c r="I135" s="151">
        <f>SUMIFS(Table1[توضیحات ‍‍‍‍],Table1[نام],$B135,Table1[شماره فیش],I$2)</f>
        <v>0</v>
      </c>
      <c r="J135" s="151">
        <f>SUMIF('لیست واریزی ماهیانه'!B:B,'لیست واریزی کل خیرین'!$B135,'لیست واریزی ماهیانه'!K:K)</f>
        <v>5000000</v>
      </c>
      <c r="L13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3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3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</v>
      </c>
      <c r="AJ13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3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3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3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3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3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3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3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3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3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3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3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3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3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3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3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3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3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6" spans="2:59" ht="28.5" customHeight="1">
      <c r="B136" s="166">
        <v>133</v>
      </c>
      <c r="C136" s="456"/>
      <c r="D136" s="375" t="s">
        <v>1912</v>
      </c>
      <c r="E136" s="375" t="s">
        <v>490</v>
      </c>
      <c r="F136" s="151">
        <f>SUMIFS(Table1[مبلغ واریزی],Table1[ردیف],$B136,Table1[سال],F$2)</f>
        <v>0</v>
      </c>
      <c r="G136" s="151">
        <f>SUMIFS(Table1[مبلغ واریزی],Table1[ردیف],$B136,Table1[سال],G$2)</f>
        <v>5000000</v>
      </c>
      <c r="H136" s="151">
        <f>SUMIFS(Table1[مبلغ واریزی],Table1[ردیف],$B136,Table1[سال],H$2)</f>
        <v>50000000</v>
      </c>
      <c r="I136" s="151">
        <f>SUMIFS(Table1[توضیحات ‍‍‍‍],Table1[نام],$B136,Table1[شماره فیش],I$2)</f>
        <v>0</v>
      </c>
      <c r="J136" s="151">
        <f>SUMIF('لیست واریزی ماهیانه'!B:B,'لیست واریزی کل خیرین'!$B136,'لیست واریزی ماهیانه'!K:K)</f>
        <v>55000000</v>
      </c>
      <c r="L13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3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3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5000000</v>
      </c>
      <c r="AJ13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3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3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3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3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3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3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50000000</v>
      </c>
      <c r="AR13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3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3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3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3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3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3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3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3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3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3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7" spans="2:59" ht="28.5" customHeight="1">
      <c r="B137" s="166">
        <v>134</v>
      </c>
      <c r="C137" s="456"/>
      <c r="D137" s="375" t="s">
        <v>1957</v>
      </c>
      <c r="E137" s="375" t="s">
        <v>3076</v>
      </c>
      <c r="F137" s="151">
        <f>SUMIFS(Table1[مبلغ واریزی],Table1[ردیف],$B137,Table1[سال],F$2)</f>
        <v>0</v>
      </c>
      <c r="G137" s="151">
        <f>SUMIFS(Table1[مبلغ واریزی],Table1[ردیف],$B137,Table1[سال],G$2)</f>
        <v>0</v>
      </c>
      <c r="H137" s="151">
        <f>SUMIFS(Table1[مبلغ واریزی],Table1[ردیف],$B137,Table1[سال],H$2)</f>
        <v>0</v>
      </c>
      <c r="I137" s="151">
        <f>SUMIFS(Table1[توضیحات ‍‍‍‍],Table1[نام],$B137,Table1[شماره فیش],I$2)</f>
        <v>0</v>
      </c>
      <c r="J137" s="151">
        <f>SUMIF('لیست واریزی ماهیانه'!B:B,'لیست واریزی کل خیرین'!$B137,'لیست واریزی ماهیانه'!K:K)</f>
        <v>0</v>
      </c>
      <c r="L13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3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3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3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3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3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3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3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3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3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3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3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3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3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3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3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3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3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3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3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3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8" spans="2:59" ht="28.5" customHeight="1">
      <c r="B138" s="166">
        <v>135</v>
      </c>
      <c r="C138" s="456"/>
      <c r="D138" s="375"/>
      <c r="E138" s="375"/>
      <c r="F138" s="151">
        <f>SUMIFS(Table1[مبلغ واریزی],Table1[ردیف],$B138,Table1[سال],F$2)</f>
        <v>0</v>
      </c>
      <c r="G138" s="151">
        <f>SUMIFS(Table1[مبلغ واریزی],Table1[ردیف],$B138,Table1[سال],G$2)</f>
        <v>0</v>
      </c>
      <c r="H138" s="151">
        <f>SUMIFS(Table1[مبلغ واریزی],Table1[ردیف],$B138,Table1[سال],H$2)</f>
        <v>0</v>
      </c>
      <c r="I138" s="151">
        <f>SUMIFS(Table1[توضیحات ‍‍‍‍],Table1[نام],$B138,Table1[شماره فیش],I$2)</f>
        <v>0</v>
      </c>
      <c r="J138" s="151">
        <f>SUMIF('لیست واریزی ماهیانه'!B:B,'لیست واریزی کل خیرین'!$B138,'لیست واریزی ماهیانه'!K:K)</f>
        <v>0</v>
      </c>
      <c r="L138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8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8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8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8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8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8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8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8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8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8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8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8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8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8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8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8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8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8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8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8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8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38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38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38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38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38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8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38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38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38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38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38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38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38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8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38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38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38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38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38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8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38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8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38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38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8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8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39" spans="2:59" ht="28.5" customHeight="1">
      <c r="B139" s="166">
        <v>136</v>
      </c>
      <c r="C139" s="456"/>
      <c r="D139" s="375" t="s">
        <v>1966</v>
      </c>
      <c r="E139" s="375" t="s">
        <v>1967</v>
      </c>
      <c r="F139" s="151">
        <f>SUMIFS(Table1[مبلغ واریزی],Table1[ردیف],$B139,Table1[سال],F$2)</f>
        <v>0</v>
      </c>
      <c r="G139" s="151">
        <f>SUMIFS(Table1[مبلغ واریزی],Table1[ردیف],$B139,Table1[سال],G$2)</f>
        <v>0</v>
      </c>
      <c r="H139" s="151">
        <f>SUMIFS(Table1[مبلغ واریزی],Table1[ردیف],$B139,Table1[سال],H$2)</f>
        <v>515781453</v>
      </c>
      <c r="I139" s="151">
        <f>SUMIFS(Table1[توضیحات ‍‍‍‍],Table1[نام],$B139,Table1[شماره فیش],I$2)</f>
        <v>0</v>
      </c>
      <c r="J139" s="151">
        <f>SUMIF('لیست واریزی ماهیانه'!B:B,'لیست واریزی کل خیرین'!$B139,'لیست واریزی ماهیانه'!K:K)</f>
        <v>1515781453</v>
      </c>
      <c r="L139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9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9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9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9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9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9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9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9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9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9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9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9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9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9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9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9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9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9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9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9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9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39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39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39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515781453</v>
      </c>
      <c r="AK139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39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39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39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39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39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39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39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39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39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39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39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39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39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1000000000</v>
      </c>
      <c r="AY139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39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39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39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39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39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39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39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39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40" spans="2:59" ht="28.5" customHeight="1">
      <c r="B140" s="166">
        <v>137</v>
      </c>
      <c r="C140" s="456"/>
      <c r="D140" s="375"/>
      <c r="E140" s="375"/>
      <c r="F140" s="151">
        <f>SUMIFS(Table1[مبلغ واریزی],Table1[ردیف],$B140,Table1[سال],F$2)</f>
        <v>0</v>
      </c>
      <c r="G140" s="151">
        <f>SUMIFS(Table1[مبلغ واریزی],Table1[ردیف],$B140,Table1[سال],G$2)</f>
        <v>0</v>
      </c>
      <c r="H140" s="151">
        <f>SUMIFS(Table1[مبلغ واریزی],Table1[ردیف],$B140,Table1[سال],H$2)</f>
        <v>0</v>
      </c>
      <c r="I140" s="151">
        <f>SUMIFS(Table1[توضیحات ‍‍‍‍],Table1[نام],$B140,Table1[شماره فیش],I$2)</f>
        <v>0</v>
      </c>
      <c r="J140" s="151">
        <f>SUMIF('لیست واریزی ماهیانه'!B:B,'لیست واریزی کل خیرین'!$B140,'لیست واریزی ماهیانه'!K:K)</f>
        <v>0</v>
      </c>
      <c r="L140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40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40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40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40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40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40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40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40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40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40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40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40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40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40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40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40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40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40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40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40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40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40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40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40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40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40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40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40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40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40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40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40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40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40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40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40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40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40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40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40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40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40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40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40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40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40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40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41" spans="2:59" ht="28.5" customHeight="1">
      <c r="B141" s="166">
        <v>138</v>
      </c>
      <c r="C141" s="456"/>
      <c r="D141" s="375"/>
      <c r="E141" s="375"/>
      <c r="F141" s="151">
        <f>SUMIFS(Table1[مبلغ واریزی],Table1[ردیف],$B141,Table1[سال],F$2)</f>
        <v>0</v>
      </c>
      <c r="G141" s="151">
        <f>SUMIFS(Table1[مبلغ واریزی],Table1[ردیف],$B141,Table1[سال],G$2)</f>
        <v>0</v>
      </c>
      <c r="H141" s="151">
        <f>SUMIFS(Table1[مبلغ واریزی],Table1[ردیف],$B141,Table1[سال],H$2)</f>
        <v>0</v>
      </c>
      <c r="I141" s="151">
        <f>SUMIFS(Table1[توضیحات ‍‍‍‍],Table1[نام],$B141,Table1[شماره فیش],I$2)</f>
        <v>0</v>
      </c>
      <c r="J141" s="151">
        <f>SUMIF('لیست واریزی ماهیانه'!B:B,'لیست واریزی کل خیرین'!$B141,'لیست واریزی ماهیانه'!K:K)</f>
        <v>0</v>
      </c>
      <c r="L141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41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41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41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41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41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41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41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41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41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41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41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41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41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41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41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41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41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41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41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41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41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41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41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41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41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41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41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41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41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41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41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41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41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41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41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41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41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41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41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41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41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41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41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41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41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41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41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42" spans="2:59" ht="28.5" customHeight="1">
      <c r="B142" s="166">
        <v>139</v>
      </c>
      <c r="C142" s="456"/>
      <c r="D142" s="375"/>
      <c r="E142" s="375"/>
      <c r="F142" s="151">
        <f>SUMIFS(Table1[مبلغ واریزی],Table1[ردیف],$B142,Table1[سال],F$2)</f>
        <v>0</v>
      </c>
      <c r="G142" s="151">
        <f>SUMIFS(Table1[مبلغ واریزی],Table1[ردیف],$B142,Table1[سال],G$2)</f>
        <v>0</v>
      </c>
      <c r="H142" s="151">
        <f>SUMIFS(Table1[مبلغ واریزی],Table1[ردیف],$B142,Table1[سال],H$2)</f>
        <v>0</v>
      </c>
      <c r="I142" s="151">
        <f>SUMIFS(Table1[توضیحات ‍‍‍‍],Table1[نام],$B142,Table1[شماره فیش],I$2)</f>
        <v>0</v>
      </c>
      <c r="J142" s="151">
        <f>SUMIF('لیست واریزی ماهیانه'!B:B,'لیست واریزی کل خیرین'!$B142,'لیست واریزی ماهیانه'!K:K)</f>
        <v>0</v>
      </c>
      <c r="L142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42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42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42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42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42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42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42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42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42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42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42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42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42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42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42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42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42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42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42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42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42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42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42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42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42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42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42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42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42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42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42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42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42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42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42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42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42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42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42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42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42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42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42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42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42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42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42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43" spans="2:59" ht="28.5" customHeight="1">
      <c r="B143" s="166">
        <v>140</v>
      </c>
      <c r="C143" s="456"/>
      <c r="D143" s="375"/>
      <c r="E143" s="375"/>
      <c r="F143" s="151">
        <f>SUMIFS(Table1[مبلغ واریزی],Table1[ردیف],$B143,Table1[سال],F$2)</f>
        <v>0</v>
      </c>
      <c r="G143" s="151">
        <f>SUMIFS(Table1[مبلغ واریزی],Table1[ردیف],$B143,Table1[سال],G$2)</f>
        <v>0</v>
      </c>
      <c r="H143" s="151">
        <f>SUMIFS(Table1[مبلغ واریزی],Table1[ردیف],$B143,Table1[سال],H$2)</f>
        <v>0</v>
      </c>
      <c r="I143" s="151">
        <f>SUMIFS(Table1[توضیحات ‍‍‍‍],Table1[نام],$B143,Table1[شماره فیش],I$2)</f>
        <v>0</v>
      </c>
      <c r="J143" s="151">
        <f>SUMIF('لیست واریزی ماهیانه'!B:B,'لیست واریزی کل خیرین'!$B143,'لیست واریزی ماهیانه'!K:K)</f>
        <v>0</v>
      </c>
      <c r="L143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43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43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43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43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43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43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43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43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43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43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43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43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43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43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43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43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43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43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43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43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43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43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43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43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43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43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43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43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43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43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43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43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43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43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43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43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43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43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43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43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43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43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43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43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43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43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43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44" spans="2:59" ht="28.5" customHeight="1">
      <c r="B144" s="166">
        <v>141</v>
      </c>
      <c r="C144" s="456"/>
      <c r="D144" s="375"/>
      <c r="E144" s="375"/>
      <c r="F144" s="151">
        <f>SUMIFS(Table1[مبلغ واریزی],Table1[ردیف],$B144,Table1[سال],F$2)</f>
        <v>0</v>
      </c>
      <c r="G144" s="151">
        <f>SUMIFS(Table1[مبلغ واریزی],Table1[ردیف],$B144,Table1[سال],G$2)</f>
        <v>0</v>
      </c>
      <c r="H144" s="151">
        <f>SUMIFS(Table1[مبلغ واریزی],Table1[ردیف],$B144,Table1[سال],H$2)</f>
        <v>0</v>
      </c>
      <c r="I144" s="151">
        <f>SUMIFS(Table1[توضیحات ‍‍‍‍],Table1[نام],$B144,Table1[شماره فیش],I$2)</f>
        <v>0</v>
      </c>
      <c r="J144" s="151">
        <f>SUMIF('لیست واریزی ماهیانه'!B:B,'لیست واریزی کل خیرین'!$B144,'لیست واریزی ماهیانه'!K:K)</f>
        <v>0</v>
      </c>
      <c r="L144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44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44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44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44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44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44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44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44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44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44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44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44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44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44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44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44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44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44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44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44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44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44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44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44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44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44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44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44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44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44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44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44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44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44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44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44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44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44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44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44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44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44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44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44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44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44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44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45" spans="2:59" ht="28.5" customHeight="1">
      <c r="B145" s="166">
        <v>142</v>
      </c>
      <c r="C145" s="456"/>
      <c r="D145" s="375"/>
      <c r="E145" s="375"/>
      <c r="F145" s="151">
        <f>SUMIFS(Table1[مبلغ واریزی],Table1[ردیف],$B145,Table1[سال],F$2)</f>
        <v>0</v>
      </c>
      <c r="G145" s="151">
        <f>SUMIFS(Table1[مبلغ واریزی],Table1[ردیف],$B145,Table1[سال],G$2)</f>
        <v>0</v>
      </c>
      <c r="H145" s="151">
        <f>SUMIFS(Table1[مبلغ واریزی],Table1[ردیف],$B145,Table1[سال],H$2)</f>
        <v>0</v>
      </c>
      <c r="I145" s="151">
        <f>SUMIFS(Table1[توضیحات ‍‍‍‍],Table1[نام],$B145,Table1[شماره فیش],I$2)</f>
        <v>0</v>
      </c>
      <c r="J145" s="151">
        <f>SUMIF('لیست واریزی ماهیانه'!B:B,'لیست واریزی کل خیرین'!$B145,'لیست واریزی ماهیانه'!K:K)</f>
        <v>0</v>
      </c>
      <c r="L145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45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45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45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45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45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45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45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45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45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45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45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45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45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45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45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45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45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45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45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45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45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45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45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45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45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45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45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45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45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45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45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45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45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45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45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45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45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45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45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45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45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45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45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45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45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45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45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46" spans="2:59" ht="28.5" customHeight="1">
      <c r="B146" s="166">
        <v>143</v>
      </c>
      <c r="C146" s="456"/>
      <c r="D146" s="375"/>
      <c r="E146" s="375"/>
      <c r="F146" s="151">
        <f>SUMIFS(Table1[مبلغ واریزی],Table1[ردیف],$B146,Table1[سال],F$2)</f>
        <v>0</v>
      </c>
      <c r="G146" s="151">
        <f>SUMIFS(Table1[مبلغ واریزی],Table1[ردیف],$B146,Table1[سال],G$2)</f>
        <v>0</v>
      </c>
      <c r="H146" s="151">
        <f>SUMIFS(Table1[مبلغ واریزی],Table1[ردیف],$B146,Table1[سال],H$2)</f>
        <v>0</v>
      </c>
      <c r="I146" s="151">
        <f>SUMIFS(Table1[توضیحات ‍‍‍‍],Table1[نام],$B146,Table1[شماره فیش],I$2)</f>
        <v>0</v>
      </c>
      <c r="J146" s="151">
        <f>SUMIF('لیست واریزی ماهیانه'!B:B,'لیست واریزی کل خیرین'!$B146,'لیست واریزی ماهیانه'!K:K)</f>
        <v>0</v>
      </c>
      <c r="L146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46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46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46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46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46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46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46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46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46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46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46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46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46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46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46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46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46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46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46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46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46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46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46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46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46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46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46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46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46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46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46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46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46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46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46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46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46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46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46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46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46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46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46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46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46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46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46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47" spans="2:59" ht="28.5" customHeight="1">
      <c r="B147" s="166">
        <v>144</v>
      </c>
      <c r="C147" s="456"/>
      <c r="D147" s="375"/>
      <c r="E147" s="375"/>
      <c r="F147" s="151">
        <f>SUMIFS(Table1[مبلغ واریزی],Table1[ردیف],$B147,Table1[سال],F$2)</f>
        <v>0</v>
      </c>
      <c r="G147" s="151">
        <f>SUMIFS(Table1[مبلغ واریزی],Table1[ردیف],$B147,Table1[سال],G$2)</f>
        <v>0</v>
      </c>
      <c r="H147" s="151">
        <f>SUMIFS(Table1[مبلغ واریزی],Table1[ردیف],$B147,Table1[سال],H$2)</f>
        <v>0</v>
      </c>
      <c r="I147" s="151">
        <f>SUMIFS(Table1[توضیحات ‍‍‍‍],Table1[نام],$B147,Table1[شماره فیش],I$2)</f>
        <v>0</v>
      </c>
      <c r="J147" s="151">
        <f>SUMIF('لیست واریزی ماهیانه'!B:B,'لیست واریزی کل خیرین'!$B147,'لیست واریزی ماهیانه'!K:K)</f>
        <v>0</v>
      </c>
      <c r="L147" s="168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47" s="168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47" s="168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47" s="168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47" s="168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47" s="168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47" s="168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47" s="168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47" s="168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47" s="168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47" s="168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47" s="168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47" s="168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47" s="168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47" s="168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47" s="168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47" s="168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47" s="168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47" s="168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47" s="168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47" s="168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47" s="168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  <c r="AH147" s="168">
        <f>SUMIFS('لیست واریزی ماهیانه'!$K:$K,'لیست واریزی ماهیانه'!$G:$G,'لیست واریزی کل خیرین'!AH$3,'لیست واریزی ماهیانه'!$B:$B,'لیست واریزی کل خیرین'!$B:$B,'لیست واریزی ماهیانه'!$I:$I,AH$2)</f>
        <v>0</v>
      </c>
      <c r="AI147" s="168">
        <f>SUMIFS('لیست واریزی ماهیانه'!$K:$K,'لیست واریزی ماهیانه'!$G:$G,'لیست واریزی کل خیرین'!AI$3,'لیست واریزی ماهیانه'!$B:$B,'لیست واریزی کل خیرین'!$B:$B,'لیست واریزی ماهیانه'!$I:$I,AI$2)</f>
        <v>0</v>
      </c>
      <c r="AJ147" s="168">
        <f>SUMIFS('لیست واریزی ماهیانه'!$K:$K,'لیست واریزی ماهیانه'!$G:$G,'لیست واریزی کل خیرین'!AJ$3,'لیست واریزی ماهیانه'!$B:$B,'لیست واریزی کل خیرین'!$B:$B,'لیست واریزی ماهیانه'!$I:$I,AJ$2)</f>
        <v>0</v>
      </c>
      <c r="AK147" s="168">
        <f>SUMIFS('لیست واریزی ماهیانه'!$K:$K,'لیست واریزی ماهیانه'!$G:$G,'لیست واریزی کل خیرین'!AK$3,'لیست واریزی ماهیانه'!$B:$B,'لیست واریزی کل خیرین'!$B:$B,'لیست واریزی ماهیانه'!$I:$I,AK$2)</f>
        <v>0</v>
      </c>
      <c r="AL147" s="168">
        <f>SUMIFS('لیست واریزی ماهیانه'!$K:$K,'لیست واریزی ماهیانه'!$G:$G,'لیست واریزی کل خیرین'!AL$3,'لیست واریزی ماهیانه'!$B:$B,'لیست واریزی کل خیرین'!$B:$B,'لیست واریزی ماهیانه'!$I:$I,AL$2)</f>
        <v>0</v>
      </c>
      <c r="AM147" s="168">
        <f>SUMIFS('لیست واریزی ماهیانه'!$K:$K,'لیست واریزی ماهیانه'!$G:$G,'لیست واریزی کل خیرین'!AM$3,'لیست واریزی ماهیانه'!$B:$B,'لیست واریزی کل خیرین'!$B:$B,'لیست واریزی ماهیانه'!$I:$I,AM$2)</f>
        <v>0</v>
      </c>
      <c r="AN147" s="168">
        <f>SUMIFS('لیست واریزی ماهیانه'!$K:$K,'لیست واریزی ماهیانه'!$G:$G,'لیست واریزی کل خیرین'!AN$3,'لیست واریزی ماهیانه'!$B:$B,'لیست واریزی کل خیرین'!$B:$B,'لیست واریزی ماهیانه'!$I:$I,AN$2)</f>
        <v>0</v>
      </c>
      <c r="AO147" s="168">
        <f>SUMIFS('لیست واریزی ماهیانه'!$K:$K,'لیست واریزی ماهیانه'!$G:$G,'لیست واریزی کل خیرین'!AO$3,'لیست واریزی ماهیانه'!$B:$B,'لیست واریزی کل خیرین'!$B:$B,'لیست واریزی ماهیانه'!$I:$I,AO$2)</f>
        <v>0</v>
      </c>
      <c r="AP147" s="168">
        <f>SUMIFS('لیست واریزی ماهیانه'!$K:$K,'لیست واریزی ماهیانه'!$G:$G,'لیست واریزی کل خیرین'!AP$3,'لیست واریزی ماهیانه'!$B:$B,'لیست واریزی کل خیرین'!$B:$B,'لیست واریزی ماهیانه'!$I:$I,AP$2)</f>
        <v>0</v>
      </c>
      <c r="AQ147" s="168">
        <f>SUMIFS('لیست واریزی ماهیانه'!$K:$K,'لیست واریزی ماهیانه'!$G:$G,'لیست واریزی کل خیرین'!AQ$3,'لیست واریزی ماهیانه'!$B:$B,'لیست واریزی کل خیرین'!$B:$B,'لیست واریزی ماهیانه'!$I:$I,AQ$2)</f>
        <v>0</v>
      </c>
      <c r="AR147" s="168">
        <f>SUMIFS('لیست واریزی ماهیانه'!$K:$K,'لیست واریزی ماهیانه'!$G:$G,'لیست واریزی کل خیرین'!AR$3,'لیست واریزی ماهیانه'!$B:$B,'لیست واریزی کل خیرین'!$B:$B,'لیست واریزی ماهیانه'!$I:$I,AR$2)</f>
        <v>0</v>
      </c>
      <c r="AS147" s="168">
        <f>SUMIFS('لیست واریزی ماهیانه'!$K:$K,'لیست واریزی ماهیانه'!$G:$G,'لیست واریزی کل خیرین'!AS$3,'لیست واریزی ماهیانه'!$B:$B,'لیست واریزی کل خیرین'!$B:$B,'لیست واریزی ماهیانه'!$I:$I,AS$2)</f>
        <v>0</v>
      </c>
      <c r="AT147" s="168">
        <f>SUMIFS('لیست واریزی ماهیانه'!$K:$K,'لیست واریزی ماهیانه'!$G:$G,'لیست واریزی کل خیرین'!AT$3,'لیست واریزی ماهیانه'!$B:$B,'لیست واریزی کل خیرین'!$B:$B,'لیست واریزی ماهیانه'!$I:$I,AT$2)</f>
        <v>0</v>
      </c>
      <c r="AU147" s="168">
        <f>SUMIFS('لیست واریزی ماهیانه'!$K:$K,'لیست واریزی ماهیانه'!$G:$G,'لیست واریزی کل خیرین'!AU$3,'لیست واریزی ماهیانه'!$B:$B,'لیست واریزی کل خیرین'!$B:$B,'لیست واریزی ماهیانه'!$I:$I,AU$2)</f>
        <v>0</v>
      </c>
      <c r="AV147" s="168">
        <f>SUMIFS('لیست واریزی ماهیانه'!$K:$K,'لیست واریزی ماهیانه'!$G:$G,'لیست واریزی کل خیرین'!AV$3,'لیست واریزی ماهیانه'!$B:$B,'لیست واریزی کل خیرین'!$B:$B,'لیست واریزی ماهیانه'!$I:$I,AV$2)</f>
        <v>0</v>
      </c>
      <c r="AW147" s="168">
        <f>SUMIFS('لیست واریزی ماهیانه'!$K:$K,'لیست واریزی ماهیانه'!$G:$G,'لیست واریزی کل خیرین'!AW$3,'لیست واریزی ماهیانه'!$B:$B,'لیست واریزی کل خیرین'!$B:$B,'لیست واریزی ماهیانه'!$I:$I,AW$2)</f>
        <v>0</v>
      </c>
      <c r="AX147" s="168">
        <f>SUMIFS('لیست واریزی ماهیانه'!$K:$K,'لیست واریزی ماهیانه'!$G:$G,'لیست واریزی کل خیرین'!AX$3,'لیست واریزی ماهیانه'!$B:$B,'لیست واریزی کل خیرین'!$B:$B,'لیست واریزی ماهیانه'!$I:$I,AX$2)</f>
        <v>0</v>
      </c>
      <c r="AY147" s="168">
        <f>SUMIFS('لیست واریزی ماهیانه'!$K:$K,'لیست واریزی ماهیانه'!$G:$G,'لیست واریزی کل خیرین'!AY$3,'لیست واریزی ماهیانه'!$B:$B,'لیست واریزی کل خیرین'!$B:$B,'لیست واریزی ماهیانه'!$I:$I,AY$2)</f>
        <v>0</v>
      </c>
      <c r="AZ147" s="168">
        <f>SUMIFS('لیست واریزی ماهیانه'!$K:$K,'لیست واریزی ماهیانه'!$G:$G,'لیست واریزی کل خیرین'!AZ$3,'لیست واریزی ماهیانه'!$B:$B,'لیست واریزی کل خیرین'!$B:$B,'لیست واریزی ماهیانه'!$I:$I,AZ$2)</f>
        <v>0</v>
      </c>
      <c r="BA147" s="168">
        <f>SUMIFS('لیست واریزی ماهیانه'!$K:$K,'لیست واریزی ماهیانه'!$G:$G,'لیست واریزی کل خیرین'!BA$3,'لیست واریزی ماهیانه'!$B:$B,'لیست واریزی کل خیرین'!$B:$B,'لیست واریزی ماهیانه'!$I:$I,BA$2)</f>
        <v>0</v>
      </c>
      <c r="BB147" s="168">
        <f>SUMIFS('لیست واریزی ماهیانه'!$K:$K,'لیست واریزی ماهیانه'!$G:$G,'لیست واریزی کل خیرین'!BB$3,'لیست واریزی ماهیانه'!$B:$B,'لیست واریزی کل خیرین'!$B:$B,'لیست واریزی ماهیانه'!$I:$I,BB$2)</f>
        <v>0</v>
      </c>
      <c r="BC147" s="168">
        <f>SUMIFS('لیست واریزی ماهیانه'!$K:$K,'لیست واریزی ماهیانه'!$G:$G,'لیست واریزی کل خیرین'!BC$3,'لیست واریزی ماهیانه'!$B:$B,'لیست واریزی کل خیرین'!$B:$B,'لیست واریزی ماهیانه'!$I:$I,BC$2)</f>
        <v>0</v>
      </c>
      <c r="BD147" s="168">
        <f>SUMIFS('لیست واریزی ماهیانه'!$K:$K,'لیست واریزی ماهیانه'!$G:$G,'لیست واریزی کل خیرین'!BD$3,'لیست واریزی ماهیانه'!$B:$B,'لیست واریزی کل خیرین'!$B:$B,'لیست واریزی ماهیانه'!$I:$I,BD$2)</f>
        <v>0</v>
      </c>
      <c r="BE147" s="168">
        <f>SUMIFS('لیست واریزی ماهیانه'!$K:$K,'لیست واریزی ماهیانه'!$G:$G,'لیست واریزی کل خیرین'!BE$3,'لیست واریزی ماهیانه'!$B:$B,'لیست واریزی کل خیرین'!$B:$B,'لیست واریزی ماهیانه'!$I:$I,BE$2)</f>
        <v>0</v>
      </c>
      <c r="BF147" s="168">
        <f>SUMIFS('لیست واریزی ماهیانه'!$K:$K,'لیست واریزی ماهیانه'!$G:$G,'لیست واریزی کل خیرین'!BF$3,'لیست واریزی ماهیانه'!$B:$B,'لیست واریزی کل خیرین'!$B:$B,'لیست واریزی ماهیانه'!$I:$I,BF$2)</f>
        <v>0</v>
      </c>
      <c r="BG147" s="168">
        <f>SUMIFS('لیست واریزی ماهیانه'!$K:$K,'لیست واریزی ماهیانه'!$G:$G,'لیست واریزی کل خیرین'!BG$3,'لیست واریزی ماهیانه'!$B:$B,'لیست واریزی کل خیرین'!$B:$B,'لیست واریزی ماهیانه'!$I:$I,BG$2)</f>
        <v>0</v>
      </c>
    </row>
    <row r="148" spans="2:59" s="394" customFormat="1" ht="12.75" hidden="1" customHeight="1">
      <c r="B148" s="393"/>
      <c r="C148" s="393"/>
      <c r="D148" s="390"/>
      <c r="E148" s="390"/>
      <c r="F148" s="391"/>
      <c r="G148" s="391"/>
      <c r="H148" s="391"/>
      <c r="I148" s="391"/>
      <c r="J148" s="392"/>
      <c r="L148" s="395"/>
      <c r="M148" s="395"/>
      <c r="N148" s="395"/>
      <c r="O148" s="395"/>
      <c r="P148" s="395"/>
      <c r="Q148" s="395"/>
      <c r="R148" s="395"/>
      <c r="S148" s="395"/>
      <c r="T148" s="395"/>
      <c r="U148" s="395"/>
      <c r="V148" s="395"/>
      <c r="W148" s="395"/>
      <c r="X148" s="396"/>
      <c r="Y148" s="396"/>
      <c r="Z148" s="396"/>
      <c r="AA148" s="396"/>
      <c r="AB148" s="396"/>
      <c r="AC148" s="396"/>
      <c r="AD148" s="396"/>
      <c r="AE148" s="396"/>
      <c r="AF148" s="396"/>
      <c r="AG148" s="396"/>
      <c r="AH148" s="396"/>
      <c r="AI148" s="396"/>
    </row>
    <row r="149" spans="2:59" ht="25.5" customHeight="1">
      <c r="B149" s="520" t="s">
        <v>720</v>
      </c>
      <c r="C149" s="521"/>
      <c r="D149" s="522"/>
      <c r="E149" s="523"/>
      <c r="F149" s="377">
        <f>SUM(F4:F148)</f>
        <v>7617176783</v>
      </c>
      <c r="G149" s="377">
        <f>SUM(G4:G148)</f>
        <v>8226097270</v>
      </c>
      <c r="H149" s="377">
        <f>SUM(H4:H148)</f>
        <v>11166069186</v>
      </c>
      <c r="I149" s="377">
        <f>SUM(I4:I148)</f>
        <v>0</v>
      </c>
      <c r="J149" s="377">
        <f>SUM(J4:J148)</f>
        <v>34500668336</v>
      </c>
      <c r="L149" s="169">
        <f t="shared" ref="L149:AH149" si="0">SUM(L4:L148)</f>
        <v>0</v>
      </c>
      <c r="M149" s="169">
        <f t="shared" si="0"/>
        <v>0</v>
      </c>
      <c r="N149" s="169">
        <f t="shared" si="0"/>
        <v>354504570</v>
      </c>
      <c r="O149" s="169">
        <f t="shared" si="0"/>
        <v>401561172</v>
      </c>
      <c r="P149" s="169">
        <f t="shared" si="0"/>
        <v>751533530</v>
      </c>
      <c r="Q149" s="169">
        <f t="shared" si="0"/>
        <v>562196559</v>
      </c>
      <c r="R149" s="169">
        <f t="shared" si="0"/>
        <v>681837641</v>
      </c>
      <c r="S149" s="169">
        <f t="shared" si="0"/>
        <v>604889172</v>
      </c>
      <c r="T149" s="169">
        <f t="shared" si="0"/>
        <v>1283991827</v>
      </c>
      <c r="U149" s="169">
        <f t="shared" si="0"/>
        <v>876065060</v>
      </c>
      <c r="V149" s="169">
        <f t="shared" si="0"/>
        <v>817465781</v>
      </c>
      <c r="W149" s="169">
        <f t="shared" si="0"/>
        <v>1283131471</v>
      </c>
      <c r="X149" s="169">
        <f t="shared" si="0"/>
        <v>530382371</v>
      </c>
      <c r="Y149" s="169">
        <f t="shared" si="0"/>
        <v>648431951</v>
      </c>
      <c r="Z149" s="169">
        <f t="shared" si="0"/>
        <v>511789788</v>
      </c>
      <c r="AA149" s="169">
        <f t="shared" si="0"/>
        <v>551754777</v>
      </c>
      <c r="AB149" s="169">
        <f t="shared" si="0"/>
        <v>606848279</v>
      </c>
      <c r="AC149" s="169">
        <f t="shared" si="0"/>
        <v>776750481</v>
      </c>
      <c r="AD149" s="169">
        <f t="shared" si="0"/>
        <v>448812626</v>
      </c>
      <c r="AE149" s="169">
        <f t="shared" si="0"/>
        <v>1285367354</v>
      </c>
      <c r="AF149" s="169">
        <f t="shared" si="0"/>
        <v>559955018</v>
      </c>
      <c r="AG149" s="169">
        <f t="shared" si="0"/>
        <v>599676028</v>
      </c>
      <c r="AH149" s="169">
        <f t="shared" si="0"/>
        <v>768357770</v>
      </c>
      <c r="AI149" s="169">
        <f>SUM(AI4:AI148)</f>
        <v>937970827</v>
      </c>
    </row>
    <row r="150" spans="2:59" ht="28.5" customHeight="1">
      <c r="B150" s="524" t="s">
        <v>721</v>
      </c>
      <c r="C150" s="525"/>
      <c r="D150" s="526"/>
      <c r="E150" s="527"/>
      <c r="G150" s="382"/>
      <c r="H150" s="382"/>
      <c r="I150" s="382"/>
      <c r="J150" s="153">
        <f>'لیست واریزی ماهیانه'!K1584</f>
        <v>62351448336</v>
      </c>
    </row>
    <row r="151" spans="2:59" ht="15.75" customHeight="1">
      <c r="G151" s="165"/>
      <c r="H151" s="165"/>
      <c r="I151" s="165"/>
      <c r="J151" s="397">
        <f>J150-J149</f>
        <v>27850780000</v>
      </c>
    </row>
    <row r="152" spans="2:59" ht="15.75" customHeight="1"/>
    <row r="153" spans="2:59" ht="15.75" customHeight="1"/>
    <row r="154" spans="2:59" ht="15.75" customHeight="1"/>
    <row r="155" spans="2:59" ht="15.75" customHeight="1"/>
    <row r="156" spans="2:59" ht="15.75" customHeight="1"/>
    <row r="157" spans="2:59" ht="15.75" customHeight="1"/>
    <row r="158" spans="2:59" ht="15.75" customHeight="1"/>
    <row r="159" spans="2:59" ht="15.75" customHeight="1"/>
    <row r="160" spans="2:59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</sheetData>
  <mergeCells count="2">
    <mergeCell ref="B149:E149"/>
    <mergeCell ref="B150:E150"/>
  </mergeCells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1000"/>
  <sheetViews>
    <sheetView rightToLeft="1" workbookViewId="0">
      <selection activeCell="K25" sqref="K25"/>
    </sheetView>
  </sheetViews>
  <sheetFormatPr baseColWidth="10" defaultColWidth="14.5" defaultRowHeight="15" customHeight="1"/>
  <cols>
    <col min="1" max="4" width="8.6640625" customWidth="1"/>
    <col min="5" max="5" width="9.33203125" customWidth="1"/>
    <col min="6" max="6" width="14.1640625" customWidth="1"/>
    <col min="7" max="7" width="8.6640625" customWidth="1"/>
    <col min="8" max="8" width="13" customWidth="1"/>
    <col min="9" max="14" width="8.6640625" customWidth="1"/>
    <col min="15" max="15" width="26.1640625" customWidth="1"/>
    <col min="16" max="19" width="8.6640625" customWidth="1"/>
    <col min="20" max="20" width="8.6640625" hidden="1" customWidth="1"/>
    <col min="21" max="26" width="8.6640625" customWidth="1"/>
  </cols>
  <sheetData>
    <row r="1" spans="2:20">
      <c r="M1" s="154" t="s">
        <v>722</v>
      </c>
      <c r="N1" s="155">
        <v>3</v>
      </c>
      <c r="T1" s="3">
        <f>N1+1</f>
        <v>4</v>
      </c>
    </row>
    <row r="7" spans="2:20">
      <c r="E7" s="3" t="s">
        <v>723</v>
      </c>
    </row>
    <row r="8" spans="2:20">
      <c r="B8" s="3" t="s">
        <v>724</v>
      </c>
    </row>
    <row r="9" spans="2:20">
      <c r="B9" s="529" t="s">
        <v>725</v>
      </c>
      <c r="C9" s="494"/>
      <c r="D9" s="494"/>
      <c r="E9" s="3" t="str">
        <f>VLOOKUP(N1,'لیست واریزی کل خیرین'!B4:E228,2)</f>
        <v>موردی</v>
      </c>
      <c r="F9" s="3" t="str">
        <f>VLOOKUP(N1,'لیست واریزی کل خیرین'!B4:E228,3)</f>
        <v>اکبر</v>
      </c>
    </row>
    <row r="10" spans="2:20">
      <c r="B10" s="529" t="s">
        <v>726</v>
      </c>
      <c r="C10" s="494"/>
      <c r="D10" s="494"/>
      <c r="E10" s="494"/>
      <c r="F10" s="494"/>
      <c r="G10" s="494"/>
      <c r="H10" s="494"/>
      <c r="I10" s="494"/>
      <c r="J10" s="494"/>
    </row>
    <row r="15" spans="2:20">
      <c r="C15" s="127" t="s">
        <v>463</v>
      </c>
      <c r="D15" s="528">
        <f t="shared" ref="D15:D26" si="0">HLOOKUP(C15,varizi,qq,0)</f>
        <v>0</v>
      </c>
      <c r="E15" s="527"/>
    </row>
    <row r="16" spans="2:20">
      <c r="C16" s="127" t="s">
        <v>468</v>
      </c>
      <c r="D16" s="528">
        <f t="shared" si="0"/>
        <v>0</v>
      </c>
      <c r="E16" s="527"/>
    </row>
    <row r="17" spans="3:5">
      <c r="C17" s="127" t="s">
        <v>462</v>
      </c>
      <c r="D17" s="528">
        <f t="shared" si="0"/>
        <v>30000000</v>
      </c>
      <c r="E17" s="527"/>
    </row>
    <row r="18" spans="3:5">
      <c r="C18" s="127" t="s">
        <v>474</v>
      </c>
      <c r="D18" s="528">
        <f t="shared" si="0"/>
        <v>30000000</v>
      </c>
      <c r="E18" s="527"/>
    </row>
    <row r="19" spans="3:5">
      <c r="C19" s="127" t="s">
        <v>477</v>
      </c>
      <c r="D19" s="528">
        <f t="shared" si="0"/>
        <v>30000000</v>
      </c>
      <c r="E19" s="527"/>
    </row>
    <row r="20" spans="3:5">
      <c r="C20" s="127" t="s">
        <v>479</v>
      </c>
      <c r="D20" s="528">
        <f t="shared" si="0"/>
        <v>30000000</v>
      </c>
      <c r="E20" s="527"/>
    </row>
    <row r="21" spans="3:5" ht="15.75" customHeight="1">
      <c r="C21" s="127" t="s">
        <v>482</v>
      </c>
      <c r="D21" s="528">
        <f t="shared" si="0"/>
        <v>30000000</v>
      </c>
      <c r="E21" s="527"/>
    </row>
    <row r="22" spans="3:5" ht="15.75" customHeight="1">
      <c r="C22" s="127" t="s">
        <v>485</v>
      </c>
      <c r="D22" s="528">
        <f t="shared" si="0"/>
        <v>30000000</v>
      </c>
      <c r="E22" s="527"/>
    </row>
    <row r="23" spans="3:5" ht="15.75" customHeight="1">
      <c r="C23" s="127" t="s">
        <v>488</v>
      </c>
      <c r="D23" s="528">
        <f t="shared" si="0"/>
        <v>30000000</v>
      </c>
      <c r="E23" s="527"/>
    </row>
    <row r="24" spans="3:5" ht="15.75" customHeight="1">
      <c r="C24" s="127" t="s">
        <v>493</v>
      </c>
      <c r="D24" s="528">
        <f t="shared" si="0"/>
        <v>30000000</v>
      </c>
      <c r="E24" s="527"/>
    </row>
    <row r="25" spans="3:5" ht="15.75" customHeight="1">
      <c r="C25" s="127" t="s">
        <v>496</v>
      </c>
      <c r="D25" s="528">
        <f t="shared" si="0"/>
        <v>30000000</v>
      </c>
      <c r="E25" s="527"/>
    </row>
    <row r="26" spans="3:5" ht="15.75" customHeight="1">
      <c r="C26" s="127" t="s">
        <v>499</v>
      </c>
      <c r="D26" s="528">
        <f t="shared" si="0"/>
        <v>30000000</v>
      </c>
      <c r="E26" s="527"/>
    </row>
    <row r="27" spans="3:5" ht="15.75" customHeight="1">
      <c r="C27" s="127" t="s">
        <v>727</v>
      </c>
      <c r="D27" s="528">
        <f>SUM(D15:D26)</f>
        <v>300000000</v>
      </c>
      <c r="E27" s="527"/>
    </row>
    <row r="28" spans="3:5" ht="15.75" customHeight="1"/>
    <row r="29" spans="3:5" ht="15.75" customHeight="1"/>
    <row r="30" spans="3:5" ht="15.75" customHeight="1"/>
    <row r="31" spans="3:5" ht="15.75" customHeight="1"/>
    <row r="32" spans="3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25:E25"/>
    <mergeCell ref="D26:E26"/>
    <mergeCell ref="D27:E27"/>
    <mergeCell ref="B9:D9"/>
    <mergeCell ref="B10:J10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</mergeCells>
  <pageMargins left="0.7" right="0.7" top="0.75" bottom="0.75" header="0" footer="0"/>
  <pageSetup orientation="portrait" r:id="rId1"/>
  <colBreaks count="1" manualBreakCount="1">
    <brk id="11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I1000"/>
  <sheetViews>
    <sheetView rightToLeft="1" workbookViewId="0"/>
  </sheetViews>
  <sheetFormatPr baseColWidth="10" defaultColWidth="14.5" defaultRowHeight="15" customHeight="1"/>
  <cols>
    <col min="1" max="1" width="8.6640625" customWidth="1"/>
    <col min="2" max="2" width="8.6640625" hidden="1" customWidth="1"/>
    <col min="3" max="3" width="12.6640625" customWidth="1"/>
    <col min="4" max="4" width="11.33203125" customWidth="1"/>
    <col min="5" max="5" width="20.83203125" customWidth="1"/>
    <col min="6" max="6" width="21.33203125" customWidth="1"/>
  </cols>
  <sheetData>
    <row r="2" spans="2:6" ht="73.5" customHeight="1"/>
    <row r="3" spans="2:6" ht="30.75" customHeight="1">
      <c r="C3" s="530" t="s">
        <v>728</v>
      </c>
      <c r="D3" s="484"/>
      <c r="E3" s="484"/>
      <c r="F3" s="484"/>
    </row>
    <row r="4" spans="2:6">
      <c r="C4" s="156" t="s">
        <v>453</v>
      </c>
      <c r="D4" s="157" t="s">
        <v>455</v>
      </c>
      <c r="E4" s="157" t="s">
        <v>729</v>
      </c>
      <c r="F4" s="158" t="s">
        <v>730</v>
      </c>
    </row>
    <row r="5" spans="2:6">
      <c r="B5" s="17" t="s">
        <v>42</v>
      </c>
      <c r="C5" s="159" t="s">
        <v>731</v>
      </c>
      <c r="D5" s="118">
        <v>1401</v>
      </c>
      <c r="E5" s="195" t="e">
        <f>SUMIFS('لیست واریزی ماهیانه'!$K$2:$K$1582,'لیست واریزی ماهیانه'!$G$2:$G$266,C5,'لیست واریزی ماهیانه'!$I$2:$I$1582,D5)</f>
        <v>#VALUE!</v>
      </c>
      <c r="F5" s="160" t="e">
        <f>SUMIFS(#REF!,#REF!,روکش!B5,#REF!,روکش!D5)</f>
        <v>#REF!</v>
      </c>
    </row>
    <row r="6" spans="2:6">
      <c r="B6" s="17" t="s">
        <v>45</v>
      </c>
      <c r="C6" s="159" t="s">
        <v>468</v>
      </c>
      <c r="D6" s="118">
        <v>1401</v>
      </c>
      <c r="E6" s="195" t="e">
        <f>SUMIFS('لیست واریزی ماهیانه'!$K$2:$K$1582,'لیست واریزی ماهیانه'!$G$2:$G$266,C6,'لیست واریزی ماهیانه'!$I$2:$I$1582,D6)</f>
        <v>#VALUE!</v>
      </c>
      <c r="F6" s="160" t="e">
        <f>SUMIFS(#REF!,#REF!,روکش!B6,#REF!,روکش!D6)</f>
        <v>#REF!</v>
      </c>
    </row>
    <row r="7" spans="2:6">
      <c r="B7" s="17" t="s">
        <v>49</v>
      </c>
      <c r="C7" s="159" t="s">
        <v>462</v>
      </c>
      <c r="D7" s="118">
        <v>1401</v>
      </c>
      <c r="E7" s="195" t="e">
        <f>SUMIFS('لیست واریزی ماهیانه'!$K$2:$K$1582,'لیست واریزی ماهیانه'!$G$2:$G$266,C7,'لیست واریزی ماهیانه'!$I$2:$I$1582,D7)</f>
        <v>#VALUE!</v>
      </c>
      <c r="F7" s="160" t="e">
        <f>SUMIFS(#REF!,#REF!,روکش!B7,#REF!,روکش!D7)</f>
        <v>#REF!</v>
      </c>
    </row>
    <row r="8" spans="2:6">
      <c r="B8" s="17" t="s">
        <v>53</v>
      </c>
      <c r="C8" s="159" t="s">
        <v>474</v>
      </c>
      <c r="D8" s="118">
        <v>1401</v>
      </c>
      <c r="E8" s="195" t="e">
        <f>SUMIFS('لیست واریزی ماهیانه'!$K$2:$K$1582,'لیست واریزی ماهیانه'!$G$2:$G$266,C8,'لیست واریزی ماهیانه'!$I$2:$I$1582,D8)</f>
        <v>#VALUE!</v>
      </c>
      <c r="F8" s="160" t="e">
        <f>SUMIFS(#REF!,#REF!,روکش!B8,#REF!,روکش!D8)</f>
        <v>#REF!</v>
      </c>
    </row>
    <row r="9" spans="2:6">
      <c r="B9" s="17" t="s">
        <v>56</v>
      </c>
      <c r="C9" s="159" t="s">
        <v>477</v>
      </c>
      <c r="D9" s="118">
        <v>1401</v>
      </c>
      <c r="E9" s="195" t="e">
        <f>SUMIFS('لیست واریزی ماهیانه'!$K$2:$K$1582,'لیست واریزی ماهیانه'!$G$2:$G$266,C9,'لیست واریزی ماهیانه'!$I$2:$I$1582,D9)</f>
        <v>#VALUE!</v>
      </c>
      <c r="F9" s="160" t="e">
        <f>SUMIFS(#REF!,#REF!,روکش!B9,#REF!,روکش!D9)</f>
        <v>#REF!</v>
      </c>
    </row>
    <row r="10" spans="2:6">
      <c r="B10" s="17" t="s">
        <v>60</v>
      </c>
      <c r="C10" s="159" t="s">
        <v>479</v>
      </c>
      <c r="D10" s="118">
        <v>1401</v>
      </c>
      <c r="E10" s="195" t="e">
        <f>SUMIFS('لیست واریزی ماهیانه'!$K$2:$K$1582,'لیست واریزی ماهیانه'!$G$2:$G$266,C10,'لیست واریزی ماهیانه'!$I$2:$I$1582,D10)</f>
        <v>#VALUE!</v>
      </c>
      <c r="F10" s="160" t="e">
        <f>SUMIFS(#REF!,#REF!,روکش!B10,#REF!,روکش!D10)</f>
        <v>#REF!</v>
      </c>
    </row>
    <row r="11" spans="2:6">
      <c r="B11" s="17" t="s">
        <v>63</v>
      </c>
      <c r="C11" s="159" t="s">
        <v>482</v>
      </c>
      <c r="D11" s="118">
        <v>1401</v>
      </c>
      <c r="E11" s="195" t="e">
        <f>SUMIFS('لیست واریزی ماهیانه'!$K$2:$K$1582,'لیست واریزی ماهیانه'!$G$2:$G$266,C11,'لیست واریزی ماهیانه'!$I$2:$I$1582,D11)</f>
        <v>#VALUE!</v>
      </c>
      <c r="F11" s="160" t="e">
        <f>SUMIFS(#REF!,#REF!,روکش!B11,#REF!,روکش!D11)</f>
        <v>#REF!</v>
      </c>
    </row>
    <row r="12" spans="2:6">
      <c r="B12" s="17" t="s">
        <v>67</v>
      </c>
      <c r="C12" s="159" t="s">
        <v>485</v>
      </c>
      <c r="D12" s="118">
        <v>1401</v>
      </c>
      <c r="E12" s="195" t="e">
        <f>SUMIFS('لیست واریزی ماهیانه'!$K$2:$K$1582,'لیست واریزی ماهیانه'!$G$2:$G$266,C12,'لیست واریزی ماهیانه'!$I$2:$I$1582,D12)</f>
        <v>#VALUE!</v>
      </c>
      <c r="F12" s="160" t="e">
        <f>SUMIFS(#REF!,#REF!,روکش!B12,#REF!,روکش!D12)</f>
        <v>#REF!</v>
      </c>
    </row>
    <row r="13" spans="2:6">
      <c r="B13" s="17" t="s">
        <v>71</v>
      </c>
      <c r="C13" s="159" t="s">
        <v>488</v>
      </c>
      <c r="D13" s="118">
        <v>1401</v>
      </c>
      <c r="E13" s="195" t="e">
        <f>SUMIFS('لیست واریزی ماهیانه'!$K$2:$K$1582,'لیست واریزی ماهیانه'!$G$2:$G$266,C13,'لیست واریزی ماهیانه'!$I$2:$I$1582,D13)</f>
        <v>#VALUE!</v>
      </c>
      <c r="F13" s="160" t="e">
        <f>SUMIFS(#REF!,#REF!,روکش!B13,#REF!,روکش!D13)</f>
        <v>#REF!</v>
      </c>
    </row>
    <row r="14" spans="2:6">
      <c r="B14" s="17" t="s">
        <v>75</v>
      </c>
      <c r="C14" s="159" t="s">
        <v>493</v>
      </c>
      <c r="D14" s="118">
        <v>1401</v>
      </c>
      <c r="E14" s="195" t="e">
        <f>SUMIFS('لیست واریزی ماهیانه'!$K$2:$K$1582,'لیست واریزی ماهیانه'!$G$2:$G$266,C14,'لیست واریزی ماهیانه'!$I$2:$I$1582,D14)</f>
        <v>#VALUE!</v>
      </c>
      <c r="F14" s="160" t="e">
        <f>SUMIFS(#REF!,#REF!,روکش!B14,#REF!,روکش!D14)</f>
        <v>#REF!</v>
      </c>
    </row>
    <row r="15" spans="2:6">
      <c r="B15" s="17" t="s">
        <v>78</v>
      </c>
      <c r="C15" s="159" t="s">
        <v>496</v>
      </c>
      <c r="D15" s="118">
        <v>1401</v>
      </c>
      <c r="E15" s="195" t="e">
        <f>SUMIFS('لیست واریزی ماهیانه'!$K$2:$K$1582,'لیست واریزی ماهیانه'!$G$2:$G$266,C15,'لیست واریزی ماهیانه'!$I$2:$I$1582,D15)</f>
        <v>#VALUE!</v>
      </c>
      <c r="F15" s="160" t="e">
        <f>SUMIFS(#REF!,#REF!,روکش!B15,#REF!,روکش!D15)</f>
        <v>#REF!</v>
      </c>
    </row>
    <row r="16" spans="2:6">
      <c r="B16" s="17" t="s">
        <v>83</v>
      </c>
      <c r="C16" s="159" t="s">
        <v>499</v>
      </c>
      <c r="D16" s="118">
        <v>1401</v>
      </c>
      <c r="E16" s="195" t="e">
        <f>SUMIFS('لیست واریزی ماهیانه'!$K$2:$K$1582,'لیست واریزی ماهیانه'!$G$2:$G$266,C16,'لیست واریزی ماهیانه'!$I$2:$I$1582,D16)</f>
        <v>#VALUE!</v>
      </c>
      <c r="F16" s="160" t="e">
        <f>SUMIFS(#REF!,#REF!,روکش!B16,#REF!,روکش!D16)</f>
        <v>#REF!</v>
      </c>
    </row>
    <row r="17" spans="3:9">
      <c r="C17" s="531" t="s">
        <v>732</v>
      </c>
      <c r="D17" s="532"/>
      <c r="E17" s="161" t="e">
        <f t="shared" ref="E17:F17" si="0">SUM(E5:E16)</f>
        <v>#VALUE!</v>
      </c>
      <c r="F17" s="162" t="e">
        <f t="shared" si="0"/>
        <v>#REF!</v>
      </c>
    </row>
    <row r="21" spans="3:9" ht="15.75" customHeight="1"/>
    <row r="22" spans="3:9" ht="15.75" customHeight="1"/>
    <row r="23" spans="3:9" ht="15.75" customHeight="1"/>
    <row r="24" spans="3:9" ht="15.75" customHeight="1"/>
    <row r="25" spans="3:9" ht="15.75" customHeight="1">
      <c r="I25" s="17" t="s">
        <v>531</v>
      </c>
    </row>
    <row r="26" spans="3:9" ht="15.75" customHeight="1"/>
    <row r="27" spans="3:9" ht="15.75" customHeight="1"/>
    <row r="28" spans="3:9" ht="15.75" customHeight="1"/>
    <row r="29" spans="3:9" ht="15.75" customHeight="1"/>
    <row r="30" spans="3:9" ht="15.75" customHeight="1"/>
    <row r="31" spans="3:9" ht="15.75" customHeight="1"/>
    <row r="32" spans="3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3:F3"/>
    <mergeCell ref="C17:D17"/>
  </mergeCells>
  <pageMargins left="0.7" right="0.7" top="0.75" bottom="0.75" header="0" footer="0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000"/>
  <sheetViews>
    <sheetView workbookViewId="0"/>
  </sheetViews>
  <sheetFormatPr baseColWidth="10" defaultColWidth="14.5" defaultRowHeight="15" customHeight="1"/>
  <sheetData>
    <row r="1" spans="1:4" ht="15" customHeight="1">
      <c r="A1" s="126"/>
      <c r="B1" s="126"/>
      <c r="C1" s="126"/>
      <c r="D1" s="126"/>
    </row>
    <row r="2" spans="1:4" ht="15" customHeight="1">
      <c r="A2" s="126"/>
      <c r="B2" s="126"/>
      <c r="C2" s="126"/>
      <c r="D2" s="126"/>
    </row>
    <row r="3" spans="1:4" ht="15" customHeight="1">
      <c r="A3" s="126" t="s">
        <v>733</v>
      </c>
      <c r="B3" s="126" t="s">
        <v>734</v>
      </c>
      <c r="C3" s="126" t="s">
        <v>735</v>
      </c>
      <c r="D3" s="126">
        <v>1478123486</v>
      </c>
    </row>
    <row r="4" spans="1:4" ht="15" customHeight="1">
      <c r="A4" s="126"/>
      <c r="B4" s="163" t="s">
        <v>736</v>
      </c>
      <c r="C4" s="126" t="s">
        <v>737</v>
      </c>
      <c r="D4" s="126">
        <v>1160284200</v>
      </c>
    </row>
    <row r="5" spans="1:4" ht="15" customHeight="1">
      <c r="A5" s="126"/>
      <c r="B5" s="163" t="s">
        <v>738</v>
      </c>
      <c r="C5" s="163" t="s">
        <v>739</v>
      </c>
      <c r="D5" s="126">
        <v>932094672</v>
      </c>
    </row>
    <row r="6" spans="1:4" ht="15" customHeight="1">
      <c r="A6" s="126"/>
      <c r="B6" s="163" t="s">
        <v>740</v>
      </c>
      <c r="C6" s="163" t="s">
        <v>741</v>
      </c>
      <c r="D6" s="126">
        <v>252000000</v>
      </c>
    </row>
    <row r="7" spans="1:4" ht="15" customHeight="1">
      <c r="A7" s="126"/>
      <c r="B7" s="126"/>
      <c r="C7" s="126"/>
      <c r="D7" s="126">
        <f>SUM(D3:D6)</f>
        <v>3822502358</v>
      </c>
    </row>
    <row r="8" spans="1:4" ht="15" customHeight="1">
      <c r="A8" s="126"/>
      <c r="B8" s="126"/>
      <c r="C8" s="126"/>
      <c r="D8" s="126"/>
    </row>
    <row r="9" spans="1:4" ht="15" customHeight="1">
      <c r="A9" s="126"/>
      <c r="B9" s="126"/>
      <c r="C9" s="126"/>
      <c r="D9" s="126"/>
    </row>
    <row r="10" spans="1:4" ht="15" customHeight="1">
      <c r="A10" s="126"/>
      <c r="B10" s="126"/>
      <c r="C10" s="126"/>
      <c r="D10" s="126"/>
    </row>
    <row r="11" spans="1:4" ht="15" customHeight="1">
      <c r="A11" s="126"/>
      <c r="B11" s="126"/>
      <c r="C11" s="126"/>
      <c r="D11" s="126"/>
    </row>
    <row r="12" spans="1:4" ht="15" customHeight="1">
      <c r="A12" s="126"/>
      <c r="B12" s="126"/>
      <c r="C12" s="126"/>
      <c r="D12" s="126"/>
    </row>
    <row r="13" spans="1:4" ht="15" customHeight="1">
      <c r="A13" s="126"/>
      <c r="B13" s="126"/>
      <c r="C13" s="126"/>
      <c r="D13" s="126"/>
    </row>
    <row r="14" spans="1:4" ht="15" customHeight="1">
      <c r="A14" s="126"/>
      <c r="B14" s="126"/>
      <c r="C14" s="126"/>
      <c r="D14" s="126"/>
    </row>
    <row r="15" spans="1:4" ht="15" customHeight="1">
      <c r="A15" s="126"/>
      <c r="B15" s="126"/>
      <c r="C15" s="126"/>
      <c r="D15" s="126"/>
    </row>
    <row r="16" spans="1:4" ht="15" customHeight="1">
      <c r="A16" s="126"/>
      <c r="B16" s="126"/>
      <c r="C16" s="126"/>
      <c r="D16" s="126"/>
    </row>
    <row r="17" spans="1:4" ht="15" customHeight="1">
      <c r="A17" s="126"/>
      <c r="B17" s="126"/>
      <c r="C17" s="126"/>
      <c r="D17" s="126"/>
    </row>
    <row r="18" spans="1:4" ht="15" customHeight="1">
      <c r="A18" s="126"/>
      <c r="B18" s="126"/>
      <c r="C18" s="126"/>
      <c r="D18" s="126"/>
    </row>
    <row r="19" spans="1:4" ht="15" customHeight="1">
      <c r="A19" s="126"/>
      <c r="B19" s="126"/>
      <c r="C19" s="126"/>
      <c r="D19" s="126"/>
    </row>
    <row r="20" spans="1:4" ht="15" customHeight="1">
      <c r="A20" s="126"/>
      <c r="B20" s="126"/>
      <c r="C20" s="126"/>
      <c r="D20" s="126"/>
    </row>
    <row r="21" spans="1:4" ht="15" customHeight="1">
      <c r="A21" s="126"/>
      <c r="B21" s="126"/>
      <c r="C21" s="126"/>
      <c r="D21" s="126"/>
    </row>
    <row r="22" spans="1:4" ht="15" customHeight="1">
      <c r="A22" s="126"/>
      <c r="B22" s="126"/>
      <c r="C22" s="126"/>
      <c r="D22" s="126"/>
    </row>
    <row r="23" spans="1:4" ht="15" customHeight="1">
      <c r="A23" s="126"/>
      <c r="B23" s="126"/>
      <c r="C23" s="126"/>
      <c r="D23" s="126"/>
    </row>
    <row r="24" spans="1:4" ht="15" customHeight="1">
      <c r="A24" s="126"/>
      <c r="B24" s="126"/>
      <c r="C24" s="126"/>
      <c r="D24" s="126"/>
    </row>
    <row r="25" spans="1:4" ht="15" customHeight="1">
      <c r="A25" s="126"/>
      <c r="B25" s="126"/>
      <c r="C25" s="126"/>
      <c r="D25" s="126"/>
    </row>
    <row r="26" spans="1:4" ht="15" customHeight="1">
      <c r="A26" s="126"/>
      <c r="B26" s="126"/>
      <c r="C26" s="126"/>
      <c r="D26" s="126"/>
    </row>
    <row r="27" spans="1:4" ht="15" customHeight="1">
      <c r="A27" s="126"/>
      <c r="B27" s="126"/>
      <c r="C27" s="126"/>
      <c r="D27" s="126"/>
    </row>
    <row r="28" spans="1:4" ht="15" customHeight="1">
      <c r="A28" s="126"/>
      <c r="B28" s="126"/>
      <c r="C28" s="126"/>
      <c r="D28" s="126"/>
    </row>
    <row r="29" spans="1:4" ht="15" customHeight="1">
      <c r="A29" s="126"/>
      <c r="B29" s="126"/>
      <c r="C29" s="126"/>
      <c r="D29" s="126"/>
    </row>
    <row r="30" spans="1:4" ht="15" customHeight="1">
      <c r="A30" s="126"/>
      <c r="B30" s="126"/>
      <c r="C30" s="126"/>
      <c r="D30" s="126"/>
    </row>
    <row r="31" spans="1:4" ht="15" customHeight="1">
      <c r="A31" s="126"/>
      <c r="B31" s="126"/>
      <c r="C31" s="126"/>
      <c r="D31" s="126"/>
    </row>
    <row r="32" spans="1:4">
      <c r="A32" s="126"/>
      <c r="B32" s="126"/>
      <c r="C32" s="126"/>
      <c r="D32" s="126"/>
    </row>
    <row r="33" spans="1:4">
      <c r="A33" s="126"/>
      <c r="B33" s="126"/>
      <c r="C33" s="126"/>
      <c r="D33" s="126"/>
    </row>
    <row r="34" spans="1:4">
      <c r="A34" s="126"/>
      <c r="B34" s="126"/>
      <c r="C34" s="126"/>
      <c r="D34" s="126"/>
    </row>
    <row r="35" spans="1:4">
      <c r="A35" s="126"/>
      <c r="B35" s="126"/>
      <c r="C35" s="126"/>
      <c r="D35" s="126"/>
    </row>
    <row r="36" spans="1:4">
      <c r="A36" s="126"/>
      <c r="B36" s="126"/>
      <c r="C36" s="126"/>
      <c r="D36" s="126"/>
    </row>
    <row r="37" spans="1:4">
      <c r="A37" s="126"/>
      <c r="B37" s="126"/>
      <c r="C37" s="126"/>
      <c r="D37" s="126"/>
    </row>
    <row r="38" spans="1:4">
      <c r="A38" s="126"/>
      <c r="B38" s="126"/>
      <c r="C38" s="126"/>
      <c r="D38" s="126"/>
    </row>
    <row r="39" spans="1:4">
      <c r="A39" s="126"/>
      <c r="B39" s="126"/>
      <c r="C39" s="126"/>
      <c r="D39" s="126"/>
    </row>
    <row r="40" spans="1:4">
      <c r="A40" s="126"/>
      <c r="B40" s="126"/>
      <c r="C40" s="126"/>
      <c r="D40" s="126"/>
    </row>
    <row r="41" spans="1:4">
      <c r="A41" s="126"/>
      <c r="B41" s="126"/>
      <c r="C41" s="126"/>
      <c r="D41" s="126"/>
    </row>
    <row r="42" spans="1:4">
      <c r="A42" s="126"/>
      <c r="B42" s="126"/>
      <c r="C42" s="126"/>
      <c r="D42" s="126"/>
    </row>
    <row r="43" spans="1:4">
      <c r="A43" s="126"/>
      <c r="B43" s="126"/>
      <c r="C43" s="126"/>
      <c r="D43" s="126"/>
    </row>
    <row r="44" spans="1:4">
      <c r="A44" s="126"/>
      <c r="B44" s="126"/>
      <c r="C44" s="126"/>
      <c r="D44" s="126"/>
    </row>
    <row r="45" spans="1:4">
      <c r="A45" s="126"/>
      <c r="B45" s="126"/>
      <c r="C45" s="126"/>
      <c r="D45" s="126"/>
    </row>
    <row r="46" spans="1:4">
      <c r="A46" s="126"/>
      <c r="B46" s="126"/>
      <c r="C46" s="126"/>
      <c r="D46" s="126"/>
    </row>
    <row r="47" spans="1:4">
      <c r="A47" s="126"/>
      <c r="B47" s="126"/>
      <c r="C47" s="126"/>
      <c r="D47" s="126"/>
    </row>
    <row r="48" spans="1:4">
      <c r="A48" s="126"/>
      <c r="B48" s="126"/>
      <c r="C48" s="126"/>
      <c r="D48" s="126"/>
    </row>
    <row r="49" spans="1:4">
      <c r="A49" s="126"/>
      <c r="B49" s="126"/>
      <c r="C49" s="126"/>
      <c r="D49" s="126"/>
    </row>
    <row r="50" spans="1:4">
      <c r="A50" s="126"/>
      <c r="B50" s="126"/>
      <c r="C50" s="126"/>
      <c r="D50" s="126"/>
    </row>
    <row r="51" spans="1:4">
      <c r="A51" s="126"/>
      <c r="B51" s="126"/>
      <c r="C51" s="126"/>
      <c r="D51" s="126"/>
    </row>
    <row r="52" spans="1:4">
      <c r="A52" s="126"/>
      <c r="B52" s="126"/>
      <c r="C52" s="126"/>
      <c r="D52" s="126"/>
    </row>
    <row r="53" spans="1:4">
      <c r="A53" s="126"/>
      <c r="B53" s="126"/>
      <c r="C53" s="126"/>
      <c r="D53" s="126"/>
    </row>
    <row r="54" spans="1:4">
      <c r="A54" s="126"/>
      <c r="B54" s="126"/>
      <c r="C54" s="126"/>
      <c r="D54" s="126"/>
    </row>
    <row r="55" spans="1:4">
      <c r="A55" s="126"/>
      <c r="B55" s="126"/>
      <c r="C55" s="126"/>
      <c r="D55" s="126"/>
    </row>
    <row r="56" spans="1:4">
      <c r="A56" s="126"/>
      <c r="B56" s="126"/>
      <c r="C56" s="126"/>
      <c r="D56" s="126"/>
    </row>
    <row r="57" spans="1:4">
      <c r="A57" s="126"/>
      <c r="B57" s="126"/>
      <c r="C57" s="126"/>
      <c r="D57" s="126"/>
    </row>
    <row r="58" spans="1:4">
      <c r="A58" s="126"/>
      <c r="B58" s="126"/>
      <c r="C58" s="126"/>
      <c r="D58" s="126"/>
    </row>
    <row r="59" spans="1:4">
      <c r="A59" s="126"/>
      <c r="B59" s="126"/>
      <c r="C59" s="126"/>
      <c r="D59" s="126"/>
    </row>
    <row r="60" spans="1:4">
      <c r="A60" s="126"/>
      <c r="B60" s="126"/>
      <c r="C60" s="126"/>
      <c r="D60" s="126"/>
    </row>
    <row r="61" spans="1:4">
      <c r="A61" s="126"/>
      <c r="B61" s="126"/>
      <c r="C61" s="126"/>
      <c r="D61" s="126"/>
    </row>
    <row r="62" spans="1:4">
      <c r="A62" s="126"/>
      <c r="B62" s="126"/>
      <c r="C62" s="126"/>
      <c r="D62" s="126"/>
    </row>
    <row r="63" spans="1:4">
      <c r="A63" s="126"/>
      <c r="B63" s="126"/>
      <c r="C63" s="126"/>
      <c r="D63" s="126"/>
    </row>
    <row r="64" spans="1:4">
      <c r="A64" s="126"/>
      <c r="B64" s="126"/>
      <c r="C64" s="126"/>
      <c r="D64" s="126"/>
    </row>
    <row r="65" spans="1:4">
      <c r="A65" s="126"/>
      <c r="B65" s="126"/>
      <c r="C65" s="126"/>
      <c r="D65" s="126"/>
    </row>
    <row r="66" spans="1:4">
      <c r="A66" s="126"/>
      <c r="B66" s="126"/>
      <c r="C66" s="126"/>
      <c r="D66" s="126"/>
    </row>
    <row r="67" spans="1:4">
      <c r="A67" s="126"/>
      <c r="B67" s="126"/>
      <c r="C67" s="126"/>
      <c r="D67" s="126"/>
    </row>
    <row r="68" spans="1:4">
      <c r="A68" s="126"/>
      <c r="B68" s="126"/>
      <c r="C68" s="126"/>
      <c r="D68" s="126"/>
    </row>
    <row r="69" spans="1:4">
      <c r="A69" s="126"/>
      <c r="B69" s="126"/>
      <c r="C69" s="126"/>
      <c r="D69" s="126"/>
    </row>
    <row r="70" spans="1:4">
      <c r="A70" s="126"/>
      <c r="B70" s="126"/>
      <c r="C70" s="126"/>
      <c r="D70" s="126"/>
    </row>
    <row r="71" spans="1:4">
      <c r="A71" s="126"/>
      <c r="B71" s="126"/>
      <c r="C71" s="126"/>
      <c r="D71" s="126"/>
    </row>
    <row r="72" spans="1:4">
      <c r="A72" s="126"/>
      <c r="B72" s="126"/>
      <c r="C72" s="126"/>
      <c r="D72" s="126"/>
    </row>
    <row r="73" spans="1:4">
      <c r="A73" s="126"/>
      <c r="B73" s="126"/>
      <c r="C73" s="126"/>
      <c r="D73" s="126"/>
    </row>
    <row r="74" spans="1:4">
      <c r="A74" s="126"/>
      <c r="B74" s="126"/>
      <c r="C74" s="126"/>
      <c r="D74" s="126"/>
    </row>
    <row r="75" spans="1:4">
      <c r="A75" s="126"/>
      <c r="B75" s="126"/>
      <c r="C75" s="126"/>
      <c r="D75" s="126"/>
    </row>
    <row r="76" spans="1:4">
      <c r="A76" s="126"/>
      <c r="B76" s="126"/>
      <c r="C76" s="126"/>
      <c r="D76" s="126"/>
    </row>
    <row r="77" spans="1:4">
      <c r="A77" s="126"/>
      <c r="B77" s="126"/>
      <c r="C77" s="126"/>
      <c r="D77" s="126"/>
    </row>
    <row r="78" spans="1:4">
      <c r="A78" s="126"/>
      <c r="B78" s="126"/>
      <c r="C78" s="126"/>
      <c r="D78" s="126"/>
    </row>
    <row r="79" spans="1:4">
      <c r="A79" s="126"/>
      <c r="B79" s="126"/>
      <c r="C79" s="126"/>
      <c r="D79" s="126"/>
    </row>
    <row r="80" spans="1:4">
      <c r="A80" s="126"/>
      <c r="B80" s="126"/>
      <c r="C80" s="126"/>
      <c r="D80" s="126"/>
    </row>
    <row r="81" spans="1:4">
      <c r="A81" s="126"/>
      <c r="B81" s="126"/>
      <c r="C81" s="126"/>
      <c r="D81" s="126"/>
    </row>
    <row r="82" spans="1:4">
      <c r="A82" s="126"/>
      <c r="B82" s="126"/>
      <c r="C82" s="126"/>
      <c r="D82" s="126"/>
    </row>
    <row r="83" spans="1:4">
      <c r="A83" s="126"/>
      <c r="B83" s="126"/>
      <c r="C83" s="126"/>
      <c r="D83" s="126"/>
    </row>
    <row r="84" spans="1:4">
      <c r="A84" s="126"/>
      <c r="B84" s="126"/>
      <c r="C84" s="126"/>
      <c r="D84" s="126"/>
    </row>
    <row r="85" spans="1:4">
      <c r="A85" s="126"/>
      <c r="B85" s="126"/>
      <c r="C85" s="126"/>
      <c r="D85" s="126"/>
    </row>
    <row r="86" spans="1:4">
      <c r="A86" s="126"/>
      <c r="B86" s="126"/>
      <c r="C86" s="126"/>
      <c r="D86" s="126"/>
    </row>
    <row r="87" spans="1:4">
      <c r="A87" s="126"/>
      <c r="B87" s="126"/>
      <c r="C87" s="126"/>
      <c r="D87" s="126"/>
    </row>
    <row r="88" spans="1:4">
      <c r="A88" s="126"/>
      <c r="B88" s="126"/>
      <c r="C88" s="126"/>
      <c r="D88" s="126"/>
    </row>
    <row r="89" spans="1:4">
      <c r="A89" s="126"/>
      <c r="B89" s="126"/>
      <c r="C89" s="126"/>
      <c r="D89" s="126"/>
    </row>
    <row r="90" spans="1:4">
      <c r="A90" s="126"/>
      <c r="B90" s="126"/>
      <c r="C90" s="126"/>
      <c r="D90" s="126"/>
    </row>
    <row r="91" spans="1:4">
      <c r="A91" s="126"/>
      <c r="B91" s="126"/>
      <c r="C91" s="126"/>
      <c r="D91" s="126"/>
    </row>
    <row r="92" spans="1:4">
      <c r="A92" s="126"/>
      <c r="B92" s="126"/>
      <c r="C92" s="126"/>
      <c r="D92" s="126"/>
    </row>
    <row r="93" spans="1:4">
      <c r="A93" s="126"/>
      <c r="B93" s="126"/>
      <c r="C93" s="126"/>
      <c r="D93" s="126"/>
    </row>
    <row r="94" spans="1:4">
      <c r="A94" s="126"/>
      <c r="B94" s="126"/>
      <c r="C94" s="126"/>
      <c r="D94" s="126"/>
    </row>
    <row r="95" spans="1:4">
      <c r="A95" s="126"/>
      <c r="B95" s="126"/>
      <c r="C95" s="126"/>
      <c r="D95" s="126"/>
    </row>
    <row r="96" spans="1:4">
      <c r="A96" s="126"/>
      <c r="B96" s="126"/>
      <c r="C96" s="126"/>
      <c r="D96" s="126"/>
    </row>
    <row r="97" spans="1:4">
      <c r="A97" s="126"/>
      <c r="B97" s="126"/>
      <c r="C97" s="126"/>
      <c r="D97" s="126"/>
    </row>
    <row r="98" spans="1:4">
      <c r="A98" s="126"/>
      <c r="B98" s="126"/>
      <c r="C98" s="126"/>
      <c r="D98" s="126"/>
    </row>
    <row r="99" spans="1:4">
      <c r="A99" s="126"/>
      <c r="B99" s="126"/>
      <c r="C99" s="126"/>
      <c r="D99" s="126"/>
    </row>
    <row r="100" spans="1:4">
      <c r="A100" s="126"/>
      <c r="B100" s="126"/>
      <c r="C100" s="126"/>
      <c r="D100" s="126"/>
    </row>
    <row r="101" spans="1:4">
      <c r="A101" s="126"/>
      <c r="B101" s="126"/>
      <c r="C101" s="126"/>
      <c r="D101" s="126"/>
    </row>
    <row r="102" spans="1:4">
      <c r="A102" s="126"/>
      <c r="B102" s="126"/>
      <c r="C102" s="126"/>
      <c r="D102" s="126"/>
    </row>
    <row r="103" spans="1:4">
      <c r="A103" s="126"/>
      <c r="B103" s="126"/>
      <c r="C103" s="126"/>
      <c r="D103" s="126"/>
    </row>
    <row r="104" spans="1:4">
      <c r="A104" s="126"/>
      <c r="B104" s="126"/>
      <c r="C104" s="126"/>
      <c r="D104" s="126"/>
    </row>
    <row r="105" spans="1:4">
      <c r="A105" s="126"/>
      <c r="B105" s="126"/>
      <c r="C105" s="126"/>
      <c r="D105" s="126"/>
    </row>
    <row r="106" spans="1:4">
      <c r="A106" s="126"/>
      <c r="B106" s="126"/>
      <c r="C106" s="126"/>
      <c r="D106" s="126"/>
    </row>
    <row r="107" spans="1:4">
      <c r="A107" s="126"/>
      <c r="B107" s="126"/>
      <c r="C107" s="126"/>
      <c r="D107" s="126"/>
    </row>
    <row r="108" spans="1:4">
      <c r="A108" s="126"/>
      <c r="B108" s="126"/>
      <c r="C108" s="126"/>
      <c r="D108" s="126"/>
    </row>
    <row r="109" spans="1:4">
      <c r="A109" s="126"/>
      <c r="B109" s="126"/>
      <c r="C109" s="126"/>
      <c r="D109" s="126"/>
    </row>
    <row r="110" spans="1:4">
      <c r="A110" s="126"/>
      <c r="B110" s="126"/>
      <c r="C110" s="126"/>
      <c r="D110" s="126"/>
    </row>
    <row r="111" spans="1:4">
      <c r="A111" s="126"/>
      <c r="B111" s="126"/>
      <c r="C111" s="126"/>
      <c r="D111" s="126"/>
    </row>
    <row r="112" spans="1:4">
      <c r="A112" s="126"/>
      <c r="B112" s="126"/>
      <c r="C112" s="126"/>
      <c r="D112" s="126"/>
    </row>
    <row r="113" spans="1:4">
      <c r="A113" s="126"/>
      <c r="B113" s="126"/>
      <c r="C113" s="126"/>
      <c r="D113" s="126"/>
    </row>
    <row r="114" spans="1:4">
      <c r="A114" s="126"/>
      <c r="B114" s="126"/>
      <c r="C114" s="126"/>
      <c r="D114" s="126"/>
    </row>
    <row r="115" spans="1:4">
      <c r="A115" s="126"/>
      <c r="B115" s="126"/>
      <c r="C115" s="126"/>
      <c r="D115" s="126"/>
    </row>
    <row r="116" spans="1:4">
      <c r="A116" s="126"/>
      <c r="B116" s="126"/>
      <c r="C116" s="126"/>
      <c r="D116" s="126"/>
    </row>
    <row r="117" spans="1:4">
      <c r="A117" s="126"/>
      <c r="B117" s="126"/>
      <c r="C117" s="126"/>
      <c r="D117" s="126"/>
    </row>
    <row r="118" spans="1:4">
      <c r="A118" s="126"/>
      <c r="B118" s="126"/>
      <c r="C118" s="126"/>
      <c r="D118" s="126"/>
    </row>
    <row r="119" spans="1:4">
      <c r="A119" s="126"/>
      <c r="B119" s="126"/>
      <c r="C119" s="126"/>
      <c r="D119" s="126"/>
    </row>
    <row r="120" spans="1:4">
      <c r="A120" s="126"/>
      <c r="B120" s="126"/>
      <c r="C120" s="126"/>
      <c r="D120" s="126"/>
    </row>
    <row r="121" spans="1:4">
      <c r="A121" s="126"/>
      <c r="B121" s="126"/>
      <c r="C121" s="126"/>
      <c r="D121" s="126"/>
    </row>
    <row r="122" spans="1:4">
      <c r="A122" s="126"/>
      <c r="B122" s="126"/>
      <c r="C122" s="126"/>
      <c r="D122" s="126"/>
    </row>
    <row r="123" spans="1:4">
      <c r="A123" s="126"/>
      <c r="B123" s="126"/>
      <c r="C123" s="126"/>
      <c r="D123" s="126"/>
    </row>
    <row r="124" spans="1:4">
      <c r="A124" s="126"/>
      <c r="B124" s="126"/>
      <c r="C124" s="126"/>
      <c r="D124" s="126"/>
    </row>
    <row r="125" spans="1:4">
      <c r="A125" s="126"/>
      <c r="B125" s="126"/>
      <c r="C125" s="126"/>
      <c r="D125" s="126"/>
    </row>
    <row r="126" spans="1:4">
      <c r="A126" s="126"/>
      <c r="B126" s="126"/>
      <c r="C126" s="126"/>
      <c r="D126" s="126"/>
    </row>
    <row r="127" spans="1:4">
      <c r="A127" s="126"/>
      <c r="B127" s="126"/>
      <c r="C127" s="126"/>
      <c r="D127" s="126"/>
    </row>
    <row r="128" spans="1:4">
      <c r="A128" s="126"/>
      <c r="B128" s="126"/>
      <c r="C128" s="126"/>
      <c r="D128" s="126"/>
    </row>
    <row r="129" spans="1:4">
      <c r="A129" s="126"/>
      <c r="B129" s="126"/>
      <c r="C129" s="126"/>
      <c r="D129" s="126"/>
    </row>
    <row r="130" spans="1:4">
      <c r="A130" s="126"/>
      <c r="B130" s="126"/>
      <c r="C130" s="126"/>
      <c r="D130" s="126"/>
    </row>
    <row r="131" spans="1:4">
      <c r="A131" s="126"/>
      <c r="B131" s="126"/>
      <c r="C131" s="126"/>
      <c r="D131" s="126"/>
    </row>
    <row r="132" spans="1:4">
      <c r="A132" s="126"/>
      <c r="B132" s="126"/>
      <c r="C132" s="126"/>
      <c r="D132" s="126"/>
    </row>
    <row r="133" spans="1:4">
      <c r="A133" s="126"/>
      <c r="B133" s="126"/>
      <c r="C133" s="126"/>
      <c r="D133" s="126"/>
    </row>
    <row r="134" spans="1:4">
      <c r="A134" s="126"/>
      <c r="B134" s="126"/>
      <c r="C134" s="126"/>
      <c r="D134" s="126"/>
    </row>
    <row r="135" spans="1:4">
      <c r="A135" s="126"/>
      <c r="B135" s="126"/>
      <c r="C135" s="126"/>
      <c r="D135" s="126"/>
    </row>
    <row r="136" spans="1:4">
      <c r="A136" s="126"/>
      <c r="B136" s="126"/>
      <c r="C136" s="126"/>
      <c r="D136" s="126"/>
    </row>
    <row r="137" spans="1:4">
      <c r="A137" s="126"/>
      <c r="B137" s="126"/>
      <c r="C137" s="126"/>
      <c r="D137" s="126"/>
    </row>
    <row r="138" spans="1:4">
      <c r="A138" s="126"/>
      <c r="B138" s="126"/>
      <c r="C138" s="126"/>
      <c r="D138" s="126"/>
    </row>
    <row r="139" spans="1:4">
      <c r="A139" s="126"/>
      <c r="B139" s="126"/>
      <c r="C139" s="126"/>
      <c r="D139" s="126"/>
    </row>
    <row r="140" spans="1:4">
      <c r="A140" s="126"/>
      <c r="B140" s="126"/>
      <c r="C140" s="126"/>
      <c r="D140" s="126"/>
    </row>
    <row r="141" spans="1:4">
      <c r="A141" s="126"/>
      <c r="B141" s="126"/>
      <c r="C141" s="126"/>
      <c r="D141" s="126"/>
    </row>
    <row r="142" spans="1:4">
      <c r="A142" s="126"/>
      <c r="B142" s="126"/>
      <c r="C142" s="126"/>
      <c r="D142" s="126"/>
    </row>
    <row r="143" spans="1:4">
      <c r="A143" s="126"/>
      <c r="B143" s="126"/>
      <c r="C143" s="126"/>
      <c r="D143" s="126"/>
    </row>
    <row r="144" spans="1:4">
      <c r="A144" s="126"/>
      <c r="B144" s="126"/>
      <c r="C144" s="126"/>
      <c r="D144" s="126"/>
    </row>
    <row r="145" spans="1:4">
      <c r="A145" s="126"/>
      <c r="B145" s="126"/>
      <c r="C145" s="126"/>
      <c r="D145" s="126"/>
    </row>
    <row r="146" spans="1:4">
      <c r="A146" s="126"/>
      <c r="B146" s="126"/>
      <c r="C146" s="126"/>
      <c r="D146" s="126"/>
    </row>
    <row r="147" spans="1:4">
      <c r="A147" s="126"/>
      <c r="B147" s="126"/>
      <c r="C147" s="126"/>
      <c r="D147" s="126"/>
    </row>
    <row r="148" spans="1:4">
      <c r="A148" s="126"/>
      <c r="B148" s="126"/>
      <c r="C148" s="126"/>
      <c r="D148" s="126"/>
    </row>
    <row r="149" spans="1:4">
      <c r="A149" s="126"/>
      <c r="B149" s="126"/>
      <c r="C149" s="126"/>
      <c r="D149" s="126"/>
    </row>
    <row r="150" spans="1:4">
      <c r="A150" s="126"/>
      <c r="B150" s="126"/>
      <c r="C150" s="126"/>
      <c r="D150" s="126"/>
    </row>
    <row r="151" spans="1:4">
      <c r="A151" s="126"/>
      <c r="B151" s="126"/>
      <c r="C151" s="126"/>
      <c r="D151" s="126"/>
    </row>
    <row r="152" spans="1:4">
      <c r="A152" s="126"/>
      <c r="B152" s="126"/>
      <c r="C152" s="126"/>
      <c r="D152" s="126"/>
    </row>
    <row r="153" spans="1:4">
      <c r="A153" s="126"/>
      <c r="B153" s="126"/>
      <c r="C153" s="126"/>
      <c r="D153" s="126"/>
    </row>
    <row r="154" spans="1:4">
      <c r="A154" s="126"/>
      <c r="B154" s="126"/>
      <c r="C154" s="126"/>
      <c r="D154" s="126"/>
    </row>
    <row r="155" spans="1:4">
      <c r="A155" s="126"/>
      <c r="B155" s="126"/>
      <c r="C155" s="126"/>
      <c r="D155" s="126"/>
    </row>
    <row r="156" spans="1:4">
      <c r="A156" s="126"/>
      <c r="B156" s="126"/>
      <c r="C156" s="126"/>
      <c r="D156" s="126"/>
    </row>
    <row r="157" spans="1:4">
      <c r="A157" s="126"/>
      <c r="B157" s="126"/>
      <c r="C157" s="126"/>
      <c r="D157" s="126"/>
    </row>
    <row r="158" spans="1:4">
      <c r="A158" s="126"/>
      <c r="B158" s="126"/>
      <c r="C158" s="126"/>
      <c r="D158" s="126"/>
    </row>
    <row r="159" spans="1:4">
      <c r="A159" s="126"/>
      <c r="B159" s="126"/>
      <c r="C159" s="126"/>
      <c r="D159" s="126"/>
    </row>
    <row r="160" spans="1:4">
      <c r="A160" s="126"/>
      <c r="B160" s="126"/>
      <c r="C160" s="126"/>
      <c r="D160" s="126"/>
    </row>
    <row r="161" spans="1:4">
      <c r="A161" s="126"/>
      <c r="B161" s="126"/>
      <c r="C161" s="126"/>
      <c r="D161" s="126"/>
    </row>
    <row r="162" spans="1:4">
      <c r="A162" s="126"/>
      <c r="B162" s="126"/>
      <c r="C162" s="126"/>
      <c r="D162" s="126"/>
    </row>
    <row r="163" spans="1:4">
      <c r="A163" s="126"/>
      <c r="B163" s="126"/>
      <c r="C163" s="126"/>
      <c r="D163" s="126"/>
    </row>
    <row r="164" spans="1:4">
      <c r="A164" s="126"/>
      <c r="B164" s="126"/>
      <c r="C164" s="126"/>
      <c r="D164" s="126"/>
    </row>
    <row r="165" spans="1:4">
      <c r="A165" s="126"/>
      <c r="B165" s="126"/>
      <c r="C165" s="126"/>
      <c r="D165" s="126"/>
    </row>
    <row r="166" spans="1:4">
      <c r="A166" s="126"/>
      <c r="B166" s="126"/>
      <c r="C166" s="126"/>
      <c r="D166" s="126"/>
    </row>
    <row r="167" spans="1:4">
      <c r="A167" s="126"/>
      <c r="B167" s="126"/>
      <c r="C167" s="126"/>
      <c r="D167" s="126"/>
    </row>
    <row r="168" spans="1:4">
      <c r="A168" s="126"/>
      <c r="B168" s="126"/>
      <c r="C168" s="126"/>
      <c r="D168" s="126"/>
    </row>
    <row r="169" spans="1:4">
      <c r="A169" s="126"/>
      <c r="B169" s="126"/>
      <c r="C169" s="126"/>
      <c r="D169" s="126"/>
    </row>
    <row r="170" spans="1:4">
      <c r="A170" s="126"/>
      <c r="B170" s="126"/>
      <c r="C170" s="126"/>
      <c r="D170" s="126"/>
    </row>
    <row r="171" spans="1:4">
      <c r="A171" s="126"/>
      <c r="B171" s="126"/>
      <c r="C171" s="126"/>
      <c r="D171" s="126"/>
    </row>
    <row r="172" spans="1:4">
      <c r="A172" s="126"/>
      <c r="B172" s="126"/>
      <c r="C172" s="126"/>
      <c r="D172" s="126"/>
    </row>
    <row r="173" spans="1:4">
      <c r="A173" s="126"/>
      <c r="B173" s="126"/>
      <c r="C173" s="126"/>
      <c r="D173" s="126"/>
    </row>
    <row r="174" spans="1:4">
      <c r="A174" s="126"/>
      <c r="B174" s="126"/>
      <c r="C174" s="126"/>
      <c r="D174" s="126"/>
    </row>
    <row r="175" spans="1:4">
      <c r="A175" s="126"/>
      <c r="B175" s="126"/>
      <c r="C175" s="126"/>
      <c r="D175" s="126"/>
    </row>
    <row r="176" spans="1:4">
      <c r="A176" s="126"/>
      <c r="B176" s="126"/>
      <c r="C176" s="126"/>
      <c r="D176" s="126"/>
    </row>
    <row r="177" spans="1:4">
      <c r="A177" s="126"/>
      <c r="B177" s="126"/>
      <c r="C177" s="126"/>
      <c r="D177" s="126"/>
    </row>
    <row r="178" spans="1:4">
      <c r="A178" s="126"/>
      <c r="B178" s="126"/>
      <c r="C178" s="126"/>
      <c r="D178" s="126"/>
    </row>
    <row r="179" spans="1:4">
      <c r="A179" s="126"/>
      <c r="B179" s="126"/>
      <c r="C179" s="126"/>
      <c r="D179" s="126"/>
    </row>
    <row r="180" spans="1:4">
      <c r="A180" s="126"/>
      <c r="B180" s="126"/>
      <c r="C180" s="126"/>
      <c r="D180" s="126"/>
    </row>
    <row r="181" spans="1:4">
      <c r="A181" s="126"/>
      <c r="B181" s="126"/>
      <c r="C181" s="126"/>
      <c r="D181" s="126"/>
    </row>
    <row r="182" spans="1:4">
      <c r="A182" s="126"/>
      <c r="B182" s="126"/>
      <c r="C182" s="126"/>
      <c r="D182" s="126"/>
    </row>
    <row r="183" spans="1:4">
      <c r="A183" s="126"/>
      <c r="B183" s="126"/>
      <c r="C183" s="126"/>
      <c r="D183" s="126"/>
    </row>
    <row r="184" spans="1:4">
      <c r="A184" s="126"/>
      <c r="B184" s="126"/>
      <c r="C184" s="126"/>
      <c r="D184" s="126"/>
    </row>
    <row r="185" spans="1:4">
      <c r="A185" s="126"/>
      <c r="B185" s="126"/>
      <c r="C185" s="126"/>
      <c r="D185" s="126"/>
    </row>
    <row r="186" spans="1:4">
      <c r="A186" s="126"/>
      <c r="B186" s="126"/>
      <c r="C186" s="126"/>
      <c r="D186" s="126"/>
    </row>
    <row r="187" spans="1:4">
      <c r="A187" s="126"/>
      <c r="B187" s="126"/>
      <c r="C187" s="126"/>
      <c r="D187" s="126"/>
    </row>
    <row r="188" spans="1:4">
      <c r="A188" s="126"/>
      <c r="B188" s="126"/>
      <c r="C188" s="126"/>
      <c r="D188" s="126"/>
    </row>
    <row r="189" spans="1:4">
      <c r="A189" s="126"/>
      <c r="B189" s="126"/>
      <c r="C189" s="126"/>
      <c r="D189" s="126"/>
    </row>
    <row r="190" spans="1:4">
      <c r="A190" s="126"/>
      <c r="B190" s="126"/>
      <c r="C190" s="126"/>
      <c r="D190" s="126"/>
    </row>
    <row r="191" spans="1:4">
      <c r="A191" s="126"/>
      <c r="B191" s="126"/>
      <c r="C191" s="126"/>
      <c r="D191" s="126"/>
    </row>
    <row r="192" spans="1:4">
      <c r="A192" s="126"/>
      <c r="B192" s="126"/>
      <c r="C192" s="126"/>
      <c r="D192" s="126"/>
    </row>
    <row r="193" spans="1:4">
      <c r="A193" s="126"/>
      <c r="B193" s="126"/>
      <c r="C193" s="126"/>
      <c r="D193" s="126"/>
    </row>
    <row r="194" spans="1:4">
      <c r="A194" s="126"/>
      <c r="B194" s="126"/>
      <c r="C194" s="126"/>
      <c r="D194" s="126"/>
    </row>
    <row r="195" spans="1:4">
      <c r="A195" s="126"/>
      <c r="B195" s="126"/>
      <c r="C195" s="126"/>
      <c r="D195" s="126"/>
    </row>
    <row r="196" spans="1:4">
      <c r="A196" s="126"/>
      <c r="B196" s="126"/>
      <c r="C196" s="126"/>
      <c r="D196" s="126"/>
    </row>
    <row r="197" spans="1:4">
      <c r="A197" s="126"/>
      <c r="B197" s="126"/>
      <c r="C197" s="126"/>
      <c r="D197" s="126"/>
    </row>
    <row r="198" spans="1:4">
      <c r="A198" s="126"/>
      <c r="B198" s="126"/>
      <c r="C198" s="126"/>
      <c r="D198" s="126"/>
    </row>
    <row r="199" spans="1:4">
      <c r="A199" s="126"/>
      <c r="B199" s="126"/>
      <c r="C199" s="126"/>
      <c r="D199" s="126"/>
    </row>
    <row r="200" spans="1:4">
      <c r="A200" s="126"/>
      <c r="B200" s="126"/>
      <c r="C200" s="126"/>
      <c r="D200" s="126"/>
    </row>
    <row r="201" spans="1:4">
      <c r="A201" s="126"/>
      <c r="B201" s="126"/>
      <c r="C201" s="126"/>
      <c r="D201" s="126"/>
    </row>
    <row r="202" spans="1:4">
      <c r="A202" s="126"/>
      <c r="B202" s="126"/>
      <c r="C202" s="126"/>
      <c r="D202" s="126"/>
    </row>
    <row r="203" spans="1:4">
      <c r="A203" s="126"/>
      <c r="B203" s="126"/>
      <c r="C203" s="126"/>
      <c r="D203" s="126"/>
    </row>
    <row r="204" spans="1:4">
      <c r="A204" s="126"/>
      <c r="B204" s="126"/>
      <c r="C204" s="126"/>
      <c r="D204" s="126"/>
    </row>
    <row r="205" spans="1:4">
      <c r="A205" s="126"/>
      <c r="B205" s="126"/>
      <c r="C205" s="126"/>
      <c r="D205" s="126"/>
    </row>
    <row r="206" spans="1:4">
      <c r="A206" s="126"/>
      <c r="B206" s="126"/>
      <c r="C206" s="126"/>
      <c r="D206" s="126"/>
    </row>
    <row r="207" spans="1:4">
      <c r="A207" s="126"/>
      <c r="B207" s="126"/>
      <c r="C207" s="126"/>
      <c r="D207" s="126"/>
    </row>
    <row r="208" spans="1:4">
      <c r="A208" s="126"/>
      <c r="B208" s="126"/>
      <c r="C208" s="126"/>
      <c r="D208" s="126"/>
    </row>
    <row r="209" spans="1:4">
      <c r="A209" s="126"/>
      <c r="B209" s="126"/>
      <c r="C209" s="126"/>
      <c r="D209" s="126"/>
    </row>
    <row r="210" spans="1:4">
      <c r="A210" s="126"/>
      <c r="B210" s="126"/>
      <c r="C210" s="126"/>
      <c r="D210" s="126"/>
    </row>
    <row r="211" spans="1:4">
      <c r="A211" s="126"/>
      <c r="B211" s="126"/>
      <c r="C211" s="126"/>
      <c r="D211" s="126"/>
    </row>
    <row r="212" spans="1:4">
      <c r="A212" s="126"/>
      <c r="B212" s="126"/>
      <c r="C212" s="126"/>
      <c r="D212" s="126"/>
    </row>
    <row r="213" spans="1:4">
      <c r="A213" s="126"/>
      <c r="B213" s="126"/>
      <c r="C213" s="126"/>
      <c r="D213" s="126"/>
    </row>
    <row r="214" spans="1:4">
      <c r="A214" s="126"/>
      <c r="B214" s="126"/>
      <c r="C214" s="126"/>
      <c r="D214" s="126"/>
    </row>
    <row r="215" spans="1:4">
      <c r="A215" s="126"/>
      <c r="B215" s="126"/>
      <c r="C215" s="126"/>
      <c r="D215" s="126"/>
    </row>
    <row r="216" spans="1:4">
      <c r="A216" s="126"/>
      <c r="B216" s="126"/>
      <c r="C216" s="126"/>
      <c r="D216" s="126"/>
    </row>
    <row r="217" spans="1:4">
      <c r="A217" s="126"/>
      <c r="B217" s="126"/>
      <c r="C217" s="126"/>
      <c r="D217" s="126"/>
    </row>
    <row r="218" spans="1:4">
      <c r="A218" s="126"/>
      <c r="B218" s="126"/>
      <c r="C218" s="126"/>
      <c r="D218" s="126"/>
    </row>
    <row r="219" spans="1:4">
      <c r="A219" s="126"/>
      <c r="B219" s="126"/>
      <c r="C219" s="126"/>
      <c r="D219" s="126"/>
    </row>
    <row r="220" spans="1:4">
      <c r="A220" s="126"/>
      <c r="B220" s="126"/>
      <c r="C220" s="126"/>
      <c r="D220" s="126"/>
    </row>
    <row r="221" spans="1:4">
      <c r="A221" s="126"/>
      <c r="B221" s="126"/>
      <c r="C221" s="126"/>
      <c r="D221" s="126"/>
    </row>
    <row r="222" spans="1:4">
      <c r="A222" s="126"/>
      <c r="B222" s="126"/>
      <c r="C222" s="126"/>
      <c r="D222" s="126"/>
    </row>
    <row r="223" spans="1:4">
      <c r="A223" s="126"/>
      <c r="B223" s="126"/>
      <c r="C223" s="126"/>
      <c r="D223" s="126"/>
    </row>
    <row r="224" spans="1:4">
      <c r="A224" s="126"/>
      <c r="B224" s="126"/>
      <c r="C224" s="126"/>
      <c r="D224" s="126"/>
    </row>
    <row r="225" spans="1:4">
      <c r="A225" s="126"/>
      <c r="B225" s="126"/>
      <c r="C225" s="126"/>
      <c r="D225" s="126"/>
    </row>
    <row r="226" spans="1:4">
      <c r="A226" s="126"/>
      <c r="B226" s="126"/>
      <c r="C226" s="126"/>
      <c r="D226" s="126"/>
    </row>
    <row r="227" spans="1:4">
      <c r="A227" s="126"/>
      <c r="B227" s="126"/>
      <c r="C227" s="126"/>
      <c r="D227" s="126"/>
    </row>
    <row r="228" spans="1:4">
      <c r="A228" s="126"/>
      <c r="B228" s="126"/>
      <c r="C228" s="126"/>
      <c r="D228" s="126"/>
    </row>
    <row r="229" spans="1:4">
      <c r="A229" s="126"/>
      <c r="B229" s="126"/>
      <c r="C229" s="126"/>
      <c r="D229" s="126"/>
    </row>
    <row r="230" spans="1:4">
      <c r="A230" s="126"/>
      <c r="B230" s="126"/>
      <c r="C230" s="126"/>
      <c r="D230" s="126"/>
    </row>
    <row r="231" spans="1:4">
      <c r="A231" s="126"/>
      <c r="B231" s="126"/>
      <c r="C231" s="126"/>
      <c r="D231" s="126"/>
    </row>
    <row r="232" spans="1:4">
      <c r="A232" s="126"/>
      <c r="B232" s="126"/>
      <c r="C232" s="126"/>
      <c r="D232" s="126"/>
    </row>
    <row r="233" spans="1:4">
      <c r="A233" s="126"/>
      <c r="B233" s="126"/>
      <c r="C233" s="126"/>
      <c r="D233" s="126"/>
    </row>
    <row r="234" spans="1:4">
      <c r="A234" s="126"/>
      <c r="B234" s="126"/>
      <c r="C234" s="126"/>
      <c r="D234" s="126"/>
    </row>
    <row r="235" spans="1:4">
      <c r="A235" s="126"/>
      <c r="B235" s="126"/>
      <c r="C235" s="126"/>
      <c r="D235" s="126"/>
    </row>
    <row r="236" spans="1:4">
      <c r="A236" s="126"/>
      <c r="B236" s="126"/>
      <c r="C236" s="126"/>
      <c r="D236" s="126"/>
    </row>
    <row r="237" spans="1:4">
      <c r="A237" s="126"/>
      <c r="B237" s="126"/>
      <c r="C237" s="126"/>
      <c r="D237" s="126"/>
    </row>
    <row r="238" spans="1:4">
      <c r="A238" s="126"/>
      <c r="B238" s="126"/>
      <c r="C238" s="126"/>
      <c r="D238" s="126"/>
    </row>
    <row r="239" spans="1:4">
      <c r="A239" s="126"/>
      <c r="B239" s="126"/>
      <c r="C239" s="126"/>
      <c r="D239" s="126"/>
    </row>
    <row r="240" spans="1:4">
      <c r="A240" s="126"/>
      <c r="B240" s="126"/>
      <c r="C240" s="126"/>
      <c r="D240" s="126"/>
    </row>
    <row r="241" spans="1:4">
      <c r="A241" s="126"/>
      <c r="B241" s="126"/>
      <c r="C241" s="126"/>
      <c r="D241" s="126"/>
    </row>
    <row r="242" spans="1:4">
      <c r="A242" s="126"/>
      <c r="B242" s="126"/>
      <c r="C242" s="126"/>
      <c r="D242" s="126"/>
    </row>
    <row r="243" spans="1:4">
      <c r="A243" s="126"/>
      <c r="B243" s="126"/>
      <c r="C243" s="126"/>
      <c r="D243" s="126"/>
    </row>
    <row r="244" spans="1:4">
      <c r="A244" s="126"/>
      <c r="B244" s="126"/>
      <c r="C244" s="126"/>
      <c r="D244" s="126"/>
    </row>
    <row r="245" spans="1:4">
      <c r="A245" s="126"/>
      <c r="B245" s="126"/>
      <c r="C245" s="126"/>
      <c r="D245" s="126"/>
    </row>
    <row r="246" spans="1:4">
      <c r="A246" s="126"/>
      <c r="B246" s="126"/>
      <c r="C246" s="126"/>
      <c r="D246" s="126"/>
    </row>
    <row r="247" spans="1:4">
      <c r="A247" s="126"/>
      <c r="B247" s="126"/>
      <c r="C247" s="126"/>
      <c r="D247" s="126"/>
    </row>
    <row r="248" spans="1:4">
      <c r="A248" s="126"/>
      <c r="B248" s="126"/>
      <c r="C248" s="126"/>
      <c r="D248" s="126"/>
    </row>
    <row r="249" spans="1:4">
      <c r="A249" s="126"/>
      <c r="B249" s="126"/>
      <c r="C249" s="126"/>
      <c r="D249" s="126"/>
    </row>
    <row r="250" spans="1:4">
      <c r="A250" s="126"/>
      <c r="B250" s="126"/>
      <c r="C250" s="126"/>
      <c r="D250" s="126"/>
    </row>
    <row r="251" spans="1:4">
      <c r="A251" s="126"/>
      <c r="B251" s="126"/>
      <c r="C251" s="126"/>
      <c r="D251" s="126"/>
    </row>
    <row r="252" spans="1:4">
      <c r="A252" s="126"/>
      <c r="B252" s="126"/>
      <c r="C252" s="126"/>
      <c r="D252" s="126"/>
    </row>
    <row r="253" spans="1:4">
      <c r="A253" s="126"/>
      <c r="B253" s="126"/>
      <c r="C253" s="126"/>
      <c r="D253" s="126"/>
    </row>
    <row r="254" spans="1:4">
      <c r="A254" s="126"/>
      <c r="B254" s="126"/>
      <c r="C254" s="126"/>
      <c r="D254" s="126"/>
    </row>
    <row r="255" spans="1:4">
      <c r="A255" s="126"/>
      <c r="B255" s="126"/>
      <c r="C255" s="126"/>
      <c r="D255" s="126"/>
    </row>
    <row r="256" spans="1:4">
      <c r="A256" s="126"/>
      <c r="B256" s="126"/>
      <c r="C256" s="126"/>
      <c r="D256" s="126"/>
    </row>
    <row r="257" spans="1:4">
      <c r="A257" s="126"/>
      <c r="B257" s="126"/>
      <c r="C257" s="126"/>
      <c r="D257" s="126"/>
    </row>
    <row r="258" spans="1:4">
      <c r="A258" s="126"/>
      <c r="B258" s="126"/>
      <c r="C258" s="126"/>
      <c r="D258" s="126"/>
    </row>
    <row r="259" spans="1:4">
      <c r="A259" s="126"/>
      <c r="B259" s="126"/>
      <c r="C259" s="126"/>
      <c r="D259" s="126"/>
    </row>
    <row r="260" spans="1:4">
      <c r="A260" s="126"/>
      <c r="B260" s="126"/>
      <c r="C260" s="126"/>
      <c r="D260" s="126"/>
    </row>
    <row r="261" spans="1:4">
      <c r="A261" s="126"/>
      <c r="B261" s="126"/>
      <c r="C261" s="126"/>
      <c r="D261" s="126"/>
    </row>
    <row r="262" spans="1:4">
      <c r="A262" s="126"/>
      <c r="B262" s="126"/>
      <c r="C262" s="126"/>
      <c r="D262" s="126"/>
    </row>
    <row r="263" spans="1:4">
      <c r="A263" s="126"/>
      <c r="B263" s="126"/>
      <c r="C263" s="126"/>
      <c r="D263" s="126"/>
    </row>
    <row r="264" spans="1:4">
      <c r="A264" s="126"/>
      <c r="B264" s="126"/>
      <c r="C264" s="126"/>
      <c r="D264" s="126"/>
    </row>
    <row r="265" spans="1:4">
      <c r="A265" s="126"/>
      <c r="B265" s="126"/>
      <c r="C265" s="126"/>
      <c r="D265" s="126"/>
    </row>
    <row r="266" spans="1:4">
      <c r="A266" s="126"/>
      <c r="B266" s="126"/>
      <c r="C266" s="126"/>
      <c r="D266" s="126"/>
    </row>
    <row r="267" spans="1:4">
      <c r="A267" s="126"/>
      <c r="B267" s="126"/>
      <c r="C267" s="126"/>
      <c r="D267" s="126"/>
    </row>
    <row r="268" spans="1:4">
      <c r="A268" s="126"/>
      <c r="B268" s="126"/>
      <c r="C268" s="126"/>
      <c r="D268" s="126"/>
    </row>
    <row r="269" spans="1:4">
      <c r="A269" s="126"/>
      <c r="B269" s="126"/>
      <c r="C269" s="126"/>
      <c r="D269" s="126"/>
    </row>
    <row r="270" spans="1:4">
      <c r="A270" s="126"/>
      <c r="B270" s="126"/>
      <c r="C270" s="126"/>
      <c r="D270" s="126"/>
    </row>
    <row r="271" spans="1:4">
      <c r="A271" s="126"/>
      <c r="B271" s="126"/>
      <c r="C271" s="126"/>
      <c r="D271" s="126"/>
    </row>
    <row r="272" spans="1:4">
      <c r="A272" s="126"/>
      <c r="B272" s="126"/>
      <c r="C272" s="126"/>
      <c r="D272" s="126"/>
    </row>
    <row r="273" spans="1:4">
      <c r="A273" s="126"/>
      <c r="B273" s="126"/>
      <c r="C273" s="126"/>
      <c r="D273" s="126"/>
    </row>
    <row r="274" spans="1:4">
      <c r="A274" s="126"/>
      <c r="B274" s="126"/>
      <c r="C274" s="126"/>
      <c r="D274" s="126"/>
    </row>
    <row r="275" spans="1:4">
      <c r="A275" s="126"/>
      <c r="B275" s="126"/>
      <c r="C275" s="126"/>
      <c r="D275" s="126"/>
    </row>
    <row r="276" spans="1:4">
      <c r="A276" s="126"/>
      <c r="B276" s="126"/>
      <c r="C276" s="126"/>
      <c r="D276" s="126"/>
    </row>
    <row r="277" spans="1:4">
      <c r="A277" s="126"/>
      <c r="B277" s="126"/>
      <c r="C277" s="126"/>
      <c r="D277" s="126"/>
    </row>
    <row r="278" spans="1:4">
      <c r="A278" s="126"/>
      <c r="B278" s="126"/>
      <c r="C278" s="126"/>
      <c r="D278" s="126"/>
    </row>
    <row r="279" spans="1:4">
      <c r="A279" s="126"/>
      <c r="B279" s="126"/>
      <c r="C279" s="126"/>
      <c r="D279" s="126"/>
    </row>
    <row r="280" spans="1:4">
      <c r="A280" s="126"/>
      <c r="B280" s="126"/>
      <c r="C280" s="126"/>
      <c r="D280" s="126"/>
    </row>
    <row r="281" spans="1:4">
      <c r="A281" s="126"/>
      <c r="B281" s="126"/>
      <c r="C281" s="126"/>
      <c r="D281" s="126"/>
    </row>
    <row r="282" spans="1:4">
      <c r="A282" s="126"/>
      <c r="B282" s="126"/>
      <c r="C282" s="126"/>
      <c r="D282" s="126"/>
    </row>
    <row r="283" spans="1:4">
      <c r="A283" s="126"/>
      <c r="B283" s="126"/>
      <c r="C283" s="126"/>
      <c r="D283" s="126"/>
    </row>
    <row r="284" spans="1:4">
      <c r="A284" s="126"/>
      <c r="B284" s="126"/>
      <c r="C284" s="126"/>
      <c r="D284" s="126"/>
    </row>
    <row r="285" spans="1:4">
      <c r="A285" s="126"/>
      <c r="B285" s="126"/>
      <c r="C285" s="126"/>
      <c r="D285" s="126"/>
    </row>
    <row r="286" spans="1:4">
      <c r="A286" s="126"/>
      <c r="B286" s="126"/>
      <c r="C286" s="126"/>
      <c r="D286" s="126"/>
    </row>
    <row r="287" spans="1:4">
      <c r="A287" s="126"/>
      <c r="B287" s="126"/>
      <c r="C287" s="126"/>
      <c r="D287" s="126"/>
    </row>
    <row r="288" spans="1:4">
      <c r="A288" s="126"/>
      <c r="B288" s="126"/>
      <c r="C288" s="126"/>
      <c r="D288" s="126"/>
    </row>
    <row r="289" spans="1:4">
      <c r="A289" s="126"/>
      <c r="B289" s="126"/>
      <c r="C289" s="126"/>
      <c r="D289" s="126"/>
    </row>
    <row r="290" spans="1:4">
      <c r="A290" s="126"/>
      <c r="B290" s="126"/>
      <c r="C290" s="126"/>
      <c r="D290" s="126"/>
    </row>
    <row r="291" spans="1:4">
      <c r="A291" s="126"/>
      <c r="B291" s="126"/>
      <c r="C291" s="126"/>
      <c r="D291" s="126"/>
    </row>
    <row r="292" spans="1:4">
      <c r="A292" s="126"/>
      <c r="B292" s="126"/>
      <c r="C292" s="126"/>
      <c r="D292" s="126"/>
    </row>
    <row r="293" spans="1:4">
      <c r="A293" s="126"/>
      <c r="B293" s="126"/>
      <c r="C293" s="126"/>
      <c r="D293" s="126"/>
    </row>
    <row r="294" spans="1:4">
      <c r="A294" s="126"/>
      <c r="B294" s="126"/>
      <c r="C294" s="126"/>
      <c r="D294" s="126"/>
    </row>
    <row r="295" spans="1:4">
      <c r="A295" s="126"/>
      <c r="B295" s="126"/>
      <c r="C295" s="126"/>
      <c r="D295" s="126"/>
    </row>
    <row r="296" spans="1:4">
      <c r="A296" s="126"/>
      <c r="B296" s="126"/>
      <c r="C296" s="126"/>
      <c r="D296" s="126"/>
    </row>
    <row r="297" spans="1:4">
      <c r="A297" s="126"/>
      <c r="B297" s="126"/>
      <c r="C297" s="126"/>
      <c r="D297" s="126"/>
    </row>
    <row r="298" spans="1:4">
      <c r="A298" s="126"/>
      <c r="B298" s="126"/>
      <c r="C298" s="126"/>
      <c r="D298" s="126"/>
    </row>
    <row r="299" spans="1:4">
      <c r="A299" s="126"/>
      <c r="B299" s="126"/>
      <c r="C299" s="126"/>
      <c r="D299" s="126"/>
    </row>
    <row r="300" spans="1:4">
      <c r="A300" s="126"/>
      <c r="B300" s="126"/>
      <c r="C300" s="126"/>
      <c r="D300" s="126"/>
    </row>
    <row r="301" spans="1:4">
      <c r="A301" s="126"/>
      <c r="B301" s="126"/>
      <c r="C301" s="126"/>
      <c r="D301" s="126"/>
    </row>
    <row r="302" spans="1:4">
      <c r="A302" s="126"/>
      <c r="B302" s="126"/>
      <c r="C302" s="126"/>
      <c r="D302" s="126"/>
    </row>
    <row r="303" spans="1:4">
      <c r="A303" s="126"/>
      <c r="B303" s="126"/>
      <c r="C303" s="126"/>
      <c r="D303" s="126"/>
    </row>
    <row r="304" spans="1:4">
      <c r="A304" s="126"/>
      <c r="B304" s="126"/>
      <c r="C304" s="126"/>
      <c r="D304" s="126"/>
    </row>
    <row r="305" spans="1:4">
      <c r="A305" s="126"/>
      <c r="B305" s="126"/>
      <c r="C305" s="126"/>
      <c r="D305" s="126"/>
    </row>
    <row r="306" spans="1:4">
      <c r="A306" s="126"/>
      <c r="B306" s="126"/>
      <c r="C306" s="126"/>
      <c r="D306" s="126"/>
    </row>
    <row r="307" spans="1:4">
      <c r="A307" s="126"/>
      <c r="B307" s="126"/>
      <c r="C307" s="126"/>
      <c r="D307" s="126"/>
    </row>
    <row r="308" spans="1:4">
      <c r="A308" s="126"/>
      <c r="B308" s="126"/>
      <c r="C308" s="126"/>
      <c r="D308" s="126"/>
    </row>
    <row r="309" spans="1:4">
      <c r="A309" s="126"/>
      <c r="B309" s="126"/>
      <c r="C309" s="126"/>
      <c r="D309" s="126"/>
    </row>
    <row r="310" spans="1:4">
      <c r="A310" s="126"/>
      <c r="B310" s="126"/>
      <c r="C310" s="126"/>
      <c r="D310" s="126"/>
    </row>
    <row r="311" spans="1:4">
      <c r="A311" s="126"/>
      <c r="B311" s="126"/>
      <c r="C311" s="126"/>
      <c r="D311" s="126"/>
    </row>
    <row r="312" spans="1:4">
      <c r="A312" s="126"/>
      <c r="B312" s="126"/>
      <c r="C312" s="126"/>
      <c r="D312" s="126"/>
    </row>
    <row r="313" spans="1:4">
      <c r="A313" s="126"/>
      <c r="B313" s="126"/>
      <c r="C313" s="126"/>
      <c r="D313" s="126"/>
    </row>
    <row r="314" spans="1:4">
      <c r="A314" s="126"/>
      <c r="B314" s="126"/>
      <c r="C314" s="126"/>
      <c r="D314" s="126"/>
    </row>
    <row r="315" spans="1:4">
      <c r="A315" s="126"/>
      <c r="B315" s="126"/>
      <c r="C315" s="126"/>
      <c r="D315" s="126"/>
    </row>
    <row r="316" spans="1:4">
      <c r="A316" s="126"/>
      <c r="B316" s="126"/>
      <c r="C316" s="126"/>
      <c r="D316" s="126"/>
    </row>
    <row r="317" spans="1:4">
      <c r="A317" s="126"/>
      <c r="B317" s="126"/>
      <c r="C317" s="126"/>
      <c r="D317" s="126"/>
    </row>
    <row r="318" spans="1:4">
      <c r="A318" s="126"/>
      <c r="B318" s="126"/>
      <c r="C318" s="126"/>
      <c r="D318" s="126"/>
    </row>
    <row r="319" spans="1:4">
      <c r="A319" s="126"/>
      <c r="B319" s="126"/>
      <c r="C319" s="126"/>
      <c r="D319" s="126"/>
    </row>
    <row r="320" spans="1:4">
      <c r="A320" s="126"/>
      <c r="B320" s="126"/>
      <c r="C320" s="126"/>
      <c r="D320" s="126"/>
    </row>
    <row r="321" spans="1:4">
      <c r="A321" s="126"/>
      <c r="B321" s="126"/>
      <c r="C321" s="126"/>
      <c r="D321" s="126"/>
    </row>
    <row r="322" spans="1:4">
      <c r="A322" s="126"/>
      <c r="B322" s="126"/>
      <c r="C322" s="126"/>
      <c r="D322" s="126"/>
    </row>
    <row r="323" spans="1:4">
      <c r="A323" s="126"/>
      <c r="B323" s="126"/>
      <c r="C323" s="126"/>
      <c r="D323" s="126"/>
    </row>
    <row r="324" spans="1:4">
      <c r="A324" s="126"/>
      <c r="B324" s="126"/>
      <c r="C324" s="126"/>
      <c r="D324" s="126"/>
    </row>
    <row r="325" spans="1:4">
      <c r="A325" s="126"/>
      <c r="B325" s="126"/>
      <c r="C325" s="126"/>
      <c r="D325" s="126"/>
    </row>
    <row r="326" spans="1:4">
      <c r="A326" s="126"/>
      <c r="B326" s="126"/>
      <c r="C326" s="126"/>
      <c r="D326" s="126"/>
    </row>
    <row r="327" spans="1:4">
      <c r="A327" s="126"/>
      <c r="B327" s="126"/>
      <c r="C327" s="126"/>
      <c r="D327" s="126"/>
    </row>
    <row r="328" spans="1:4">
      <c r="A328" s="126"/>
      <c r="B328" s="126"/>
      <c r="C328" s="126"/>
      <c r="D328" s="126"/>
    </row>
    <row r="329" spans="1:4">
      <c r="A329" s="126"/>
      <c r="B329" s="126"/>
      <c r="C329" s="126"/>
      <c r="D329" s="126"/>
    </row>
    <row r="330" spans="1:4">
      <c r="A330" s="126"/>
      <c r="B330" s="126"/>
      <c r="C330" s="126"/>
      <c r="D330" s="126"/>
    </row>
    <row r="331" spans="1:4">
      <c r="A331" s="126"/>
      <c r="B331" s="126"/>
      <c r="C331" s="126"/>
      <c r="D331" s="126"/>
    </row>
    <row r="332" spans="1:4">
      <c r="A332" s="126"/>
      <c r="B332" s="126"/>
      <c r="C332" s="126"/>
      <c r="D332" s="126"/>
    </row>
    <row r="333" spans="1:4">
      <c r="A333" s="126"/>
      <c r="B333" s="126"/>
      <c r="C333" s="126"/>
      <c r="D333" s="126"/>
    </row>
    <row r="334" spans="1:4">
      <c r="A334" s="126"/>
      <c r="B334" s="126"/>
      <c r="C334" s="126"/>
      <c r="D334" s="126"/>
    </row>
    <row r="335" spans="1:4">
      <c r="A335" s="126"/>
      <c r="B335" s="126"/>
      <c r="C335" s="126"/>
      <c r="D335" s="126"/>
    </row>
    <row r="336" spans="1:4">
      <c r="A336" s="126"/>
      <c r="B336" s="126"/>
      <c r="C336" s="126"/>
      <c r="D336" s="126"/>
    </row>
    <row r="337" spans="1:4">
      <c r="A337" s="126"/>
      <c r="B337" s="126"/>
      <c r="C337" s="126"/>
      <c r="D337" s="126"/>
    </row>
    <row r="338" spans="1:4">
      <c r="A338" s="126"/>
      <c r="B338" s="126"/>
      <c r="C338" s="126"/>
      <c r="D338" s="126"/>
    </row>
    <row r="339" spans="1:4">
      <c r="A339" s="126"/>
      <c r="B339" s="126"/>
      <c r="C339" s="126"/>
      <c r="D339" s="126"/>
    </row>
    <row r="340" spans="1:4">
      <c r="A340" s="126"/>
      <c r="B340" s="126"/>
      <c r="C340" s="126"/>
      <c r="D340" s="126"/>
    </row>
    <row r="341" spans="1:4">
      <c r="A341" s="126"/>
      <c r="B341" s="126"/>
      <c r="C341" s="126"/>
      <c r="D341" s="126"/>
    </row>
    <row r="342" spans="1:4">
      <c r="A342" s="126"/>
      <c r="B342" s="126"/>
      <c r="C342" s="126"/>
      <c r="D342" s="126"/>
    </row>
    <row r="343" spans="1:4">
      <c r="A343" s="126"/>
      <c r="B343" s="126"/>
      <c r="C343" s="126"/>
      <c r="D343" s="126"/>
    </row>
    <row r="344" spans="1:4">
      <c r="A344" s="126"/>
      <c r="B344" s="126"/>
      <c r="C344" s="126"/>
      <c r="D344" s="126"/>
    </row>
    <row r="345" spans="1:4">
      <c r="A345" s="126"/>
      <c r="B345" s="126"/>
      <c r="C345" s="126"/>
      <c r="D345" s="126"/>
    </row>
    <row r="346" spans="1:4">
      <c r="A346" s="126"/>
      <c r="B346" s="126"/>
      <c r="C346" s="126"/>
      <c r="D346" s="126"/>
    </row>
    <row r="347" spans="1:4">
      <c r="A347" s="126"/>
      <c r="B347" s="126"/>
      <c r="C347" s="126"/>
      <c r="D347" s="126"/>
    </row>
    <row r="348" spans="1:4">
      <c r="A348" s="126"/>
      <c r="B348" s="126"/>
      <c r="C348" s="126"/>
      <c r="D348" s="126"/>
    </row>
    <row r="349" spans="1:4">
      <c r="A349" s="126"/>
      <c r="B349" s="126"/>
      <c r="C349" s="126"/>
      <c r="D349" s="126"/>
    </row>
    <row r="350" spans="1:4">
      <c r="A350" s="126"/>
      <c r="B350" s="126"/>
      <c r="C350" s="126"/>
      <c r="D350" s="126"/>
    </row>
    <row r="351" spans="1:4">
      <c r="A351" s="126"/>
      <c r="B351" s="126"/>
      <c r="C351" s="126"/>
      <c r="D351" s="126"/>
    </row>
    <row r="352" spans="1:4">
      <c r="A352" s="126"/>
      <c r="B352" s="126"/>
      <c r="C352" s="126"/>
      <c r="D352" s="126"/>
    </row>
    <row r="353" spans="1:4">
      <c r="A353" s="126"/>
      <c r="B353" s="126"/>
      <c r="C353" s="126"/>
      <c r="D353" s="126"/>
    </row>
    <row r="354" spans="1:4">
      <c r="A354" s="126"/>
      <c r="B354" s="126"/>
      <c r="C354" s="126"/>
      <c r="D354" s="126"/>
    </row>
    <row r="355" spans="1:4">
      <c r="A355" s="126"/>
      <c r="B355" s="126"/>
      <c r="C355" s="126"/>
      <c r="D355" s="126"/>
    </row>
    <row r="356" spans="1:4">
      <c r="A356" s="126"/>
      <c r="B356" s="126"/>
      <c r="C356" s="126"/>
      <c r="D356" s="126"/>
    </row>
    <row r="357" spans="1:4">
      <c r="A357" s="126"/>
      <c r="B357" s="126"/>
      <c r="C357" s="126"/>
      <c r="D357" s="126"/>
    </row>
    <row r="358" spans="1:4">
      <c r="A358" s="126"/>
      <c r="B358" s="126"/>
      <c r="C358" s="126"/>
      <c r="D358" s="126"/>
    </row>
    <row r="359" spans="1:4">
      <c r="A359" s="126"/>
      <c r="B359" s="126"/>
      <c r="C359" s="126"/>
      <c r="D359" s="126"/>
    </row>
    <row r="360" spans="1:4">
      <c r="A360" s="126"/>
      <c r="B360" s="126"/>
      <c r="C360" s="126"/>
      <c r="D360" s="126"/>
    </row>
    <row r="361" spans="1:4">
      <c r="A361" s="126"/>
      <c r="B361" s="126"/>
      <c r="C361" s="126"/>
      <c r="D361" s="126"/>
    </row>
    <row r="362" spans="1:4">
      <c r="A362" s="126"/>
      <c r="B362" s="126"/>
      <c r="C362" s="126"/>
      <c r="D362" s="126"/>
    </row>
    <row r="363" spans="1:4">
      <c r="A363" s="126"/>
      <c r="B363" s="126"/>
      <c r="C363" s="126"/>
      <c r="D363" s="126"/>
    </row>
    <row r="364" spans="1:4">
      <c r="A364" s="126"/>
      <c r="B364" s="126"/>
      <c r="C364" s="126"/>
      <c r="D364" s="126"/>
    </row>
    <row r="365" spans="1:4">
      <c r="A365" s="126"/>
      <c r="B365" s="126"/>
      <c r="C365" s="126"/>
      <c r="D365" s="126"/>
    </row>
    <row r="366" spans="1:4">
      <c r="A366" s="126"/>
      <c r="B366" s="126"/>
      <c r="C366" s="126"/>
      <c r="D366" s="126"/>
    </row>
    <row r="367" spans="1:4">
      <c r="A367" s="126"/>
      <c r="B367" s="126"/>
      <c r="C367" s="126"/>
      <c r="D367" s="126"/>
    </row>
    <row r="368" spans="1:4">
      <c r="A368" s="126"/>
      <c r="B368" s="126"/>
      <c r="C368" s="126"/>
      <c r="D368" s="126"/>
    </row>
    <row r="369" spans="1:4">
      <c r="A369" s="126"/>
      <c r="B369" s="126"/>
      <c r="C369" s="126"/>
      <c r="D369" s="126"/>
    </row>
    <row r="370" spans="1:4">
      <c r="A370" s="126"/>
      <c r="B370" s="126"/>
      <c r="C370" s="126"/>
      <c r="D370" s="126"/>
    </row>
    <row r="371" spans="1:4">
      <c r="A371" s="126"/>
      <c r="B371" s="126"/>
      <c r="C371" s="126"/>
      <c r="D371" s="126"/>
    </row>
    <row r="372" spans="1:4">
      <c r="A372" s="126"/>
      <c r="B372" s="126"/>
      <c r="C372" s="126"/>
      <c r="D372" s="126"/>
    </row>
    <row r="373" spans="1:4">
      <c r="A373" s="126"/>
      <c r="B373" s="126"/>
      <c r="C373" s="126"/>
      <c r="D373" s="126"/>
    </row>
    <row r="374" spans="1:4">
      <c r="A374" s="126"/>
      <c r="B374" s="126"/>
      <c r="C374" s="126"/>
      <c r="D374" s="126"/>
    </row>
    <row r="375" spans="1:4">
      <c r="A375" s="126"/>
      <c r="B375" s="126"/>
      <c r="C375" s="126"/>
      <c r="D375" s="126"/>
    </row>
    <row r="376" spans="1:4">
      <c r="A376" s="126"/>
      <c r="B376" s="126"/>
      <c r="C376" s="126"/>
      <c r="D376" s="126"/>
    </row>
    <row r="377" spans="1:4">
      <c r="A377" s="126"/>
      <c r="B377" s="126"/>
      <c r="C377" s="126"/>
      <c r="D377" s="126"/>
    </row>
    <row r="378" spans="1:4">
      <c r="A378" s="126"/>
      <c r="B378" s="126"/>
      <c r="C378" s="126"/>
      <c r="D378" s="126"/>
    </row>
    <row r="379" spans="1:4">
      <c r="A379" s="126"/>
      <c r="B379" s="126"/>
      <c r="C379" s="126"/>
      <c r="D379" s="126"/>
    </row>
    <row r="380" spans="1:4">
      <c r="A380" s="126"/>
      <c r="B380" s="126"/>
      <c r="C380" s="126"/>
      <c r="D380" s="126"/>
    </row>
    <row r="381" spans="1:4">
      <c r="A381" s="126"/>
      <c r="B381" s="126"/>
      <c r="C381" s="126"/>
      <c r="D381" s="126"/>
    </row>
    <row r="382" spans="1:4">
      <c r="A382" s="126"/>
      <c r="B382" s="126"/>
      <c r="C382" s="126"/>
      <c r="D382" s="126"/>
    </row>
    <row r="383" spans="1:4">
      <c r="A383" s="126"/>
      <c r="B383" s="126"/>
      <c r="C383" s="126"/>
      <c r="D383" s="126"/>
    </row>
    <row r="384" spans="1:4">
      <c r="A384" s="126"/>
      <c r="B384" s="126"/>
      <c r="C384" s="126"/>
      <c r="D384" s="126"/>
    </row>
    <row r="385" spans="1:4">
      <c r="A385" s="126"/>
      <c r="B385" s="126"/>
      <c r="C385" s="126"/>
      <c r="D385" s="126"/>
    </row>
    <row r="386" spans="1:4">
      <c r="A386" s="126"/>
      <c r="B386" s="126"/>
      <c r="C386" s="126"/>
      <c r="D386" s="126"/>
    </row>
    <row r="387" spans="1:4">
      <c r="A387" s="126"/>
      <c r="B387" s="126"/>
      <c r="C387" s="126"/>
      <c r="D387" s="126"/>
    </row>
    <row r="388" spans="1:4">
      <c r="A388" s="126"/>
      <c r="B388" s="126"/>
      <c r="C388" s="126"/>
      <c r="D388" s="126"/>
    </row>
    <row r="389" spans="1:4">
      <c r="A389" s="126"/>
      <c r="B389" s="126"/>
      <c r="C389" s="126"/>
      <c r="D389" s="126"/>
    </row>
    <row r="390" spans="1:4">
      <c r="A390" s="126"/>
      <c r="B390" s="126"/>
      <c r="C390" s="126"/>
      <c r="D390" s="126"/>
    </row>
    <row r="391" spans="1:4">
      <c r="A391" s="126"/>
      <c r="B391" s="126"/>
      <c r="C391" s="126"/>
      <c r="D391" s="126"/>
    </row>
    <row r="392" spans="1:4">
      <c r="A392" s="126"/>
      <c r="B392" s="126"/>
      <c r="C392" s="126"/>
      <c r="D392" s="126"/>
    </row>
    <row r="393" spans="1:4">
      <c r="A393" s="126"/>
      <c r="B393" s="126"/>
      <c r="C393" s="126"/>
      <c r="D393" s="126"/>
    </row>
    <row r="394" spans="1:4">
      <c r="A394" s="126"/>
      <c r="B394" s="126"/>
      <c r="C394" s="126"/>
      <c r="D394" s="126"/>
    </row>
    <row r="395" spans="1:4">
      <c r="A395" s="126"/>
      <c r="B395" s="126"/>
      <c r="C395" s="126"/>
      <c r="D395" s="126"/>
    </row>
    <row r="396" spans="1:4">
      <c r="A396" s="126"/>
      <c r="B396" s="126"/>
      <c r="C396" s="126"/>
      <c r="D396" s="126"/>
    </row>
    <row r="397" spans="1:4">
      <c r="A397" s="126"/>
      <c r="B397" s="126"/>
      <c r="C397" s="126"/>
      <c r="D397" s="126"/>
    </row>
    <row r="398" spans="1:4">
      <c r="A398" s="126"/>
      <c r="B398" s="126"/>
      <c r="C398" s="126"/>
      <c r="D398" s="126"/>
    </row>
    <row r="399" spans="1:4">
      <c r="A399" s="126"/>
      <c r="B399" s="126"/>
      <c r="C399" s="126"/>
      <c r="D399" s="126"/>
    </row>
    <row r="400" spans="1:4">
      <c r="A400" s="126"/>
      <c r="B400" s="126"/>
      <c r="C400" s="126"/>
      <c r="D400" s="126"/>
    </row>
    <row r="401" spans="1:4">
      <c r="A401" s="126"/>
      <c r="B401" s="126"/>
      <c r="C401" s="126"/>
      <c r="D401" s="126"/>
    </row>
    <row r="402" spans="1:4">
      <c r="A402" s="126"/>
      <c r="B402" s="126"/>
      <c r="C402" s="126"/>
      <c r="D402" s="126"/>
    </row>
    <row r="403" spans="1:4">
      <c r="A403" s="126"/>
      <c r="B403" s="126"/>
      <c r="C403" s="126"/>
      <c r="D403" s="126"/>
    </row>
    <row r="404" spans="1:4">
      <c r="A404" s="126"/>
      <c r="B404" s="126"/>
      <c r="C404" s="126"/>
      <c r="D404" s="126"/>
    </row>
    <row r="405" spans="1:4">
      <c r="A405" s="126"/>
      <c r="B405" s="126"/>
      <c r="C405" s="126"/>
      <c r="D405" s="126"/>
    </row>
    <row r="406" spans="1:4">
      <c r="A406" s="126"/>
      <c r="B406" s="126"/>
      <c r="C406" s="126"/>
      <c r="D406" s="126"/>
    </row>
    <row r="407" spans="1:4">
      <c r="A407" s="126"/>
      <c r="B407" s="126"/>
      <c r="C407" s="126"/>
      <c r="D407" s="126"/>
    </row>
    <row r="408" spans="1:4">
      <c r="A408" s="126"/>
      <c r="B408" s="126"/>
      <c r="C408" s="126"/>
      <c r="D408" s="126"/>
    </row>
    <row r="409" spans="1:4">
      <c r="A409" s="126"/>
      <c r="B409" s="126"/>
      <c r="C409" s="126"/>
      <c r="D409" s="126"/>
    </row>
    <row r="410" spans="1:4">
      <c r="A410" s="126"/>
      <c r="B410" s="126"/>
      <c r="C410" s="126"/>
      <c r="D410" s="126"/>
    </row>
    <row r="411" spans="1:4">
      <c r="A411" s="126"/>
      <c r="B411" s="126"/>
      <c r="C411" s="126"/>
      <c r="D411" s="126"/>
    </row>
    <row r="412" spans="1:4">
      <c r="A412" s="126"/>
      <c r="B412" s="126"/>
      <c r="C412" s="126"/>
      <c r="D412" s="126"/>
    </row>
    <row r="413" spans="1:4">
      <c r="A413" s="126"/>
      <c r="B413" s="126"/>
      <c r="C413" s="126"/>
      <c r="D413" s="126"/>
    </row>
    <row r="414" spans="1:4">
      <c r="A414" s="126"/>
      <c r="B414" s="126"/>
      <c r="C414" s="126"/>
      <c r="D414" s="126"/>
    </row>
    <row r="415" spans="1:4">
      <c r="A415" s="126"/>
      <c r="B415" s="126"/>
      <c r="C415" s="126"/>
      <c r="D415" s="126"/>
    </row>
    <row r="416" spans="1:4">
      <c r="A416" s="126"/>
      <c r="B416" s="126"/>
      <c r="C416" s="126"/>
      <c r="D416" s="126"/>
    </row>
    <row r="417" spans="1:4">
      <c r="A417" s="126"/>
      <c r="B417" s="126"/>
      <c r="C417" s="126"/>
      <c r="D417" s="126"/>
    </row>
    <row r="418" spans="1:4">
      <c r="A418" s="126"/>
      <c r="B418" s="126"/>
      <c r="C418" s="126"/>
      <c r="D418" s="126"/>
    </row>
    <row r="419" spans="1:4">
      <c r="A419" s="126"/>
      <c r="B419" s="126"/>
      <c r="C419" s="126"/>
      <c r="D419" s="126"/>
    </row>
    <row r="420" spans="1:4">
      <c r="A420" s="126"/>
      <c r="B420" s="126"/>
      <c r="C420" s="126"/>
      <c r="D420" s="126"/>
    </row>
    <row r="421" spans="1:4">
      <c r="A421" s="126"/>
      <c r="B421" s="126"/>
      <c r="C421" s="126"/>
      <c r="D421" s="126"/>
    </row>
    <row r="422" spans="1:4">
      <c r="A422" s="126"/>
      <c r="B422" s="126"/>
      <c r="C422" s="126"/>
      <c r="D422" s="126"/>
    </row>
    <row r="423" spans="1:4">
      <c r="A423" s="126"/>
      <c r="B423" s="126"/>
      <c r="C423" s="126"/>
      <c r="D423" s="126"/>
    </row>
    <row r="424" spans="1:4">
      <c r="A424" s="126"/>
      <c r="B424" s="126"/>
      <c r="C424" s="126"/>
      <c r="D424" s="126"/>
    </row>
    <row r="425" spans="1:4">
      <c r="A425" s="126"/>
      <c r="B425" s="126"/>
      <c r="C425" s="126"/>
      <c r="D425" s="126"/>
    </row>
    <row r="426" spans="1:4">
      <c r="A426" s="126"/>
      <c r="B426" s="126"/>
      <c r="C426" s="126"/>
      <c r="D426" s="126"/>
    </row>
    <row r="427" spans="1:4">
      <c r="A427" s="126"/>
      <c r="B427" s="126"/>
      <c r="C427" s="126"/>
      <c r="D427" s="126"/>
    </row>
    <row r="428" spans="1:4">
      <c r="A428" s="126"/>
      <c r="B428" s="126"/>
      <c r="C428" s="126"/>
      <c r="D428" s="126"/>
    </row>
    <row r="429" spans="1:4">
      <c r="A429" s="126"/>
      <c r="B429" s="126"/>
      <c r="C429" s="126"/>
      <c r="D429" s="126"/>
    </row>
    <row r="430" spans="1:4">
      <c r="A430" s="126"/>
      <c r="B430" s="126"/>
      <c r="C430" s="126"/>
      <c r="D430" s="126"/>
    </row>
    <row r="431" spans="1:4">
      <c r="A431" s="126"/>
      <c r="B431" s="126"/>
      <c r="C431" s="126"/>
      <c r="D431" s="126"/>
    </row>
    <row r="432" spans="1:4">
      <c r="A432" s="126"/>
      <c r="B432" s="126"/>
      <c r="C432" s="126"/>
      <c r="D432" s="126"/>
    </row>
    <row r="433" spans="1:4">
      <c r="A433" s="126"/>
      <c r="B433" s="126"/>
      <c r="C433" s="126"/>
      <c r="D433" s="126"/>
    </row>
    <row r="434" spans="1:4">
      <c r="A434" s="126"/>
      <c r="B434" s="126"/>
      <c r="C434" s="126"/>
      <c r="D434" s="126"/>
    </row>
    <row r="435" spans="1:4">
      <c r="A435" s="126"/>
      <c r="B435" s="126"/>
      <c r="C435" s="126"/>
      <c r="D435" s="126"/>
    </row>
    <row r="436" spans="1:4">
      <c r="A436" s="126"/>
      <c r="B436" s="126"/>
      <c r="C436" s="126"/>
      <c r="D436" s="126"/>
    </row>
    <row r="437" spans="1:4">
      <c r="A437" s="126"/>
      <c r="B437" s="126"/>
      <c r="C437" s="126"/>
      <c r="D437" s="126"/>
    </row>
    <row r="438" spans="1:4">
      <c r="A438" s="126"/>
      <c r="B438" s="126"/>
      <c r="C438" s="126"/>
      <c r="D438" s="126"/>
    </row>
    <row r="439" spans="1:4">
      <c r="A439" s="126"/>
      <c r="B439" s="126"/>
      <c r="C439" s="126"/>
      <c r="D439" s="126"/>
    </row>
    <row r="440" spans="1:4">
      <c r="A440" s="126"/>
      <c r="B440" s="126"/>
      <c r="C440" s="126"/>
      <c r="D440" s="126"/>
    </row>
    <row r="441" spans="1:4">
      <c r="A441" s="126"/>
      <c r="B441" s="126"/>
      <c r="C441" s="126"/>
      <c r="D441" s="126"/>
    </row>
    <row r="442" spans="1:4">
      <c r="A442" s="126"/>
      <c r="B442" s="126"/>
      <c r="C442" s="126"/>
      <c r="D442" s="126"/>
    </row>
    <row r="443" spans="1:4">
      <c r="A443" s="126"/>
      <c r="B443" s="126"/>
      <c r="C443" s="126"/>
      <c r="D443" s="126"/>
    </row>
    <row r="444" spans="1:4">
      <c r="A444" s="126"/>
      <c r="B444" s="126"/>
      <c r="C444" s="126"/>
      <c r="D444" s="126"/>
    </row>
    <row r="445" spans="1:4">
      <c r="A445" s="126"/>
      <c r="B445" s="126"/>
      <c r="C445" s="126"/>
      <c r="D445" s="126"/>
    </row>
    <row r="446" spans="1:4">
      <c r="A446" s="126"/>
      <c r="B446" s="126"/>
      <c r="C446" s="126"/>
      <c r="D446" s="126"/>
    </row>
    <row r="447" spans="1:4">
      <c r="A447" s="126"/>
      <c r="B447" s="126"/>
      <c r="C447" s="126"/>
      <c r="D447" s="126"/>
    </row>
    <row r="448" spans="1:4">
      <c r="A448" s="126"/>
      <c r="B448" s="126"/>
      <c r="C448" s="126"/>
      <c r="D448" s="126"/>
    </row>
    <row r="449" spans="1:4">
      <c r="A449" s="126"/>
      <c r="B449" s="126"/>
      <c r="C449" s="126"/>
      <c r="D449" s="126"/>
    </row>
    <row r="450" spans="1:4">
      <c r="A450" s="126"/>
      <c r="B450" s="126"/>
      <c r="C450" s="126"/>
      <c r="D450" s="126"/>
    </row>
    <row r="451" spans="1:4">
      <c r="A451" s="126"/>
      <c r="B451" s="126"/>
      <c r="C451" s="126"/>
      <c r="D451" s="126"/>
    </row>
    <row r="452" spans="1:4">
      <c r="A452" s="126"/>
      <c r="B452" s="126"/>
      <c r="C452" s="126"/>
      <c r="D452" s="126"/>
    </row>
    <row r="453" spans="1:4">
      <c r="A453" s="126"/>
      <c r="B453" s="126"/>
      <c r="C453" s="126"/>
      <c r="D453" s="126"/>
    </row>
    <row r="454" spans="1:4">
      <c r="A454" s="126"/>
      <c r="B454" s="126"/>
      <c r="C454" s="126"/>
      <c r="D454" s="126"/>
    </row>
    <row r="455" spans="1:4">
      <c r="A455" s="126"/>
      <c r="B455" s="126"/>
      <c r="C455" s="126"/>
      <c r="D455" s="126"/>
    </row>
    <row r="456" spans="1:4">
      <c r="A456" s="126"/>
      <c r="B456" s="126"/>
      <c r="C456" s="126"/>
      <c r="D456" s="126"/>
    </row>
    <row r="457" spans="1:4">
      <c r="A457" s="126"/>
      <c r="B457" s="126"/>
      <c r="C457" s="126"/>
      <c r="D457" s="126"/>
    </row>
    <row r="458" spans="1:4">
      <c r="A458" s="126"/>
      <c r="B458" s="126"/>
      <c r="C458" s="126"/>
      <c r="D458" s="126"/>
    </row>
    <row r="459" spans="1:4">
      <c r="A459" s="126"/>
      <c r="B459" s="126"/>
      <c r="C459" s="126"/>
      <c r="D459" s="126"/>
    </row>
    <row r="460" spans="1:4">
      <c r="A460" s="126"/>
      <c r="B460" s="126"/>
      <c r="C460" s="126"/>
      <c r="D460" s="126"/>
    </row>
    <row r="461" spans="1:4">
      <c r="A461" s="126"/>
      <c r="B461" s="126"/>
      <c r="C461" s="126"/>
      <c r="D461" s="126"/>
    </row>
    <row r="462" spans="1:4">
      <c r="A462" s="126"/>
      <c r="B462" s="126"/>
      <c r="C462" s="126"/>
      <c r="D462" s="126"/>
    </row>
    <row r="463" spans="1:4">
      <c r="A463" s="126"/>
      <c r="B463" s="126"/>
      <c r="C463" s="126"/>
      <c r="D463" s="126"/>
    </row>
    <row r="464" spans="1:4">
      <c r="A464" s="126"/>
      <c r="B464" s="126"/>
      <c r="C464" s="126"/>
      <c r="D464" s="126"/>
    </row>
    <row r="465" spans="1:4">
      <c r="A465" s="126"/>
      <c r="B465" s="126"/>
      <c r="C465" s="126"/>
      <c r="D465" s="126"/>
    </row>
    <row r="466" spans="1:4">
      <c r="A466" s="126"/>
      <c r="B466" s="126"/>
      <c r="C466" s="126"/>
      <c r="D466" s="126"/>
    </row>
    <row r="467" spans="1:4">
      <c r="A467" s="126"/>
      <c r="B467" s="126"/>
      <c r="C467" s="126"/>
      <c r="D467" s="126"/>
    </row>
    <row r="468" spans="1:4">
      <c r="A468" s="126"/>
      <c r="B468" s="126"/>
      <c r="C468" s="126"/>
      <c r="D468" s="126"/>
    </row>
    <row r="469" spans="1:4">
      <c r="A469" s="126"/>
      <c r="B469" s="126"/>
      <c r="C469" s="126"/>
      <c r="D469" s="126"/>
    </row>
    <row r="470" spans="1:4">
      <c r="A470" s="126"/>
      <c r="B470" s="126"/>
      <c r="C470" s="126"/>
      <c r="D470" s="126"/>
    </row>
    <row r="471" spans="1:4">
      <c r="A471" s="126"/>
      <c r="B471" s="126"/>
      <c r="C471" s="126"/>
      <c r="D471" s="126"/>
    </row>
    <row r="472" spans="1:4">
      <c r="A472" s="126"/>
      <c r="B472" s="126"/>
      <c r="C472" s="126"/>
      <c r="D472" s="126"/>
    </row>
    <row r="473" spans="1:4">
      <c r="A473" s="126"/>
      <c r="B473" s="126"/>
      <c r="C473" s="126"/>
      <c r="D473" s="126"/>
    </row>
    <row r="474" spans="1:4">
      <c r="A474" s="126"/>
      <c r="B474" s="126"/>
      <c r="C474" s="126"/>
      <c r="D474" s="126"/>
    </row>
    <row r="475" spans="1:4">
      <c r="A475" s="126"/>
      <c r="B475" s="126"/>
      <c r="C475" s="126"/>
      <c r="D475" s="126"/>
    </row>
    <row r="476" spans="1:4">
      <c r="A476" s="126"/>
      <c r="B476" s="126"/>
      <c r="C476" s="126"/>
      <c r="D476" s="126"/>
    </row>
    <row r="477" spans="1:4">
      <c r="A477" s="126"/>
      <c r="B477" s="126"/>
      <c r="C477" s="126"/>
      <c r="D477" s="126"/>
    </row>
    <row r="478" spans="1:4">
      <c r="A478" s="126"/>
      <c r="B478" s="126"/>
      <c r="C478" s="126"/>
      <c r="D478" s="126"/>
    </row>
    <row r="479" spans="1:4">
      <c r="A479" s="126"/>
      <c r="B479" s="126"/>
      <c r="C479" s="126"/>
      <c r="D479" s="126"/>
    </row>
    <row r="480" spans="1:4">
      <c r="A480" s="126"/>
      <c r="B480" s="126"/>
      <c r="C480" s="126"/>
      <c r="D480" s="126"/>
    </row>
    <row r="481" spans="1:4">
      <c r="A481" s="126"/>
      <c r="B481" s="126"/>
      <c r="C481" s="126"/>
      <c r="D481" s="126"/>
    </row>
    <row r="482" spans="1:4">
      <c r="A482" s="126"/>
      <c r="B482" s="126"/>
      <c r="C482" s="126"/>
      <c r="D482" s="126"/>
    </row>
    <row r="483" spans="1:4">
      <c r="A483" s="126"/>
      <c r="B483" s="126"/>
      <c r="C483" s="126"/>
      <c r="D483" s="126"/>
    </row>
    <row r="484" spans="1:4">
      <c r="A484" s="126"/>
      <c r="B484" s="126"/>
      <c r="C484" s="126"/>
      <c r="D484" s="126"/>
    </row>
    <row r="485" spans="1:4">
      <c r="A485" s="126"/>
      <c r="B485" s="126"/>
      <c r="C485" s="126"/>
      <c r="D485" s="126"/>
    </row>
    <row r="486" spans="1:4">
      <c r="A486" s="126"/>
      <c r="B486" s="126"/>
      <c r="C486" s="126"/>
      <c r="D486" s="126"/>
    </row>
    <row r="487" spans="1:4">
      <c r="A487" s="126"/>
      <c r="B487" s="126"/>
      <c r="C487" s="126"/>
      <c r="D487" s="126"/>
    </row>
    <row r="488" spans="1:4">
      <c r="A488" s="126"/>
      <c r="B488" s="126"/>
      <c r="C488" s="126"/>
      <c r="D488" s="126"/>
    </row>
    <row r="489" spans="1:4">
      <c r="A489" s="126"/>
      <c r="B489" s="126"/>
      <c r="C489" s="126"/>
      <c r="D489" s="126"/>
    </row>
    <row r="490" spans="1:4">
      <c r="A490" s="126"/>
      <c r="B490" s="126"/>
      <c r="C490" s="126"/>
      <c r="D490" s="126"/>
    </row>
    <row r="491" spans="1:4">
      <c r="A491" s="126"/>
      <c r="B491" s="126"/>
      <c r="C491" s="126"/>
      <c r="D491" s="126"/>
    </row>
    <row r="492" spans="1:4">
      <c r="A492" s="126"/>
      <c r="B492" s="126"/>
      <c r="C492" s="126"/>
      <c r="D492" s="126"/>
    </row>
    <row r="493" spans="1:4">
      <c r="A493" s="126"/>
      <c r="B493" s="126"/>
      <c r="C493" s="126"/>
      <c r="D493" s="126"/>
    </row>
    <row r="494" spans="1:4">
      <c r="A494" s="126"/>
      <c r="B494" s="126"/>
      <c r="C494" s="126"/>
      <c r="D494" s="126"/>
    </row>
    <row r="495" spans="1:4">
      <c r="A495" s="126"/>
      <c r="B495" s="126"/>
      <c r="C495" s="126"/>
      <c r="D495" s="126"/>
    </row>
    <row r="496" spans="1:4">
      <c r="A496" s="126"/>
      <c r="B496" s="126"/>
      <c r="C496" s="126"/>
      <c r="D496" s="126"/>
    </row>
    <row r="497" spans="1:4">
      <c r="A497" s="126"/>
      <c r="B497" s="126"/>
      <c r="C497" s="126"/>
      <c r="D497" s="126"/>
    </row>
    <row r="498" spans="1:4">
      <c r="A498" s="126"/>
      <c r="B498" s="126"/>
      <c r="C498" s="126"/>
      <c r="D498" s="126"/>
    </row>
    <row r="499" spans="1:4">
      <c r="A499" s="126"/>
      <c r="B499" s="126"/>
      <c r="C499" s="126"/>
      <c r="D499" s="126"/>
    </row>
    <row r="500" spans="1:4">
      <c r="A500" s="126"/>
      <c r="B500" s="126"/>
      <c r="C500" s="126"/>
      <c r="D500" s="126"/>
    </row>
    <row r="501" spans="1:4">
      <c r="A501" s="126"/>
      <c r="B501" s="126"/>
      <c r="C501" s="126"/>
      <c r="D501" s="126"/>
    </row>
    <row r="502" spans="1:4">
      <c r="A502" s="126"/>
      <c r="B502" s="126"/>
      <c r="C502" s="126"/>
      <c r="D502" s="126"/>
    </row>
    <row r="503" spans="1:4">
      <c r="A503" s="126"/>
      <c r="B503" s="126"/>
      <c r="C503" s="126"/>
      <c r="D503" s="126"/>
    </row>
    <row r="504" spans="1:4">
      <c r="A504" s="126"/>
      <c r="B504" s="126"/>
      <c r="C504" s="126"/>
      <c r="D504" s="126"/>
    </row>
    <row r="505" spans="1:4">
      <c r="A505" s="126"/>
      <c r="B505" s="126"/>
      <c r="C505" s="126"/>
      <c r="D505" s="126"/>
    </row>
    <row r="506" spans="1:4">
      <c r="A506" s="126"/>
      <c r="B506" s="126"/>
      <c r="C506" s="126"/>
      <c r="D506" s="126"/>
    </row>
    <row r="507" spans="1:4">
      <c r="A507" s="126"/>
      <c r="B507" s="126"/>
      <c r="C507" s="126"/>
      <c r="D507" s="126"/>
    </row>
    <row r="508" spans="1:4">
      <c r="A508" s="126"/>
      <c r="B508" s="126"/>
      <c r="C508" s="126"/>
      <c r="D508" s="126"/>
    </row>
    <row r="509" spans="1:4">
      <c r="A509" s="126"/>
      <c r="B509" s="126"/>
      <c r="C509" s="126"/>
      <c r="D509" s="126"/>
    </row>
    <row r="510" spans="1:4">
      <c r="A510" s="126"/>
      <c r="B510" s="126"/>
      <c r="C510" s="126"/>
      <c r="D510" s="126"/>
    </row>
    <row r="511" spans="1:4">
      <c r="A511" s="126"/>
      <c r="B511" s="126"/>
      <c r="C511" s="126"/>
      <c r="D511" s="126"/>
    </row>
    <row r="512" spans="1:4">
      <c r="A512" s="126"/>
      <c r="B512" s="126"/>
      <c r="C512" s="126"/>
      <c r="D512" s="126"/>
    </row>
    <row r="513" spans="1:4">
      <c r="A513" s="126"/>
      <c r="B513" s="126"/>
      <c r="C513" s="126"/>
      <c r="D513" s="126"/>
    </row>
    <row r="514" spans="1:4">
      <c r="A514" s="126"/>
      <c r="B514" s="126"/>
      <c r="C514" s="126"/>
      <c r="D514" s="126"/>
    </row>
    <row r="515" spans="1:4">
      <c r="A515" s="126"/>
      <c r="B515" s="126"/>
      <c r="C515" s="126"/>
      <c r="D515" s="126"/>
    </row>
    <row r="516" spans="1:4">
      <c r="A516" s="126"/>
      <c r="B516" s="126"/>
      <c r="C516" s="126"/>
      <c r="D516" s="126"/>
    </row>
    <row r="517" spans="1:4">
      <c r="A517" s="126"/>
      <c r="B517" s="126"/>
      <c r="C517" s="126"/>
      <c r="D517" s="126"/>
    </row>
    <row r="518" spans="1:4">
      <c r="A518" s="126"/>
      <c r="B518" s="126"/>
      <c r="C518" s="126"/>
      <c r="D518" s="126"/>
    </row>
    <row r="519" spans="1:4">
      <c r="A519" s="126"/>
      <c r="B519" s="126"/>
      <c r="C519" s="126"/>
      <c r="D519" s="126"/>
    </row>
    <row r="520" spans="1:4">
      <c r="A520" s="126"/>
      <c r="B520" s="126"/>
      <c r="C520" s="126"/>
      <c r="D520" s="126"/>
    </row>
    <row r="521" spans="1:4">
      <c r="A521" s="126"/>
      <c r="B521" s="126"/>
      <c r="C521" s="126"/>
      <c r="D521" s="126"/>
    </row>
    <row r="522" spans="1:4">
      <c r="A522" s="126"/>
      <c r="B522" s="126"/>
      <c r="C522" s="126"/>
      <c r="D522" s="126"/>
    </row>
    <row r="523" spans="1:4">
      <c r="A523" s="126"/>
      <c r="B523" s="126"/>
      <c r="C523" s="126"/>
      <c r="D523" s="126"/>
    </row>
    <row r="524" spans="1:4">
      <c r="A524" s="126"/>
      <c r="B524" s="126"/>
      <c r="C524" s="126"/>
      <c r="D524" s="126"/>
    </row>
    <row r="525" spans="1:4">
      <c r="A525" s="126"/>
      <c r="B525" s="126"/>
      <c r="C525" s="126"/>
      <c r="D525" s="126"/>
    </row>
    <row r="526" spans="1:4">
      <c r="A526" s="126"/>
      <c r="B526" s="126"/>
      <c r="C526" s="126"/>
      <c r="D526" s="126"/>
    </row>
    <row r="527" spans="1:4">
      <c r="A527" s="126"/>
      <c r="B527" s="126"/>
      <c r="C527" s="126"/>
      <c r="D527" s="126"/>
    </row>
    <row r="528" spans="1:4">
      <c r="A528" s="126"/>
      <c r="B528" s="126"/>
      <c r="C528" s="126"/>
      <c r="D528" s="126"/>
    </row>
    <row r="529" spans="1:4">
      <c r="A529" s="126"/>
      <c r="B529" s="126"/>
      <c r="C529" s="126"/>
      <c r="D529" s="126"/>
    </row>
    <row r="530" spans="1:4">
      <c r="A530" s="126"/>
      <c r="B530" s="126"/>
      <c r="C530" s="126"/>
      <c r="D530" s="126"/>
    </row>
    <row r="531" spans="1:4">
      <c r="A531" s="126"/>
      <c r="B531" s="126"/>
      <c r="C531" s="126"/>
      <c r="D531" s="126"/>
    </row>
    <row r="532" spans="1:4">
      <c r="A532" s="126"/>
      <c r="B532" s="126"/>
      <c r="C532" s="126"/>
      <c r="D532" s="126"/>
    </row>
    <row r="533" spans="1:4">
      <c r="A533" s="126"/>
      <c r="B533" s="126"/>
      <c r="C533" s="126"/>
      <c r="D533" s="126"/>
    </row>
    <row r="534" spans="1:4">
      <c r="A534" s="126"/>
      <c r="B534" s="126"/>
      <c r="C534" s="126"/>
      <c r="D534" s="126"/>
    </row>
    <row r="535" spans="1:4">
      <c r="A535" s="126"/>
      <c r="B535" s="126"/>
      <c r="C535" s="126"/>
      <c r="D535" s="126"/>
    </row>
    <row r="536" spans="1:4">
      <c r="A536" s="126"/>
      <c r="B536" s="126"/>
      <c r="C536" s="126"/>
      <c r="D536" s="126"/>
    </row>
    <row r="537" spans="1:4">
      <c r="A537" s="126"/>
      <c r="B537" s="126"/>
      <c r="C537" s="126"/>
      <c r="D537" s="126"/>
    </row>
    <row r="538" spans="1:4">
      <c r="A538" s="126"/>
      <c r="B538" s="126"/>
      <c r="C538" s="126"/>
      <c r="D538" s="126"/>
    </row>
    <row r="539" spans="1:4">
      <c r="A539" s="126"/>
      <c r="B539" s="126"/>
      <c r="C539" s="126"/>
      <c r="D539" s="126"/>
    </row>
    <row r="540" spans="1:4">
      <c r="A540" s="126"/>
      <c r="B540" s="126"/>
      <c r="C540" s="126"/>
      <c r="D540" s="126"/>
    </row>
    <row r="541" spans="1:4">
      <c r="A541" s="126"/>
      <c r="B541" s="126"/>
      <c r="C541" s="126"/>
      <c r="D541" s="126"/>
    </row>
    <row r="542" spans="1:4">
      <c r="A542" s="126"/>
      <c r="B542" s="126"/>
      <c r="C542" s="126"/>
      <c r="D542" s="126"/>
    </row>
    <row r="543" spans="1:4">
      <c r="A543" s="126"/>
      <c r="B543" s="126"/>
      <c r="C543" s="126"/>
      <c r="D543" s="126"/>
    </row>
    <row r="544" spans="1:4">
      <c r="A544" s="126"/>
      <c r="B544" s="126"/>
      <c r="C544" s="126"/>
      <c r="D544" s="126"/>
    </row>
    <row r="545" spans="1:4">
      <c r="A545" s="126"/>
      <c r="B545" s="126"/>
      <c r="C545" s="126"/>
      <c r="D545" s="126"/>
    </row>
    <row r="546" spans="1:4">
      <c r="A546" s="126"/>
      <c r="B546" s="126"/>
      <c r="C546" s="126"/>
      <c r="D546" s="126"/>
    </row>
    <row r="547" spans="1:4">
      <c r="A547" s="126"/>
      <c r="B547" s="126"/>
      <c r="C547" s="126"/>
      <c r="D547" s="126"/>
    </row>
    <row r="548" spans="1:4">
      <c r="A548" s="126"/>
      <c r="B548" s="126"/>
      <c r="C548" s="126"/>
      <c r="D548" s="126"/>
    </row>
    <row r="549" spans="1:4">
      <c r="A549" s="126"/>
      <c r="B549" s="126"/>
      <c r="C549" s="126"/>
      <c r="D549" s="126"/>
    </row>
    <row r="550" spans="1:4">
      <c r="A550" s="126"/>
      <c r="B550" s="126"/>
      <c r="C550" s="126"/>
      <c r="D550" s="126"/>
    </row>
    <row r="551" spans="1:4">
      <c r="A551" s="126"/>
      <c r="B551" s="126"/>
      <c r="C551" s="126"/>
      <c r="D551" s="126"/>
    </row>
    <row r="552" spans="1:4">
      <c r="A552" s="126"/>
      <c r="B552" s="126"/>
      <c r="C552" s="126"/>
      <c r="D552" s="126"/>
    </row>
    <row r="553" spans="1:4">
      <c r="A553" s="126"/>
      <c r="B553" s="126"/>
      <c r="C553" s="126"/>
      <c r="D553" s="126"/>
    </row>
    <row r="554" spans="1:4">
      <c r="A554" s="126"/>
      <c r="B554" s="126"/>
      <c r="C554" s="126"/>
      <c r="D554" s="126"/>
    </row>
    <row r="555" spans="1:4">
      <c r="A555" s="126"/>
      <c r="B555" s="126"/>
      <c r="C555" s="126"/>
      <c r="D555" s="126"/>
    </row>
    <row r="556" spans="1:4">
      <c r="A556" s="126"/>
      <c r="B556" s="126"/>
      <c r="C556" s="126"/>
      <c r="D556" s="126"/>
    </row>
    <row r="557" spans="1:4">
      <c r="A557" s="126"/>
      <c r="B557" s="126"/>
      <c r="C557" s="126"/>
      <c r="D557" s="126"/>
    </row>
    <row r="558" spans="1:4">
      <c r="A558" s="126"/>
      <c r="B558" s="126"/>
      <c r="C558" s="126"/>
      <c r="D558" s="126"/>
    </row>
    <row r="559" spans="1:4">
      <c r="A559" s="126"/>
      <c r="B559" s="126"/>
      <c r="C559" s="126"/>
      <c r="D559" s="126"/>
    </row>
    <row r="560" spans="1:4">
      <c r="A560" s="126"/>
      <c r="B560" s="126"/>
      <c r="C560" s="126"/>
      <c r="D560" s="126"/>
    </row>
    <row r="561" spans="1:4">
      <c r="A561" s="126"/>
      <c r="B561" s="126"/>
      <c r="C561" s="126"/>
      <c r="D561" s="126"/>
    </row>
    <row r="562" spans="1:4">
      <c r="A562" s="126"/>
      <c r="B562" s="126"/>
      <c r="C562" s="126"/>
      <c r="D562" s="126"/>
    </row>
    <row r="563" spans="1:4">
      <c r="A563" s="126"/>
      <c r="B563" s="126"/>
      <c r="C563" s="126"/>
      <c r="D563" s="126"/>
    </row>
    <row r="564" spans="1:4">
      <c r="A564" s="126"/>
      <c r="B564" s="126"/>
      <c r="C564" s="126"/>
      <c r="D564" s="126"/>
    </row>
    <row r="565" spans="1:4">
      <c r="A565" s="126"/>
      <c r="B565" s="126"/>
      <c r="C565" s="126"/>
      <c r="D565" s="126"/>
    </row>
    <row r="566" spans="1:4">
      <c r="A566" s="126"/>
      <c r="B566" s="126"/>
      <c r="C566" s="126"/>
      <c r="D566" s="126"/>
    </row>
    <row r="567" spans="1:4">
      <c r="A567" s="126"/>
      <c r="B567" s="126"/>
      <c r="C567" s="126"/>
      <c r="D567" s="126"/>
    </row>
    <row r="568" spans="1:4">
      <c r="A568" s="126"/>
      <c r="B568" s="126"/>
      <c r="C568" s="126"/>
      <c r="D568" s="126"/>
    </row>
    <row r="569" spans="1:4">
      <c r="A569" s="126"/>
      <c r="B569" s="126"/>
      <c r="C569" s="126"/>
      <c r="D569" s="126"/>
    </row>
    <row r="570" spans="1:4">
      <c r="A570" s="126"/>
      <c r="B570" s="126"/>
      <c r="C570" s="126"/>
      <c r="D570" s="126"/>
    </row>
    <row r="571" spans="1:4">
      <c r="A571" s="126"/>
      <c r="B571" s="126"/>
      <c r="C571" s="126"/>
      <c r="D571" s="126"/>
    </row>
    <row r="572" spans="1:4">
      <c r="A572" s="126"/>
      <c r="B572" s="126"/>
      <c r="C572" s="126"/>
      <c r="D572" s="126"/>
    </row>
    <row r="573" spans="1:4">
      <c r="A573" s="126"/>
      <c r="B573" s="126"/>
      <c r="C573" s="126"/>
      <c r="D573" s="126"/>
    </row>
    <row r="574" spans="1:4">
      <c r="A574" s="126"/>
      <c r="B574" s="126"/>
      <c r="C574" s="126"/>
      <c r="D574" s="126"/>
    </row>
    <row r="575" spans="1:4">
      <c r="A575" s="126"/>
      <c r="B575" s="126"/>
      <c r="C575" s="126"/>
      <c r="D575" s="126"/>
    </row>
    <row r="576" spans="1:4">
      <c r="A576" s="126"/>
      <c r="B576" s="126"/>
      <c r="C576" s="126"/>
      <c r="D576" s="126"/>
    </row>
    <row r="577" spans="1:4">
      <c r="A577" s="126"/>
      <c r="B577" s="126"/>
      <c r="C577" s="126"/>
      <c r="D577" s="126"/>
    </row>
    <row r="578" spans="1:4">
      <c r="A578" s="126"/>
      <c r="B578" s="126"/>
      <c r="C578" s="126"/>
      <c r="D578" s="126"/>
    </row>
    <row r="579" spans="1:4">
      <c r="A579" s="126"/>
      <c r="B579" s="126"/>
      <c r="C579" s="126"/>
      <c r="D579" s="126"/>
    </row>
    <row r="580" spans="1:4">
      <c r="A580" s="126"/>
      <c r="B580" s="126"/>
      <c r="C580" s="126"/>
      <c r="D580" s="126"/>
    </row>
    <row r="581" spans="1:4">
      <c r="A581" s="126"/>
      <c r="B581" s="126"/>
      <c r="C581" s="126"/>
      <c r="D581" s="126"/>
    </row>
    <row r="582" spans="1:4">
      <c r="A582" s="126"/>
      <c r="B582" s="126"/>
      <c r="C582" s="126"/>
      <c r="D582" s="126"/>
    </row>
    <row r="583" spans="1:4">
      <c r="A583" s="126"/>
      <c r="B583" s="126"/>
      <c r="C583" s="126"/>
      <c r="D583" s="126"/>
    </row>
    <row r="584" spans="1:4">
      <c r="A584" s="126"/>
      <c r="B584" s="126"/>
      <c r="C584" s="126"/>
      <c r="D584" s="126"/>
    </row>
    <row r="585" spans="1:4">
      <c r="A585" s="126"/>
      <c r="B585" s="126"/>
      <c r="C585" s="126"/>
      <c r="D585" s="126"/>
    </row>
    <row r="586" spans="1:4">
      <c r="A586" s="126"/>
      <c r="B586" s="126"/>
      <c r="C586" s="126"/>
      <c r="D586" s="126"/>
    </row>
    <row r="587" spans="1:4">
      <c r="A587" s="126"/>
      <c r="B587" s="126"/>
      <c r="C587" s="126"/>
      <c r="D587" s="126"/>
    </row>
    <row r="588" spans="1:4">
      <c r="A588" s="126"/>
      <c r="B588" s="126"/>
      <c r="C588" s="126"/>
      <c r="D588" s="126"/>
    </row>
    <row r="589" spans="1:4">
      <c r="A589" s="126"/>
      <c r="B589" s="126"/>
      <c r="C589" s="126"/>
      <c r="D589" s="126"/>
    </row>
    <row r="590" spans="1:4">
      <c r="A590" s="126"/>
      <c r="B590" s="126"/>
      <c r="C590" s="126"/>
      <c r="D590" s="126"/>
    </row>
    <row r="591" spans="1:4">
      <c r="A591" s="126"/>
      <c r="B591" s="126"/>
      <c r="C591" s="126"/>
      <c r="D591" s="126"/>
    </row>
    <row r="592" spans="1:4">
      <c r="A592" s="126"/>
      <c r="B592" s="126"/>
      <c r="C592" s="126"/>
      <c r="D592" s="126"/>
    </row>
    <row r="593" spans="1:4">
      <c r="A593" s="126"/>
      <c r="B593" s="126"/>
      <c r="C593" s="126"/>
      <c r="D593" s="126"/>
    </row>
    <row r="594" spans="1:4">
      <c r="A594" s="126"/>
      <c r="B594" s="126"/>
      <c r="C594" s="126"/>
      <c r="D594" s="126"/>
    </row>
    <row r="595" spans="1:4">
      <c r="A595" s="126"/>
      <c r="B595" s="126"/>
      <c r="C595" s="126"/>
      <c r="D595" s="126"/>
    </row>
    <row r="596" spans="1:4">
      <c r="A596" s="126"/>
      <c r="B596" s="126"/>
      <c r="C596" s="126"/>
      <c r="D596" s="126"/>
    </row>
    <row r="597" spans="1:4">
      <c r="A597" s="126"/>
      <c r="B597" s="126"/>
      <c r="C597" s="126"/>
      <c r="D597" s="126"/>
    </row>
    <row r="598" spans="1:4">
      <c r="A598" s="126"/>
      <c r="B598" s="126"/>
      <c r="C598" s="126"/>
      <c r="D598" s="126"/>
    </row>
    <row r="599" spans="1:4">
      <c r="A599" s="126"/>
      <c r="B599" s="126"/>
      <c r="C599" s="126"/>
      <c r="D599" s="126"/>
    </row>
    <row r="600" spans="1:4">
      <c r="A600" s="126"/>
      <c r="B600" s="126"/>
      <c r="C600" s="126"/>
      <c r="D600" s="126"/>
    </row>
    <row r="601" spans="1:4">
      <c r="A601" s="126"/>
      <c r="B601" s="126"/>
      <c r="C601" s="126"/>
      <c r="D601" s="126"/>
    </row>
    <row r="602" spans="1:4">
      <c r="A602" s="126"/>
      <c r="B602" s="126"/>
      <c r="C602" s="126"/>
      <c r="D602" s="126"/>
    </row>
    <row r="603" spans="1:4">
      <c r="A603" s="126"/>
      <c r="B603" s="126"/>
      <c r="C603" s="126"/>
      <c r="D603" s="126"/>
    </row>
    <row r="604" spans="1:4">
      <c r="A604" s="126"/>
      <c r="B604" s="126"/>
      <c r="C604" s="126"/>
      <c r="D604" s="126"/>
    </row>
    <row r="605" spans="1:4">
      <c r="A605" s="126"/>
      <c r="B605" s="126"/>
      <c r="C605" s="126"/>
      <c r="D605" s="126"/>
    </row>
    <row r="606" spans="1:4">
      <c r="A606" s="126"/>
      <c r="B606" s="126"/>
      <c r="C606" s="126"/>
      <c r="D606" s="126"/>
    </row>
    <row r="607" spans="1:4">
      <c r="A607" s="126"/>
      <c r="B607" s="126"/>
      <c r="C607" s="126"/>
      <c r="D607" s="126"/>
    </row>
    <row r="608" spans="1:4">
      <c r="A608" s="126"/>
      <c r="B608" s="126"/>
      <c r="C608" s="126"/>
      <c r="D608" s="126"/>
    </row>
    <row r="609" spans="1:4">
      <c r="A609" s="126"/>
      <c r="B609" s="126"/>
      <c r="C609" s="126"/>
      <c r="D609" s="126"/>
    </row>
    <row r="610" spans="1:4">
      <c r="A610" s="126"/>
      <c r="B610" s="126"/>
      <c r="C610" s="126"/>
      <c r="D610" s="126"/>
    </row>
    <row r="611" spans="1:4">
      <c r="A611" s="126"/>
      <c r="B611" s="126"/>
      <c r="C611" s="126"/>
      <c r="D611" s="126"/>
    </row>
    <row r="612" spans="1:4">
      <c r="A612" s="126"/>
      <c r="B612" s="126"/>
      <c r="C612" s="126"/>
      <c r="D612" s="126"/>
    </row>
    <row r="613" spans="1:4">
      <c r="A613" s="126"/>
      <c r="B613" s="126"/>
      <c r="C613" s="126"/>
      <c r="D613" s="126"/>
    </row>
    <row r="614" spans="1:4">
      <c r="A614" s="126"/>
      <c r="B614" s="126"/>
      <c r="C614" s="126"/>
      <c r="D614" s="126"/>
    </row>
    <row r="615" spans="1:4">
      <c r="A615" s="126"/>
      <c r="B615" s="126"/>
      <c r="C615" s="126"/>
      <c r="D615" s="126"/>
    </row>
    <row r="616" spans="1:4">
      <c r="A616" s="126"/>
      <c r="B616" s="126"/>
      <c r="C616" s="126"/>
      <c r="D616" s="126"/>
    </row>
    <row r="617" spans="1:4">
      <c r="A617" s="126"/>
      <c r="B617" s="126"/>
      <c r="C617" s="126"/>
      <c r="D617" s="126"/>
    </row>
    <row r="618" spans="1:4">
      <c r="A618" s="126"/>
      <c r="B618" s="126"/>
      <c r="C618" s="126"/>
      <c r="D618" s="126"/>
    </row>
    <row r="619" spans="1:4">
      <c r="A619" s="126"/>
      <c r="B619" s="126"/>
      <c r="C619" s="126"/>
      <c r="D619" s="126"/>
    </row>
    <row r="620" spans="1:4">
      <c r="A620" s="126"/>
      <c r="B620" s="126"/>
      <c r="C620" s="126"/>
      <c r="D620" s="126"/>
    </row>
    <row r="621" spans="1:4">
      <c r="A621" s="126"/>
      <c r="B621" s="126"/>
      <c r="C621" s="126"/>
      <c r="D621" s="126"/>
    </row>
    <row r="622" spans="1:4">
      <c r="A622" s="126"/>
      <c r="B622" s="126"/>
      <c r="C622" s="126"/>
      <c r="D622" s="126"/>
    </row>
    <row r="623" spans="1:4">
      <c r="A623" s="126"/>
      <c r="B623" s="126"/>
      <c r="C623" s="126"/>
      <c r="D623" s="126"/>
    </row>
    <row r="624" spans="1:4">
      <c r="A624" s="126"/>
      <c r="B624" s="126"/>
      <c r="C624" s="126"/>
      <c r="D624" s="126"/>
    </row>
    <row r="625" spans="1:4">
      <c r="A625" s="126"/>
      <c r="B625" s="126"/>
      <c r="C625" s="126"/>
      <c r="D625" s="126"/>
    </row>
    <row r="626" spans="1:4">
      <c r="A626" s="126"/>
      <c r="B626" s="126"/>
      <c r="C626" s="126"/>
      <c r="D626" s="126"/>
    </row>
    <row r="627" spans="1:4">
      <c r="A627" s="126"/>
      <c r="B627" s="126"/>
      <c r="C627" s="126"/>
      <c r="D627" s="126"/>
    </row>
    <row r="628" spans="1:4">
      <c r="A628" s="126"/>
      <c r="B628" s="126"/>
      <c r="C628" s="126"/>
      <c r="D628" s="126"/>
    </row>
    <row r="629" spans="1:4">
      <c r="A629" s="126"/>
      <c r="B629" s="126"/>
      <c r="C629" s="126"/>
      <c r="D629" s="126"/>
    </row>
    <row r="630" spans="1:4">
      <c r="A630" s="126"/>
      <c r="B630" s="126"/>
      <c r="C630" s="126"/>
      <c r="D630" s="126"/>
    </row>
    <row r="631" spans="1:4">
      <c r="A631" s="126"/>
      <c r="B631" s="126"/>
      <c r="C631" s="126"/>
      <c r="D631" s="126"/>
    </row>
    <row r="632" spans="1:4">
      <c r="A632" s="126"/>
      <c r="B632" s="126"/>
      <c r="C632" s="126"/>
      <c r="D632" s="126"/>
    </row>
    <row r="633" spans="1:4">
      <c r="A633" s="126"/>
      <c r="B633" s="126"/>
      <c r="C633" s="126"/>
      <c r="D633" s="126"/>
    </row>
    <row r="634" spans="1:4">
      <c r="A634" s="126"/>
      <c r="B634" s="126"/>
      <c r="C634" s="126"/>
      <c r="D634" s="126"/>
    </row>
    <row r="635" spans="1:4">
      <c r="A635" s="126"/>
      <c r="B635" s="126"/>
      <c r="C635" s="126"/>
      <c r="D635" s="126"/>
    </row>
    <row r="636" spans="1:4">
      <c r="A636" s="126"/>
      <c r="B636" s="126"/>
      <c r="C636" s="126"/>
      <c r="D636" s="126"/>
    </row>
    <row r="637" spans="1:4">
      <c r="A637" s="126"/>
      <c r="B637" s="126"/>
      <c r="C637" s="126"/>
      <c r="D637" s="126"/>
    </row>
    <row r="638" spans="1:4">
      <c r="A638" s="126"/>
      <c r="B638" s="126"/>
      <c r="C638" s="126"/>
      <c r="D638" s="126"/>
    </row>
    <row r="639" spans="1:4">
      <c r="A639" s="126"/>
      <c r="B639" s="126"/>
      <c r="C639" s="126"/>
      <c r="D639" s="126"/>
    </row>
    <row r="640" spans="1:4">
      <c r="A640" s="126"/>
      <c r="B640" s="126"/>
      <c r="C640" s="126"/>
      <c r="D640" s="126"/>
    </row>
    <row r="641" spans="1:4">
      <c r="A641" s="126"/>
      <c r="B641" s="126"/>
      <c r="C641" s="126"/>
      <c r="D641" s="126"/>
    </row>
    <row r="642" spans="1:4">
      <c r="A642" s="126"/>
      <c r="B642" s="126"/>
      <c r="C642" s="126"/>
      <c r="D642" s="126"/>
    </row>
    <row r="643" spans="1:4">
      <c r="A643" s="126"/>
      <c r="B643" s="126"/>
      <c r="C643" s="126"/>
      <c r="D643" s="126"/>
    </row>
    <row r="644" spans="1:4">
      <c r="A644" s="126"/>
      <c r="B644" s="126"/>
      <c r="C644" s="126"/>
      <c r="D644" s="126"/>
    </row>
    <row r="645" spans="1:4">
      <c r="A645" s="126"/>
      <c r="B645" s="126"/>
      <c r="C645" s="126"/>
      <c r="D645" s="126"/>
    </row>
    <row r="646" spans="1:4">
      <c r="A646" s="126"/>
      <c r="B646" s="126"/>
      <c r="C646" s="126"/>
      <c r="D646" s="126"/>
    </row>
    <row r="647" spans="1:4">
      <c r="A647" s="126"/>
      <c r="B647" s="126"/>
      <c r="C647" s="126"/>
      <c r="D647" s="126"/>
    </row>
    <row r="648" spans="1:4">
      <c r="A648" s="126"/>
      <c r="B648" s="126"/>
      <c r="C648" s="126"/>
      <c r="D648" s="126"/>
    </row>
    <row r="649" spans="1:4">
      <c r="A649" s="126"/>
      <c r="B649" s="126"/>
      <c r="C649" s="126"/>
      <c r="D649" s="126"/>
    </row>
    <row r="650" spans="1:4">
      <c r="A650" s="126"/>
      <c r="B650" s="126"/>
      <c r="C650" s="126"/>
      <c r="D650" s="126"/>
    </row>
    <row r="651" spans="1:4">
      <c r="A651" s="126"/>
      <c r="B651" s="126"/>
      <c r="C651" s="126"/>
      <c r="D651" s="126"/>
    </row>
    <row r="652" spans="1:4">
      <c r="A652" s="126"/>
      <c r="B652" s="126"/>
      <c r="C652" s="126"/>
      <c r="D652" s="126"/>
    </row>
    <row r="653" spans="1:4">
      <c r="A653" s="126"/>
      <c r="B653" s="126"/>
      <c r="C653" s="126"/>
      <c r="D653" s="126"/>
    </row>
    <row r="654" spans="1:4">
      <c r="A654" s="126"/>
      <c r="B654" s="126"/>
      <c r="C654" s="126"/>
      <c r="D654" s="126"/>
    </row>
    <row r="655" spans="1:4">
      <c r="A655" s="126"/>
      <c r="B655" s="126"/>
      <c r="C655" s="126"/>
      <c r="D655" s="126"/>
    </row>
    <row r="656" spans="1:4">
      <c r="A656" s="126"/>
      <c r="B656" s="126"/>
      <c r="C656" s="126"/>
      <c r="D656" s="126"/>
    </row>
    <row r="657" spans="1:4">
      <c r="A657" s="126"/>
      <c r="B657" s="126"/>
      <c r="C657" s="126"/>
      <c r="D657" s="126"/>
    </row>
    <row r="658" spans="1:4">
      <c r="A658" s="126"/>
      <c r="B658" s="126"/>
      <c r="C658" s="126"/>
      <c r="D658" s="126"/>
    </row>
    <row r="659" spans="1:4">
      <c r="A659" s="126"/>
      <c r="B659" s="126"/>
      <c r="C659" s="126"/>
      <c r="D659" s="126"/>
    </row>
    <row r="660" spans="1:4">
      <c r="A660" s="126"/>
      <c r="B660" s="126"/>
      <c r="C660" s="126"/>
      <c r="D660" s="126"/>
    </row>
    <row r="661" spans="1:4">
      <c r="A661" s="126"/>
      <c r="B661" s="126"/>
      <c r="C661" s="126"/>
      <c r="D661" s="126"/>
    </row>
    <row r="662" spans="1:4">
      <c r="A662" s="126"/>
      <c r="B662" s="126"/>
      <c r="C662" s="126"/>
      <c r="D662" s="126"/>
    </row>
    <row r="663" spans="1:4">
      <c r="A663" s="126"/>
      <c r="B663" s="126"/>
      <c r="C663" s="126"/>
      <c r="D663" s="126"/>
    </row>
    <row r="664" spans="1:4">
      <c r="A664" s="126"/>
      <c r="B664" s="126"/>
      <c r="C664" s="126"/>
      <c r="D664" s="126"/>
    </row>
    <row r="665" spans="1:4">
      <c r="A665" s="126"/>
      <c r="B665" s="126"/>
      <c r="C665" s="126"/>
      <c r="D665" s="126"/>
    </row>
    <row r="666" spans="1:4">
      <c r="A666" s="126"/>
      <c r="B666" s="126"/>
      <c r="C666" s="126"/>
      <c r="D666" s="126"/>
    </row>
    <row r="667" spans="1:4">
      <c r="A667" s="126"/>
      <c r="B667" s="126"/>
      <c r="C667" s="126"/>
      <c r="D667" s="126"/>
    </row>
    <row r="668" spans="1:4">
      <c r="A668" s="126"/>
      <c r="B668" s="126"/>
      <c r="C668" s="126"/>
      <c r="D668" s="126"/>
    </row>
    <row r="669" spans="1:4">
      <c r="A669" s="126"/>
      <c r="B669" s="126"/>
      <c r="C669" s="126"/>
      <c r="D669" s="126"/>
    </row>
    <row r="670" spans="1:4">
      <c r="A670" s="126"/>
      <c r="B670" s="126"/>
      <c r="C670" s="126"/>
      <c r="D670" s="126"/>
    </row>
    <row r="671" spans="1:4">
      <c r="A671" s="126"/>
      <c r="B671" s="126"/>
      <c r="C671" s="126"/>
      <c r="D671" s="126"/>
    </row>
    <row r="672" spans="1:4">
      <c r="A672" s="126"/>
      <c r="B672" s="126"/>
      <c r="C672" s="126"/>
      <c r="D672" s="126"/>
    </row>
    <row r="673" spans="1:4">
      <c r="A673" s="126"/>
      <c r="B673" s="126"/>
      <c r="C673" s="126"/>
      <c r="D673" s="126"/>
    </row>
    <row r="674" spans="1:4">
      <c r="A674" s="126"/>
      <c r="B674" s="126"/>
      <c r="C674" s="126"/>
      <c r="D674" s="126"/>
    </row>
    <row r="675" spans="1:4">
      <c r="A675" s="126"/>
      <c r="B675" s="126"/>
      <c r="C675" s="126"/>
      <c r="D675" s="126"/>
    </row>
    <row r="676" spans="1:4">
      <c r="A676" s="126"/>
      <c r="B676" s="126"/>
      <c r="C676" s="126"/>
      <c r="D676" s="126"/>
    </row>
    <row r="677" spans="1:4">
      <c r="A677" s="126"/>
      <c r="B677" s="126"/>
      <c r="C677" s="126"/>
      <c r="D677" s="126"/>
    </row>
    <row r="678" spans="1:4">
      <c r="A678" s="126"/>
      <c r="B678" s="126"/>
      <c r="C678" s="126"/>
      <c r="D678" s="126"/>
    </row>
    <row r="679" spans="1:4">
      <c r="A679" s="126"/>
      <c r="B679" s="126"/>
      <c r="C679" s="126"/>
      <c r="D679" s="126"/>
    </row>
    <row r="680" spans="1:4">
      <c r="A680" s="126"/>
      <c r="B680" s="126"/>
      <c r="C680" s="126"/>
      <c r="D680" s="126"/>
    </row>
    <row r="681" spans="1:4">
      <c r="A681" s="126"/>
      <c r="B681" s="126"/>
      <c r="C681" s="126"/>
      <c r="D681" s="126"/>
    </row>
    <row r="682" spans="1:4">
      <c r="A682" s="126"/>
      <c r="B682" s="126"/>
      <c r="C682" s="126"/>
      <c r="D682" s="126"/>
    </row>
    <row r="683" spans="1:4">
      <c r="A683" s="126"/>
      <c r="B683" s="126"/>
      <c r="C683" s="126"/>
      <c r="D683" s="126"/>
    </row>
    <row r="684" spans="1:4">
      <c r="A684" s="126"/>
      <c r="B684" s="126"/>
      <c r="C684" s="126"/>
      <c r="D684" s="126"/>
    </row>
    <row r="685" spans="1:4">
      <c r="A685" s="126"/>
      <c r="B685" s="126"/>
      <c r="C685" s="126"/>
      <c r="D685" s="126"/>
    </row>
    <row r="686" spans="1:4">
      <c r="A686" s="126"/>
      <c r="B686" s="126"/>
      <c r="C686" s="126"/>
      <c r="D686" s="126"/>
    </row>
    <row r="687" spans="1:4">
      <c r="A687" s="126"/>
      <c r="B687" s="126"/>
      <c r="C687" s="126"/>
      <c r="D687" s="126"/>
    </row>
    <row r="688" spans="1:4">
      <c r="A688" s="126"/>
      <c r="B688" s="126"/>
      <c r="C688" s="126"/>
      <c r="D688" s="126"/>
    </row>
    <row r="689" spans="1:4">
      <c r="A689" s="126"/>
      <c r="B689" s="126"/>
      <c r="C689" s="126"/>
      <c r="D689" s="126"/>
    </row>
    <row r="690" spans="1:4">
      <c r="A690" s="126"/>
      <c r="B690" s="126"/>
      <c r="C690" s="126"/>
      <c r="D690" s="126"/>
    </row>
    <row r="691" spans="1:4">
      <c r="A691" s="126"/>
      <c r="B691" s="126"/>
      <c r="C691" s="126"/>
      <c r="D691" s="126"/>
    </row>
    <row r="692" spans="1:4">
      <c r="A692" s="126"/>
      <c r="B692" s="126"/>
      <c r="C692" s="126"/>
      <c r="D692" s="126"/>
    </row>
    <row r="693" spans="1:4">
      <c r="A693" s="126"/>
      <c r="B693" s="126"/>
      <c r="C693" s="126"/>
      <c r="D693" s="126"/>
    </row>
    <row r="694" spans="1:4">
      <c r="A694" s="126"/>
      <c r="B694" s="126"/>
      <c r="C694" s="126"/>
      <c r="D694" s="126"/>
    </row>
    <row r="695" spans="1:4">
      <c r="A695" s="126"/>
      <c r="B695" s="126"/>
      <c r="C695" s="126"/>
      <c r="D695" s="126"/>
    </row>
    <row r="696" spans="1:4">
      <c r="A696" s="126"/>
      <c r="B696" s="126"/>
      <c r="C696" s="126"/>
      <c r="D696" s="126"/>
    </row>
    <row r="697" spans="1:4">
      <c r="A697" s="126"/>
      <c r="B697" s="126"/>
      <c r="C697" s="126"/>
      <c r="D697" s="126"/>
    </row>
    <row r="698" spans="1:4">
      <c r="A698" s="126"/>
      <c r="B698" s="126"/>
      <c r="C698" s="126"/>
      <c r="D698" s="126"/>
    </row>
    <row r="699" spans="1:4">
      <c r="A699" s="126"/>
      <c r="B699" s="126"/>
      <c r="C699" s="126"/>
      <c r="D699" s="126"/>
    </row>
    <row r="700" spans="1:4">
      <c r="A700" s="126"/>
      <c r="B700" s="126"/>
      <c r="C700" s="126"/>
      <c r="D700" s="126"/>
    </row>
    <row r="701" spans="1:4">
      <c r="A701" s="126"/>
      <c r="B701" s="126"/>
      <c r="C701" s="126"/>
      <c r="D701" s="126"/>
    </row>
    <row r="702" spans="1:4">
      <c r="A702" s="126"/>
      <c r="B702" s="126"/>
      <c r="C702" s="126"/>
      <c r="D702" s="126"/>
    </row>
    <row r="703" spans="1:4">
      <c r="A703" s="126"/>
      <c r="B703" s="126"/>
      <c r="C703" s="126"/>
      <c r="D703" s="126"/>
    </row>
    <row r="704" spans="1:4">
      <c r="A704" s="126"/>
      <c r="B704" s="126"/>
      <c r="C704" s="126"/>
      <c r="D704" s="126"/>
    </row>
    <row r="705" spans="1:4">
      <c r="A705" s="126"/>
      <c r="B705" s="126"/>
      <c r="C705" s="126"/>
      <c r="D705" s="126"/>
    </row>
    <row r="706" spans="1:4">
      <c r="A706" s="126"/>
      <c r="B706" s="126"/>
      <c r="C706" s="126"/>
      <c r="D706" s="126"/>
    </row>
    <row r="707" spans="1:4">
      <c r="A707" s="126"/>
      <c r="B707" s="126"/>
      <c r="C707" s="126"/>
      <c r="D707" s="126"/>
    </row>
    <row r="708" spans="1:4">
      <c r="A708" s="126"/>
      <c r="B708" s="126"/>
      <c r="C708" s="126"/>
      <c r="D708" s="126"/>
    </row>
    <row r="709" spans="1:4">
      <c r="A709" s="126"/>
      <c r="B709" s="126"/>
      <c r="C709" s="126"/>
      <c r="D709" s="126"/>
    </row>
    <row r="710" spans="1:4">
      <c r="A710" s="126"/>
      <c r="B710" s="126"/>
      <c r="C710" s="126"/>
      <c r="D710" s="126"/>
    </row>
    <row r="711" spans="1:4">
      <c r="A711" s="126"/>
      <c r="B711" s="126"/>
      <c r="C711" s="126"/>
      <c r="D711" s="126"/>
    </row>
    <row r="712" spans="1:4">
      <c r="A712" s="126"/>
      <c r="B712" s="126"/>
      <c r="C712" s="126"/>
      <c r="D712" s="126"/>
    </row>
    <row r="713" spans="1:4">
      <c r="A713" s="126"/>
      <c r="B713" s="126"/>
      <c r="C713" s="126"/>
      <c r="D713" s="126"/>
    </row>
    <row r="714" spans="1:4">
      <c r="A714" s="126"/>
      <c r="B714" s="126"/>
      <c r="C714" s="126"/>
      <c r="D714" s="126"/>
    </row>
    <row r="715" spans="1:4">
      <c r="A715" s="126"/>
      <c r="B715" s="126"/>
      <c r="C715" s="126"/>
      <c r="D715" s="126"/>
    </row>
    <row r="716" spans="1:4">
      <c r="A716" s="126"/>
      <c r="B716" s="126"/>
      <c r="C716" s="126"/>
      <c r="D716" s="126"/>
    </row>
    <row r="717" spans="1:4">
      <c r="A717" s="126"/>
      <c r="B717" s="126"/>
      <c r="C717" s="126"/>
      <c r="D717" s="126"/>
    </row>
    <row r="718" spans="1:4">
      <c r="A718" s="126"/>
      <c r="B718" s="126"/>
      <c r="C718" s="126"/>
      <c r="D718" s="126"/>
    </row>
    <row r="719" spans="1:4">
      <c r="A719" s="126"/>
      <c r="B719" s="126"/>
      <c r="C719" s="126"/>
      <c r="D719" s="126"/>
    </row>
    <row r="720" spans="1:4">
      <c r="A720" s="126"/>
      <c r="B720" s="126"/>
      <c r="C720" s="126"/>
      <c r="D720" s="126"/>
    </row>
    <row r="721" spans="1:4">
      <c r="A721" s="126"/>
      <c r="B721" s="126"/>
      <c r="C721" s="126"/>
      <c r="D721" s="126"/>
    </row>
    <row r="722" spans="1:4">
      <c r="A722" s="126"/>
      <c r="B722" s="126"/>
      <c r="C722" s="126"/>
      <c r="D722" s="126"/>
    </row>
    <row r="723" spans="1:4">
      <c r="A723" s="126"/>
      <c r="B723" s="126"/>
      <c r="C723" s="126"/>
      <c r="D723" s="126"/>
    </row>
    <row r="724" spans="1:4">
      <c r="A724" s="126"/>
      <c r="B724" s="126"/>
      <c r="C724" s="126"/>
      <c r="D724" s="126"/>
    </row>
    <row r="725" spans="1:4">
      <c r="A725" s="126"/>
      <c r="B725" s="126"/>
      <c r="C725" s="126"/>
      <c r="D725" s="126"/>
    </row>
    <row r="726" spans="1:4">
      <c r="A726" s="126"/>
      <c r="B726" s="126"/>
      <c r="C726" s="126"/>
      <c r="D726" s="126"/>
    </row>
    <row r="727" spans="1:4">
      <c r="A727" s="126"/>
      <c r="B727" s="126"/>
      <c r="C727" s="126"/>
      <c r="D727" s="126"/>
    </row>
    <row r="728" spans="1:4">
      <c r="A728" s="126"/>
      <c r="B728" s="126"/>
      <c r="C728" s="126"/>
      <c r="D728" s="126"/>
    </row>
    <row r="729" spans="1:4">
      <c r="A729" s="126"/>
      <c r="B729" s="126"/>
      <c r="C729" s="126"/>
      <c r="D729" s="126"/>
    </row>
    <row r="730" spans="1:4">
      <c r="A730" s="126"/>
      <c r="B730" s="126"/>
      <c r="C730" s="126"/>
      <c r="D730" s="126"/>
    </row>
    <row r="731" spans="1:4">
      <c r="A731" s="126"/>
      <c r="B731" s="126"/>
      <c r="C731" s="126"/>
      <c r="D731" s="126"/>
    </row>
    <row r="732" spans="1:4">
      <c r="A732" s="126"/>
      <c r="B732" s="126"/>
      <c r="C732" s="126"/>
      <c r="D732" s="126"/>
    </row>
    <row r="733" spans="1:4">
      <c r="A733" s="126"/>
      <c r="B733" s="126"/>
      <c r="C733" s="126"/>
      <c r="D733" s="126"/>
    </row>
    <row r="734" spans="1:4">
      <c r="A734" s="126"/>
      <c r="B734" s="126"/>
      <c r="C734" s="126"/>
      <c r="D734" s="126"/>
    </row>
    <row r="735" spans="1:4">
      <c r="A735" s="126"/>
      <c r="B735" s="126"/>
      <c r="C735" s="126"/>
      <c r="D735" s="126"/>
    </row>
    <row r="736" spans="1:4">
      <c r="A736" s="126"/>
      <c r="B736" s="126"/>
      <c r="C736" s="126"/>
      <c r="D736" s="126"/>
    </row>
    <row r="737" spans="1:4">
      <c r="A737" s="126"/>
      <c r="B737" s="126"/>
      <c r="C737" s="126"/>
      <c r="D737" s="126"/>
    </row>
    <row r="738" spans="1:4">
      <c r="A738" s="126"/>
      <c r="B738" s="126"/>
      <c r="C738" s="126"/>
      <c r="D738" s="126"/>
    </row>
    <row r="739" spans="1:4">
      <c r="A739" s="126"/>
      <c r="B739" s="126"/>
      <c r="C739" s="126"/>
      <c r="D739" s="126"/>
    </row>
    <row r="740" spans="1:4">
      <c r="A740" s="126"/>
      <c r="B740" s="126"/>
      <c r="C740" s="126"/>
      <c r="D740" s="126"/>
    </row>
    <row r="741" spans="1:4">
      <c r="A741" s="126"/>
      <c r="B741" s="126"/>
      <c r="C741" s="126"/>
      <c r="D741" s="126"/>
    </row>
    <row r="742" spans="1:4">
      <c r="A742" s="126"/>
      <c r="B742" s="126"/>
      <c r="C742" s="126"/>
      <c r="D742" s="126"/>
    </row>
    <row r="743" spans="1:4">
      <c r="A743" s="126"/>
      <c r="B743" s="126"/>
      <c r="C743" s="126"/>
      <c r="D743" s="126"/>
    </row>
    <row r="744" spans="1:4">
      <c r="A744" s="126"/>
      <c r="B744" s="126"/>
      <c r="C744" s="126"/>
      <c r="D744" s="126"/>
    </row>
    <row r="745" spans="1:4">
      <c r="A745" s="126"/>
      <c r="B745" s="126"/>
      <c r="C745" s="126"/>
      <c r="D745" s="126"/>
    </row>
    <row r="746" spans="1:4">
      <c r="A746" s="126"/>
      <c r="B746" s="126"/>
      <c r="C746" s="126"/>
      <c r="D746" s="126"/>
    </row>
    <row r="747" spans="1:4">
      <c r="A747" s="126"/>
      <c r="B747" s="126"/>
      <c r="C747" s="126"/>
      <c r="D747" s="126"/>
    </row>
    <row r="748" spans="1:4">
      <c r="A748" s="126"/>
      <c r="B748" s="126"/>
      <c r="C748" s="126"/>
      <c r="D748" s="126"/>
    </row>
    <row r="749" spans="1:4">
      <c r="A749" s="126"/>
      <c r="B749" s="126"/>
      <c r="C749" s="126"/>
      <c r="D749" s="126"/>
    </row>
    <row r="750" spans="1:4">
      <c r="A750" s="126"/>
      <c r="B750" s="126"/>
      <c r="C750" s="126"/>
      <c r="D750" s="126"/>
    </row>
    <row r="751" spans="1:4">
      <c r="A751" s="126"/>
      <c r="B751" s="126"/>
      <c r="C751" s="126"/>
      <c r="D751" s="126"/>
    </row>
    <row r="752" spans="1:4">
      <c r="A752" s="126"/>
      <c r="B752" s="126"/>
      <c r="C752" s="126"/>
      <c r="D752" s="126"/>
    </row>
    <row r="753" spans="1:4">
      <c r="A753" s="126"/>
      <c r="B753" s="126"/>
      <c r="C753" s="126"/>
      <c r="D753" s="126"/>
    </row>
    <row r="754" spans="1:4">
      <c r="A754" s="126"/>
      <c r="B754" s="126"/>
      <c r="C754" s="126"/>
      <c r="D754" s="126"/>
    </row>
    <row r="755" spans="1:4">
      <c r="A755" s="126"/>
      <c r="B755" s="126"/>
      <c r="C755" s="126"/>
      <c r="D755" s="126"/>
    </row>
    <row r="756" spans="1:4">
      <c r="A756" s="126"/>
      <c r="B756" s="126"/>
      <c r="C756" s="126"/>
      <c r="D756" s="126"/>
    </row>
    <row r="757" spans="1:4">
      <c r="A757" s="126"/>
      <c r="B757" s="126"/>
      <c r="C757" s="126"/>
      <c r="D757" s="126"/>
    </row>
    <row r="758" spans="1:4">
      <c r="A758" s="126"/>
      <c r="B758" s="126"/>
      <c r="C758" s="126"/>
      <c r="D758" s="126"/>
    </row>
    <row r="759" spans="1:4">
      <c r="A759" s="126"/>
      <c r="B759" s="126"/>
      <c r="C759" s="126"/>
      <c r="D759" s="126"/>
    </row>
    <row r="760" spans="1:4">
      <c r="A760" s="126"/>
      <c r="B760" s="126"/>
      <c r="C760" s="126"/>
      <c r="D760" s="126"/>
    </row>
    <row r="761" spans="1:4">
      <c r="A761" s="126"/>
      <c r="B761" s="126"/>
      <c r="C761" s="126"/>
      <c r="D761" s="126"/>
    </row>
    <row r="762" spans="1:4">
      <c r="A762" s="126"/>
      <c r="B762" s="126"/>
      <c r="C762" s="126"/>
      <c r="D762" s="126"/>
    </row>
    <row r="763" spans="1:4">
      <c r="A763" s="126"/>
      <c r="B763" s="126"/>
      <c r="C763" s="126"/>
      <c r="D763" s="126"/>
    </row>
    <row r="764" spans="1:4">
      <c r="A764" s="126"/>
      <c r="B764" s="126"/>
      <c r="C764" s="126"/>
      <c r="D764" s="126"/>
    </row>
    <row r="765" spans="1:4">
      <c r="A765" s="126"/>
      <c r="B765" s="126"/>
      <c r="C765" s="126"/>
      <c r="D765" s="126"/>
    </row>
    <row r="766" spans="1:4">
      <c r="A766" s="126"/>
      <c r="B766" s="126"/>
      <c r="C766" s="126"/>
      <c r="D766" s="126"/>
    </row>
    <row r="767" spans="1:4">
      <c r="A767" s="126"/>
      <c r="B767" s="126"/>
      <c r="C767" s="126"/>
      <c r="D767" s="126"/>
    </row>
    <row r="768" spans="1:4">
      <c r="A768" s="126"/>
      <c r="B768" s="126"/>
      <c r="C768" s="126"/>
      <c r="D768" s="126"/>
    </row>
    <row r="769" spans="1:4">
      <c r="A769" s="126"/>
      <c r="B769" s="126"/>
      <c r="C769" s="126"/>
      <c r="D769" s="126"/>
    </row>
    <row r="770" spans="1:4">
      <c r="A770" s="126"/>
      <c r="B770" s="126"/>
      <c r="C770" s="126"/>
      <c r="D770" s="126"/>
    </row>
    <row r="771" spans="1:4">
      <c r="A771" s="126"/>
      <c r="B771" s="126"/>
      <c r="C771" s="126"/>
      <c r="D771" s="126"/>
    </row>
    <row r="772" spans="1:4">
      <c r="A772" s="126"/>
      <c r="B772" s="126"/>
      <c r="C772" s="126"/>
      <c r="D772" s="126"/>
    </row>
    <row r="773" spans="1:4">
      <c r="A773" s="126"/>
      <c r="B773" s="126"/>
      <c r="C773" s="126"/>
      <c r="D773" s="126"/>
    </row>
    <row r="774" spans="1:4">
      <c r="A774" s="126"/>
      <c r="B774" s="126"/>
      <c r="C774" s="126"/>
      <c r="D774" s="126"/>
    </row>
    <row r="775" spans="1:4">
      <c r="A775" s="126"/>
      <c r="B775" s="126"/>
      <c r="C775" s="126"/>
      <c r="D775" s="126"/>
    </row>
    <row r="776" spans="1:4">
      <c r="A776" s="126"/>
      <c r="B776" s="126"/>
      <c r="C776" s="126"/>
      <c r="D776" s="126"/>
    </row>
    <row r="777" spans="1:4">
      <c r="A777" s="126"/>
      <c r="B777" s="126"/>
      <c r="C777" s="126"/>
      <c r="D777" s="126"/>
    </row>
    <row r="778" spans="1:4">
      <c r="A778" s="126"/>
      <c r="B778" s="126"/>
      <c r="C778" s="126"/>
      <c r="D778" s="126"/>
    </row>
    <row r="779" spans="1:4">
      <c r="A779" s="126"/>
      <c r="B779" s="126"/>
      <c r="C779" s="126"/>
      <c r="D779" s="126"/>
    </row>
    <row r="780" spans="1:4">
      <c r="A780" s="126"/>
      <c r="B780" s="126"/>
      <c r="C780" s="126"/>
      <c r="D780" s="126"/>
    </row>
    <row r="781" spans="1:4">
      <c r="A781" s="126"/>
      <c r="B781" s="126"/>
      <c r="C781" s="126"/>
      <c r="D781" s="126"/>
    </row>
    <row r="782" spans="1:4">
      <c r="A782" s="126"/>
      <c r="B782" s="126"/>
      <c r="C782" s="126"/>
      <c r="D782" s="126"/>
    </row>
    <row r="783" spans="1:4">
      <c r="A783" s="126"/>
      <c r="B783" s="126"/>
      <c r="C783" s="126"/>
      <c r="D783" s="126"/>
    </row>
    <row r="784" spans="1:4">
      <c r="A784" s="126"/>
      <c r="B784" s="126"/>
      <c r="C784" s="126"/>
      <c r="D784" s="126"/>
    </row>
    <row r="785" spans="1:4">
      <c r="A785" s="126"/>
      <c r="B785" s="126"/>
      <c r="C785" s="126"/>
      <c r="D785" s="126"/>
    </row>
    <row r="786" spans="1:4">
      <c r="A786" s="126"/>
      <c r="B786" s="126"/>
      <c r="C786" s="126"/>
      <c r="D786" s="126"/>
    </row>
    <row r="787" spans="1:4">
      <c r="A787" s="126"/>
      <c r="B787" s="126"/>
      <c r="C787" s="126"/>
      <c r="D787" s="126"/>
    </row>
    <row r="788" spans="1:4">
      <c r="A788" s="126"/>
      <c r="B788" s="126"/>
      <c r="C788" s="126"/>
      <c r="D788" s="126"/>
    </row>
    <row r="789" spans="1:4">
      <c r="A789" s="126"/>
      <c r="B789" s="126"/>
      <c r="C789" s="126"/>
      <c r="D789" s="126"/>
    </row>
    <row r="790" spans="1:4">
      <c r="A790" s="126"/>
      <c r="B790" s="126"/>
      <c r="C790" s="126"/>
      <c r="D790" s="126"/>
    </row>
    <row r="791" spans="1:4">
      <c r="A791" s="126"/>
      <c r="B791" s="126"/>
      <c r="C791" s="126"/>
      <c r="D791" s="126"/>
    </row>
    <row r="792" spans="1:4">
      <c r="A792" s="126"/>
      <c r="B792" s="126"/>
      <c r="C792" s="126"/>
      <c r="D792" s="126"/>
    </row>
    <row r="793" spans="1:4">
      <c r="A793" s="126"/>
      <c r="B793" s="126"/>
      <c r="C793" s="126"/>
      <c r="D793" s="126"/>
    </row>
    <row r="794" spans="1:4">
      <c r="A794" s="126"/>
      <c r="B794" s="126"/>
      <c r="C794" s="126"/>
      <c r="D794" s="126"/>
    </row>
    <row r="795" spans="1:4">
      <c r="A795" s="126"/>
      <c r="B795" s="126"/>
      <c r="C795" s="126"/>
      <c r="D795" s="126"/>
    </row>
    <row r="796" spans="1:4">
      <c r="A796" s="126"/>
      <c r="B796" s="126"/>
      <c r="C796" s="126"/>
      <c r="D796" s="126"/>
    </row>
    <row r="797" spans="1:4">
      <c r="A797" s="126"/>
      <c r="B797" s="126"/>
      <c r="C797" s="126"/>
      <c r="D797" s="126"/>
    </row>
    <row r="798" spans="1:4">
      <c r="A798" s="126"/>
      <c r="B798" s="126"/>
      <c r="C798" s="126"/>
      <c r="D798" s="126"/>
    </row>
    <row r="799" spans="1:4">
      <c r="A799" s="126"/>
      <c r="B799" s="126"/>
      <c r="C799" s="126"/>
      <c r="D799" s="126"/>
    </row>
    <row r="800" spans="1:4">
      <c r="A800" s="126"/>
      <c r="B800" s="126"/>
      <c r="C800" s="126"/>
      <c r="D800" s="126"/>
    </row>
    <row r="801" spans="1:4">
      <c r="A801" s="126"/>
      <c r="B801" s="126"/>
      <c r="C801" s="126"/>
      <c r="D801" s="126"/>
    </row>
    <row r="802" spans="1:4">
      <c r="A802" s="126"/>
      <c r="B802" s="126"/>
      <c r="C802" s="126"/>
      <c r="D802" s="126"/>
    </row>
    <row r="803" spans="1:4">
      <c r="A803" s="126"/>
      <c r="B803" s="126"/>
      <c r="C803" s="126"/>
      <c r="D803" s="126"/>
    </row>
    <row r="804" spans="1:4">
      <c r="A804" s="126"/>
      <c r="B804" s="126"/>
      <c r="C804" s="126"/>
      <c r="D804" s="126"/>
    </row>
    <row r="805" spans="1:4">
      <c r="A805" s="126"/>
      <c r="B805" s="126"/>
      <c r="C805" s="126"/>
      <c r="D805" s="126"/>
    </row>
    <row r="806" spans="1:4">
      <c r="A806" s="126"/>
      <c r="B806" s="126"/>
      <c r="C806" s="126"/>
      <c r="D806" s="126"/>
    </row>
    <row r="807" spans="1:4">
      <c r="A807" s="126"/>
      <c r="B807" s="126"/>
      <c r="C807" s="126"/>
      <c r="D807" s="126"/>
    </row>
    <row r="808" spans="1:4">
      <c r="A808" s="126"/>
      <c r="B808" s="126"/>
      <c r="C808" s="126"/>
      <c r="D808" s="126"/>
    </row>
    <row r="809" spans="1:4">
      <c r="A809" s="126"/>
      <c r="B809" s="126"/>
      <c r="C809" s="126"/>
      <c r="D809" s="126"/>
    </row>
    <row r="810" spans="1:4">
      <c r="A810" s="126"/>
      <c r="B810" s="126"/>
      <c r="C810" s="126"/>
      <c r="D810" s="126"/>
    </row>
    <row r="811" spans="1:4">
      <c r="A811" s="126"/>
      <c r="B811" s="126"/>
      <c r="C811" s="126"/>
      <c r="D811" s="126"/>
    </row>
    <row r="812" spans="1:4">
      <c r="A812" s="126"/>
      <c r="B812" s="126"/>
      <c r="C812" s="126"/>
      <c r="D812" s="126"/>
    </row>
    <row r="813" spans="1:4">
      <c r="A813" s="126"/>
      <c r="B813" s="126"/>
      <c r="C813" s="126"/>
      <c r="D813" s="126"/>
    </row>
    <row r="814" spans="1:4">
      <c r="A814" s="126"/>
      <c r="B814" s="126"/>
      <c r="C814" s="126"/>
      <c r="D814" s="126"/>
    </row>
    <row r="815" spans="1:4">
      <c r="A815" s="126"/>
      <c r="B815" s="126"/>
      <c r="C815" s="126"/>
      <c r="D815" s="126"/>
    </row>
    <row r="816" spans="1:4">
      <c r="A816" s="126"/>
      <c r="B816" s="126"/>
      <c r="C816" s="126"/>
      <c r="D816" s="126"/>
    </row>
    <row r="817" spans="1:4">
      <c r="A817" s="126"/>
      <c r="B817" s="126"/>
      <c r="C817" s="126"/>
      <c r="D817" s="126"/>
    </row>
    <row r="818" spans="1:4">
      <c r="A818" s="126"/>
      <c r="B818" s="126"/>
      <c r="C818" s="126"/>
      <c r="D818" s="126"/>
    </row>
    <row r="819" spans="1:4">
      <c r="A819" s="126"/>
      <c r="B819" s="126"/>
      <c r="C819" s="126"/>
      <c r="D819" s="126"/>
    </row>
    <row r="820" spans="1:4">
      <c r="A820" s="126"/>
      <c r="B820" s="126"/>
      <c r="C820" s="126"/>
      <c r="D820" s="126"/>
    </row>
    <row r="821" spans="1:4">
      <c r="A821" s="126"/>
      <c r="B821" s="126"/>
      <c r="C821" s="126"/>
      <c r="D821" s="126"/>
    </row>
    <row r="822" spans="1:4">
      <c r="A822" s="126"/>
      <c r="B822" s="126"/>
      <c r="C822" s="126"/>
      <c r="D822" s="126"/>
    </row>
    <row r="823" spans="1:4">
      <c r="A823" s="126"/>
      <c r="B823" s="126"/>
      <c r="C823" s="126"/>
      <c r="D823" s="126"/>
    </row>
    <row r="824" spans="1:4">
      <c r="A824" s="126"/>
      <c r="B824" s="126"/>
      <c r="C824" s="126"/>
      <c r="D824" s="126"/>
    </row>
    <row r="825" spans="1:4">
      <c r="A825" s="126"/>
      <c r="B825" s="126"/>
      <c r="C825" s="126"/>
      <c r="D825" s="126"/>
    </row>
    <row r="826" spans="1:4">
      <c r="A826" s="126"/>
      <c r="B826" s="126"/>
      <c r="C826" s="126"/>
      <c r="D826" s="126"/>
    </row>
    <row r="827" spans="1:4">
      <c r="A827" s="126"/>
      <c r="B827" s="126"/>
      <c r="C827" s="126"/>
      <c r="D827" s="126"/>
    </row>
    <row r="828" spans="1:4">
      <c r="A828" s="126"/>
      <c r="B828" s="126"/>
      <c r="C828" s="126"/>
      <c r="D828" s="126"/>
    </row>
    <row r="829" spans="1:4">
      <c r="A829" s="126"/>
      <c r="B829" s="126"/>
      <c r="C829" s="126"/>
      <c r="D829" s="126"/>
    </row>
    <row r="830" spans="1:4">
      <c r="A830" s="126"/>
      <c r="B830" s="126"/>
      <c r="C830" s="126"/>
      <c r="D830" s="126"/>
    </row>
    <row r="831" spans="1:4">
      <c r="A831" s="126"/>
      <c r="B831" s="126"/>
      <c r="C831" s="126"/>
      <c r="D831" s="126"/>
    </row>
    <row r="832" spans="1:4">
      <c r="A832" s="126"/>
      <c r="B832" s="126"/>
      <c r="C832" s="126"/>
      <c r="D832" s="126"/>
    </row>
    <row r="833" spans="1:4">
      <c r="A833" s="126"/>
      <c r="B833" s="126"/>
      <c r="C833" s="126"/>
      <c r="D833" s="126"/>
    </row>
    <row r="834" spans="1:4">
      <c r="A834" s="126"/>
      <c r="B834" s="126"/>
      <c r="C834" s="126"/>
      <c r="D834" s="126"/>
    </row>
    <row r="835" spans="1:4">
      <c r="A835" s="126"/>
      <c r="B835" s="126"/>
      <c r="C835" s="126"/>
      <c r="D835" s="126"/>
    </row>
    <row r="836" spans="1:4">
      <c r="A836" s="126"/>
      <c r="B836" s="126"/>
      <c r="C836" s="126"/>
      <c r="D836" s="126"/>
    </row>
    <row r="837" spans="1:4">
      <c r="A837" s="126"/>
      <c r="B837" s="126"/>
      <c r="C837" s="126"/>
      <c r="D837" s="126"/>
    </row>
    <row r="838" spans="1:4">
      <c r="A838" s="126"/>
      <c r="B838" s="126"/>
      <c r="C838" s="126"/>
      <c r="D838" s="126"/>
    </row>
    <row r="839" spans="1:4">
      <c r="A839" s="126"/>
      <c r="B839" s="126"/>
      <c r="C839" s="126"/>
      <c r="D839" s="126"/>
    </row>
    <row r="840" spans="1:4">
      <c r="A840" s="126"/>
      <c r="B840" s="126"/>
      <c r="C840" s="126"/>
      <c r="D840" s="126"/>
    </row>
    <row r="841" spans="1:4">
      <c r="A841" s="126"/>
      <c r="B841" s="126"/>
      <c r="C841" s="126"/>
      <c r="D841" s="126"/>
    </row>
    <row r="842" spans="1:4">
      <c r="A842" s="126"/>
      <c r="B842" s="126"/>
      <c r="C842" s="126"/>
      <c r="D842" s="126"/>
    </row>
    <row r="843" spans="1:4">
      <c r="A843" s="126"/>
      <c r="B843" s="126"/>
      <c r="C843" s="126"/>
      <c r="D843" s="126"/>
    </row>
    <row r="844" spans="1:4">
      <c r="A844" s="126"/>
      <c r="B844" s="126"/>
      <c r="C844" s="126"/>
      <c r="D844" s="126"/>
    </row>
    <row r="845" spans="1:4">
      <c r="A845" s="126"/>
      <c r="B845" s="126"/>
      <c r="C845" s="126"/>
      <c r="D845" s="126"/>
    </row>
    <row r="846" spans="1:4">
      <c r="A846" s="126"/>
      <c r="B846" s="126"/>
      <c r="C846" s="126"/>
      <c r="D846" s="126"/>
    </row>
    <row r="847" spans="1:4">
      <c r="A847" s="126"/>
      <c r="B847" s="126"/>
      <c r="C847" s="126"/>
      <c r="D847" s="126"/>
    </row>
    <row r="848" spans="1:4">
      <c r="A848" s="126"/>
      <c r="B848" s="126"/>
      <c r="C848" s="126"/>
      <c r="D848" s="126"/>
    </row>
    <row r="849" spans="1:4">
      <c r="A849" s="126"/>
      <c r="B849" s="126"/>
      <c r="C849" s="126"/>
      <c r="D849" s="126"/>
    </row>
    <row r="850" spans="1:4">
      <c r="A850" s="126"/>
      <c r="B850" s="126"/>
      <c r="C850" s="126"/>
      <c r="D850" s="126"/>
    </row>
    <row r="851" spans="1:4">
      <c r="A851" s="126"/>
      <c r="B851" s="126"/>
      <c r="C851" s="126"/>
      <c r="D851" s="126"/>
    </row>
    <row r="852" spans="1:4">
      <c r="A852" s="126"/>
      <c r="B852" s="126"/>
      <c r="C852" s="126"/>
      <c r="D852" s="126"/>
    </row>
    <row r="853" spans="1:4">
      <c r="A853" s="126"/>
      <c r="B853" s="126"/>
      <c r="C853" s="126"/>
      <c r="D853" s="126"/>
    </row>
    <row r="854" spans="1:4">
      <c r="A854" s="126"/>
      <c r="B854" s="126"/>
      <c r="C854" s="126"/>
      <c r="D854" s="126"/>
    </row>
    <row r="855" spans="1:4">
      <c r="A855" s="126"/>
      <c r="B855" s="126"/>
      <c r="C855" s="126"/>
      <c r="D855" s="126"/>
    </row>
    <row r="856" spans="1:4">
      <c r="A856" s="126"/>
      <c r="B856" s="126"/>
      <c r="C856" s="126"/>
      <c r="D856" s="126"/>
    </row>
    <row r="857" spans="1:4">
      <c r="A857" s="126"/>
      <c r="B857" s="126"/>
      <c r="C857" s="126"/>
      <c r="D857" s="126"/>
    </row>
    <row r="858" spans="1:4">
      <c r="A858" s="126"/>
      <c r="B858" s="126"/>
      <c r="C858" s="126"/>
      <c r="D858" s="126"/>
    </row>
    <row r="859" spans="1:4">
      <c r="A859" s="126"/>
      <c r="B859" s="126"/>
      <c r="C859" s="126"/>
      <c r="D859" s="126"/>
    </row>
    <row r="860" spans="1:4">
      <c r="A860" s="126"/>
      <c r="B860" s="126"/>
      <c r="C860" s="126"/>
      <c r="D860" s="126"/>
    </row>
    <row r="861" spans="1:4">
      <c r="A861" s="126"/>
      <c r="B861" s="126"/>
      <c r="C861" s="126"/>
      <c r="D861" s="126"/>
    </row>
    <row r="862" spans="1:4">
      <c r="A862" s="126"/>
      <c r="B862" s="126"/>
      <c r="C862" s="126"/>
      <c r="D862" s="126"/>
    </row>
    <row r="863" spans="1:4">
      <c r="A863" s="126"/>
      <c r="B863" s="126"/>
      <c r="C863" s="126"/>
      <c r="D863" s="126"/>
    </row>
    <row r="864" spans="1:4">
      <c r="A864" s="126"/>
      <c r="B864" s="126"/>
      <c r="C864" s="126"/>
      <c r="D864" s="126"/>
    </row>
    <row r="865" spans="1:4">
      <c r="A865" s="126"/>
      <c r="B865" s="126"/>
      <c r="C865" s="126"/>
      <c r="D865" s="126"/>
    </row>
    <row r="866" spans="1:4">
      <c r="A866" s="126"/>
      <c r="B866" s="126"/>
      <c r="C866" s="126"/>
      <c r="D866" s="126"/>
    </row>
    <row r="867" spans="1:4">
      <c r="A867" s="126"/>
      <c r="B867" s="126"/>
      <c r="C867" s="126"/>
      <c r="D867" s="126"/>
    </row>
    <row r="868" spans="1:4">
      <c r="A868" s="126"/>
      <c r="B868" s="126"/>
      <c r="C868" s="126"/>
      <c r="D868" s="126"/>
    </row>
    <row r="869" spans="1:4">
      <c r="A869" s="126"/>
      <c r="B869" s="126"/>
      <c r="C869" s="126"/>
      <c r="D869" s="126"/>
    </row>
    <row r="870" spans="1:4">
      <c r="A870" s="126"/>
      <c r="B870" s="126"/>
      <c r="C870" s="126"/>
      <c r="D870" s="126"/>
    </row>
    <row r="871" spans="1:4">
      <c r="A871" s="126"/>
      <c r="B871" s="126"/>
      <c r="C871" s="126"/>
      <c r="D871" s="126"/>
    </row>
    <row r="872" spans="1:4">
      <c r="A872" s="126"/>
      <c r="B872" s="126"/>
      <c r="C872" s="126"/>
      <c r="D872" s="126"/>
    </row>
    <row r="873" spans="1:4">
      <c r="A873" s="126"/>
      <c r="B873" s="126"/>
      <c r="C873" s="126"/>
      <c r="D873" s="126"/>
    </row>
    <row r="874" spans="1:4">
      <c r="A874" s="126"/>
      <c r="B874" s="126"/>
      <c r="C874" s="126"/>
      <c r="D874" s="126"/>
    </row>
    <row r="875" spans="1:4">
      <c r="A875" s="126"/>
      <c r="B875" s="126"/>
      <c r="C875" s="126"/>
      <c r="D875" s="126"/>
    </row>
    <row r="876" spans="1:4">
      <c r="A876" s="126"/>
      <c r="B876" s="126"/>
      <c r="C876" s="126"/>
      <c r="D876" s="126"/>
    </row>
    <row r="877" spans="1:4">
      <c r="A877" s="126"/>
      <c r="B877" s="126"/>
      <c r="C877" s="126"/>
      <c r="D877" s="126"/>
    </row>
    <row r="878" spans="1:4">
      <c r="A878" s="126"/>
      <c r="B878" s="126"/>
      <c r="C878" s="126"/>
      <c r="D878" s="126"/>
    </row>
    <row r="879" spans="1:4">
      <c r="A879" s="126"/>
      <c r="B879" s="126"/>
      <c r="C879" s="126"/>
      <c r="D879" s="126"/>
    </row>
    <row r="880" spans="1:4">
      <c r="A880" s="126"/>
      <c r="B880" s="126"/>
      <c r="C880" s="126"/>
      <c r="D880" s="126"/>
    </row>
    <row r="881" spans="1:4">
      <c r="A881" s="126"/>
      <c r="B881" s="126"/>
      <c r="C881" s="126"/>
      <c r="D881" s="126"/>
    </row>
    <row r="882" spans="1:4">
      <c r="A882" s="126"/>
      <c r="B882" s="126"/>
      <c r="C882" s="126"/>
      <c r="D882" s="126"/>
    </row>
    <row r="883" spans="1:4">
      <c r="A883" s="126"/>
      <c r="B883" s="126"/>
      <c r="C883" s="126"/>
      <c r="D883" s="126"/>
    </row>
    <row r="884" spans="1:4">
      <c r="A884" s="126"/>
      <c r="B884" s="126"/>
      <c r="C884" s="126"/>
      <c r="D884" s="126"/>
    </row>
    <row r="885" spans="1:4">
      <c r="A885" s="126"/>
      <c r="B885" s="126"/>
      <c r="C885" s="126"/>
      <c r="D885" s="126"/>
    </row>
    <row r="886" spans="1:4">
      <c r="A886" s="126"/>
      <c r="B886" s="126"/>
      <c r="C886" s="126"/>
      <c r="D886" s="126"/>
    </row>
    <row r="887" spans="1:4">
      <c r="A887" s="126"/>
      <c r="B887" s="126"/>
      <c r="C887" s="126"/>
      <c r="D887" s="126"/>
    </row>
    <row r="888" spans="1:4">
      <c r="A888" s="126"/>
      <c r="B888" s="126"/>
      <c r="C888" s="126"/>
      <c r="D888" s="126"/>
    </row>
    <row r="889" spans="1:4">
      <c r="A889" s="126"/>
      <c r="B889" s="126"/>
      <c r="C889" s="126"/>
      <c r="D889" s="126"/>
    </row>
    <row r="890" spans="1:4">
      <c r="A890" s="126"/>
      <c r="B890" s="126"/>
      <c r="C890" s="126"/>
      <c r="D890" s="126"/>
    </row>
    <row r="891" spans="1:4">
      <c r="A891" s="126"/>
      <c r="B891" s="126"/>
      <c r="C891" s="126"/>
      <c r="D891" s="126"/>
    </row>
    <row r="892" spans="1:4">
      <c r="A892" s="126"/>
      <c r="B892" s="126"/>
      <c r="C892" s="126"/>
      <c r="D892" s="126"/>
    </row>
    <row r="893" spans="1:4">
      <c r="A893" s="126"/>
      <c r="B893" s="126"/>
      <c r="C893" s="126"/>
      <c r="D893" s="126"/>
    </row>
    <row r="894" spans="1:4">
      <c r="A894" s="126"/>
      <c r="B894" s="126"/>
      <c r="C894" s="126"/>
      <c r="D894" s="126"/>
    </row>
    <row r="895" spans="1:4">
      <c r="A895" s="126"/>
      <c r="B895" s="126"/>
      <c r="C895" s="126"/>
      <c r="D895" s="126"/>
    </row>
    <row r="896" spans="1:4">
      <c r="A896" s="126"/>
      <c r="B896" s="126"/>
      <c r="C896" s="126"/>
      <c r="D896" s="126"/>
    </row>
    <row r="897" spans="1:4">
      <c r="A897" s="126"/>
      <c r="B897" s="126"/>
      <c r="C897" s="126"/>
      <c r="D897" s="126"/>
    </row>
    <row r="898" spans="1:4">
      <c r="A898" s="126"/>
      <c r="B898" s="126"/>
      <c r="C898" s="126"/>
      <c r="D898" s="126"/>
    </row>
    <row r="899" spans="1:4">
      <c r="A899" s="126"/>
      <c r="B899" s="126"/>
      <c r="C899" s="126"/>
      <c r="D899" s="126"/>
    </row>
    <row r="900" spans="1:4">
      <c r="A900" s="126"/>
      <c r="B900" s="126"/>
      <c r="C900" s="126"/>
      <c r="D900" s="126"/>
    </row>
    <row r="901" spans="1:4">
      <c r="A901" s="126"/>
      <c r="B901" s="126"/>
      <c r="C901" s="126"/>
      <c r="D901" s="126"/>
    </row>
    <row r="902" spans="1:4">
      <c r="A902" s="126"/>
      <c r="B902" s="126"/>
      <c r="C902" s="126"/>
      <c r="D902" s="126"/>
    </row>
    <row r="903" spans="1:4">
      <c r="A903" s="126"/>
      <c r="B903" s="126"/>
      <c r="C903" s="126"/>
      <c r="D903" s="126"/>
    </row>
    <row r="904" spans="1:4">
      <c r="A904" s="126"/>
      <c r="B904" s="126"/>
      <c r="C904" s="126"/>
      <c r="D904" s="126"/>
    </row>
    <row r="905" spans="1:4">
      <c r="A905" s="126"/>
      <c r="B905" s="126"/>
      <c r="C905" s="126"/>
      <c r="D905" s="126"/>
    </row>
    <row r="906" spans="1:4">
      <c r="A906" s="126"/>
      <c r="B906" s="126"/>
      <c r="C906" s="126"/>
      <c r="D906" s="126"/>
    </row>
    <row r="907" spans="1:4">
      <c r="A907" s="126"/>
      <c r="B907" s="126"/>
      <c r="C907" s="126"/>
      <c r="D907" s="126"/>
    </row>
    <row r="908" spans="1:4">
      <c r="A908" s="126"/>
      <c r="B908" s="126"/>
      <c r="C908" s="126"/>
      <c r="D908" s="126"/>
    </row>
    <row r="909" spans="1:4">
      <c r="A909" s="126"/>
      <c r="B909" s="126"/>
      <c r="C909" s="126"/>
      <c r="D909" s="126"/>
    </row>
    <row r="910" spans="1:4">
      <c r="A910" s="126"/>
      <c r="B910" s="126"/>
      <c r="C910" s="126"/>
      <c r="D910" s="126"/>
    </row>
    <row r="911" spans="1:4">
      <c r="A911" s="126"/>
      <c r="B911" s="126"/>
      <c r="C911" s="126"/>
      <c r="D911" s="126"/>
    </row>
    <row r="912" spans="1:4">
      <c r="A912" s="126"/>
      <c r="B912" s="126"/>
      <c r="C912" s="126"/>
      <c r="D912" s="126"/>
    </row>
    <row r="913" spans="1:4">
      <c r="A913" s="126"/>
      <c r="B913" s="126"/>
      <c r="C913" s="126"/>
      <c r="D913" s="126"/>
    </row>
    <row r="914" spans="1:4">
      <c r="A914" s="126"/>
      <c r="B914" s="126"/>
      <c r="C914" s="126"/>
      <c r="D914" s="126"/>
    </row>
    <row r="915" spans="1:4">
      <c r="A915" s="126"/>
      <c r="B915" s="126"/>
      <c r="C915" s="126"/>
      <c r="D915" s="126"/>
    </row>
    <row r="916" spans="1:4">
      <c r="A916" s="126"/>
      <c r="B916" s="126"/>
      <c r="C916" s="126"/>
      <c r="D916" s="126"/>
    </row>
    <row r="917" spans="1:4">
      <c r="A917" s="126"/>
      <c r="B917" s="126"/>
      <c r="C917" s="126"/>
      <c r="D917" s="126"/>
    </row>
    <row r="918" spans="1:4">
      <c r="A918" s="126"/>
      <c r="B918" s="126"/>
      <c r="C918" s="126"/>
      <c r="D918" s="126"/>
    </row>
    <row r="919" spans="1:4">
      <c r="A919" s="126"/>
      <c r="B919" s="126"/>
      <c r="C919" s="126"/>
      <c r="D919" s="126"/>
    </row>
    <row r="920" spans="1:4">
      <c r="A920" s="126"/>
      <c r="B920" s="126"/>
      <c r="C920" s="126"/>
      <c r="D920" s="126"/>
    </row>
    <row r="921" spans="1:4">
      <c r="A921" s="126"/>
      <c r="B921" s="126"/>
      <c r="C921" s="126"/>
      <c r="D921" s="126"/>
    </row>
    <row r="922" spans="1:4">
      <c r="A922" s="126"/>
      <c r="B922" s="126"/>
      <c r="C922" s="126"/>
      <c r="D922" s="126"/>
    </row>
    <row r="923" spans="1:4">
      <c r="A923" s="126"/>
      <c r="B923" s="126"/>
      <c r="C923" s="126"/>
      <c r="D923" s="126"/>
    </row>
    <row r="924" spans="1:4">
      <c r="A924" s="126"/>
      <c r="B924" s="126"/>
      <c r="C924" s="126"/>
      <c r="D924" s="126"/>
    </row>
    <row r="925" spans="1:4">
      <c r="A925" s="126"/>
      <c r="B925" s="126"/>
      <c r="C925" s="126"/>
      <c r="D925" s="126"/>
    </row>
    <row r="926" spans="1:4">
      <c r="A926" s="126"/>
      <c r="B926" s="126"/>
      <c r="C926" s="126"/>
      <c r="D926" s="126"/>
    </row>
    <row r="927" spans="1:4">
      <c r="A927" s="126"/>
      <c r="B927" s="126"/>
      <c r="C927" s="126"/>
      <c r="D927" s="126"/>
    </row>
    <row r="928" spans="1:4">
      <c r="A928" s="126"/>
      <c r="B928" s="126"/>
      <c r="C928" s="126"/>
      <c r="D928" s="126"/>
    </row>
    <row r="929" spans="1:4">
      <c r="A929" s="126"/>
      <c r="B929" s="126"/>
      <c r="C929" s="126"/>
      <c r="D929" s="126"/>
    </row>
    <row r="930" spans="1:4">
      <c r="A930" s="126"/>
      <c r="B930" s="126"/>
      <c r="C930" s="126"/>
      <c r="D930" s="126"/>
    </row>
    <row r="931" spans="1:4">
      <c r="A931" s="126"/>
      <c r="B931" s="126"/>
      <c r="C931" s="126"/>
      <c r="D931" s="126"/>
    </row>
    <row r="932" spans="1:4">
      <c r="A932" s="126"/>
      <c r="B932" s="126"/>
      <c r="C932" s="126"/>
      <c r="D932" s="126"/>
    </row>
    <row r="933" spans="1:4">
      <c r="A933" s="126"/>
      <c r="B933" s="126"/>
      <c r="C933" s="126"/>
      <c r="D933" s="126"/>
    </row>
    <row r="934" spans="1:4">
      <c r="A934" s="126"/>
      <c r="B934" s="126"/>
      <c r="C934" s="126"/>
      <c r="D934" s="126"/>
    </row>
    <row r="935" spans="1:4">
      <c r="A935" s="126"/>
      <c r="B935" s="126"/>
      <c r="C935" s="126"/>
      <c r="D935" s="126"/>
    </row>
    <row r="936" spans="1:4">
      <c r="A936" s="126"/>
      <c r="B936" s="126"/>
      <c r="C936" s="126"/>
      <c r="D936" s="126"/>
    </row>
    <row r="937" spans="1:4">
      <c r="A937" s="126"/>
      <c r="B937" s="126"/>
      <c r="C937" s="126"/>
      <c r="D937" s="126"/>
    </row>
    <row r="938" spans="1:4">
      <c r="A938" s="126"/>
      <c r="B938" s="126"/>
      <c r="C938" s="126"/>
      <c r="D938" s="126"/>
    </row>
    <row r="939" spans="1:4">
      <c r="A939" s="126"/>
      <c r="B939" s="126"/>
      <c r="C939" s="126"/>
      <c r="D939" s="126"/>
    </row>
    <row r="940" spans="1:4">
      <c r="A940" s="126"/>
      <c r="B940" s="126"/>
      <c r="C940" s="126"/>
      <c r="D940" s="126"/>
    </row>
    <row r="941" spans="1:4">
      <c r="A941" s="126"/>
      <c r="B941" s="126"/>
      <c r="C941" s="126"/>
      <c r="D941" s="126"/>
    </row>
    <row r="942" spans="1:4">
      <c r="A942" s="126"/>
      <c r="B942" s="126"/>
      <c r="C942" s="126"/>
      <c r="D942" s="126"/>
    </row>
    <row r="943" spans="1:4">
      <c r="A943" s="126"/>
      <c r="B943" s="126"/>
      <c r="C943" s="126"/>
      <c r="D943" s="126"/>
    </row>
    <row r="944" spans="1:4">
      <c r="A944" s="126"/>
      <c r="B944" s="126"/>
      <c r="C944" s="126"/>
      <c r="D944" s="126"/>
    </row>
    <row r="945" spans="1:4">
      <c r="A945" s="126"/>
      <c r="B945" s="126"/>
      <c r="C945" s="126"/>
      <c r="D945" s="126"/>
    </row>
    <row r="946" spans="1:4">
      <c r="A946" s="126"/>
      <c r="B946" s="126"/>
      <c r="C946" s="126"/>
      <c r="D946" s="126"/>
    </row>
    <row r="947" spans="1:4">
      <c r="A947" s="126"/>
      <c r="B947" s="126"/>
      <c r="C947" s="126"/>
      <c r="D947" s="126"/>
    </row>
    <row r="948" spans="1:4">
      <c r="A948" s="126"/>
      <c r="B948" s="126"/>
      <c r="C948" s="126"/>
      <c r="D948" s="126"/>
    </row>
    <row r="949" spans="1:4">
      <c r="A949" s="126"/>
      <c r="B949" s="126"/>
      <c r="C949" s="126"/>
      <c r="D949" s="126"/>
    </row>
    <row r="950" spans="1:4">
      <c r="A950" s="126"/>
      <c r="B950" s="126"/>
      <c r="C950" s="126"/>
      <c r="D950" s="126"/>
    </row>
    <row r="951" spans="1:4">
      <c r="A951" s="126"/>
      <c r="B951" s="126"/>
      <c r="C951" s="126"/>
      <c r="D951" s="126"/>
    </row>
    <row r="952" spans="1:4">
      <c r="A952" s="126"/>
      <c r="B952" s="126"/>
      <c r="C952" s="126"/>
      <c r="D952" s="126"/>
    </row>
    <row r="953" spans="1:4">
      <c r="A953" s="126"/>
      <c r="B953" s="126"/>
      <c r="C953" s="126"/>
      <c r="D953" s="126"/>
    </row>
    <row r="954" spans="1:4">
      <c r="A954" s="126"/>
      <c r="B954" s="126"/>
      <c r="C954" s="126"/>
      <c r="D954" s="126"/>
    </row>
    <row r="955" spans="1:4">
      <c r="A955" s="126"/>
      <c r="B955" s="126"/>
      <c r="C955" s="126"/>
      <c r="D955" s="126"/>
    </row>
    <row r="956" spans="1:4">
      <c r="A956" s="126"/>
      <c r="B956" s="126"/>
      <c r="C956" s="126"/>
      <c r="D956" s="126"/>
    </row>
    <row r="957" spans="1:4">
      <c r="A957" s="126"/>
      <c r="B957" s="126"/>
      <c r="C957" s="126"/>
      <c r="D957" s="126"/>
    </row>
    <row r="958" spans="1:4">
      <c r="A958" s="126"/>
      <c r="B958" s="126"/>
      <c r="C958" s="126"/>
      <c r="D958" s="126"/>
    </row>
    <row r="959" spans="1:4">
      <c r="A959" s="126"/>
      <c r="B959" s="126"/>
      <c r="C959" s="126"/>
      <c r="D959" s="126"/>
    </row>
    <row r="960" spans="1:4">
      <c r="A960" s="126"/>
      <c r="B960" s="126"/>
      <c r="C960" s="126"/>
      <c r="D960" s="126"/>
    </row>
    <row r="961" spans="1:4">
      <c r="A961" s="126"/>
      <c r="B961" s="126"/>
      <c r="C961" s="126"/>
      <c r="D961" s="126"/>
    </row>
    <row r="962" spans="1:4">
      <c r="A962" s="126"/>
      <c r="B962" s="126"/>
      <c r="C962" s="126"/>
      <c r="D962" s="126"/>
    </row>
    <row r="963" spans="1:4">
      <c r="A963" s="126"/>
      <c r="B963" s="126"/>
      <c r="C963" s="126"/>
      <c r="D963" s="126"/>
    </row>
    <row r="964" spans="1:4">
      <c r="A964" s="126"/>
      <c r="B964" s="126"/>
      <c r="C964" s="126"/>
      <c r="D964" s="126"/>
    </row>
    <row r="965" spans="1:4">
      <c r="A965" s="126"/>
      <c r="B965" s="126"/>
      <c r="C965" s="126"/>
      <c r="D965" s="126"/>
    </row>
    <row r="966" spans="1:4">
      <c r="A966" s="126"/>
      <c r="B966" s="126"/>
      <c r="C966" s="126"/>
      <c r="D966" s="126"/>
    </row>
    <row r="967" spans="1:4">
      <c r="A967" s="126"/>
      <c r="B967" s="126"/>
      <c r="C967" s="126"/>
      <c r="D967" s="126"/>
    </row>
    <row r="968" spans="1:4">
      <c r="A968" s="126"/>
      <c r="B968" s="126"/>
      <c r="C968" s="126"/>
      <c r="D968" s="126"/>
    </row>
    <row r="969" spans="1:4">
      <c r="A969" s="126"/>
      <c r="B969" s="126"/>
      <c r="C969" s="126"/>
      <c r="D969" s="126"/>
    </row>
    <row r="970" spans="1:4">
      <c r="A970" s="126"/>
      <c r="B970" s="126"/>
      <c r="C970" s="126"/>
      <c r="D970" s="126"/>
    </row>
    <row r="971" spans="1:4">
      <c r="A971" s="126"/>
      <c r="B971" s="126"/>
      <c r="C971" s="126"/>
      <c r="D971" s="126"/>
    </row>
    <row r="972" spans="1:4">
      <c r="A972" s="126"/>
      <c r="B972" s="126"/>
      <c r="C972" s="126"/>
      <c r="D972" s="126"/>
    </row>
    <row r="973" spans="1:4">
      <c r="A973" s="126"/>
      <c r="B973" s="126"/>
      <c r="C973" s="126"/>
      <c r="D973" s="126"/>
    </row>
    <row r="974" spans="1:4">
      <c r="A974" s="126"/>
      <c r="B974" s="126"/>
      <c r="C974" s="126"/>
      <c r="D974" s="126"/>
    </row>
    <row r="975" spans="1:4">
      <c r="A975" s="126"/>
      <c r="B975" s="126"/>
      <c r="C975" s="126"/>
      <c r="D975" s="126"/>
    </row>
    <row r="976" spans="1:4">
      <c r="A976" s="126"/>
      <c r="B976" s="126"/>
      <c r="C976" s="126"/>
      <c r="D976" s="126"/>
    </row>
    <row r="977" spans="1:4">
      <c r="A977" s="126"/>
      <c r="B977" s="126"/>
      <c r="C977" s="126"/>
      <c r="D977" s="126"/>
    </row>
    <row r="978" spans="1:4">
      <c r="A978" s="126"/>
      <c r="B978" s="126"/>
      <c r="C978" s="126"/>
      <c r="D978" s="126"/>
    </row>
    <row r="979" spans="1:4">
      <c r="A979" s="126"/>
      <c r="B979" s="126"/>
      <c r="C979" s="126"/>
      <c r="D979" s="126"/>
    </row>
    <row r="980" spans="1:4">
      <c r="A980" s="126"/>
      <c r="B980" s="126"/>
      <c r="C980" s="126"/>
      <c r="D980" s="126"/>
    </row>
    <row r="981" spans="1:4">
      <c r="A981" s="126"/>
      <c r="B981" s="126"/>
      <c r="C981" s="126"/>
      <c r="D981" s="126"/>
    </row>
    <row r="982" spans="1:4">
      <c r="A982" s="126"/>
      <c r="B982" s="126"/>
      <c r="C982" s="126"/>
      <c r="D982" s="126"/>
    </row>
    <row r="983" spans="1:4">
      <c r="A983" s="126"/>
      <c r="B983" s="126"/>
      <c r="C983" s="126"/>
      <c r="D983" s="126"/>
    </row>
    <row r="984" spans="1:4">
      <c r="A984" s="126"/>
      <c r="B984" s="126"/>
      <c r="C984" s="126"/>
      <c r="D984" s="126"/>
    </row>
    <row r="985" spans="1:4">
      <c r="A985" s="126"/>
      <c r="B985" s="126"/>
      <c r="C985" s="126"/>
      <c r="D985" s="126"/>
    </row>
    <row r="986" spans="1:4">
      <c r="A986" s="126"/>
      <c r="B986" s="126"/>
      <c r="C986" s="126"/>
      <c r="D986" s="126"/>
    </row>
    <row r="987" spans="1:4">
      <c r="A987" s="126"/>
      <c r="B987" s="126"/>
      <c r="C987" s="126"/>
      <c r="D987" s="126"/>
    </row>
    <row r="988" spans="1:4">
      <c r="A988" s="126"/>
      <c r="B988" s="126"/>
      <c r="C988" s="126"/>
      <c r="D988" s="126"/>
    </row>
    <row r="989" spans="1:4">
      <c r="A989" s="126"/>
      <c r="B989" s="126"/>
      <c r="C989" s="126"/>
      <c r="D989" s="126"/>
    </row>
    <row r="990" spans="1:4">
      <c r="A990" s="126"/>
      <c r="B990" s="126"/>
      <c r="C990" s="126"/>
      <c r="D990" s="126"/>
    </row>
    <row r="991" spans="1:4">
      <c r="A991" s="126"/>
      <c r="B991" s="126"/>
      <c r="C991" s="126"/>
      <c r="D991" s="126"/>
    </row>
    <row r="992" spans="1:4">
      <c r="A992" s="126"/>
      <c r="B992" s="126"/>
      <c r="C992" s="126"/>
      <c r="D992" s="126"/>
    </row>
    <row r="993" spans="1:4">
      <c r="A993" s="126"/>
      <c r="B993" s="126"/>
      <c r="C993" s="126"/>
      <c r="D993" s="126"/>
    </row>
    <row r="994" spans="1:4">
      <c r="A994" s="126"/>
      <c r="B994" s="126"/>
      <c r="C994" s="126"/>
      <c r="D994" s="126"/>
    </row>
    <row r="995" spans="1:4">
      <c r="A995" s="126"/>
      <c r="B995" s="126"/>
      <c r="C995" s="126"/>
      <c r="D995" s="126"/>
    </row>
    <row r="996" spans="1:4">
      <c r="A996" s="126"/>
      <c r="B996" s="126"/>
      <c r="C996" s="126"/>
      <c r="D996" s="126"/>
    </row>
    <row r="997" spans="1:4">
      <c r="A997" s="126"/>
      <c r="B997" s="126"/>
      <c r="C997" s="126"/>
      <c r="D997" s="126"/>
    </row>
    <row r="998" spans="1:4">
      <c r="A998" s="126"/>
      <c r="B998" s="126"/>
      <c r="C998" s="126"/>
      <c r="D998" s="126"/>
    </row>
    <row r="999" spans="1:4">
      <c r="A999" s="126"/>
      <c r="B999" s="126"/>
      <c r="C999" s="126"/>
      <c r="D999" s="126"/>
    </row>
    <row r="1000" spans="1:4">
      <c r="A1000" s="126"/>
      <c r="B1000" s="126"/>
      <c r="C1000" s="126"/>
      <c r="D1000" s="1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15</vt:i4>
      </vt:variant>
    </vt:vector>
  </HeadingPairs>
  <TitlesOfParts>
    <vt:vector size="27" baseType="lpstr">
      <vt:lpstr>وزن دهی تاثیر اعضای هیت موسس</vt:lpstr>
      <vt:lpstr>فرم سلامت کودک</vt:lpstr>
      <vt:lpstr>جدول کلی مددجوها</vt:lpstr>
      <vt:lpstr> فرم مشخصات کودک</vt:lpstr>
      <vt:lpstr> اطلاعات ورودد مددجو</vt:lpstr>
      <vt:lpstr>ریزهزینه کرد مددجوها</vt:lpstr>
      <vt:lpstr>خلاصه هزینه کرد مددجوها</vt:lpstr>
      <vt:lpstr>لیست واریزی ماهیانه</vt:lpstr>
      <vt:lpstr>لیست واریزی کل خیرین</vt:lpstr>
      <vt:lpstr>گزارش رداخت خیرین</vt:lpstr>
      <vt:lpstr>روکش</vt:lpstr>
      <vt:lpstr>Sheet1</vt:lpstr>
      <vt:lpstr>aaaa</vt:lpstr>
      <vt:lpstr>aaaq</vt:lpstr>
      <vt:lpstr>eeee</vt:lpstr>
      <vt:lpstr>etela</vt:lpstr>
      <vt:lpstr>kamel</vt:lpstr>
      <vt:lpstr>kha</vt:lpstr>
      <vt:lpstr>' اطلاعات ورودد مددجو'!kj</vt:lpstr>
      <vt:lpstr>koli</vt:lpstr>
      <vt:lpstr>list</vt:lpstr>
      <vt:lpstr>mah</vt:lpstr>
      <vt:lpstr>'خلاصه هزینه کرد مددجوها'!nam</vt:lpstr>
      <vt:lpstr>qq</vt:lpstr>
      <vt:lpstr>'ریزهزینه کرد مددجوها'!ta</vt:lpstr>
      <vt:lpstr>'جدول کلی مددجوها'!varizi</vt:lpstr>
      <vt:lpstr>varizi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vahidi-pc</dc:creator>
  <cp:lastModifiedBy>Farid Borhan Elmi</cp:lastModifiedBy>
  <dcterms:created xsi:type="dcterms:W3CDTF">2022-11-08T07:05:04Z</dcterms:created>
  <dcterms:modified xsi:type="dcterms:W3CDTF">2026-04-01T18:38:58Z</dcterms:modified>
</cp:coreProperties>
</file>